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4"/>
  <workbookPr codeName="ThisWorkbook"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B80B1086-F886-C840-8C52-07CADF6AA097}" xr6:coauthVersionLast="47" xr6:coauthVersionMax="47" xr10:uidLastSave="{00000000-0000-0000-0000-000000000000}"/>
  <bookViews>
    <workbookView xWindow="-64540" yWindow="-640" windowWidth="37540" windowHeight="25860" activeTab="1" xr2:uid="{A02BD4C7-18D0-4DD8-B1D3-8876D8E92EB7}"/>
  </bookViews>
  <sheets>
    <sheet name="Note" sheetId="11" r:id="rId1"/>
    <sheet name="Data qoq" sheetId="2" r:id="rId2"/>
    <sheet name="Data yoy" sheetId="3" r:id="rId3"/>
    <sheet name="Table yoy" sheetId="4" r:id="rId4"/>
    <sheet name="Table qoq" sheetId="5" r:id="rId5"/>
    <sheet name="Table qoq annualized" sheetId="6" r:id="rId6"/>
    <sheet name="World GDP" sheetId="7" r:id="rId7"/>
    <sheet name="Global View yoy" sheetId="8" r:id="rId8"/>
    <sheet name="Global View qoq" sheetId="9" r:id="rId9"/>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98" i="8" l="1"/>
  <c r="B297" i="8"/>
  <c r="B296" i="8"/>
  <c r="B295" i="8"/>
  <c r="B294" i="8"/>
  <c r="B293" i="8"/>
  <c r="B292" i="8"/>
  <c r="B291" i="8"/>
  <c r="B290" i="8"/>
  <c r="B289" i="8"/>
  <c r="B288" i="8"/>
  <c r="B287" i="8"/>
  <c r="B286" i="8"/>
  <c r="B285" i="8"/>
  <c r="B284" i="8"/>
  <c r="B283" i="8"/>
  <c r="B282" i="8"/>
  <c r="B281" i="8"/>
  <c r="B280" i="8"/>
  <c r="B279" i="8"/>
  <c r="B278" i="8"/>
  <c r="B277" i="8"/>
  <c r="B276" i="8"/>
  <c r="B275" i="8"/>
  <c r="B274" i="8"/>
  <c r="B273" i="8"/>
  <c r="B272" i="8"/>
  <c r="B271" i="8"/>
  <c r="B270" i="8"/>
  <c r="B269" i="8"/>
  <c r="B268" i="8"/>
  <c r="B267" i="8"/>
  <c r="B266" i="8"/>
  <c r="B265" i="8"/>
  <c r="B264" i="8"/>
  <c r="B263" i="8"/>
  <c r="B262" i="8"/>
  <c r="B261" i="8"/>
  <c r="B260" i="8"/>
  <c r="B259" i="8"/>
  <c r="B258" i="8"/>
  <c r="B257" i="8"/>
  <c r="B256" i="8"/>
  <c r="B255" i="8"/>
  <c r="B254" i="8"/>
  <c r="B253" i="8"/>
  <c r="B252" i="8"/>
  <c r="B251" i="8"/>
  <c r="B250" i="8"/>
  <c r="B249" i="8"/>
  <c r="B248" i="8"/>
  <c r="B247" i="8"/>
  <c r="B246" i="8"/>
  <c r="B245" i="8"/>
  <c r="B244" i="8"/>
  <c r="B243" i="8"/>
  <c r="B242" i="8"/>
  <c r="B241" i="8"/>
  <c r="B240" i="8"/>
  <c r="B239" i="8"/>
  <c r="B238" i="8"/>
  <c r="B237" i="8"/>
  <c r="B236" i="8"/>
  <c r="B235" i="8"/>
  <c r="B234" i="8"/>
  <c r="B233" i="8"/>
  <c r="B232" i="8"/>
  <c r="B231" i="8"/>
  <c r="B230" i="8"/>
  <c r="B229" i="8"/>
  <c r="B228" i="8"/>
  <c r="B227" i="8"/>
  <c r="B226" i="8"/>
  <c r="B225" i="8"/>
  <c r="B224" i="8"/>
  <c r="B223" i="8"/>
  <c r="B222" i="8"/>
  <c r="B221" i="8"/>
  <c r="B220" i="8"/>
  <c r="B219" i="8"/>
  <c r="B218" i="8"/>
  <c r="B217" i="8"/>
  <c r="B216" i="8"/>
  <c r="B215" i="8"/>
  <c r="B214" i="8"/>
  <c r="B213" i="8"/>
  <c r="B212" i="8"/>
  <c r="B211" i="8"/>
  <c r="B210" i="8"/>
  <c r="B209" i="8"/>
  <c r="B208" i="8"/>
  <c r="B207" i="8"/>
  <c r="B206" i="8"/>
  <c r="B205" i="8"/>
  <c r="B204" i="8"/>
  <c r="B203" i="8"/>
  <c r="B202" i="8"/>
  <c r="B201" i="8"/>
  <c r="B200" i="8"/>
  <c r="B199" i="8"/>
  <c r="B198" i="8"/>
  <c r="B197" i="8"/>
  <c r="B196" i="8"/>
  <c r="B195" i="8"/>
  <c r="B194" i="8"/>
  <c r="B193" i="8"/>
  <c r="B192" i="8"/>
  <c r="B191" i="8"/>
  <c r="B190" i="8"/>
  <c r="B189" i="8"/>
  <c r="B188" i="8"/>
  <c r="B187" i="8"/>
  <c r="B186" i="8"/>
  <c r="B185" i="8"/>
  <c r="B184" i="8"/>
  <c r="B183" i="8"/>
  <c r="B182" i="8"/>
  <c r="B181" i="8"/>
  <c r="B180" i="8"/>
  <c r="B179" i="8"/>
  <c r="B178" i="8"/>
  <c r="B177" i="8"/>
  <c r="B176" i="8"/>
  <c r="B175" i="8"/>
  <c r="B174" i="8"/>
  <c r="B173" i="8"/>
  <c r="B172" i="8"/>
  <c r="B171" i="8"/>
  <c r="B170" i="8"/>
  <c r="B169" i="8"/>
  <c r="B168" i="8"/>
  <c r="B167" i="8"/>
  <c r="B166" i="8"/>
  <c r="B165" i="8"/>
  <c r="B164" i="8"/>
  <c r="B163" i="8"/>
  <c r="B162" i="8"/>
  <c r="B161" i="8"/>
  <c r="B160" i="8"/>
  <c r="B159" i="8"/>
  <c r="B158" i="8"/>
  <c r="B157" i="8"/>
  <c r="B156" i="8"/>
  <c r="B155" i="8"/>
  <c r="B154" i="8"/>
  <c r="B153" i="8"/>
  <c r="B152" i="8"/>
  <c r="B151" i="8"/>
  <c r="B150" i="8"/>
  <c r="B149" i="8"/>
  <c r="B148" i="8"/>
  <c r="B147" i="8"/>
  <c r="B146" i="8"/>
  <c r="B145" i="8"/>
  <c r="B144" i="8"/>
  <c r="B143" i="8"/>
  <c r="B142" i="8"/>
  <c r="B141" i="8"/>
  <c r="B140" i="8"/>
  <c r="B139" i="8"/>
  <c r="B138" i="8"/>
  <c r="B137" i="8"/>
  <c r="B136" i="8"/>
  <c r="B135" i="8"/>
  <c r="B134" i="8"/>
  <c r="B133" i="8"/>
  <c r="B132" i="8"/>
  <c r="B131" i="8"/>
  <c r="B130" i="8"/>
  <c r="B129" i="8"/>
  <c r="B128" i="8"/>
  <c r="B127" i="8"/>
  <c r="B126" i="8"/>
  <c r="B125" i="8"/>
  <c r="B124" i="8"/>
  <c r="B123" i="8"/>
  <c r="B122" i="8"/>
  <c r="B121" i="8"/>
  <c r="B120" i="8"/>
  <c r="B119" i="8"/>
  <c r="B118" i="8"/>
  <c r="B117" i="8"/>
  <c r="B116" i="8"/>
  <c r="B115" i="8"/>
  <c r="B114" i="8"/>
  <c r="B113" i="8"/>
  <c r="B112" i="8"/>
  <c r="B111" i="8"/>
  <c r="B110" i="8"/>
  <c r="B109" i="8"/>
  <c r="B108" i="8"/>
  <c r="B107" i="8"/>
  <c r="B106" i="8"/>
  <c r="B105" i="8"/>
  <c r="B104" i="8"/>
  <c r="B103" i="8"/>
  <c r="B102" i="8"/>
  <c r="B101" i="8"/>
  <c r="B100" i="8"/>
  <c r="B99" i="8"/>
  <c r="B98" i="8"/>
  <c r="B97" i="8"/>
  <c r="B96" i="8"/>
  <c r="B95" i="8"/>
  <c r="B94" i="8"/>
  <c r="B93" i="8"/>
  <c r="B92" i="8"/>
  <c r="B91" i="8"/>
  <c r="B90" i="8"/>
  <c r="B89" i="8"/>
  <c r="B88" i="8"/>
  <c r="B87" i="8"/>
  <c r="B86" i="8"/>
  <c r="B85" i="8"/>
  <c r="B84" i="8"/>
  <c r="B83" i="8"/>
  <c r="B82" i="8"/>
  <c r="B81" i="8"/>
  <c r="B80" i="8"/>
  <c r="B79" i="8"/>
  <c r="B78" i="8"/>
  <c r="B77" i="8"/>
  <c r="B76" i="8"/>
  <c r="B75" i="8"/>
  <c r="B74" i="8"/>
  <c r="B73" i="8"/>
  <c r="B72" i="8"/>
  <c r="B71" i="8"/>
  <c r="B70" i="8"/>
  <c r="B69" i="8"/>
  <c r="B68" i="8"/>
  <c r="B67" i="8"/>
  <c r="B66" i="8"/>
  <c r="B65" i="8"/>
  <c r="B64" i="8"/>
  <c r="B63" i="8"/>
  <c r="B62" i="8"/>
  <c r="B61" i="8"/>
  <c r="B60"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8" i="8"/>
  <c r="B17" i="8"/>
  <c r="B16" i="8"/>
  <c r="B15" i="8"/>
  <c r="B14" i="8"/>
  <c r="B13" i="8"/>
  <c r="B12" i="8"/>
  <c r="B11" i="8"/>
  <c r="B10" i="8"/>
  <c r="B9" i="8"/>
  <c r="B8" i="8"/>
  <c r="B7" i="8"/>
  <c r="B6" i="8"/>
  <c r="B5" i="8"/>
  <c r="B4" i="8"/>
  <c r="B3" i="8"/>
  <c r="B2" i="8"/>
  <c r="B2" i="9"/>
  <c r="B3" i="9"/>
  <c r="B4" i="9"/>
  <c r="B5" i="9"/>
  <c r="B6" i="9"/>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B71" i="9"/>
  <c r="B72" i="9"/>
  <c r="B73" i="9"/>
  <c r="B74" i="9"/>
  <c r="B75" i="9"/>
  <c r="B76" i="9"/>
  <c r="B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B108" i="9"/>
  <c r="B109" i="9"/>
  <c r="B110" i="9"/>
  <c r="B111" i="9"/>
  <c r="B112" i="9"/>
  <c r="B113" i="9"/>
  <c r="B114" i="9"/>
  <c r="B115" i="9"/>
  <c r="B116" i="9"/>
  <c r="B117" i="9"/>
  <c r="B118" i="9"/>
  <c r="B119" i="9"/>
  <c r="B120" i="9"/>
  <c r="B121" i="9"/>
  <c r="B122" i="9"/>
  <c r="B123" i="9"/>
  <c r="B124" i="9"/>
  <c r="B125" i="9"/>
  <c r="B126" i="9"/>
  <c r="B127" i="9"/>
  <c r="B128" i="9"/>
  <c r="B129" i="9"/>
  <c r="B130" i="9"/>
  <c r="B131" i="9"/>
  <c r="B132" i="9"/>
  <c r="B133" i="9"/>
  <c r="B134" i="9"/>
  <c r="B135" i="9"/>
  <c r="B136" i="9"/>
  <c r="B137" i="9"/>
  <c r="B138" i="9"/>
  <c r="B139" i="9"/>
  <c r="B140" i="9"/>
  <c r="B141" i="9"/>
  <c r="B142" i="9"/>
  <c r="B143" i="9"/>
  <c r="B144" i="9"/>
  <c r="B145" i="9"/>
  <c r="B146" i="9"/>
  <c r="B147" i="9"/>
  <c r="B148" i="9"/>
  <c r="B149" i="9"/>
  <c r="B150" i="9"/>
  <c r="B151" i="9"/>
  <c r="B152" i="9"/>
  <c r="B153" i="9"/>
  <c r="B154" i="9"/>
  <c r="B155" i="9"/>
  <c r="B156" i="9"/>
  <c r="B157" i="9"/>
  <c r="B158" i="9"/>
  <c r="B159" i="9"/>
  <c r="B160" i="9"/>
  <c r="B161" i="9"/>
  <c r="B162" i="9"/>
  <c r="B163" i="9"/>
  <c r="B164" i="9"/>
  <c r="B165" i="9"/>
  <c r="B166" i="9"/>
  <c r="B167" i="9"/>
  <c r="B168" i="9"/>
  <c r="B169" i="9"/>
  <c r="B170" i="9"/>
  <c r="B171" i="9"/>
  <c r="B172" i="9"/>
  <c r="B173" i="9"/>
  <c r="B174" i="9"/>
  <c r="B175" i="9"/>
  <c r="B176" i="9"/>
  <c r="B177" i="9"/>
  <c r="B178" i="9"/>
  <c r="B179" i="9"/>
  <c r="B180" i="9"/>
  <c r="B181" i="9"/>
  <c r="B182" i="9"/>
  <c r="B183" i="9"/>
  <c r="B184" i="9"/>
  <c r="B185" i="9"/>
  <c r="B186" i="9"/>
  <c r="B187" i="9"/>
  <c r="B188" i="9"/>
  <c r="B189" i="9"/>
  <c r="B190" i="9"/>
  <c r="B191" i="9"/>
  <c r="B192" i="9"/>
  <c r="B193" i="9"/>
  <c r="B194" i="9"/>
  <c r="B195" i="9"/>
  <c r="B196" i="9"/>
  <c r="B197" i="9"/>
  <c r="B198" i="9"/>
  <c r="B199" i="9"/>
  <c r="B200" i="9"/>
  <c r="B201" i="9"/>
  <c r="B202" i="9"/>
  <c r="B203" i="9"/>
  <c r="B204" i="9"/>
  <c r="B205" i="9"/>
  <c r="B206" i="9"/>
  <c r="B207" i="9"/>
  <c r="B208" i="9"/>
  <c r="B209" i="9"/>
  <c r="B210" i="9"/>
  <c r="B211" i="9"/>
  <c r="B212" i="9"/>
  <c r="B213" i="9"/>
  <c r="B214" i="9"/>
  <c r="B215" i="9"/>
  <c r="B216" i="9"/>
  <c r="B217" i="9"/>
  <c r="B218" i="9"/>
  <c r="B219" i="9"/>
  <c r="B220" i="9"/>
  <c r="B221" i="9"/>
  <c r="B222" i="9"/>
  <c r="B223" i="9"/>
  <c r="B224" i="9"/>
  <c r="B225" i="9"/>
  <c r="B226" i="9"/>
  <c r="B227" i="9"/>
  <c r="B228" i="9"/>
  <c r="B229" i="9"/>
  <c r="B230" i="9"/>
  <c r="B231" i="9"/>
  <c r="B232" i="9"/>
  <c r="B233" i="9"/>
  <c r="B234" i="9"/>
  <c r="B235" i="9"/>
  <c r="B236" i="9"/>
  <c r="B237" i="9"/>
  <c r="B238" i="9"/>
  <c r="B239" i="9"/>
  <c r="B240" i="9"/>
  <c r="B241" i="9"/>
  <c r="B242" i="9"/>
  <c r="B243" i="9"/>
  <c r="B244" i="9"/>
  <c r="B245" i="9"/>
  <c r="B246" i="9"/>
  <c r="B247" i="9"/>
  <c r="B248" i="9"/>
  <c r="B249" i="9"/>
  <c r="B250" i="9"/>
  <c r="B251" i="9"/>
  <c r="B252" i="9"/>
  <c r="B253" i="9"/>
  <c r="B254" i="9"/>
  <c r="B255" i="9"/>
  <c r="B256" i="9"/>
  <c r="B257" i="9"/>
  <c r="B258" i="9"/>
  <c r="B259" i="9"/>
  <c r="B260" i="9"/>
  <c r="B261" i="9"/>
  <c r="B262" i="9"/>
  <c r="B263" i="9"/>
  <c r="B264" i="9"/>
  <c r="B265" i="9"/>
  <c r="B266" i="9"/>
  <c r="B267" i="9"/>
  <c r="B268" i="9"/>
  <c r="B269" i="9"/>
  <c r="B270" i="9"/>
  <c r="B271" i="9"/>
  <c r="B272" i="9"/>
  <c r="B273" i="9"/>
  <c r="B274" i="9"/>
  <c r="B275" i="9"/>
  <c r="B276" i="9"/>
  <c r="B277" i="9"/>
  <c r="B278" i="9"/>
  <c r="B279" i="9"/>
  <c r="B280" i="9"/>
  <c r="B281" i="9"/>
  <c r="B282" i="9"/>
  <c r="B283" i="9"/>
  <c r="B284" i="9"/>
  <c r="B285" i="9"/>
  <c r="B286" i="9"/>
  <c r="B287" i="9"/>
  <c r="B288" i="9"/>
  <c r="B289" i="9"/>
  <c r="B290" i="9"/>
  <c r="B291" i="9"/>
  <c r="B292" i="9"/>
  <c r="B293" i="9"/>
  <c r="B294" i="9"/>
  <c r="B295" i="9"/>
  <c r="D295" i="9" s="1"/>
  <c r="B296" i="9"/>
  <c r="B297" i="9"/>
  <c r="B298" i="9"/>
  <c r="D298" i="9" s="1"/>
  <c r="C94" i="6"/>
  <c r="D94" i="6"/>
  <c r="E94" i="6"/>
  <c r="F94" i="6"/>
  <c r="G94" i="6"/>
  <c r="H94" i="6"/>
  <c r="I94" i="6"/>
  <c r="J94" i="6"/>
  <c r="K94" i="6"/>
  <c r="L94" i="6"/>
  <c r="M94" i="6"/>
  <c r="N94" i="6"/>
  <c r="O94" i="6"/>
  <c r="P94" i="6"/>
  <c r="Q94" i="6"/>
  <c r="R94" i="6"/>
  <c r="S94" i="6"/>
  <c r="T94" i="6"/>
  <c r="U94" i="6"/>
  <c r="V94" i="6"/>
  <c r="W94" i="6"/>
  <c r="X94" i="6"/>
  <c r="Y94" i="6"/>
  <c r="Z94" i="6"/>
  <c r="AA94" i="6"/>
  <c r="AC94" i="6"/>
  <c r="C95" i="6"/>
  <c r="D95" i="6"/>
  <c r="E95" i="6"/>
  <c r="F95" i="6"/>
  <c r="G95" i="6"/>
  <c r="H95" i="6"/>
  <c r="I95" i="6"/>
  <c r="J95" i="6"/>
  <c r="K95" i="6"/>
  <c r="L95" i="6"/>
  <c r="M95" i="6"/>
  <c r="N95" i="6"/>
  <c r="O95" i="6"/>
  <c r="P95" i="6"/>
  <c r="Q95" i="6"/>
  <c r="R95" i="6"/>
  <c r="S95" i="6"/>
  <c r="T95" i="6"/>
  <c r="U95" i="6"/>
  <c r="V95" i="6"/>
  <c r="W95" i="6"/>
  <c r="X95" i="6"/>
  <c r="Y95" i="6"/>
  <c r="Z95" i="6"/>
  <c r="AA95" i="6"/>
  <c r="AC95" i="6"/>
  <c r="C96" i="6"/>
  <c r="D96" i="6"/>
  <c r="E96" i="6"/>
  <c r="F96" i="6"/>
  <c r="G96" i="6"/>
  <c r="H96" i="6"/>
  <c r="I96" i="6"/>
  <c r="J96" i="6"/>
  <c r="K96" i="6"/>
  <c r="L96" i="6"/>
  <c r="M96" i="6"/>
  <c r="N96" i="6"/>
  <c r="O96" i="6"/>
  <c r="P96" i="6"/>
  <c r="Q96" i="6"/>
  <c r="R96" i="6"/>
  <c r="S96" i="6"/>
  <c r="T96" i="6"/>
  <c r="U96" i="6"/>
  <c r="V96" i="6"/>
  <c r="W96" i="6"/>
  <c r="X96" i="6"/>
  <c r="Y96" i="6"/>
  <c r="Z96" i="6"/>
  <c r="AA96" i="6"/>
  <c r="AC96" i="6"/>
  <c r="C94" i="5"/>
  <c r="D94" i="5"/>
  <c r="E94" i="5"/>
  <c r="F94" i="5"/>
  <c r="G94" i="5"/>
  <c r="H94" i="5"/>
  <c r="I94" i="5"/>
  <c r="J94" i="5"/>
  <c r="K94" i="5"/>
  <c r="L94" i="5"/>
  <c r="M94" i="5"/>
  <c r="N94" i="5"/>
  <c r="O94" i="5"/>
  <c r="P94" i="5"/>
  <c r="Q94" i="5"/>
  <c r="R94" i="5"/>
  <c r="S94" i="5"/>
  <c r="T94" i="5"/>
  <c r="U94" i="5"/>
  <c r="V94" i="5"/>
  <c r="W94" i="5"/>
  <c r="X94" i="5"/>
  <c r="Y94" i="5"/>
  <c r="Z94" i="5"/>
  <c r="AA94" i="5"/>
  <c r="AC94" i="5"/>
  <c r="C95" i="5"/>
  <c r="D95" i="5"/>
  <c r="E95" i="5"/>
  <c r="F95" i="5"/>
  <c r="G95" i="5"/>
  <c r="H95" i="5"/>
  <c r="I95" i="5"/>
  <c r="J95" i="5"/>
  <c r="K95" i="5"/>
  <c r="L95" i="5"/>
  <c r="M95" i="5"/>
  <c r="N95" i="5"/>
  <c r="O95" i="5"/>
  <c r="P95" i="5"/>
  <c r="Q95" i="5"/>
  <c r="R95" i="5"/>
  <c r="S95" i="5"/>
  <c r="T95" i="5"/>
  <c r="U95" i="5"/>
  <c r="V95" i="5"/>
  <c r="W95" i="5"/>
  <c r="X95" i="5"/>
  <c r="Y95" i="5"/>
  <c r="Z95" i="5"/>
  <c r="AA95" i="5"/>
  <c r="AC95" i="5"/>
  <c r="C95" i="4"/>
  <c r="D95" i="4"/>
  <c r="E95" i="4"/>
  <c r="F95" i="4"/>
  <c r="G95" i="4"/>
  <c r="H95" i="4"/>
  <c r="I95" i="4"/>
  <c r="J95" i="4"/>
  <c r="K95" i="4"/>
  <c r="L95" i="4"/>
  <c r="M95" i="4"/>
  <c r="N95" i="4"/>
  <c r="O95" i="4"/>
  <c r="P95" i="4"/>
  <c r="Q95" i="4"/>
  <c r="R95" i="4"/>
  <c r="S95" i="4"/>
  <c r="T95" i="4"/>
  <c r="U95" i="4"/>
  <c r="V95" i="4"/>
  <c r="W95" i="4"/>
  <c r="X95" i="4"/>
  <c r="Y95" i="4"/>
  <c r="Z95" i="4"/>
  <c r="AA95" i="4"/>
  <c r="C96" i="4"/>
  <c r="D96" i="4"/>
  <c r="E96" i="4"/>
  <c r="F96" i="4"/>
  <c r="G96" i="4"/>
  <c r="H96" i="4"/>
  <c r="I96" i="4"/>
  <c r="J96" i="4"/>
  <c r="K96" i="4"/>
  <c r="L96" i="4"/>
  <c r="M96" i="4"/>
  <c r="N96" i="4"/>
  <c r="O96" i="4"/>
  <c r="P96" i="4"/>
  <c r="Q96" i="4"/>
  <c r="R96" i="4"/>
  <c r="S96" i="4"/>
  <c r="T96" i="4"/>
  <c r="U96" i="4"/>
  <c r="V96" i="4"/>
  <c r="W96" i="4"/>
  <c r="X96" i="4"/>
  <c r="Y96" i="4"/>
  <c r="Z96" i="4"/>
  <c r="AA96" i="4"/>
  <c r="C94" i="4"/>
  <c r="D94" i="4"/>
  <c r="E94" i="4"/>
  <c r="F94" i="4"/>
  <c r="G94" i="4"/>
  <c r="H94" i="4"/>
  <c r="I94" i="4"/>
  <c r="J94" i="4"/>
  <c r="K94" i="4"/>
  <c r="L94" i="4"/>
  <c r="M94" i="4"/>
  <c r="N94" i="4"/>
  <c r="O94" i="4"/>
  <c r="P94" i="4"/>
  <c r="Q94" i="4"/>
  <c r="R94" i="4"/>
  <c r="S94" i="4"/>
  <c r="T94" i="4"/>
  <c r="U94" i="4"/>
  <c r="V94" i="4"/>
  <c r="W94" i="4"/>
  <c r="X94" i="4"/>
  <c r="Y94" i="4"/>
  <c r="Z94" i="4"/>
  <c r="AA94" i="4"/>
  <c r="AC92" i="6"/>
  <c r="AC93" i="6"/>
  <c r="C93" i="6"/>
  <c r="D93" i="6"/>
  <c r="E93" i="6"/>
  <c r="F93" i="6"/>
  <c r="G93" i="6"/>
  <c r="H93" i="6"/>
  <c r="I93" i="6"/>
  <c r="J93" i="6"/>
  <c r="K93" i="6"/>
  <c r="L93" i="6"/>
  <c r="M93" i="6"/>
  <c r="N93" i="6"/>
  <c r="O93" i="6"/>
  <c r="P93" i="6"/>
  <c r="Q93" i="6"/>
  <c r="R93" i="6"/>
  <c r="S93" i="6"/>
  <c r="T93" i="6"/>
  <c r="U93" i="6"/>
  <c r="V93" i="6"/>
  <c r="W93" i="6"/>
  <c r="X93" i="6"/>
  <c r="Y93" i="6"/>
  <c r="Z93" i="6"/>
  <c r="AA93" i="6"/>
  <c r="AC92" i="5"/>
  <c r="AC93" i="5"/>
  <c r="C93" i="5"/>
  <c r="D93" i="5"/>
  <c r="E93" i="5"/>
  <c r="F93" i="5"/>
  <c r="G93" i="5"/>
  <c r="H93" i="5"/>
  <c r="I93" i="5"/>
  <c r="J93" i="5"/>
  <c r="K93" i="5"/>
  <c r="L93" i="5"/>
  <c r="M93" i="5"/>
  <c r="N93" i="5"/>
  <c r="O93" i="5"/>
  <c r="P93" i="5"/>
  <c r="Q93" i="5"/>
  <c r="R93" i="5"/>
  <c r="S93" i="5"/>
  <c r="T93" i="5"/>
  <c r="U93" i="5"/>
  <c r="V93" i="5"/>
  <c r="W93" i="5"/>
  <c r="X93" i="5"/>
  <c r="Y93" i="5"/>
  <c r="Z93" i="5"/>
  <c r="AA93" i="5"/>
  <c r="Z8" i="4"/>
  <c r="AA8" i="4"/>
  <c r="Z9" i="4"/>
  <c r="AA9" i="4"/>
  <c r="C93" i="4"/>
  <c r="D93" i="4"/>
  <c r="E93" i="4"/>
  <c r="F93" i="4"/>
  <c r="G93" i="4"/>
  <c r="H93" i="4"/>
  <c r="I93" i="4"/>
  <c r="J93" i="4"/>
  <c r="K93" i="4"/>
  <c r="L93" i="4"/>
  <c r="M93" i="4"/>
  <c r="N93" i="4"/>
  <c r="O93" i="4"/>
  <c r="P93" i="4"/>
  <c r="Q93" i="4"/>
  <c r="R93" i="4"/>
  <c r="S93" i="4"/>
  <c r="T93" i="4"/>
  <c r="U93" i="4"/>
  <c r="V93" i="4"/>
  <c r="W93" i="4"/>
  <c r="X93" i="4"/>
  <c r="Y93" i="4"/>
  <c r="Z93" i="4"/>
  <c r="AA93" i="4"/>
  <c r="AE95" i="5" l="1"/>
  <c r="AE94" i="5"/>
  <c r="C297" i="9"/>
  <c r="D297" i="9"/>
  <c r="AE93" i="5"/>
  <c r="AD94" i="5"/>
  <c r="AD93" i="5"/>
  <c r="C298" i="8"/>
  <c r="C296" i="9"/>
  <c r="AD96" i="6"/>
  <c r="AD93" i="6"/>
  <c r="AD94" i="6"/>
  <c r="C298" i="9"/>
  <c r="D296" i="9"/>
  <c r="AD95" i="6"/>
  <c r="AD95" i="5"/>
  <c r="R72" i="5"/>
  <c r="R73" i="5"/>
  <c r="R74" i="5"/>
  <c r="R75" i="5"/>
  <c r="R76" i="5"/>
  <c r="R77" i="5"/>
  <c r="R78" i="5"/>
  <c r="R79" i="5"/>
  <c r="R80" i="5"/>
  <c r="R81" i="5"/>
  <c r="R82" i="5"/>
  <c r="R83" i="5"/>
  <c r="R84" i="5"/>
  <c r="R85" i="5"/>
  <c r="R86" i="5"/>
  <c r="R87" i="5"/>
  <c r="R88" i="5"/>
  <c r="R89" i="5"/>
  <c r="R90" i="5"/>
  <c r="R91" i="5"/>
  <c r="R92" i="5"/>
  <c r="R71" i="5"/>
  <c r="O72" i="5"/>
  <c r="O73" i="5"/>
  <c r="O74" i="5"/>
  <c r="O75" i="5"/>
  <c r="O76" i="5"/>
  <c r="O77" i="5"/>
  <c r="O78" i="5"/>
  <c r="O79" i="5"/>
  <c r="O80" i="5"/>
  <c r="O81" i="5"/>
  <c r="O82" i="5"/>
  <c r="O83" i="5"/>
  <c r="O84" i="5"/>
  <c r="O85" i="5"/>
  <c r="O86" i="5"/>
  <c r="O87" i="5"/>
  <c r="O88" i="5"/>
  <c r="O89" i="5"/>
  <c r="O90" i="5"/>
  <c r="O91" i="5"/>
  <c r="O92" i="5"/>
  <c r="O71" i="5"/>
  <c r="R72" i="4"/>
  <c r="R73" i="4"/>
  <c r="R74" i="4"/>
  <c r="R75" i="4"/>
  <c r="R76" i="4"/>
  <c r="R77" i="4"/>
  <c r="R78" i="4"/>
  <c r="R79" i="4"/>
  <c r="R80" i="4"/>
  <c r="R81" i="4"/>
  <c r="R82" i="4"/>
  <c r="R83" i="4"/>
  <c r="R84" i="4"/>
  <c r="R85" i="4"/>
  <c r="R86" i="4"/>
  <c r="R87" i="4"/>
  <c r="R88" i="4"/>
  <c r="R89" i="4"/>
  <c r="R8" i="4" s="1"/>
  <c r="R90" i="4"/>
  <c r="R91" i="4"/>
  <c r="R92" i="4"/>
  <c r="R9" i="4" s="1"/>
  <c r="R71" i="4"/>
  <c r="O72" i="4"/>
  <c r="O73" i="4"/>
  <c r="O74" i="4"/>
  <c r="O75" i="4"/>
  <c r="O76" i="4"/>
  <c r="O77" i="4"/>
  <c r="O78" i="4"/>
  <c r="O79" i="4"/>
  <c r="O80" i="4"/>
  <c r="O81" i="4"/>
  <c r="O82" i="4"/>
  <c r="O83" i="4"/>
  <c r="O84" i="4"/>
  <c r="O85" i="4"/>
  <c r="O86" i="4"/>
  <c r="O87" i="4"/>
  <c r="O88" i="4"/>
  <c r="O89" i="4"/>
  <c r="O8" i="4" s="1"/>
  <c r="O90" i="4"/>
  <c r="O91" i="4"/>
  <c r="O92" i="4"/>
  <c r="O9" i="4" s="1"/>
  <c r="O71" i="4"/>
  <c r="C297" i="8" l="1"/>
  <c r="C296" i="8"/>
  <c r="R4" i="4"/>
  <c r="R5" i="4"/>
  <c r="R6" i="4"/>
  <c r="R7" i="4" s="1"/>
  <c r="O4" i="4"/>
  <c r="O5" i="4"/>
  <c r="O6" i="4"/>
  <c r="O7" i="4" s="1"/>
  <c r="R4" i="5"/>
  <c r="R5" i="5"/>
  <c r="R6" i="5"/>
  <c r="O4" i="5"/>
  <c r="O5" i="5"/>
  <c r="O6" i="5"/>
  <c r="C295" i="8"/>
  <c r="C92" i="6"/>
  <c r="D92" i="6"/>
  <c r="E92" i="6"/>
  <c r="F92" i="6"/>
  <c r="G92" i="6"/>
  <c r="H92" i="6"/>
  <c r="I92" i="6"/>
  <c r="J92" i="6"/>
  <c r="K92" i="6"/>
  <c r="L92" i="6"/>
  <c r="M92" i="6"/>
  <c r="N92" i="6"/>
  <c r="O92" i="6"/>
  <c r="P92" i="6"/>
  <c r="Q92" i="6"/>
  <c r="R92" i="6"/>
  <c r="S92" i="6"/>
  <c r="T92" i="6"/>
  <c r="U92" i="6"/>
  <c r="V92" i="6"/>
  <c r="W92" i="6"/>
  <c r="X92" i="6"/>
  <c r="Y92" i="6"/>
  <c r="Z92" i="6"/>
  <c r="AA92" i="6"/>
  <c r="C92" i="5"/>
  <c r="D92" i="5"/>
  <c r="E92" i="5"/>
  <c r="F92" i="5"/>
  <c r="G92" i="5"/>
  <c r="H92" i="5"/>
  <c r="I92" i="5"/>
  <c r="J92" i="5"/>
  <c r="K92" i="5"/>
  <c r="L92" i="5"/>
  <c r="M92" i="5"/>
  <c r="N92" i="5"/>
  <c r="P92" i="5"/>
  <c r="Q92" i="5"/>
  <c r="S92" i="5"/>
  <c r="T92" i="5"/>
  <c r="U92" i="5"/>
  <c r="V92" i="5"/>
  <c r="W92" i="5"/>
  <c r="X92" i="5"/>
  <c r="Y92" i="5"/>
  <c r="Z92" i="5"/>
  <c r="AA92" i="5"/>
  <c r="C92" i="4"/>
  <c r="D92" i="4"/>
  <c r="D9" i="4" s="1"/>
  <c r="E92" i="4"/>
  <c r="E9" i="4" s="1"/>
  <c r="F92" i="4"/>
  <c r="F9" i="4" s="1"/>
  <c r="G92" i="4"/>
  <c r="G9" i="4" s="1"/>
  <c r="H92" i="4"/>
  <c r="H9" i="4" s="1"/>
  <c r="I92" i="4"/>
  <c r="I9" i="4" s="1"/>
  <c r="J92" i="4"/>
  <c r="J9" i="4" s="1"/>
  <c r="K92" i="4"/>
  <c r="K9" i="4" s="1"/>
  <c r="L92" i="4"/>
  <c r="L9" i="4" s="1"/>
  <c r="M92" i="4"/>
  <c r="M9" i="4" s="1"/>
  <c r="N92" i="4"/>
  <c r="N9" i="4" s="1"/>
  <c r="P92" i="4"/>
  <c r="P9" i="4" s="1"/>
  <c r="Q92" i="4"/>
  <c r="Q9" i="4" s="1"/>
  <c r="S92" i="4"/>
  <c r="S9" i="4" s="1"/>
  <c r="T92" i="4"/>
  <c r="T9" i="4" s="1"/>
  <c r="U92" i="4"/>
  <c r="U9" i="4" s="1"/>
  <c r="V92" i="4"/>
  <c r="V9" i="4" s="1"/>
  <c r="W92" i="4"/>
  <c r="W9" i="4" s="1"/>
  <c r="X92" i="4"/>
  <c r="X9" i="4" s="1"/>
  <c r="Y92" i="4"/>
  <c r="Y9" i="4" s="1"/>
  <c r="Z92" i="4"/>
  <c r="AA92" i="4"/>
  <c r="AC92" i="4"/>
  <c r="AD92" i="4"/>
  <c r="AE92" i="4"/>
  <c r="AD92" i="6" l="1"/>
  <c r="AE92" i="5"/>
  <c r="AD92" i="5"/>
  <c r="D294" i="9"/>
  <c r="C295" i="9"/>
  <c r="AF92" i="4"/>
  <c r="C293" i="9" l="1"/>
  <c r="C294" i="8"/>
  <c r="C91" i="4"/>
  <c r="D91" i="4"/>
  <c r="E91" i="4"/>
  <c r="F91" i="4"/>
  <c r="G91" i="4"/>
  <c r="H91" i="4"/>
  <c r="I91" i="4"/>
  <c r="J91" i="4"/>
  <c r="K91" i="4"/>
  <c r="L91" i="4"/>
  <c r="M91" i="4"/>
  <c r="N91" i="4"/>
  <c r="P91" i="4"/>
  <c r="Q91" i="4"/>
  <c r="S91" i="4"/>
  <c r="T91" i="4"/>
  <c r="U91" i="4"/>
  <c r="V91" i="4"/>
  <c r="W91" i="4"/>
  <c r="X91" i="4"/>
  <c r="Y91" i="4"/>
  <c r="Z91" i="4"/>
  <c r="AA91" i="4"/>
  <c r="AC91" i="4"/>
  <c r="C91" i="6"/>
  <c r="D91" i="6"/>
  <c r="E91" i="6"/>
  <c r="F91" i="6"/>
  <c r="G91" i="6"/>
  <c r="H91" i="6"/>
  <c r="I91" i="6"/>
  <c r="J91" i="6"/>
  <c r="K91" i="6"/>
  <c r="L91" i="6"/>
  <c r="M91" i="6"/>
  <c r="N91" i="6"/>
  <c r="O91" i="6"/>
  <c r="P91" i="6"/>
  <c r="Q91" i="6"/>
  <c r="R91" i="6"/>
  <c r="S91" i="6"/>
  <c r="T91" i="6"/>
  <c r="U91" i="6"/>
  <c r="V91" i="6"/>
  <c r="W91" i="6"/>
  <c r="X91" i="6"/>
  <c r="Y91" i="6"/>
  <c r="Z91" i="6"/>
  <c r="AA91" i="6"/>
  <c r="AC91" i="6"/>
  <c r="C90" i="5"/>
  <c r="D90" i="5"/>
  <c r="E90" i="5"/>
  <c r="F90" i="5"/>
  <c r="G90" i="5"/>
  <c r="H90" i="5"/>
  <c r="I90" i="5"/>
  <c r="J90" i="5"/>
  <c r="K90" i="5"/>
  <c r="L90" i="5"/>
  <c r="M90" i="5"/>
  <c r="N90" i="5"/>
  <c r="P90" i="5"/>
  <c r="Q90" i="5"/>
  <c r="S90" i="5"/>
  <c r="T90" i="5"/>
  <c r="U90" i="5"/>
  <c r="V90" i="5"/>
  <c r="W90" i="5"/>
  <c r="X90" i="5"/>
  <c r="Y90" i="5"/>
  <c r="Z90" i="5"/>
  <c r="AA90" i="5"/>
  <c r="AC90" i="5"/>
  <c r="C91" i="5"/>
  <c r="D91" i="5"/>
  <c r="E91" i="5"/>
  <c r="F91" i="5"/>
  <c r="G91" i="5"/>
  <c r="H91" i="5"/>
  <c r="I91" i="5"/>
  <c r="J91" i="5"/>
  <c r="K91" i="5"/>
  <c r="L91" i="5"/>
  <c r="M91" i="5"/>
  <c r="N91" i="5"/>
  <c r="P91" i="5"/>
  <c r="Q91" i="5"/>
  <c r="S91" i="5"/>
  <c r="T91" i="5"/>
  <c r="U91" i="5"/>
  <c r="V91" i="5"/>
  <c r="W91" i="5"/>
  <c r="X91" i="5"/>
  <c r="Y91" i="5"/>
  <c r="Z91" i="5"/>
  <c r="AA91" i="5"/>
  <c r="AC91" i="5"/>
  <c r="C90" i="4"/>
  <c r="D90" i="4"/>
  <c r="E90" i="4"/>
  <c r="F90" i="4"/>
  <c r="G90" i="4"/>
  <c r="H90" i="4"/>
  <c r="I90" i="4"/>
  <c r="J90" i="4"/>
  <c r="K90" i="4"/>
  <c r="L90" i="4"/>
  <c r="M90" i="4"/>
  <c r="N90" i="4"/>
  <c r="P90" i="4"/>
  <c r="Q90" i="4"/>
  <c r="S90" i="4"/>
  <c r="T90" i="4"/>
  <c r="U90" i="4"/>
  <c r="V90" i="4"/>
  <c r="W90" i="4"/>
  <c r="X90" i="4"/>
  <c r="Y90" i="4"/>
  <c r="Z90" i="4"/>
  <c r="AA90" i="4"/>
  <c r="AC90" i="4"/>
  <c r="C292" i="8" l="1"/>
  <c r="C293" i="8"/>
  <c r="W4" i="4"/>
  <c r="W5" i="4"/>
  <c r="W6" i="4"/>
  <c r="W7" i="4" s="1"/>
  <c r="V4" i="4"/>
  <c r="V5" i="4"/>
  <c r="V6" i="4"/>
  <c r="V7" i="4" s="1"/>
  <c r="H5" i="4"/>
  <c r="H4" i="4"/>
  <c r="H6" i="4"/>
  <c r="H7" i="4" s="1"/>
  <c r="G4" i="4"/>
  <c r="G5" i="4"/>
  <c r="G6" i="4"/>
  <c r="G7" i="4" s="1"/>
  <c r="S4" i="4"/>
  <c r="S5" i="4"/>
  <c r="S6" i="4"/>
  <c r="S7" i="4" s="1"/>
  <c r="E4" i="4"/>
  <c r="E5" i="4"/>
  <c r="E6" i="4"/>
  <c r="E7" i="4" s="1"/>
  <c r="D4" i="4"/>
  <c r="D5" i="4"/>
  <c r="D6" i="4"/>
  <c r="D7" i="4" s="1"/>
  <c r="T4" i="4"/>
  <c r="T5" i="4"/>
  <c r="T6" i="4"/>
  <c r="T7" i="4" s="1"/>
  <c r="Q4" i="4"/>
  <c r="Q5" i="4"/>
  <c r="Q6" i="4"/>
  <c r="Q7" i="4" s="1"/>
  <c r="C9" i="4"/>
  <c r="C6" i="4"/>
  <c r="C5" i="4"/>
  <c r="C4" i="4"/>
  <c r="F4" i="4"/>
  <c r="F5" i="4"/>
  <c r="F6" i="4"/>
  <c r="F7" i="4" s="1"/>
  <c r="P4" i="4"/>
  <c r="P5" i="4"/>
  <c r="P6" i="4"/>
  <c r="P7" i="4" s="1"/>
  <c r="AD90" i="4"/>
  <c r="N4" i="4"/>
  <c r="N5" i="4"/>
  <c r="N6" i="4"/>
  <c r="N7" i="4" s="1"/>
  <c r="AA4" i="4"/>
  <c r="AA5" i="4"/>
  <c r="AA6" i="4"/>
  <c r="AA7" i="4" s="1"/>
  <c r="M4" i="4"/>
  <c r="M5" i="4"/>
  <c r="M6" i="4"/>
  <c r="M7" i="4" s="1"/>
  <c r="L4" i="4"/>
  <c r="L5" i="4"/>
  <c r="L6" i="4"/>
  <c r="L7" i="4" s="1"/>
  <c r="U4" i="4"/>
  <c r="U6" i="4"/>
  <c r="U7" i="4" s="1"/>
  <c r="U5" i="4"/>
  <c r="Y4" i="4"/>
  <c r="Y5" i="4"/>
  <c r="Y6" i="4"/>
  <c r="Y7" i="4" s="1"/>
  <c r="K4" i="4"/>
  <c r="K5" i="4"/>
  <c r="K6" i="4"/>
  <c r="K7" i="4" s="1"/>
  <c r="Z4" i="4"/>
  <c r="Z5" i="4"/>
  <c r="Z6" i="4"/>
  <c r="Z7" i="4" s="1"/>
  <c r="AD91" i="4"/>
  <c r="X4" i="4"/>
  <c r="X5" i="4"/>
  <c r="X6" i="4"/>
  <c r="X7" i="4" s="1"/>
  <c r="J4" i="4"/>
  <c r="J5" i="4"/>
  <c r="J6" i="4"/>
  <c r="J7" i="4" s="1"/>
  <c r="I6" i="4"/>
  <c r="I7" i="4" s="1"/>
  <c r="I4" i="4"/>
  <c r="I5" i="4"/>
  <c r="H4" i="5"/>
  <c r="H5" i="5"/>
  <c r="H6" i="5"/>
  <c r="AE90" i="5"/>
  <c r="G4" i="5"/>
  <c r="G5" i="5"/>
  <c r="G6" i="5"/>
  <c r="F4" i="5"/>
  <c r="F5" i="5"/>
  <c r="F6" i="5"/>
  <c r="E4" i="5"/>
  <c r="E5" i="5"/>
  <c r="E6" i="5"/>
  <c r="Q4" i="5"/>
  <c r="Q5" i="5"/>
  <c r="Q6" i="5"/>
  <c r="D5" i="5"/>
  <c r="D4" i="5"/>
  <c r="D6" i="5"/>
  <c r="P4" i="5"/>
  <c r="P6" i="5"/>
  <c r="P5" i="5"/>
  <c r="C5" i="5"/>
  <c r="C6" i="5"/>
  <c r="C4" i="5"/>
  <c r="S4" i="5"/>
  <c r="S5" i="5"/>
  <c r="S6" i="5"/>
  <c r="AD91" i="5"/>
  <c r="N6" i="5"/>
  <c r="N4" i="5"/>
  <c r="N5" i="5"/>
  <c r="V5" i="5"/>
  <c r="V4" i="5"/>
  <c r="V6" i="5"/>
  <c r="AA5" i="5"/>
  <c r="AA4" i="5"/>
  <c r="AA6" i="5"/>
  <c r="M4" i="5"/>
  <c r="M5" i="5"/>
  <c r="M6" i="5"/>
  <c r="T4" i="5"/>
  <c r="T5" i="5"/>
  <c r="T6" i="5"/>
  <c r="Z5" i="5"/>
  <c r="Z4" i="5"/>
  <c r="Z6" i="5"/>
  <c r="L4" i="5"/>
  <c r="L5" i="5"/>
  <c r="L6" i="5"/>
  <c r="U5" i="5"/>
  <c r="U4" i="5"/>
  <c r="U6" i="5"/>
  <c r="Y4" i="5"/>
  <c r="Y5" i="5"/>
  <c r="Y6" i="5"/>
  <c r="K4" i="5"/>
  <c r="K5" i="5"/>
  <c r="K6" i="5"/>
  <c r="X4" i="5"/>
  <c r="X5" i="5"/>
  <c r="X6" i="5"/>
  <c r="J5" i="5"/>
  <c r="J6" i="5"/>
  <c r="J4" i="5"/>
  <c r="W4" i="5"/>
  <c r="W5" i="5"/>
  <c r="W6" i="5"/>
  <c r="I4" i="5"/>
  <c r="I6" i="5"/>
  <c r="I5" i="5"/>
  <c r="AD90" i="5"/>
  <c r="D293" i="9"/>
  <c r="C294" i="9"/>
  <c r="AE91" i="5"/>
  <c r="D292" i="9"/>
  <c r="AE91" i="4"/>
  <c r="AE90" i="4"/>
  <c r="AF91" i="4" l="1"/>
  <c r="AF90" i="4"/>
  <c r="C90" i="6"/>
  <c r="D90" i="6"/>
  <c r="E90" i="6"/>
  <c r="F90" i="6"/>
  <c r="G90" i="6"/>
  <c r="H90" i="6"/>
  <c r="I90" i="6"/>
  <c r="J90" i="6"/>
  <c r="K90" i="6"/>
  <c r="L90" i="6"/>
  <c r="M90" i="6"/>
  <c r="N90" i="6"/>
  <c r="O90" i="6"/>
  <c r="P90" i="6"/>
  <c r="Q90" i="6"/>
  <c r="R90" i="6"/>
  <c r="S90" i="6"/>
  <c r="T90" i="6"/>
  <c r="U90" i="6"/>
  <c r="V90" i="6"/>
  <c r="W90" i="6"/>
  <c r="X90" i="6"/>
  <c r="Y90" i="6"/>
  <c r="Z90" i="6"/>
  <c r="AA90" i="6"/>
  <c r="C89" i="5"/>
  <c r="D89" i="5"/>
  <c r="E89" i="5"/>
  <c r="F89" i="5"/>
  <c r="G89" i="5"/>
  <c r="H89" i="5"/>
  <c r="I89" i="5"/>
  <c r="J89" i="5"/>
  <c r="K89" i="5"/>
  <c r="L89" i="5"/>
  <c r="M89" i="5"/>
  <c r="N89" i="5"/>
  <c r="P89" i="5"/>
  <c r="Q89" i="5"/>
  <c r="S89" i="5"/>
  <c r="T89" i="5"/>
  <c r="U89" i="5"/>
  <c r="V89" i="5"/>
  <c r="W89" i="5"/>
  <c r="X89" i="5"/>
  <c r="Y89" i="5"/>
  <c r="Z89" i="5"/>
  <c r="AA89" i="5"/>
  <c r="C89" i="4"/>
  <c r="D89" i="4"/>
  <c r="D8" i="4" s="1"/>
  <c r="E89" i="4"/>
  <c r="E8" i="4" s="1"/>
  <c r="F89" i="4"/>
  <c r="F8" i="4" s="1"/>
  <c r="G89" i="4"/>
  <c r="G8" i="4" s="1"/>
  <c r="H89" i="4"/>
  <c r="H8" i="4" s="1"/>
  <c r="I89" i="4"/>
  <c r="I8" i="4" s="1"/>
  <c r="J89" i="4"/>
  <c r="J8" i="4" s="1"/>
  <c r="K89" i="4"/>
  <c r="K8" i="4" s="1"/>
  <c r="L89" i="4"/>
  <c r="L8" i="4" s="1"/>
  <c r="M89" i="4"/>
  <c r="M8" i="4" s="1"/>
  <c r="N89" i="4"/>
  <c r="N8" i="4" s="1"/>
  <c r="P89" i="4"/>
  <c r="P8" i="4" s="1"/>
  <c r="Q89" i="4"/>
  <c r="Q8" i="4" s="1"/>
  <c r="S89" i="4"/>
  <c r="S8" i="4" s="1"/>
  <c r="T89" i="4"/>
  <c r="T8" i="4" s="1"/>
  <c r="U89" i="4"/>
  <c r="U8" i="4" s="1"/>
  <c r="V89" i="4"/>
  <c r="V8" i="4" s="1"/>
  <c r="W89" i="4"/>
  <c r="W8" i="4" s="1"/>
  <c r="X89" i="4"/>
  <c r="X8" i="4" s="1"/>
  <c r="Y89" i="4"/>
  <c r="Y8" i="4" s="1"/>
  <c r="Z89" i="4"/>
  <c r="AA89" i="4"/>
  <c r="Y4" i="6" l="1"/>
  <c r="Y5" i="6"/>
  <c r="Y6" i="6"/>
  <c r="K4" i="6"/>
  <c r="K5" i="6"/>
  <c r="K6" i="6"/>
  <c r="V4" i="6"/>
  <c r="V5" i="6"/>
  <c r="V6" i="6"/>
  <c r="J4" i="6"/>
  <c r="J5" i="6"/>
  <c r="J6" i="6"/>
  <c r="L4" i="6"/>
  <c r="L5" i="6"/>
  <c r="L6" i="6"/>
  <c r="U4" i="6"/>
  <c r="U5" i="6"/>
  <c r="U6" i="6"/>
  <c r="I4" i="6"/>
  <c r="I5" i="6"/>
  <c r="I6" i="6"/>
  <c r="T5" i="6"/>
  <c r="T4" i="6"/>
  <c r="T6" i="6"/>
  <c r="H4" i="6"/>
  <c r="H6" i="6"/>
  <c r="H5" i="6"/>
  <c r="N4" i="6"/>
  <c r="N6" i="6"/>
  <c r="N5" i="6"/>
  <c r="X4" i="6"/>
  <c r="X5" i="6"/>
  <c r="X6" i="6"/>
  <c r="G4" i="6"/>
  <c r="G6" i="6"/>
  <c r="G5" i="6"/>
  <c r="R6" i="6"/>
  <c r="R4" i="6"/>
  <c r="R5" i="6"/>
  <c r="F6" i="6"/>
  <c r="F4" i="6"/>
  <c r="F5" i="6"/>
  <c r="S5" i="6"/>
  <c r="S4" i="6"/>
  <c r="S6" i="6"/>
  <c r="Q4" i="6"/>
  <c r="Q5" i="6"/>
  <c r="Q6" i="6"/>
  <c r="AD91" i="6"/>
  <c r="E4" i="6"/>
  <c r="E5" i="6"/>
  <c r="E6" i="6"/>
  <c r="M5" i="6"/>
  <c r="M6" i="6"/>
  <c r="M4" i="6"/>
  <c r="W5" i="6"/>
  <c r="W6" i="6"/>
  <c r="W4" i="6"/>
  <c r="P4" i="6"/>
  <c r="P5" i="6"/>
  <c r="P6" i="6"/>
  <c r="D4" i="6"/>
  <c r="D5" i="6"/>
  <c r="D6" i="6"/>
  <c r="Z4" i="6"/>
  <c r="Z5" i="6"/>
  <c r="Z6" i="6"/>
  <c r="AA4" i="6"/>
  <c r="AA5" i="6"/>
  <c r="AA6" i="6"/>
  <c r="O4" i="6"/>
  <c r="O5" i="6"/>
  <c r="O6" i="6"/>
  <c r="C6" i="6"/>
  <c r="C5" i="6"/>
  <c r="C4" i="6"/>
  <c r="AC90" i="6"/>
  <c r="AC89" i="5"/>
  <c r="AC89" i="4"/>
  <c r="AD89" i="4" s="1"/>
  <c r="D291" i="9" l="1"/>
  <c r="C292" i="9"/>
  <c r="AE89" i="5"/>
  <c r="AD89" i="5"/>
  <c r="AE89" i="4"/>
  <c r="AF89" i="4" s="1"/>
  <c r="J2" i="9" l="1"/>
  <c r="J1" i="8" l="1"/>
  <c r="D289" i="9"/>
  <c r="D288" i="9"/>
  <c r="D287" i="9"/>
  <c r="D286" i="9"/>
  <c r="D285" i="9"/>
  <c r="D284" i="9"/>
  <c r="D283" i="9"/>
  <c r="D282" i="9"/>
  <c r="D281" i="9"/>
  <c r="D280" i="9"/>
  <c r="D279" i="9"/>
  <c r="D278" i="9"/>
  <c r="D277" i="9"/>
  <c r="D276" i="9"/>
  <c r="D275" i="9"/>
  <c r="D274" i="9"/>
  <c r="D273" i="9"/>
  <c r="D272" i="9"/>
  <c r="D271" i="9"/>
  <c r="D270" i="9"/>
  <c r="D269" i="9"/>
  <c r="D268" i="9"/>
  <c r="D267" i="9"/>
  <c r="D266" i="9"/>
  <c r="D265" i="9"/>
  <c r="D264" i="9"/>
  <c r="D263" i="9"/>
  <c r="D262" i="9"/>
  <c r="D261" i="9"/>
  <c r="D260" i="9"/>
  <c r="D259" i="9"/>
  <c r="D258" i="9"/>
  <c r="D256" i="9"/>
  <c r="D255" i="9"/>
  <c r="D253" i="9"/>
  <c r="D252" i="9"/>
  <c r="D251" i="9"/>
  <c r="D250" i="9"/>
  <c r="D249" i="9"/>
  <c r="D248" i="9"/>
  <c r="D247" i="9"/>
  <c r="D246" i="9"/>
  <c r="D245" i="9"/>
  <c r="D244" i="9"/>
  <c r="D243" i="9"/>
  <c r="D241" i="9"/>
  <c r="D240" i="9"/>
  <c r="D239" i="9"/>
  <c r="D238" i="9"/>
  <c r="D237" i="9"/>
  <c r="D236" i="9"/>
  <c r="D235" i="9"/>
  <c r="D234" i="9"/>
  <c r="D233" i="9"/>
  <c r="D232" i="9"/>
  <c r="D231" i="9"/>
  <c r="D229" i="9"/>
  <c r="D228" i="9"/>
  <c r="D227" i="9"/>
  <c r="D226" i="9"/>
  <c r="D225" i="9"/>
  <c r="D224" i="9"/>
  <c r="D223" i="9"/>
  <c r="D222" i="9"/>
  <c r="D221" i="9"/>
  <c r="D220" i="9"/>
  <c r="D219" i="9"/>
  <c r="D217" i="9"/>
  <c r="D216" i="9"/>
  <c r="D215" i="9"/>
  <c r="D214" i="9"/>
  <c r="D213" i="9"/>
  <c r="D212" i="9"/>
  <c r="D211" i="9"/>
  <c r="D210" i="9"/>
  <c r="D209" i="9"/>
  <c r="D208" i="9"/>
  <c r="D207" i="9"/>
  <c r="D205" i="9"/>
  <c r="D204" i="9"/>
  <c r="D203" i="9"/>
  <c r="D202" i="9"/>
  <c r="D201" i="9"/>
  <c r="D200" i="9"/>
  <c r="D199" i="9"/>
  <c r="D198" i="9"/>
  <c r="D197" i="9"/>
  <c r="D196" i="9"/>
  <c r="D195" i="9"/>
  <c r="D193" i="9"/>
  <c r="D192" i="9"/>
  <c r="D191" i="9"/>
  <c r="D190" i="9"/>
  <c r="D189" i="9"/>
  <c r="D188" i="9"/>
  <c r="D187" i="9"/>
  <c r="D186" i="9"/>
  <c r="D185" i="9"/>
  <c r="D184" i="9"/>
  <c r="D183" i="9"/>
  <c r="D181" i="9"/>
  <c r="D180" i="9"/>
  <c r="D179" i="9"/>
  <c r="D178" i="9"/>
  <c r="D177" i="9"/>
  <c r="D176" i="9"/>
  <c r="D175" i="9"/>
  <c r="D174" i="9"/>
  <c r="D173" i="9"/>
  <c r="D171" i="9"/>
  <c r="D168" i="9"/>
  <c r="D167" i="9"/>
  <c r="D166" i="9"/>
  <c r="D165" i="9"/>
  <c r="D164" i="9"/>
  <c r="D163" i="9"/>
  <c r="D162" i="9"/>
  <c r="D160" i="9"/>
  <c r="D159" i="9"/>
  <c r="D157" i="9"/>
  <c r="D156" i="9"/>
  <c r="D155" i="9"/>
  <c r="D154" i="9"/>
  <c r="D153" i="9"/>
  <c r="D152" i="9"/>
  <c r="D151" i="9"/>
  <c r="D147" i="9"/>
  <c r="D145" i="9"/>
  <c r="D144" i="9"/>
  <c r="D143" i="9"/>
  <c r="D142" i="9"/>
  <c r="D141" i="9"/>
  <c r="D140" i="9"/>
  <c r="D139" i="9"/>
  <c r="D136" i="9"/>
  <c r="D135" i="9"/>
  <c r="D133" i="9"/>
  <c r="D132" i="9"/>
  <c r="D131" i="9"/>
  <c r="D130" i="9"/>
  <c r="D129" i="9"/>
  <c r="D128" i="9"/>
  <c r="D127" i="9"/>
  <c r="D123" i="9"/>
  <c r="D121" i="9"/>
  <c r="D120" i="9"/>
  <c r="D119" i="9"/>
  <c r="D118" i="9"/>
  <c r="D117" i="9"/>
  <c r="D116" i="9"/>
  <c r="D115" i="9"/>
  <c r="D113" i="9"/>
  <c r="D112" i="9"/>
  <c r="D111" i="9"/>
  <c r="D109" i="9"/>
  <c r="D108" i="9"/>
  <c r="D107" i="9"/>
  <c r="D106" i="9"/>
  <c r="D105" i="9"/>
  <c r="D103" i="9"/>
  <c r="D102" i="9"/>
  <c r="D101" i="9"/>
  <c r="D100" i="9"/>
  <c r="D99" i="9"/>
  <c r="D97" i="9"/>
  <c r="D96" i="9"/>
  <c r="D95" i="9"/>
  <c r="D94" i="9"/>
  <c r="D93" i="9"/>
  <c r="D92" i="9"/>
  <c r="D91" i="9"/>
  <c r="D88" i="9"/>
  <c r="D87" i="9"/>
  <c r="D85" i="9"/>
  <c r="D84" i="9"/>
  <c r="D83" i="9"/>
  <c r="D82" i="9"/>
  <c r="D81" i="9"/>
  <c r="D80" i="9"/>
  <c r="D79" i="9"/>
  <c r="D76" i="9"/>
  <c r="D75" i="9"/>
  <c r="D73" i="9"/>
  <c r="D72" i="9"/>
  <c r="D71" i="9"/>
  <c r="D70" i="9"/>
  <c r="D69" i="9"/>
  <c r="D68" i="9"/>
  <c r="D67" i="9"/>
  <c r="D65" i="9"/>
  <c r="D64" i="9"/>
  <c r="D63" i="9"/>
  <c r="D61" i="9"/>
  <c r="D60" i="9"/>
  <c r="D59" i="9"/>
  <c r="D58" i="9"/>
  <c r="D57" i="9"/>
  <c r="D56" i="9"/>
  <c r="D55" i="9"/>
  <c r="D54" i="9"/>
  <c r="D53" i="9"/>
  <c r="D52" i="9"/>
  <c r="D51" i="9"/>
  <c r="D49" i="9"/>
  <c r="D48" i="9"/>
  <c r="D47" i="9"/>
  <c r="D46" i="9"/>
  <c r="D45" i="9"/>
  <c r="D43" i="9"/>
  <c r="D42" i="9"/>
  <c r="D41" i="9"/>
  <c r="D40" i="9"/>
  <c r="D39" i="9"/>
  <c r="D37" i="9"/>
  <c r="D36" i="9"/>
  <c r="D35" i="9"/>
  <c r="D34" i="9"/>
  <c r="D33" i="9"/>
  <c r="D32" i="9"/>
  <c r="D31" i="9"/>
  <c r="D30" i="9"/>
  <c r="D29" i="9"/>
  <c r="D28" i="9"/>
  <c r="D27" i="9"/>
  <c r="D25" i="9"/>
  <c r="D24" i="9"/>
  <c r="D23" i="9"/>
  <c r="D22" i="9"/>
  <c r="D21" i="9"/>
  <c r="D20" i="9"/>
  <c r="D19" i="9"/>
  <c r="D18" i="9"/>
  <c r="D17" i="9"/>
  <c r="D16" i="9"/>
  <c r="D15" i="9"/>
  <c r="D13" i="9"/>
  <c r="D12" i="9"/>
  <c r="D11" i="9"/>
  <c r="D10" i="9"/>
  <c r="D9" i="9"/>
  <c r="D8" i="9"/>
  <c r="D7" i="9"/>
  <c r="D3" i="9"/>
  <c r="J1" i="9"/>
  <c r="C291" i="8"/>
  <c r="J2" i="8"/>
  <c r="J3" i="8" s="1"/>
  <c r="E27" i="7"/>
  <c r="D27" i="7"/>
  <c r="E26" i="7"/>
  <c r="D26" i="7"/>
  <c r="E25" i="7"/>
  <c r="D25" i="7"/>
  <c r="E24" i="7"/>
  <c r="D24" i="7"/>
  <c r="E23" i="7"/>
  <c r="D23" i="7"/>
  <c r="E22" i="7"/>
  <c r="D22" i="7"/>
  <c r="E21" i="7"/>
  <c r="D21" i="7"/>
  <c r="E20" i="7"/>
  <c r="D20" i="7"/>
  <c r="E19" i="7"/>
  <c r="D19" i="7"/>
  <c r="E18" i="7"/>
  <c r="D18" i="7"/>
  <c r="E17" i="7"/>
  <c r="D17" i="7"/>
  <c r="E16" i="7"/>
  <c r="D16" i="7"/>
  <c r="E15" i="7"/>
  <c r="D15" i="7"/>
  <c r="E14" i="7"/>
  <c r="D14" i="7"/>
  <c r="E13" i="7"/>
  <c r="D13" i="7"/>
  <c r="E12" i="7"/>
  <c r="D12" i="7"/>
  <c r="E11" i="7"/>
  <c r="D11" i="7"/>
  <c r="E10" i="7"/>
  <c r="D10" i="7"/>
  <c r="E9" i="7"/>
  <c r="D9" i="7"/>
  <c r="E8" i="7"/>
  <c r="D8" i="7"/>
  <c r="E7" i="7"/>
  <c r="D7" i="7"/>
  <c r="E6" i="7"/>
  <c r="D6" i="7"/>
  <c r="E5" i="7"/>
  <c r="D5" i="7"/>
  <c r="E4" i="7"/>
  <c r="D4" i="7"/>
  <c r="D3" i="7"/>
  <c r="E3" i="7"/>
  <c r="C29" i="7"/>
  <c r="C30" i="7" s="1"/>
  <c r="AE4" i="6"/>
  <c r="AE3" i="6"/>
  <c r="AE2" i="6"/>
  <c r="AC86" i="6"/>
  <c r="AC87" i="6"/>
  <c r="AC88" i="6"/>
  <c r="AC89" i="6"/>
  <c r="AA89" i="6"/>
  <c r="Z89" i="6"/>
  <c r="Y89" i="6"/>
  <c r="X89" i="6"/>
  <c r="W89" i="6"/>
  <c r="V89" i="6"/>
  <c r="U89" i="6"/>
  <c r="T89" i="6"/>
  <c r="S89" i="6"/>
  <c r="R89" i="6"/>
  <c r="R8" i="6" s="1"/>
  <c r="Q89" i="6"/>
  <c r="P89" i="6"/>
  <c r="O89" i="6"/>
  <c r="N89" i="6"/>
  <c r="M89" i="6"/>
  <c r="L89" i="6"/>
  <c r="K89" i="6"/>
  <c r="J89" i="6"/>
  <c r="I89" i="6"/>
  <c r="H89" i="6"/>
  <c r="G89" i="6"/>
  <c r="F89" i="6"/>
  <c r="E89" i="6"/>
  <c r="AD90" i="6" s="1"/>
  <c r="D89" i="6"/>
  <c r="C89" i="6"/>
  <c r="AA88" i="6"/>
  <c r="Z88" i="6"/>
  <c r="Y88" i="6"/>
  <c r="X88" i="6"/>
  <c r="W88" i="6"/>
  <c r="V88" i="6"/>
  <c r="U88" i="6"/>
  <c r="T88" i="6"/>
  <c r="S88" i="6"/>
  <c r="R88" i="6"/>
  <c r="Q88" i="6"/>
  <c r="P88" i="6"/>
  <c r="O88" i="6"/>
  <c r="N88" i="6"/>
  <c r="M88" i="6"/>
  <c r="L88" i="6"/>
  <c r="K88" i="6"/>
  <c r="J88" i="6"/>
  <c r="I88" i="6"/>
  <c r="H88" i="6"/>
  <c r="G88" i="6"/>
  <c r="F88" i="6"/>
  <c r="E88" i="6"/>
  <c r="D88" i="6"/>
  <c r="C88" i="6"/>
  <c r="AA87" i="6"/>
  <c r="Z87" i="6"/>
  <c r="Y87" i="6"/>
  <c r="X87" i="6"/>
  <c r="W87" i="6"/>
  <c r="V87" i="6"/>
  <c r="U87" i="6"/>
  <c r="T87" i="6"/>
  <c r="S87" i="6"/>
  <c r="R87" i="6"/>
  <c r="Q87" i="6"/>
  <c r="P87" i="6"/>
  <c r="O87" i="6"/>
  <c r="N87" i="6"/>
  <c r="M87" i="6"/>
  <c r="L87" i="6"/>
  <c r="K87" i="6"/>
  <c r="J87" i="6"/>
  <c r="I87" i="6"/>
  <c r="H87" i="6"/>
  <c r="G87" i="6"/>
  <c r="F87" i="6"/>
  <c r="E87" i="6"/>
  <c r="D87" i="6"/>
  <c r="C87" i="6"/>
  <c r="AA86" i="6"/>
  <c r="Z86" i="6"/>
  <c r="Y86" i="6"/>
  <c r="X86" i="6"/>
  <c r="W86" i="6"/>
  <c r="V86" i="6"/>
  <c r="U86" i="6"/>
  <c r="T86" i="6"/>
  <c r="S86" i="6"/>
  <c r="R86" i="6"/>
  <c r="Q86" i="6"/>
  <c r="P86" i="6"/>
  <c r="O86" i="6"/>
  <c r="N86" i="6"/>
  <c r="M86" i="6"/>
  <c r="L86" i="6"/>
  <c r="K86" i="6"/>
  <c r="J86" i="6"/>
  <c r="I86" i="6"/>
  <c r="H86" i="6"/>
  <c r="G86" i="6"/>
  <c r="F86" i="6"/>
  <c r="E86" i="6"/>
  <c r="D86" i="6"/>
  <c r="C86" i="6"/>
  <c r="AA85" i="6"/>
  <c r="Z85" i="6"/>
  <c r="Y85" i="6"/>
  <c r="X85" i="6"/>
  <c r="W85" i="6"/>
  <c r="V85" i="6"/>
  <c r="U85" i="6"/>
  <c r="T85" i="6"/>
  <c r="S85" i="6"/>
  <c r="R85" i="6"/>
  <c r="Q85" i="6"/>
  <c r="P85" i="6"/>
  <c r="O85" i="6"/>
  <c r="N85" i="6"/>
  <c r="M85" i="6"/>
  <c r="L85" i="6"/>
  <c r="K85" i="6"/>
  <c r="J85" i="6"/>
  <c r="I85" i="6"/>
  <c r="H85" i="6"/>
  <c r="G85" i="6"/>
  <c r="F85" i="6"/>
  <c r="E85" i="6"/>
  <c r="D85" i="6"/>
  <c r="C85" i="6"/>
  <c r="AA84" i="6"/>
  <c r="Z84" i="6"/>
  <c r="Y84" i="6"/>
  <c r="X84" i="6"/>
  <c r="W84" i="6"/>
  <c r="V84" i="6"/>
  <c r="U84" i="6"/>
  <c r="T84" i="6"/>
  <c r="S84" i="6"/>
  <c r="R84" i="6"/>
  <c r="Q84" i="6"/>
  <c r="P84" i="6"/>
  <c r="O84" i="6"/>
  <c r="N84" i="6"/>
  <c r="M84" i="6"/>
  <c r="L84" i="6"/>
  <c r="K84" i="6"/>
  <c r="J84" i="6"/>
  <c r="I84" i="6"/>
  <c r="H84" i="6"/>
  <c r="G84" i="6"/>
  <c r="F84" i="6"/>
  <c r="E84" i="6"/>
  <c r="D84" i="6"/>
  <c r="C84" i="6"/>
  <c r="AA83" i="6"/>
  <c r="Z83" i="6"/>
  <c r="Y83" i="6"/>
  <c r="X83" i="6"/>
  <c r="W83" i="6"/>
  <c r="V83" i="6"/>
  <c r="U83" i="6"/>
  <c r="T83" i="6"/>
  <c r="S83" i="6"/>
  <c r="R83" i="6"/>
  <c r="Q83" i="6"/>
  <c r="P83" i="6"/>
  <c r="O83" i="6"/>
  <c r="N83" i="6"/>
  <c r="M83" i="6"/>
  <c r="L83" i="6"/>
  <c r="K83" i="6"/>
  <c r="J83" i="6"/>
  <c r="I83" i="6"/>
  <c r="H83" i="6"/>
  <c r="G83" i="6"/>
  <c r="F83" i="6"/>
  <c r="E83" i="6"/>
  <c r="D83" i="6"/>
  <c r="C83" i="6"/>
  <c r="AA82" i="6"/>
  <c r="Z82" i="6"/>
  <c r="Y82" i="6"/>
  <c r="X82" i="6"/>
  <c r="W82" i="6"/>
  <c r="V82" i="6"/>
  <c r="U82" i="6"/>
  <c r="T82" i="6"/>
  <c r="S82" i="6"/>
  <c r="R82" i="6"/>
  <c r="Q82" i="6"/>
  <c r="P82" i="6"/>
  <c r="O82" i="6"/>
  <c r="N82" i="6"/>
  <c r="M82" i="6"/>
  <c r="L82" i="6"/>
  <c r="K82" i="6"/>
  <c r="J82" i="6"/>
  <c r="I82" i="6"/>
  <c r="H82" i="6"/>
  <c r="G82" i="6"/>
  <c r="F82" i="6"/>
  <c r="E82" i="6"/>
  <c r="D82" i="6"/>
  <c r="C82" i="6"/>
  <c r="AA81" i="6"/>
  <c r="Z81" i="6"/>
  <c r="Y81" i="6"/>
  <c r="X81" i="6"/>
  <c r="W81" i="6"/>
  <c r="V81" i="6"/>
  <c r="U81" i="6"/>
  <c r="T81" i="6"/>
  <c r="S81" i="6"/>
  <c r="R81" i="6"/>
  <c r="Q81" i="6"/>
  <c r="P81" i="6"/>
  <c r="O81" i="6"/>
  <c r="N81" i="6"/>
  <c r="M81" i="6"/>
  <c r="L81" i="6"/>
  <c r="K81" i="6"/>
  <c r="J81" i="6"/>
  <c r="I81" i="6"/>
  <c r="H81" i="6"/>
  <c r="G81" i="6"/>
  <c r="F81" i="6"/>
  <c r="E81" i="6"/>
  <c r="D81" i="6"/>
  <c r="C81" i="6"/>
  <c r="AA80" i="6"/>
  <c r="Z80" i="6"/>
  <c r="Y80" i="6"/>
  <c r="X80" i="6"/>
  <c r="W80" i="6"/>
  <c r="V80" i="6"/>
  <c r="U80" i="6"/>
  <c r="T80" i="6"/>
  <c r="S80" i="6"/>
  <c r="R80" i="6"/>
  <c r="Q80" i="6"/>
  <c r="P80" i="6"/>
  <c r="O80" i="6"/>
  <c r="N80" i="6"/>
  <c r="M80" i="6"/>
  <c r="L80" i="6"/>
  <c r="K80" i="6"/>
  <c r="J80" i="6"/>
  <c r="I80" i="6"/>
  <c r="H80" i="6"/>
  <c r="G80" i="6"/>
  <c r="F80" i="6"/>
  <c r="E80" i="6"/>
  <c r="D80" i="6"/>
  <c r="C80" i="6"/>
  <c r="AA79" i="6"/>
  <c r="Z79" i="6"/>
  <c r="Y79" i="6"/>
  <c r="X79" i="6"/>
  <c r="W79" i="6"/>
  <c r="V79" i="6"/>
  <c r="U79" i="6"/>
  <c r="T79" i="6"/>
  <c r="S79" i="6"/>
  <c r="R79" i="6"/>
  <c r="Q79" i="6"/>
  <c r="P79" i="6"/>
  <c r="O79" i="6"/>
  <c r="N79" i="6"/>
  <c r="M79" i="6"/>
  <c r="L79" i="6"/>
  <c r="K79" i="6"/>
  <c r="J79" i="6"/>
  <c r="I79" i="6"/>
  <c r="H79" i="6"/>
  <c r="G79" i="6"/>
  <c r="F79" i="6"/>
  <c r="E79" i="6"/>
  <c r="D79" i="6"/>
  <c r="C79" i="6"/>
  <c r="AA78" i="6"/>
  <c r="Z78" i="6"/>
  <c r="Y78" i="6"/>
  <c r="X78" i="6"/>
  <c r="W78" i="6"/>
  <c r="V78" i="6"/>
  <c r="U78" i="6"/>
  <c r="T78" i="6"/>
  <c r="S78" i="6"/>
  <c r="R78" i="6"/>
  <c r="Q78" i="6"/>
  <c r="P78" i="6"/>
  <c r="O78" i="6"/>
  <c r="N78" i="6"/>
  <c r="M78" i="6"/>
  <c r="L78" i="6"/>
  <c r="K78" i="6"/>
  <c r="J78" i="6"/>
  <c r="I78" i="6"/>
  <c r="H78" i="6"/>
  <c r="G78" i="6"/>
  <c r="F78" i="6"/>
  <c r="E78" i="6"/>
  <c r="D78" i="6"/>
  <c r="C78" i="6"/>
  <c r="AA77" i="6"/>
  <c r="Z77" i="6"/>
  <c r="Y77" i="6"/>
  <c r="X77" i="6"/>
  <c r="W77" i="6"/>
  <c r="V77" i="6"/>
  <c r="U77" i="6"/>
  <c r="T77" i="6"/>
  <c r="S77" i="6"/>
  <c r="R77" i="6"/>
  <c r="Q77" i="6"/>
  <c r="P77" i="6"/>
  <c r="O77" i="6"/>
  <c r="N77" i="6"/>
  <c r="M77" i="6"/>
  <c r="L77" i="6"/>
  <c r="K77" i="6"/>
  <c r="J77" i="6"/>
  <c r="I77" i="6"/>
  <c r="H77" i="6"/>
  <c r="G77" i="6"/>
  <c r="F77" i="6"/>
  <c r="E77" i="6"/>
  <c r="D77" i="6"/>
  <c r="C77" i="6"/>
  <c r="AA76" i="6"/>
  <c r="Z76" i="6"/>
  <c r="Y76" i="6"/>
  <c r="X76" i="6"/>
  <c r="W76" i="6"/>
  <c r="V76" i="6"/>
  <c r="U76" i="6"/>
  <c r="T76" i="6"/>
  <c r="S76" i="6"/>
  <c r="R76" i="6"/>
  <c r="Q76" i="6"/>
  <c r="P76" i="6"/>
  <c r="O76" i="6"/>
  <c r="N76" i="6"/>
  <c r="M76" i="6"/>
  <c r="L76" i="6"/>
  <c r="K76" i="6"/>
  <c r="J76" i="6"/>
  <c r="I76" i="6"/>
  <c r="H76" i="6"/>
  <c r="G76" i="6"/>
  <c r="F76" i="6"/>
  <c r="E76" i="6"/>
  <c r="D76" i="6"/>
  <c r="C76" i="6"/>
  <c r="AA75" i="6"/>
  <c r="Z75" i="6"/>
  <c r="Y75" i="6"/>
  <c r="X75" i="6"/>
  <c r="W75" i="6"/>
  <c r="V75" i="6"/>
  <c r="U75" i="6"/>
  <c r="T75" i="6"/>
  <c r="S75" i="6"/>
  <c r="R75" i="6"/>
  <c r="Q75" i="6"/>
  <c r="P75" i="6"/>
  <c r="O75" i="6"/>
  <c r="N75" i="6"/>
  <c r="M75" i="6"/>
  <c r="L75" i="6"/>
  <c r="K75" i="6"/>
  <c r="J75" i="6"/>
  <c r="I75" i="6"/>
  <c r="H75" i="6"/>
  <c r="G75" i="6"/>
  <c r="F75" i="6"/>
  <c r="E75" i="6"/>
  <c r="D75" i="6"/>
  <c r="C75" i="6"/>
  <c r="AA74" i="6"/>
  <c r="Z74" i="6"/>
  <c r="Y74" i="6"/>
  <c r="X74" i="6"/>
  <c r="W74" i="6"/>
  <c r="V74" i="6"/>
  <c r="U74" i="6"/>
  <c r="T74" i="6"/>
  <c r="S74" i="6"/>
  <c r="R74" i="6"/>
  <c r="Q74" i="6"/>
  <c r="P74" i="6"/>
  <c r="O74" i="6"/>
  <c r="N74" i="6"/>
  <c r="M74" i="6"/>
  <c r="L74" i="6"/>
  <c r="K74" i="6"/>
  <c r="J74" i="6"/>
  <c r="I74" i="6"/>
  <c r="H74" i="6"/>
  <c r="G74" i="6"/>
  <c r="F74" i="6"/>
  <c r="E74" i="6"/>
  <c r="D74" i="6"/>
  <c r="C74" i="6"/>
  <c r="AA73" i="6"/>
  <c r="Z73" i="6"/>
  <c r="Y73" i="6"/>
  <c r="X73" i="6"/>
  <c r="W73" i="6"/>
  <c r="V73" i="6"/>
  <c r="U73" i="6"/>
  <c r="T73" i="6"/>
  <c r="S73" i="6"/>
  <c r="R73" i="6"/>
  <c r="Q73" i="6"/>
  <c r="P73" i="6"/>
  <c r="O73" i="6"/>
  <c r="N73" i="6"/>
  <c r="M73" i="6"/>
  <c r="L73" i="6"/>
  <c r="K73" i="6"/>
  <c r="J73" i="6"/>
  <c r="I73" i="6"/>
  <c r="H73" i="6"/>
  <c r="G73" i="6"/>
  <c r="F73" i="6"/>
  <c r="E73" i="6"/>
  <c r="D73" i="6"/>
  <c r="C73" i="6"/>
  <c r="AA72" i="6"/>
  <c r="Z72" i="6"/>
  <c r="Y72" i="6"/>
  <c r="X72" i="6"/>
  <c r="W72" i="6"/>
  <c r="V72" i="6"/>
  <c r="U72" i="6"/>
  <c r="T72" i="6"/>
  <c r="S72" i="6"/>
  <c r="R72" i="6"/>
  <c r="Q72" i="6"/>
  <c r="P72" i="6"/>
  <c r="O72" i="6"/>
  <c r="N72" i="6"/>
  <c r="M72" i="6"/>
  <c r="L72" i="6"/>
  <c r="K72" i="6"/>
  <c r="J72" i="6"/>
  <c r="I72" i="6"/>
  <c r="H72" i="6"/>
  <c r="G72" i="6"/>
  <c r="F72" i="6"/>
  <c r="E72" i="6"/>
  <c r="D72" i="6"/>
  <c r="C72" i="6"/>
  <c r="AA71" i="6"/>
  <c r="Z71" i="6"/>
  <c r="Y71" i="6"/>
  <c r="X71" i="6"/>
  <c r="W71" i="6"/>
  <c r="V71" i="6"/>
  <c r="U71" i="6"/>
  <c r="T71" i="6"/>
  <c r="S71" i="6"/>
  <c r="R71" i="6"/>
  <c r="Q71" i="6"/>
  <c r="P71" i="6"/>
  <c r="O71" i="6"/>
  <c r="N71" i="6"/>
  <c r="M71" i="6"/>
  <c r="L71" i="6"/>
  <c r="K71" i="6"/>
  <c r="J71" i="6"/>
  <c r="I71" i="6"/>
  <c r="H71" i="6"/>
  <c r="G71" i="6"/>
  <c r="F71" i="6"/>
  <c r="E71" i="6"/>
  <c r="D71" i="6"/>
  <c r="C71" i="6"/>
  <c r="AA70" i="6"/>
  <c r="Z70" i="6"/>
  <c r="Y70" i="6"/>
  <c r="X70" i="6"/>
  <c r="W70" i="6"/>
  <c r="V70" i="6"/>
  <c r="U70" i="6"/>
  <c r="T70" i="6"/>
  <c r="S70" i="6"/>
  <c r="R70" i="6"/>
  <c r="Q70" i="6"/>
  <c r="P70" i="6"/>
  <c r="O70" i="6"/>
  <c r="N70" i="6"/>
  <c r="M70" i="6"/>
  <c r="L70" i="6"/>
  <c r="K70" i="6"/>
  <c r="J70" i="6"/>
  <c r="I70" i="6"/>
  <c r="H70" i="6"/>
  <c r="G70" i="6"/>
  <c r="F70" i="6"/>
  <c r="E70" i="6"/>
  <c r="D70" i="6"/>
  <c r="C70" i="6"/>
  <c r="AA69" i="6"/>
  <c r="Z69" i="6"/>
  <c r="Y69" i="6"/>
  <c r="X69" i="6"/>
  <c r="W69" i="6"/>
  <c r="V69" i="6"/>
  <c r="U69" i="6"/>
  <c r="T69" i="6"/>
  <c r="S69" i="6"/>
  <c r="R69" i="6"/>
  <c r="Q69" i="6"/>
  <c r="P69" i="6"/>
  <c r="O69" i="6"/>
  <c r="N69" i="6"/>
  <c r="M69" i="6"/>
  <c r="L69" i="6"/>
  <c r="K69" i="6"/>
  <c r="J69" i="6"/>
  <c r="I69" i="6"/>
  <c r="H69" i="6"/>
  <c r="G69" i="6"/>
  <c r="F69" i="6"/>
  <c r="E69" i="6"/>
  <c r="D69" i="6"/>
  <c r="C69" i="6"/>
  <c r="AA68" i="6"/>
  <c r="Z68" i="6"/>
  <c r="Y68" i="6"/>
  <c r="X68" i="6"/>
  <c r="W68" i="6"/>
  <c r="V68" i="6"/>
  <c r="U68" i="6"/>
  <c r="T68" i="6"/>
  <c r="S68" i="6"/>
  <c r="R68" i="6"/>
  <c r="Q68" i="6"/>
  <c r="P68" i="6"/>
  <c r="O68" i="6"/>
  <c r="N68" i="6"/>
  <c r="M68" i="6"/>
  <c r="L68" i="6"/>
  <c r="K68" i="6"/>
  <c r="J68" i="6"/>
  <c r="I68" i="6"/>
  <c r="H68" i="6"/>
  <c r="G68" i="6"/>
  <c r="F68" i="6"/>
  <c r="E68" i="6"/>
  <c r="D68" i="6"/>
  <c r="C68" i="6"/>
  <c r="AA67" i="6"/>
  <c r="Z67" i="6"/>
  <c r="Y67" i="6"/>
  <c r="X67" i="6"/>
  <c r="W67" i="6"/>
  <c r="V67" i="6"/>
  <c r="U67" i="6"/>
  <c r="T67" i="6"/>
  <c r="S67" i="6"/>
  <c r="R67" i="6"/>
  <c r="Q67" i="6"/>
  <c r="P67" i="6"/>
  <c r="O67" i="6"/>
  <c r="N67" i="6"/>
  <c r="M67" i="6"/>
  <c r="L67" i="6"/>
  <c r="K67" i="6"/>
  <c r="J67" i="6"/>
  <c r="I67" i="6"/>
  <c r="H67" i="6"/>
  <c r="G67" i="6"/>
  <c r="F67" i="6"/>
  <c r="E67" i="6"/>
  <c r="D67" i="6"/>
  <c r="C67" i="6"/>
  <c r="AA66" i="6"/>
  <c r="Z66" i="6"/>
  <c r="Y66" i="6"/>
  <c r="X66" i="6"/>
  <c r="W66" i="6"/>
  <c r="V66" i="6"/>
  <c r="U66" i="6"/>
  <c r="T66" i="6"/>
  <c r="S66" i="6"/>
  <c r="R66" i="6"/>
  <c r="Q66" i="6"/>
  <c r="P66" i="6"/>
  <c r="O66" i="6"/>
  <c r="N66" i="6"/>
  <c r="M66" i="6"/>
  <c r="L66" i="6"/>
  <c r="K66" i="6"/>
  <c r="J66" i="6"/>
  <c r="I66" i="6"/>
  <c r="H66" i="6"/>
  <c r="G66" i="6"/>
  <c r="F66" i="6"/>
  <c r="E66" i="6"/>
  <c r="D66" i="6"/>
  <c r="C66" i="6"/>
  <c r="AA65" i="6"/>
  <c r="Z65" i="6"/>
  <c r="Y65" i="6"/>
  <c r="X65" i="6"/>
  <c r="W65" i="6"/>
  <c r="V65" i="6"/>
  <c r="U65" i="6"/>
  <c r="T65" i="6"/>
  <c r="S65" i="6"/>
  <c r="R65" i="6"/>
  <c r="Q65" i="6"/>
  <c r="P65" i="6"/>
  <c r="O65" i="6"/>
  <c r="N65" i="6"/>
  <c r="M65" i="6"/>
  <c r="L65" i="6"/>
  <c r="K65" i="6"/>
  <c r="J65" i="6"/>
  <c r="I65" i="6"/>
  <c r="H65" i="6"/>
  <c r="G65" i="6"/>
  <c r="F65" i="6"/>
  <c r="E65" i="6"/>
  <c r="D65" i="6"/>
  <c r="C65" i="6"/>
  <c r="AA64" i="6"/>
  <c r="Z64" i="6"/>
  <c r="Y64" i="6"/>
  <c r="X64" i="6"/>
  <c r="W64" i="6"/>
  <c r="V64" i="6"/>
  <c r="U64" i="6"/>
  <c r="T64" i="6"/>
  <c r="S64" i="6"/>
  <c r="R64" i="6"/>
  <c r="Q64" i="6"/>
  <c r="P64" i="6"/>
  <c r="O64" i="6"/>
  <c r="N64" i="6"/>
  <c r="M64" i="6"/>
  <c r="L64" i="6"/>
  <c r="K64" i="6"/>
  <c r="J64" i="6"/>
  <c r="I64" i="6"/>
  <c r="H64" i="6"/>
  <c r="G64" i="6"/>
  <c r="F64" i="6"/>
  <c r="E64" i="6"/>
  <c r="D64" i="6"/>
  <c r="C64" i="6"/>
  <c r="AA63" i="6"/>
  <c r="Z63" i="6"/>
  <c r="Y63" i="6"/>
  <c r="X63" i="6"/>
  <c r="W63" i="6"/>
  <c r="V63" i="6"/>
  <c r="U63" i="6"/>
  <c r="T63" i="6"/>
  <c r="S63" i="6"/>
  <c r="R63" i="6"/>
  <c r="Q63" i="6"/>
  <c r="P63" i="6"/>
  <c r="O63" i="6"/>
  <c r="N63" i="6"/>
  <c r="M63" i="6"/>
  <c r="L63" i="6"/>
  <c r="K63" i="6"/>
  <c r="J63" i="6"/>
  <c r="I63" i="6"/>
  <c r="H63" i="6"/>
  <c r="G63" i="6"/>
  <c r="F63" i="6"/>
  <c r="E63" i="6"/>
  <c r="D63" i="6"/>
  <c r="C63" i="6"/>
  <c r="AA62" i="6"/>
  <c r="Z62" i="6"/>
  <c r="Y62" i="6"/>
  <c r="X62" i="6"/>
  <c r="W62" i="6"/>
  <c r="V62" i="6"/>
  <c r="U62" i="6"/>
  <c r="T62" i="6"/>
  <c r="S62" i="6"/>
  <c r="R62" i="6"/>
  <c r="Q62" i="6"/>
  <c r="P62" i="6"/>
  <c r="O62" i="6"/>
  <c r="N62" i="6"/>
  <c r="M62" i="6"/>
  <c r="L62" i="6"/>
  <c r="K62" i="6"/>
  <c r="J62" i="6"/>
  <c r="I62" i="6"/>
  <c r="H62" i="6"/>
  <c r="G62" i="6"/>
  <c r="F62" i="6"/>
  <c r="E62" i="6"/>
  <c r="D62" i="6"/>
  <c r="C62" i="6"/>
  <c r="AA61" i="6"/>
  <c r="Z61" i="6"/>
  <c r="Y61" i="6"/>
  <c r="X61" i="6"/>
  <c r="W61" i="6"/>
  <c r="V61" i="6"/>
  <c r="U61" i="6"/>
  <c r="T61" i="6"/>
  <c r="S61" i="6"/>
  <c r="R61" i="6"/>
  <c r="Q61" i="6"/>
  <c r="P61" i="6"/>
  <c r="O61" i="6"/>
  <c r="N61" i="6"/>
  <c r="M61" i="6"/>
  <c r="L61" i="6"/>
  <c r="K61" i="6"/>
  <c r="J61" i="6"/>
  <c r="I61" i="6"/>
  <c r="H61" i="6"/>
  <c r="G61" i="6"/>
  <c r="F61" i="6"/>
  <c r="E61" i="6"/>
  <c r="D61" i="6"/>
  <c r="C61" i="6"/>
  <c r="AA60" i="6"/>
  <c r="Z60" i="6"/>
  <c r="Y60" i="6"/>
  <c r="X60" i="6"/>
  <c r="W60" i="6"/>
  <c r="V60" i="6"/>
  <c r="U60" i="6"/>
  <c r="T60" i="6"/>
  <c r="S60" i="6"/>
  <c r="R60" i="6"/>
  <c r="Q60" i="6"/>
  <c r="P60" i="6"/>
  <c r="O60" i="6"/>
  <c r="N60" i="6"/>
  <c r="M60" i="6"/>
  <c r="L60" i="6"/>
  <c r="K60" i="6"/>
  <c r="J60" i="6"/>
  <c r="I60" i="6"/>
  <c r="H60" i="6"/>
  <c r="G60" i="6"/>
  <c r="F60" i="6"/>
  <c r="E60" i="6"/>
  <c r="D60" i="6"/>
  <c r="C60" i="6"/>
  <c r="AA59" i="6"/>
  <c r="Z59" i="6"/>
  <c r="Y59" i="6"/>
  <c r="X59" i="6"/>
  <c r="W59" i="6"/>
  <c r="V59" i="6"/>
  <c r="U59" i="6"/>
  <c r="T59" i="6"/>
  <c r="S59" i="6"/>
  <c r="R59" i="6"/>
  <c r="Q59" i="6"/>
  <c r="P59" i="6"/>
  <c r="O59" i="6"/>
  <c r="N59" i="6"/>
  <c r="M59" i="6"/>
  <c r="L59" i="6"/>
  <c r="K59" i="6"/>
  <c r="J59" i="6"/>
  <c r="I59" i="6"/>
  <c r="H59" i="6"/>
  <c r="G59" i="6"/>
  <c r="F59" i="6"/>
  <c r="E59" i="6"/>
  <c r="D59" i="6"/>
  <c r="C59" i="6"/>
  <c r="AA58" i="6"/>
  <c r="Z58" i="6"/>
  <c r="Y58" i="6"/>
  <c r="X58" i="6"/>
  <c r="W58" i="6"/>
  <c r="V58" i="6"/>
  <c r="U58" i="6"/>
  <c r="T58" i="6"/>
  <c r="S58" i="6"/>
  <c r="R58" i="6"/>
  <c r="Q58" i="6"/>
  <c r="P58" i="6"/>
  <c r="O58" i="6"/>
  <c r="N58" i="6"/>
  <c r="M58" i="6"/>
  <c r="L58" i="6"/>
  <c r="K58" i="6"/>
  <c r="J58" i="6"/>
  <c r="I58" i="6"/>
  <c r="H58" i="6"/>
  <c r="G58" i="6"/>
  <c r="F58" i="6"/>
  <c r="E58" i="6"/>
  <c r="D58" i="6"/>
  <c r="C58" i="6"/>
  <c r="AA57" i="6"/>
  <c r="Z57" i="6"/>
  <c r="Y57" i="6"/>
  <c r="X57" i="6"/>
  <c r="W57" i="6"/>
  <c r="V57" i="6"/>
  <c r="U57" i="6"/>
  <c r="T57" i="6"/>
  <c r="S57" i="6"/>
  <c r="R57" i="6"/>
  <c r="Q57" i="6"/>
  <c r="P57" i="6"/>
  <c r="O57" i="6"/>
  <c r="N57" i="6"/>
  <c r="M57" i="6"/>
  <c r="L57" i="6"/>
  <c r="K57" i="6"/>
  <c r="J57" i="6"/>
  <c r="I57" i="6"/>
  <c r="H57" i="6"/>
  <c r="G57" i="6"/>
  <c r="F57" i="6"/>
  <c r="E57" i="6"/>
  <c r="D57" i="6"/>
  <c r="C57" i="6"/>
  <c r="AA56" i="6"/>
  <c r="Z56" i="6"/>
  <c r="Y56" i="6"/>
  <c r="X56" i="6"/>
  <c r="W56" i="6"/>
  <c r="V56" i="6"/>
  <c r="U56" i="6"/>
  <c r="T56" i="6"/>
  <c r="S56" i="6"/>
  <c r="R56" i="6"/>
  <c r="Q56" i="6"/>
  <c r="P56" i="6"/>
  <c r="O56" i="6"/>
  <c r="N56" i="6"/>
  <c r="M56" i="6"/>
  <c r="L56" i="6"/>
  <c r="K56" i="6"/>
  <c r="J56" i="6"/>
  <c r="I56" i="6"/>
  <c r="H56" i="6"/>
  <c r="G56" i="6"/>
  <c r="F56" i="6"/>
  <c r="E56" i="6"/>
  <c r="D56" i="6"/>
  <c r="C56" i="6"/>
  <c r="AA55" i="6"/>
  <c r="Z55" i="6"/>
  <c r="Y55" i="6"/>
  <c r="X55" i="6"/>
  <c r="W55" i="6"/>
  <c r="V55" i="6"/>
  <c r="U55" i="6"/>
  <c r="T55" i="6"/>
  <c r="S55" i="6"/>
  <c r="R55" i="6"/>
  <c r="Q55" i="6"/>
  <c r="P55" i="6"/>
  <c r="O55" i="6"/>
  <c r="N55" i="6"/>
  <c r="M55" i="6"/>
  <c r="L55" i="6"/>
  <c r="K55" i="6"/>
  <c r="J55" i="6"/>
  <c r="I55" i="6"/>
  <c r="H55" i="6"/>
  <c r="G55" i="6"/>
  <c r="F55" i="6"/>
  <c r="E55" i="6"/>
  <c r="D55" i="6"/>
  <c r="C55" i="6"/>
  <c r="AA54" i="6"/>
  <c r="Z54" i="6"/>
  <c r="Y54" i="6"/>
  <c r="X54" i="6"/>
  <c r="W54" i="6"/>
  <c r="V54" i="6"/>
  <c r="U54" i="6"/>
  <c r="T54" i="6"/>
  <c r="S54" i="6"/>
  <c r="R54" i="6"/>
  <c r="Q54" i="6"/>
  <c r="P54" i="6"/>
  <c r="O54" i="6"/>
  <c r="N54" i="6"/>
  <c r="M54" i="6"/>
  <c r="L54" i="6"/>
  <c r="K54" i="6"/>
  <c r="J54" i="6"/>
  <c r="I54" i="6"/>
  <c r="H54" i="6"/>
  <c r="G54" i="6"/>
  <c r="F54" i="6"/>
  <c r="E54" i="6"/>
  <c r="D54" i="6"/>
  <c r="C54" i="6"/>
  <c r="AA53" i="6"/>
  <c r="Z53" i="6"/>
  <c r="Y53" i="6"/>
  <c r="X53" i="6"/>
  <c r="W53" i="6"/>
  <c r="V53" i="6"/>
  <c r="U53" i="6"/>
  <c r="T53" i="6"/>
  <c r="S53" i="6"/>
  <c r="R53" i="6"/>
  <c r="Q53" i="6"/>
  <c r="P53" i="6"/>
  <c r="O53" i="6"/>
  <c r="N53" i="6"/>
  <c r="M53" i="6"/>
  <c r="L53" i="6"/>
  <c r="K53" i="6"/>
  <c r="J53" i="6"/>
  <c r="I53" i="6"/>
  <c r="H53" i="6"/>
  <c r="G53" i="6"/>
  <c r="F53" i="6"/>
  <c r="E53" i="6"/>
  <c r="D53" i="6"/>
  <c r="C53" i="6"/>
  <c r="AA52" i="6"/>
  <c r="Z52" i="6"/>
  <c r="Y52" i="6"/>
  <c r="X52" i="6"/>
  <c r="W52" i="6"/>
  <c r="V52" i="6"/>
  <c r="U52" i="6"/>
  <c r="T52" i="6"/>
  <c r="S52" i="6"/>
  <c r="R52" i="6"/>
  <c r="Q52" i="6"/>
  <c r="P52" i="6"/>
  <c r="O52" i="6"/>
  <c r="N52" i="6"/>
  <c r="M52" i="6"/>
  <c r="L52" i="6"/>
  <c r="K52" i="6"/>
  <c r="J52" i="6"/>
  <c r="I52" i="6"/>
  <c r="H52" i="6"/>
  <c r="G52" i="6"/>
  <c r="F52" i="6"/>
  <c r="E52" i="6"/>
  <c r="D52" i="6"/>
  <c r="C52" i="6"/>
  <c r="AA51" i="6"/>
  <c r="Z51" i="6"/>
  <c r="Y51" i="6"/>
  <c r="X51" i="6"/>
  <c r="W51" i="6"/>
  <c r="V51" i="6"/>
  <c r="U51" i="6"/>
  <c r="T51" i="6"/>
  <c r="S51" i="6"/>
  <c r="R51" i="6"/>
  <c r="Q51" i="6"/>
  <c r="P51" i="6"/>
  <c r="O51" i="6"/>
  <c r="N51" i="6"/>
  <c r="M51" i="6"/>
  <c r="L51" i="6"/>
  <c r="K51" i="6"/>
  <c r="J51" i="6"/>
  <c r="I51" i="6"/>
  <c r="H51" i="6"/>
  <c r="G51" i="6"/>
  <c r="F51" i="6"/>
  <c r="E51" i="6"/>
  <c r="D51" i="6"/>
  <c r="C51" i="6"/>
  <c r="AA50" i="6"/>
  <c r="Z50" i="6"/>
  <c r="Y50" i="6"/>
  <c r="X50" i="6"/>
  <c r="W50" i="6"/>
  <c r="V50" i="6"/>
  <c r="U50" i="6"/>
  <c r="T50" i="6"/>
  <c r="S50" i="6"/>
  <c r="R50" i="6"/>
  <c r="Q50" i="6"/>
  <c r="P50" i="6"/>
  <c r="O50" i="6"/>
  <c r="N50" i="6"/>
  <c r="M50" i="6"/>
  <c r="L50" i="6"/>
  <c r="K50" i="6"/>
  <c r="J50" i="6"/>
  <c r="I50" i="6"/>
  <c r="H50" i="6"/>
  <c r="G50" i="6"/>
  <c r="F50" i="6"/>
  <c r="E50" i="6"/>
  <c r="D50" i="6"/>
  <c r="C50" i="6"/>
  <c r="AA49" i="6"/>
  <c r="Z49" i="6"/>
  <c r="Y49" i="6"/>
  <c r="X49" i="6"/>
  <c r="W49" i="6"/>
  <c r="V49" i="6"/>
  <c r="U49" i="6"/>
  <c r="T49" i="6"/>
  <c r="S49" i="6"/>
  <c r="R49" i="6"/>
  <c r="Q49" i="6"/>
  <c r="P49" i="6"/>
  <c r="O49" i="6"/>
  <c r="N49" i="6"/>
  <c r="M49" i="6"/>
  <c r="L49" i="6"/>
  <c r="K49" i="6"/>
  <c r="J49" i="6"/>
  <c r="I49" i="6"/>
  <c r="H49" i="6"/>
  <c r="G49" i="6"/>
  <c r="F49" i="6"/>
  <c r="E49" i="6"/>
  <c r="D49" i="6"/>
  <c r="C49" i="6"/>
  <c r="AA48" i="6"/>
  <c r="Z48" i="6"/>
  <c r="Y48" i="6"/>
  <c r="X48" i="6"/>
  <c r="W48" i="6"/>
  <c r="V48" i="6"/>
  <c r="U48" i="6"/>
  <c r="T48" i="6"/>
  <c r="S48" i="6"/>
  <c r="R48" i="6"/>
  <c r="Q48" i="6"/>
  <c r="P48" i="6"/>
  <c r="O48" i="6"/>
  <c r="N48" i="6"/>
  <c r="M48" i="6"/>
  <c r="L48" i="6"/>
  <c r="K48" i="6"/>
  <c r="J48" i="6"/>
  <c r="I48" i="6"/>
  <c r="H48" i="6"/>
  <c r="G48" i="6"/>
  <c r="F48" i="6"/>
  <c r="E48" i="6"/>
  <c r="D48" i="6"/>
  <c r="C48" i="6"/>
  <c r="AA47" i="6"/>
  <c r="Z47" i="6"/>
  <c r="Y47" i="6"/>
  <c r="X47" i="6"/>
  <c r="W47" i="6"/>
  <c r="V47" i="6"/>
  <c r="U47" i="6"/>
  <c r="T47" i="6"/>
  <c r="S47" i="6"/>
  <c r="R47" i="6"/>
  <c r="Q47" i="6"/>
  <c r="P47" i="6"/>
  <c r="O47" i="6"/>
  <c r="N47" i="6"/>
  <c r="M47" i="6"/>
  <c r="L47" i="6"/>
  <c r="K47" i="6"/>
  <c r="J47" i="6"/>
  <c r="I47" i="6"/>
  <c r="H47" i="6"/>
  <c r="G47" i="6"/>
  <c r="F47" i="6"/>
  <c r="E47" i="6"/>
  <c r="D47" i="6"/>
  <c r="C47" i="6"/>
  <c r="AA46" i="6"/>
  <c r="Z46" i="6"/>
  <c r="Y46" i="6"/>
  <c r="X46" i="6"/>
  <c r="W46" i="6"/>
  <c r="V46" i="6"/>
  <c r="U46" i="6"/>
  <c r="T46" i="6"/>
  <c r="S46" i="6"/>
  <c r="R46" i="6"/>
  <c r="Q46" i="6"/>
  <c r="P46" i="6"/>
  <c r="O46" i="6"/>
  <c r="N46" i="6"/>
  <c r="M46" i="6"/>
  <c r="L46" i="6"/>
  <c r="K46" i="6"/>
  <c r="J46" i="6"/>
  <c r="I46" i="6"/>
  <c r="H46" i="6"/>
  <c r="G46" i="6"/>
  <c r="F46" i="6"/>
  <c r="E46" i="6"/>
  <c r="D46" i="6"/>
  <c r="C46" i="6"/>
  <c r="AA45" i="6"/>
  <c r="Z45" i="6"/>
  <c r="Y45" i="6"/>
  <c r="X45" i="6"/>
  <c r="W45" i="6"/>
  <c r="V45" i="6"/>
  <c r="U45" i="6"/>
  <c r="T45" i="6"/>
  <c r="S45" i="6"/>
  <c r="R45" i="6"/>
  <c r="Q45" i="6"/>
  <c r="P45" i="6"/>
  <c r="O45" i="6"/>
  <c r="N45" i="6"/>
  <c r="M45" i="6"/>
  <c r="L45" i="6"/>
  <c r="K45" i="6"/>
  <c r="J45" i="6"/>
  <c r="I45" i="6"/>
  <c r="H45" i="6"/>
  <c r="G45" i="6"/>
  <c r="F45" i="6"/>
  <c r="E45" i="6"/>
  <c r="D45" i="6"/>
  <c r="C45" i="6"/>
  <c r="AA44" i="6"/>
  <c r="Z44" i="6"/>
  <c r="Y44" i="6"/>
  <c r="X44" i="6"/>
  <c r="W44" i="6"/>
  <c r="V44" i="6"/>
  <c r="U44" i="6"/>
  <c r="T44" i="6"/>
  <c r="S44" i="6"/>
  <c r="R44" i="6"/>
  <c r="Q44" i="6"/>
  <c r="P44" i="6"/>
  <c r="O44" i="6"/>
  <c r="N44" i="6"/>
  <c r="M44" i="6"/>
  <c r="L44" i="6"/>
  <c r="K44" i="6"/>
  <c r="J44" i="6"/>
  <c r="I44" i="6"/>
  <c r="H44" i="6"/>
  <c r="G44" i="6"/>
  <c r="F44" i="6"/>
  <c r="E44" i="6"/>
  <c r="D44" i="6"/>
  <c r="C44" i="6"/>
  <c r="AA43" i="6"/>
  <c r="Z43" i="6"/>
  <c r="Y43" i="6"/>
  <c r="X43" i="6"/>
  <c r="W43" i="6"/>
  <c r="V43" i="6"/>
  <c r="U43" i="6"/>
  <c r="T43" i="6"/>
  <c r="S43" i="6"/>
  <c r="R43" i="6"/>
  <c r="Q43" i="6"/>
  <c r="P43" i="6"/>
  <c r="O43" i="6"/>
  <c r="N43" i="6"/>
  <c r="M43" i="6"/>
  <c r="L43" i="6"/>
  <c r="K43" i="6"/>
  <c r="J43" i="6"/>
  <c r="I43" i="6"/>
  <c r="H43" i="6"/>
  <c r="G43" i="6"/>
  <c r="F43" i="6"/>
  <c r="E43" i="6"/>
  <c r="D43" i="6"/>
  <c r="C43" i="6"/>
  <c r="AA42" i="6"/>
  <c r="Z42" i="6"/>
  <c r="Y42" i="6"/>
  <c r="X42" i="6"/>
  <c r="W42" i="6"/>
  <c r="V42" i="6"/>
  <c r="U42" i="6"/>
  <c r="T42" i="6"/>
  <c r="S42" i="6"/>
  <c r="R42" i="6"/>
  <c r="Q42" i="6"/>
  <c r="P42" i="6"/>
  <c r="O42" i="6"/>
  <c r="N42" i="6"/>
  <c r="M42" i="6"/>
  <c r="L42" i="6"/>
  <c r="K42" i="6"/>
  <c r="J42" i="6"/>
  <c r="I42" i="6"/>
  <c r="H42" i="6"/>
  <c r="G42" i="6"/>
  <c r="F42" i="6"/>
  <c r="E42" i="6"/>
  <c r="D42" i="6"/>
  <c r="C42" i="6"/>
  <c r="AA41" i="6"/>
  <c r="Z41" i="6"/>
  <c r="Y41" i="6"/>
  <c r="X41" i="6"/>
  <c r="W41" i="6"/>
  <c r="V41" i="6"/>
  <c r="U41" i="6"/>
  <c r="T41" i="6"/>
  <c r="S41" i="6"/>
  <c r="R41" i="6"/>
  <c r="Q41" i="6"/>
  <c r="P41" i="6"/>
  <c r="O41" i="6"/>
  <c r="N41" i="6"/>
  <c r="M41" i="6"/>
  <c r="L41" i="6"/>
  <c r="K41" i="6"/>
  <c r="J41" i="6"/>
  <c r="I41" i="6"/>
  <c r="H41" i="6"/>
  <c r="G41" i="6"/>
  <c r="F41" i="6"/>
  <c r="E41" i="6"/>
  <c r="D41" i="6"/>
  <c r="C41" i="6"/>
  <c r="AA40" i="6"/>
  <c r="Z40" i="6"/>
  <c r="Y40" i="6"/>
  <c r="X40" i="6"/>
  <c r="W40" i="6"/>
  <c r="V40" i="6"/>
  <c r="U40" i="6"/>
  <c r="T40" i="6"/>
  <c r="S40" i="6"/>
  <c r="R40" i="6"/>
  <c r="Q40" i="6"/>
  <c r="P40" i="6"/>
  <c r="O40" i="6"/>
  <c r="N40" i="6"/>
  <c r="M40" i="6"/>
  <c r="L40" i="6"/>
  <c r="K40" i="6"/>
  <c r="J40" i="6"/>
  <c r="I40" i="6"/>
  <c r="H40" i="6"/>
  <c r="G40" i="6"/>
  <c r="F40" i="6"/>
  <c r="E40" i="6"/>
  <c r="D40" i="6"/>
  <c r="C40" i="6"/>
  <c r="AA39" i="6"/>
  <c r="Z39" i="6"/>
  <c r="Y39" i="6"/>
  <c r="X39" i="6"/>
  <c r="W39" i="6"/>
  <c r="V39" i="6"/>
  <c r="U39" i="6"/>
  <c r="T39" i="6"/>
  <c r="S39" i="6"/>
  <c r="R39" i="6"/>
  <c r="Q39" i="6"/>
  <c r="P39" i="6"/>
  <c r="O39" i="6"/>
  <c r="N39" i="6"/>
  <c r="M39" i="6"/>
  <c r="L39" i="6"/>
  <c r="K39" i="6"/>
  <c r="J39" i="6"/>
  <c r="I39" i="6"/>
  <c r="H39" i="6"/>
  <c r="G39" i="6"/>
  <c r="F39" i="6"/>
  <c r="E39" i="6"/>
  <c r="D39" i="6"/>
  <c r="C39" i="6"/>
  <c r="AA38" i="6"/>
  <c r="Z38" i="6"/>
  <c r="Y38" i="6"/>
  <c r="X38" i="6"/>
  <c r="W38" i="6"/>
  <c r="V38" i="6"/>
  <c r="U38" i="6"/>
  <c r="T38" i="6"/>
  <c r="S38" i="6"/>
  <c r="R38" i="6"/>
  <c r="Q38" i="6"/>
  <c r="P38" i="6"/>
  <c r="O38" i="6"/>
  <c r="N38" i="6"/>
  <c r="M38" i="6"/>
  <c r="L38" i="6"/>
  <c r="K38" i="6"/>
  <c r="J38" i="6"/>
  <c r="I38" i="6"/>
  <c r="H38" i="6"/>
  <c r="G38" i="6"/>
  <c r="F38" i="6"/>
  <c r="E38" i="6"/>
  <c r="D38" i="6"/>
  <c r="C38" i="6"/>
  <c r="AA37" i="6"/>
  <c r="Z37" i="6"/>
  <c r="Y37" i="6"/>
  <c r="X37" i="6"/>
  <c r="W37" i="6"/>
  <c r="V37" i="6"/>
  <c r="U37" i="6"/>
  <c r="T37" i="6"/>
  <c r="S37" i="6"/>
  <c r="R37" i="6"/>
  <c r="Q37" i="6"/>
  <c r="P37" i="6"/>
  <c r="O37" i="6"/>
  <c r="N37" i="6"/>
  <c r="M37" i="6"/>
  <c r="L37" i="6"/>
  <c r="K37" i="6"/>
  <c r="J37" i="6"/>
  <c r="I37" i="6"/>
  <c r="H37" i="6"/>
  <c r="G37" i="6"/>
  <c r="F37" i="6"/>
  <c r="E37" i="6"/>
  <c r="D37" i="6"/>
  <c r="C37" i="6"/>
  <c r="AA36" i="6"/>
  <c r="Z36" i="6"/>
  <c r="Y36" i="6"/>
  <c r="X36" i="6"/>
  <c r="W36" i="6"/>
  <c r="V36" i="6"/>
  <c r="U36" i="6"/>
  <c r="T36" i="6"/>
  <c r="S36" i="6"/>
  <c r="R36" i="6"/>
  <c r="Q36" i="6"/>
  <c r="P36" i="6"/>
  <c r="O36" i="6"/>
  <c r="N36" i="6"/>
  <c r="M36" i="6"/>
  <c r="L36" i="6"/>
  <c r="K36" i="6"/>
  <c r="J36" i="6"/>
  <c r="I36" i="6"/>
  <c r="H36" i="6"/>
  <c r="G36" i="6"/>
  <c r="F36" i="6"/>
  <c r="E36" i="6"/>
  <c r="D36" i="6"/>
  <c r="C36" i="6"/>
  <c r="AA35" i="6"/>
  <c r="Z35" i="6"/>
  <c r="Y35" i="6"/>
  <c r="X35" i="6"/>
  <c r="W35" i="6"/>
  <c r="V35" i="6"/>
  <c r="U35" i="6"/>
  <c r="T35" i="6"/>
  <c r="S35" i="6"/>
  <c r="R35" i="6"/>
  <c r="Q35" i="6"/>
  <c r="P35" i="6"/>
  <c r="O35" i="6"/>
  <c r="N35" i="6"/>
  <c r="M35" i="6"/>
  <c r="L35" i="6"/>
  <c r="K35" i="6"/>
  <c r="J35" i="6"/>
  <c r="I35" i="6"/>
  <c r="H35" i="6"/>
  <c r="G35" i="6"/>
  <c r="F35" i="6"/>
  <c r="E35" i="6"/>
  <c r="D35" i="6"/>
  <c r="C35" i="6"/>
  <c r="AA34" i="6"/>
  <c r="Z34" i="6"/>
  <c r="Y34" i="6"/>
  <c r="X34" i="6"/>
  <c r="W34" i="6"/>
  <c r="V34" i="6"/>
  <c r="U34" i="6"/>
  <c r="T34" i="6"/>
  <c r="S34" i="6"/>
  <c r="R34" i="6"/>
  <c r="Q34" i="6"/>
  <c r="P34" i="6"/>
  <c r="O34" i="6"/>
  <c r="N34" i="6"/>
  <c r="M34" i="6"/>
  <c r="L34" i="6"/>
  <c r="K34" i="6"/>
  <c r="J34" i="6"/>
  <c r="I34" i="6"/>
  <c r="H34" i="6"/>
  <c r="G34" i="6"/>
  <c r="F34" i="6"/>
  <c r="E34" i="6"/>
  <c r="D34" i="6"/>
  <c r="C34" i="6"/>
  <c r="AA33" i="6"/>
  <c r="Z33" i="6"/>
  <c r="Y33" i="6"/>
  <c r="X33" i="6"/>
  <c r="W33" i="6"/>
  <c r="V33" i="6"/>
  <c r="U33" i="6"/>
  <c r="T33" i="6"/>
  <c r="S33" i="6"/>
  <c r="R33" i="6"/>
  <c r="Q33" i="6"/>
  <c r="P33" i="6"/>
  <c r="O33" i="6"/>
  <c r="N33" i="6"/>
  <c r="M33" i="6"/>
  <c r="L33" i="6"/>
  <c r="K33" i="6"/>
  <c r="J33" i="6"/>
  <c r="I33" i="6"/>
  <c r="H33" i="6"/>
  <c r="G33" i="6"/>
  <c r="F33" i="6"/>
  <c r="E33" i="6"/>
  <c r="D33" i="6"/>
  <c r="C33" i="6"/>
  <c r="AA32" i="6"/>
  <c r="Z32" i="6"/>
  <c r="Y32" i="6"/>
  <c r="X32" i="6"/>
  <c r="W32" i="6"/>
  <c r="V32" i="6"/>
  <c r="U32" i="6"/>
  <c r="T32" i="6"/>
  <c r="S32" i="6"/>
  <c r="R32" i="6"/>
  <c r="Q32" i="6"/>
  <c r="P32" i="6"/>
  <c r="O32" i="6"/>
  <c r="N32" i="6"/>
  <c r="M32" i="6"/>
  <c r="L32" i="6"/>
  <c r="K32" i="6"/>
  <c r="J32" i="6"/>
  <c r="I32" i="6"/>
  <c r="H32" i="6"/>
  <c r="G32" i="6"/>
  <c r="F32" i="6"/>
  <c r="E32" i="6"/>
  <c r="D32" i="6"/>
  <c r="C32" i="6"/>
  <c r="AA31" i="6"/>
  <c r="Z31" i="6"/>
  <c r="Y31" i="6"/>
  <c r="X31" i="6"/>
  <c r="W31" i="6"/>
  <c r="V31" i="6"/>
  <c r="U31" i="6"/>
  <c r="T31" i="6"/>
  <c r="S31" i="6"/>
  <c r="R31" i="6"/>
  <c r="Q31" i="6"/>
  <c r="P31" i="6"/>
  <c r="O31" i="6"/>
  <c r="N31" i="6"/>
  <c r="M31" i="6"/>
  <c r="L31" i="6"/>
  <c r="K31" i="6"/>
  <c r="J31" i="6"/>
  <c r="I31" i="6"/>
  <c r="H31" i="6"/>
  <c r="G31" i="6"/>
  <c r="F31" i="6"/>
  <c r="E31" i="6"/>
  <c r="D31" i="6"/>
  <c r="C31" i="6"/>
  <c r="AA30" i="6"/>
  <c r="Z30" i="6"/>
  <c r="Y30" i="6"/>
  <c r="X30" i="6"/>
  <c r="W30" i="6"/>
  <c r="V30" i="6"/>
  <c r="U30" i="6"/>
  <c r="T30" i="6"/>
  <c r="S30" i="6"/>
  <c r="R30" i="6"/>
  <c r="Q30" i="6"/>
  <c r="P30" i="6"/>
  <c r="O30" i="6"/>
  <c r="N30" i="6"/>
  <c r="M30" i="6"/>
  <c r="L30" i="6"/>
  <c r="K30" i="6"/>
  <c r="J30" i="6"/>
  <c r="I30" i="6"/>
  <c r="H30" i="6"/>
  <c r="G30" i="6"/>
  <c r="F30" i="6"/>
  <c r="E30" i="6"/>
  <c r="D30" i="6"/>
  <c r="C30" i="6"/>
  <c r="AA29" i="6"/>
  <c r="Z29" i="6"/>
  <c r="Y29" i="6"/>
  <c r="X29" i="6"/>
  <c r="W29" i="6"/>
  <c r="V29" i="6"/>
  <c r="U29" i="6"/>
  <c r="T29" i="6"/>
  <c r="S29" i="6"/>
  <c r="R29" i="6"/>
  <c r="Q29" i="6"/>
  <c r="P29" i="6"/>
  <c r="O29" i="6"/>
  <c r="N29" i="6"/>
  <c r="M29" i="6"/>
  <c r="L29" i="6"/>
  <c r="K29" i="6"/>
  <c r="J29" i="6"/>
  <c r="I29" i="6"/>
  <c r="H29" i="6"/>
  <c r="G29" i="6"/>
  <c r="F29" i="6"/>
  <c r="E29" i="6"/>
  <c r="D29" i="6"/>
  <c r="C29" i="6"/>
  <c r="AA28" i="6"/>
  <c r="Z28" i="6"/>
  <c r="Y28" i="6"/>
  <c r="X28" i="6"/>
  <c r="W28" i="6"/>
  <c r="V28" i="6"/>
  <c r="U28" i="6"/>
  <c r="T28" i="6"/>
  <c r="S28" i="6"/>
  <c r="R28" i="6"/>
  <c r="Q28" i="6"/>
  <c r="P28" i="6"/>
  <c r="O28" i="6"/>
  <c r="N28" i="6"/>
  <c r="M28" i="6"/>
  <c r="L28" i="6"/>
  <c r="K28" i="6"/>
  <c r="J28" i="6"/>
  <c r="I28" i="6"/>
  <c r="H28" i="6"/>
  <c r="G28" i="6"/>
  <c r="F28" i="6"/>
  <c r="E28" i="6"/>
  <c r="D28" i="6"/>
  <c r="C28" i="6"/>
  <c r="AA27" i="6"/>
  <c r="Z27" i="6"/>
  <c r="Y27" i="6"/>
  <c r="X27" i="6"/>
  <c r="W27" i="6"/>
  <c r="V27" i="6"/>
  <c r="U27" i="6"/>
  <c r="T27" i="6"/>
  <c r="S27" i="6"/>
  <c r="R27" i="6"/>
  <c r="Q27" i="6"/>
  <c r="P27" i="6"/>
  <c r="O27" i="6"/>
  <c r="N27" i="6"/>
  <c r="M27" i="6"/>
  <c r="L27" i="6"/>
  <c r="K27" i="6"/>
  <c r="J27" i="6"/>
  <c r="I27" i="6"/>
  <c r="H27" i="6"/>
  <c r="G27" i="6"/>
  <c r="F27" i="6"/>
  <c r="E27" i="6"/>
  <c r="D27" i="6"/>
  <c r="C27" i="6"/>
  <c r="AA26" i="6"/>
  <c r="Z26" i="6"/>
  <c r="Y26" i="6"/>
  <c r="X26" i="6"/>
  <c r="W26" i="6"/>
  <c r="V26" i="6"/>
  <c r="U26" i="6"/>
  <c r="T26" i="6"/>
  <c r="S26" i="6"/>
  <c r="R26" i="6"/>
  <c r="Q26" i="6"/>
  <c r="P26" i="6"/>
  <c r="O26" i="6"/>
  <c r="N26" i="6"/>
  <c r="M26" i="6"/>
  <c r="L26" i="6"/>
  <c r="K26" i="6"/>
  <c r="J26" i="6"/>
  <c r="I26" i="6"/>
  <c r="H26" i="6"/>
  <c r="G26" i="6"/>
  <c r="F26" i="6"/>
  <c r="E26" i="6"/>
  <c r="D26" i="6"/>
  <c r="C26" i="6"/>
  <c r="AA25" i="6"/>
  <c r="Z25" i="6"/>
  <c r="Y25" i="6"/>
  <c r="X25" i="6"/>
  <c r="W25" i="6"/>
  <c r="V25" i="6"/>
  <c r="U25" i="6"/>
  <c r="T25" i="6"/>
  <c r="S25" i="6"/>
  <c r="R25" i="6"/>
  <c r="Q25" i="6"/>
  <c r="P25" i="6"/>
  <c r="O25" i="6"/>
  <c r="N25" i="6"/>
  <c r="M25" i="6"/>
  <c r="L25" i="6"/>
  <c r="K25" i="6"/>
  <c r="J25" i="6"/>
  <c r="I25" i="6"/>
  <c r="H25" i="6"/>
  <c r="G25" i="6"/>
  <c r="F25" i="6"/>
  <c r="E25" i="6"/>
  <c r="D25" i="6"/>
  <c r="C25" i="6"/>
  <c r="AA24" i="6"/>
  <c r="Z24" i="6"/>
  <c r="Y24" i="6"/>
  <c r="X24" i="6"/>
  <c r="W24" i="6"/>
  <c r="V24" i="6"/>
  <c r="U24" i="6"/>
  <c r="T24" i="6"/>
  <c r="S24" i="6"/>
  <c r="R24" i="6"/>
  <c r="Q24" i="6"/>
  <c r="P24" i="6"/>
  <c r="O24" i="6"/>
  <c r="N24" i="6"/>
  <c r="M24" i="6"/>
  <c r="L24" i="6"/>
  <c r="K24" i="6"/>
  <c r="J24" i="6"/>
  <c r="I24" i="6"/>
  <c r="H24" i="6"/>
  <c r="G24" i="6"/>
  <c r="F24" i="6"/>
  <c r="E24" i="6"/>
  <c r="D24" i="6"/>
  <c r="C24" i="6"/>
  <c r="AA23" i="6"/>
  <c r="Z23" i="6"/>
  <c r="Y23" i="6"/>
  <c r="X23" i="6"/>
  <c r="W23" i="6"/>
  <c r="V23" i="6"/>
  <c r="U23" i="6"/>
  <c r="T23" i="6"/>
  <c r="S23" i="6"/>
  <c r="R23" i="6"/>
  <c r="Q23" i="6"/>
  <c r="P23" i="6"/>
  <c r="O23" i="6"/>
  <c r="N23" i="6"/>
  <c r="M23" i="6"/>
  <c r="L23" i="6"/>
  <c r="K23" i="6"/>
  <c r="J23" i="6"/>
  <c r="I23" i="6"/>
  <c r="H23" i="6"/>
  <c r="G23" i="6"/>
  <c r="F23" i="6"/>
  <c r="E23" i="6"/>
  <c r="D23" i="6"/>
  <c r="C23" i="6"/>
  <c r="AA22" i="6"/>
  <c r="Z22" i="6"/>
  <c r="Y22" i="6"/>
  <c r="X22" i="6"/>
  <c r="W22" i="6"/>
  <c r="V22" i="6"/>
  <c r="U22" i="6"/>
  <c r="T22" i="6"/>
  <c r="S22" i="6"/>
  <c r="R22" i="6"/>
  <c r="Q22" i="6"/>
  <c r="P22" i="6"/>
  <c r="O22" i="6"/>
  <c r="N22" i="6"/>
  <c r="M22" i="6"/>
  <c r="L22" i="6"/>
  <c r="K22" i="6"/>
  <c r="J22" i="6"/>
  <c r="I22" i="6"/>
  <c r="H22" i="6"/>
  <c r="G22" i="6"/>
  <c r="F22" i="6"/>
  <c r="E22" i="6"/>
  <c r="D22" i="6"/>
  <c r="C22" i="6"/>
  <c r="AA21" i="6"/>
  <c r="Z21" i="6"/>
  <c r="Y21" i="6"/>
  <c r="X21" i="6"/>
  <c r="W21" i="6"/>
  <c r="V21" i="6"/>
  <c r="U21" i="6"/>
  <c r="T21" i="6"/>
  <c r="S21" i="6"/>
  <c r="R21" i="6"/>
  <c r="Q21" i="6"/>
  <c r="P21" i="6"/>
  <c r="O21" i="6"/>
  <c r="N21" i="6"/>
  <c r="M21" i="6"/>
  <c r="L21" i="6"/>
  <c r="K21" i="6"/>
  <c r="J21" i="6"/>
  <c r="I21" i="6"/>
  <c r="H21" i="6"/>
  <c r="G21" i="6"/>
  <c r="F21" i="6"/>
  <c r="E21" i="6"/>
  <c r="D21" i="6"/>
  <c r="C21" i="6"/>
  <c r="AA20" i="6"/>
  <c r="Z20" i="6"/>
  <c r="Y20" i="6"/>
  <c r="X20" i="6"/>
  <c r="W20" i="6"/>
  <c r="V20" i="6"/>
  <c r="U20" i="6"/>
  <c r="T20" i="6"/>
  <c r="S20" i="6"/>
  <c r="R20" i="6"/>
  <c r="Q20" i="6"/>
  <c r="P20" i="6"/>
  <c r="O20" i="6"/>
  <c r="N20" i="6"/>
  <c r="M20" i="6"/>
  <c r="L20" i="6"/>
  <c r="K20" i="6"/>
  <c r="J20" i="6"/>
  <c r="I20" i="6"/>
  <c r="H20" i="6"/>
  <c r="G20" i="6"/>
  <c r="F20" i="6"/>
  <c r="E20" i="6"/>
  <c r="D20" i="6"/>
  <c r="C20" i="6"/>
  <c r="AA19" i="6"/>
  <c r="Z19" i="6"/>
  <c r="Y19" i="6"/>
  <c r="X19" i="6"/>
  <c r="W19" i="6"/>
  <c r="V19" i="6"/>
  <c r="U19" i="6"/>
  <c r="T19" i="6"/>
  <c r="S19" i="6"/>
  <c r="R19" i="6"/>
  <c r="Q19" i="6"/>
  <c r="P19" i="6"/>
  <c r="O19" i="6"/>
  <c r="N19" i="6"/>
  <c r="M19" i="6"/>
  <c r="L19" i="6"/>
  <c r="K19" i="6"/>
  <c r="J19" i="6"/>
  <c r="I19" i="6"/>
  <c r="H19" i="6"/>
  <c r="G19" i="6"/>
  <c r="F19" i="6"/>
  <c r="E19" i="6"/>
  <c r="D19" i="6"/>
  <c r="C19" i="6"/>
  <c r="AA18" i="6"/>
  <c r="Z18" i="6"/>
  <c r="Y18" i="6"/>
  <c r="X18" i="6"/>
  <c r="W18" i="6"/>
  <c r="V18" i="6"/>
  <c r="U18" i="6"/>
  <c r="T18" i="6"/>
  <c r="S18" i="6"/>
  <c r="R18" i="6"/>
  <c r="Q18" i="6"/>
  <c r="P18" i="6"/>
  <c r="O18" i="6"/>
  <c r="N18" i="6"/>
  <c r="M18" i="6"/>
  <c r="L18" i="6"/>
  <c r="K18" i="6"/>
  <c r="J18" i="6"/>
  <c r="I18" i="6"/>
  <c r="H18" i="6"/>
  <c r="G18" i="6"/>
  <c r="F18" i="6"/>
  <c r="E18" i="6"/>
  <c r="D18" i="6"/>
  <c r="C18" i="6"/>
  <c r="AA17" i="6"/>
  <c r="Z17" i="6"/>
  <c r="Y17" i="6"/>
  <c r="X17" i="6"/>
  <c r="W17" i="6"/>
  <c r="V17" i="6"/>
  <c r="U17" i="6"/>
  <c r="T17" i="6"/>
  <c r="S17" i="6"/>
  <c r="R17" i="6"/>
  <c r="Q17" i="6"/>
  <c r="P17" i="6"/>
  <c r="O17" i="6"/>
  <c r="N17" i="6"/>
  <c r="M17" i="6"/>
  <c r="L17" i="6"/>
  <c r="K17" i="6"/>
  <c r="J17" i="6"/>
  <c r="I17" i="6"/>
  <c r="H17" i="6"/>
  <c r="G17" i="6"/>
  <c r="F17" i="6"/>
  <c r="E17" i="6"/>
  <c r="D17" i="6"/>
  <c r="C17" i="6"/>
  <c r="AA16" i="6"/>
  <c r="Z16" i="6"/>
  <c r="Y16" i="6"/>
  <c r="X16" i="6"/>
  <c r="W16" i="6"/>
  <c r="V16" i="6"/>
  <c r="U16" i="6"/>
  <c r="T16" i="6"/>
  <c r="S16" i="6"/>
  <c r="R16" i="6"/>
  <c r="Q16" i="6"/>
  <c r="P16" i="6"/>
  <c r="O16" i="6"/>
  <c r="N16" i="6"/>
  <c r="M16" i="6"/>
  <c r="L16" i="6"/>
  <c r="K16" i="6"/>
  <c r="J16" i="6"/>
  <c r="I16" i="6"/>
  <c r="H16" i="6"/>
  <c r="G16" i="6"/>
  <c r="F16" i="6"/>
  <c r="E16" i="6"/>
  <c r="D16" i="6"/>
  <c r="C16" i="6"/>
  <c r="AA15" i="6"/>
  <c r="Z15" i="6"/>
  <c r="Y15" i="6"/>
  <c r="X15" i="6"/>
  <c r="W15" i="6"/>
  <c r="V15" i="6"/>
  <c r="U15" i="6"/>
  <c r="T15" i="6"/>
  <c r="S15" i="6"/>
  <c r="R15" i="6"/>
  <c r="Q15" i="6"/>
  <c r="P15" i="6"/>
  <c r="O15" i="6"/>
  <c r="N15" i="6"/>
  <c r="M15" i="6"/>
  <c r="L15" i="6"/>
  <c r="K15" i="6"/>
  <c r="J15" i="6"/>
  <c r="I15" i="6"/>
  <c r="H15" i="6"/>
  <c r="G15" i="6"/>
  <c r="F15" i="6"/>
  <c r="E15" i="6"/>
  <c r="D15" i="6"/>
  <c r="C15" i="6"/>
  <c r="AA14" i="6"/>
  <c r="Z14" i="6"/>
  <c r="Y14" i="6"/>
  <c r="X14" i="6"/>
  <c r="W14" i="6"/>
  <c r="V14" i="6"/>
  <c r="U14" i="6"/>
  <c r="T14" i="6"/>
  <c r="S14" i="6"/>
  <c r="R14" i="6"/>
  <c r="Q14" i="6"/>
  <c r="P14" i="6"/>
  <c r="O14" i="6"/>
  <c r="N14" i="6"/>
  <c r="M14" i="6"/>
  <c r="L14" i="6"/>
  <c r="K14" i="6"/>
  <c r="J14" i="6"/>
  <c r="I14" i="6"/>
  <c r="H14" i="6"/>
  <c r="G14" i="6"/>
  <c r="F14" i="6"/>
  <c r="E14" i="6"/>
  <c r="D14" i="6"/>
  <c r="C14" i="6"/>
  <c r="AA13" i="6"/>
  <c r="Z13" i="6"/>
  <c r="Y13" i="6"/>
  <c r="X13" i="6"/>
  <c r="W13" i="6"/>
  <c r="V13" i="6"/>
  <c r="U13" i="6"/>
  <c r="T13" i="6"/>
  <c r="S13" i="6"/>
  <c r="R13" i="6"/>
  <c r="Q13" i="6"/>
  <c r="P13" i="6"/>
  <c r="O13" i="6"/>
  <c r="N13" i="6"/>
  <c r="M13" i="6"/>
  <c r="L13" i="6"/>
  <c r="K13" i="6"/>
  <c r="J13" i="6"/>
  <c r="I13" i="6"/>
  <c r="H13" i="6"/>
  <c r="G13" i="6"/>
  <c r="F13" i="6"/>
  <c r="E13" i="6"/>
  <c r="D13" i="6"/>
  <c r="C13" i="6"/>
  <c r="AA12" i="6"/>
  <c r="Z12" i="6"/>
  <c r="Y12" i="6"/>
  <c r="X12" i="6"/>
  <c r="W12" i="6"/>
  <c r="V12" i="6"/>
  <c r="U12" i="6"/>
  <c r="T12" i="6"/>
  <c r="S12" i="6"/>
  <c r="R12" i="6"/>
  <c r="Q12" i="6"/>
  <c r="P12" i="6"/>
  <c r="O12" i="6"/>
  <c r="N12" i="6"/>
  <c r="M12" i="6"/>
  <c r="L12" i="6"/>
  <c r="K12" i="6"/>
  <c r="J12" i="6"/>
  <c r="I12" i="6"/>
  <c r="H12" i="6"/>
  <c r="G12" i="6"/>
  <c r="F12" i="6"/>
  <c r="E12" i="6"/>
  <c r="D12" i="6"/>
  <c r="C12" i="6"/>
  <c r="AA11" i="6"/>
  <c r="Z11" i="6"/>
  <c r="Y11" i="6"/>
  <c r="X11" i="6"/>
  <c r="W11" i="6"/>
  <c r="V11" i="6"/>
  <c r="U11" i="6"/>
  <c r="T11" i="6"/>
  <c r="S11" i="6"/>
  <c r="R11" i="6"/>
  <c r="Q11" i="6"/>
  <c r="P11" i="6"/>
  <c r="O11" i="6"/>
  <c r="N11" i="6"/>
  <c r="M11" i="6"/>
  <c r="L11" i="6"/>
  <c r="K11" i="6"/>
  <c r="J11" i="6"/>
  <c r="I11" i="6"/>
  <c r="H11" i="6"/>
  <c r="G11" i="6"/>
  <c r="F11" i="6"/>
  <c r="E11" i="6"/>
  <c r="D11" i="6"/>
  <c r="C11" i="6"/>
  <c r="AC84" i="5"/>
  <c r="AC85" i="5"/>
  <c r="AC86" i="5"/>
  <c r="AC87" i="5"/>
  <c r="AC88" i="5"/>
  <c r="AA88" i="5"/>
  <c r="Z88" i="5"/>
  <c r="Y88" i="5"/>
  <c r="X88" i="5"/>
  <c r="W88" i="5"/>
  <c r="V88" i="5"/>
  <c r="U88" i="5"/>
  <c r="T88" i="5"/>
  <c r="S88" i="5"/>
  <c r="Q88" i="5"/>
  <c r="P88" i="5"/>
  <c r="N88" i="5"/>
  <c r="M88" i="5"/>
  <c r="L88" i="5"/>
  <c r="K88" i="5"/>
  <c r="J88" i="5"/>
  <c r="I88" i="5"/>
  <c r="H88" i="5"/>
  <c r="G88" i="5"/>
  <c r="F88" i="5"/>
  <c r="E88" i="5"/>
  <c r="D88" i="5"/>
  <c r="C88" i="5"/>
  <c r="AA87" i="5"/>
  <c r="Z87" i="5"/>
  <c r="Y87" i="5"/>
  <c r="X87" i="5"/>
  <c r="W87" i="5"/>
  <c r="V87" i="5"/>
  <c r="U87" i="5"/>
  <c r="T87" i="5"/>
  <c r="S87" i="5"/>
  <c r="Q87" i="5"/>
  <c r="P87" i="5"/>
  <c r="N87" i="5"/>
  <c r="M87" i="5"/>
  <c r="L87" i="5"/>
  <c r="K87" i="5"/>
  <c r="J87" i="5"/>
  <c r="I87" i="5"/>
  <c r="H87" i="5"/>
  <c r="G87" i="5"/>
  <c r="F87" i="5"/>
  <c r="E87" i="5"/>
  <c r="D87" i="5"/>
  <c r="C87" i="5"/>
  <c r="AA86" i="5"/>
  <c r="Z86" i="5"/>
  <c r="Y86" i="5"/>
  <c r="X86" i="5"/>
  <c r="W86" i="5"/>
  <c r="V86" i="5"/>
  <c r="U86" i="5"/>
  <c r="T86" i="5"/>
  <c r="S86" i="5"/>
  <c r="Q86" i="5"/>
  <c r="P86" i="5"/>
  <c r="N86" i="5"/>
  <c r="M86" i="5"/>
  <c r="L86" i="5"/>
  <c r="K86" i="5"/>
  <c r="J86" i="5"/>
  <c r="I86" i="5"/>
  <c r="H86" i="5"/>
  <c r="G86" i="5"/>
  <c r="F86" i="5"/>
  <c r="E86" i="5"/>
  <c r="D86" i="5"/>
  <c r="C86" i="5"/>
  <c r="AA85" i="5"/>
  <c r="Z85" i="5"/>
  <c r="Y85" i="5"/>
  <c r="X85" i="5"/>
  <c r="W85" i="5"/>
  <c r="V85" i="5"/>
  <c r="U85" i="5"/>
  <c r="T85" i="5"/>
  <c r="S85" i="5"/>
  <c r="Q85" i="5"/>
  <c r="P85" i="5"/>
  <c r="N85" i="5"/>
  <c r="M85" i="5"/>
  <c r="L85" i="5"/>
  <c r="K85" i="5"/>
  <c r="J85" i="5"/>
  <c r="I85" i="5"/>
  <c r="H85" i="5"/>
  <c r="G85" i="5"/>
  <c r="F85" i="5"/>
  <c r="E85" i="5"/>
  <c r="D85" i="5"/>
  <c r="C85" i="5"/>
  <c r="AA84" i="5"/>
  <c r="Z84" i="5"/>
  <c r="Y84" i="5"/>
  <c r="X84" i="5"/>
  <c r="W84" i="5"/>
  <c r="V84" i="5"/>
  <c r="U84" i="5"/>
  <c r="T84" i="5"/>
  <c r="S84" i="5"/>
  <c r="Q84" i="5"/>
  <c r="P84" i="5"/>
  <c r="N84" i="5"/>
  <c r="M84" i="5"/>
  <c r="L84" i="5"/>
  <c r="K84" i="5"/>
  <c r="J84" i="5"/>
  <c r="I84" i="5"/>
  <c r="H84" i="5"/>
  <c r="G84" i="5"/>
  <c r="F84" i="5"/>
  <c r="E84" i="5"/>
  <c r="D84" i="5"/>
  <c r="C84" i="5"/>
  <c r="AA83" i="5"/>
  <c r="Z83" i="5"/>
  <c r="Y83" i="5"/>
  <c r="X83" i="5"/>
  <c r="W83" i="5"/>
  <c r="V83" i="5"/>
  <c r="U83" i="5"/>
  <c r="T83" i="5"/>
  <c r="S83" i="5"/>
  <c r="Q83" i="5"/>
  <c r="P83" i="5"/>
  <c r="N83" i="5"/>
  <c r="M83" i="5"/>
  <c r="L83" i="5"/>
  <c r="K83" i="5"/>
  <c r="J83" i="5"/>
  <c r="I83" i="5"/>
  <c r="H83" i="5"/>
  <c r="G83" i="5"/>
  <c r="F83" i="5"/>
  <c r="E83" i="5"/>
  <c r="D83" i="5"/>
  <c r="C83" i="5"/>
  <c r="AA82" i="5"/>
  <c r="Z82" i="5"/>
  <c r="Y82" i="5"/>
  <c r="X82" i="5"/>
  <c r="W82" i="5"/>
  <c r="V82" i="5"/>
  <c r="U82" i="5"/>
  <c r="T82" i="5"/>
  <c r="S82" i="5"/>
  <c r="Q82" i="5"/>
  <c r="P82" i="5"/>
  <c r="N82" i="5"/>
  <c r="M82" i="5"/>
  <c r="L82" i="5"/>
  <c r="K82" i="5"/>
  <c r="J82" i="5"/>
  <c r="I82" i="5"/>
  <c r="H82" i="5"/>
  <c r="G82" i="5"/>
  <c r="F82" i="5"/>
  <c r="E82" i="5"/>
  <c r="D82" i="5"/>
  <c r="C82" i="5"/>
  <c r="AE82" i="5" s="1"/>
  <c r="AA81" i="5"/>
  <c r="Z81" i="5"/>
  <c r="Y81" i="5"/>
  <c r="X81" i="5"/>
  <c r="W81" i="5"/>
  <c r="V81" i="5"/>
  <c r="U81" i="5"/>
  <c r="T81" i="5"/>
  <c r="S81" i="5"/>
  <c r="Q81" i="5"/>
  <c r="P81" i="5"/>
  <c r="N81" i="5"/>
  <c r="M81" i="5"/>
  <c r="L81" i="5"/>
  <c r="K81" i="5"/>
  <c r="J81" i="5"/>
  <c r="I81" i="5"/>
  <c r="H81" i="5"/>
  <c r="G81" i="5"/>
  <c r="F81" i="5"/>
  <c r="E81" i="5"/>
  <c r="D81" i="5"/>
  <c r="C81" i="5"/>
  <c r="AE81" i="5" s="1"/>
  <c r="AA80" i="5"/>
  <c r="Z80" i="5"/>
  <c r="Y80" i="5"/>
  <c r="X80" i="5"/>
  <c r="W80" i="5"/>
  <c r="V80" i="5"/>
  <c r="U80" i="5"/>
  <c r="T80" i="5"/>
  <c r="S80" i="5"/>
  <c r="Q80" i="5"/>
  <c r="P80" i="5"/>
  <c r="N80" i="5"/>
  <c r="M80" i="5"/>
  <c r="L80" i="5"/>
  <c r="K80" i="5"/>
  <c r="J80" i="5"/>
  <c r="I80" i="5"/>
  <c r="H80" i="5"/>
  <c r="G80" i="5"/>
  <c r="F80" i="5"/>
  <c r="E80" i="5"/>
  <c r="D80" i="5"/>
  <c r="C80" i="5"/>
  <c r="AA79" i="5"/>
  <c r="Z79" i="5"/>
  <c r="Y79" i="5"/>
  <c r="X79" i="5"/>
  <c r="W79" i="5"/>
  <c r="V79" i="5"/>
  <c r="U79" i="5"/>
  <c r="T79" i="5"/>
  <c r="S79" i="5"/>
  <c r="Q79" i="5"/>
  <c r="P79" i="5"/>
  <c r="N79" i="5"/>
  <c r="M79" i="5"/>
  <c r="L79" i="5"/>
  <c r="K79" i="5"/>
  <c r="J79" i="5"/>
  <c r="I79" i="5"/>
  <c r="H79" i="5"/>
  <c r="G79" i="5"/>
  <c r="F79" i="5"/>
  <c r="E79" i="5"/>
  <c r="D79" i="5"/>
  <c r="C79" i="5"/>
  <c r="AA78" i="5"/>
  <c r="Z78" i="5"/>
  <c r="Y78" i="5"/>
  <c r="X78" i="5"/>
  <c r="W78" i="5"/>
  <c r="V78" i="5"/>
  <c r="U78" i="5"/>
  <c r="T78" i="5"/>
  <c r="S78" i="5"/>
  <c r="Q78" i="5"/>
  <c r="P78" i="5"/>
  <c r="N78" i="5"/>
  <c r="M78" i="5"/>
  <c r="L78" i="5"/>
  <c r="K78" i="5"/>
  <c r="J78" i="5"/>
  <c r="I78" i="5"/>
  <c r="H78" i="5"/>
  <c r="G78" i="5"/>
  <c r="F78" i="5"/>
  <c r="E78" i="5"/>
  <c r="D78" i="5"/>
  <c r="C78" i="5"/>
  <c r="AA77" i="5"/>
  <c r="Z77" i="5"/>
  <c r="Y77" i="5"/>
  <c r="X77" i="5"/>
  <c r="W77" i="5"/>
  <c r="V77" i="5"/>
  <c r="U77" i="5"/>
  <c r="T77" i="5"/>
  <c r="S77" i="5"/>
  <c r="Q77" i="5"/>
  <c r="P77" i="5"/>
  <c r="N77" i="5"/>
  <c r="M77" i="5"/>
  <c r="L77" i="5"/>
  <c r="K77" i="5"/>
  <c r="J77" i="5"/>
  <c r="I77" i="5"/>
  <c r="H77" i="5"/>
  <c r="G77" i="5"/>
  <c r="F77" i="5"/>
  <c r="E77" i="5"/>
  <c r="D77" i="5"/>
  <c r="C77" i="5"/>
  <c r="AA76" i="5"/>
  <c r="Z76" i="5"/>
  <c r="Y76" i="5"/>
  <c r="X76" i="5"/>
  <c r="W76" i="5"/>
  <c r="V76" i="5"/>
  <c r="U76" i="5"/>
  <c r="T76" i="5"/>
  <c r="S76" i="5"/>
  <c r="Q76" i="5"/>
  <c r="P76" i="5"/>
  <c r="N76" i="5"/>
  <c r="M76" i="5"/>
  <c r="L76" i="5"/>
  <c r="K76" i="5"/>
  <c r="J76" i="5"/>
  <c r="I76" i="5"/>
  <c r="H76" i="5"/>
  <c r="G76" i="5"/>
  <c r="F76" i="5"/>
  <c r="E76" i="5"/>
  <c r="D76" i="5"/>
  <c r="C76" i="5"/>
  <c r="AA75" i="5"/>
  <c r="Z75" i="5"/>
  <c r="Y75" i="5"/>
  <c r="X75" i="5"/>
  <c r="W75" i="5"/>
  <c r="V75" i="5"/>
  <c r="U75" i="5"/>
  <c r="T75" i="5"/>
  <c r="S75" i="5"/>
  <c r="Q75" i="5"/>
  <c r="P75" i="5"/>
  <c r="N75" i="5"/>
  <c r="M75" i="5"/>
  <c r="L75" i="5"/>
  <c r="K75" i="5"/>
  <c r="J75" i="5"/>
  <c r="I75" i="5"/>
  <c r="H75" i="5"/>
  <c r="G75" i="5"/>
  <c r="F75" i="5"/>
  <c r="E75" i="5"/>
  <c r="D75" i="5"/>
  <c r="C75" i="5"/>
  <c r="AA74" i="5"/>
  <c r="Z74" i="5"/>
  <c r="Y74" i="5"/>
  <c r="X74" i="5"/>
  <c r="W74" i="5"/>
  <c r="V74" i="5"/>
  <c r="U74" i="5"/>
  <c r="T74" i="5"/>
  <c r="S74" i="5"/>
  <c r="Q74" i="5"/>
  <c r="P74" i="5"/>
  <c r="N74" i="5"/>
  <c r="M74" i="5"/>
  <c r="L74" i="5"/>
  <c r="K74" i="5"/>
  <c r="J74" i="5"/>
  <c r="I74" i="5"/>
  <c r="H74" i="5"/>
  <c r="G74" i="5"/>
  <c r="F74" i="5"/>
  <c r="E74" i="5"/>
  <c r="D74" i="5"/>
  <c r="C74" i="5"/>
  <c r="AA73" i="5"/>
  <c r="Z73" i="5"/>
  <c r="Y73" i="5"/>
  <c r="X73" i="5"/>
  <c r="W73" i="5"/>
  <c r="V73" i="5"/>
  <c r="U73" i="5"/>
  <c r="T73" i="5"/>
  <c r="S73" i="5"/>
  <c r="Q73" i="5"/>
  <c r="P73" i="5"/>
  <c r="N73" i="5"/>
  <c r="M73" i="5"/>
  <c r="L73" i="5"/>
  <c r="K73" i="5"/>
  <c r="J73" i="5"/>
  <c r="I73" i="5"/>
  <c r="H73" i="5"/>
  <c r="G73" i="5"/>
  <c r="F73" i="5"/>
  <c r="E73" i="5"/>
  <c r="D73" i="5"/>
  <c r="C73" i="5"/>
  <c r="AA72" i="5"/>
  <c r="Z72" i="5"/>
  <c r="Y72" i="5"/>
  <c r="X72" i="5"/>
  <c r="W72" i="5"/>
  <c r="V72" i="5"/>
  <c r="U72" i="5"/>
  <c r="T72" i="5"/>
  <c r="S72" i="5"/>
  <c r="Q72" i="5"/>
  <c r="P72" i="5"/>
  <c r="N72" i="5"/>
  <c r="M72" i="5"/>
  <c r="L72" i="5"/>
  <c r="K72" i="5"/>
  <c r="J72" i="5"/>
  <c r="I72" i="5"/>
  <c r="H72" i="5"/>
  <c r="G72" i="5"/>
  <c r="F72" i="5"/>
  <c r="E72" i="5"/>
  <c r="D72" i="5"/>
  <c r="C72" i="5"/>
  <c r="AA71" i="5"/>
  <c r="Z71" i="5"/>
  <c r="Y71" i="5"/>
  <c r="X71" i="5"/>
  <c r="W71" i="5"/>
  <c r="V71" i="5"/>
  <c r="U71" i="5"/>
  <c r="T71" i="5"/>
  <c r="S71" i="5"/>
  <c r="Q71" i="5"/>
  <c r="P71" i="5"/>
  <c r="N71" i="5"/>
  <c r="M71" i="5"/>
  <c r="L71" i="5"/>
  <c r="K71" i="5"/>
  <c r="J71" i="5"/>
  <c r="I71" i="5"/>
  <c r="H71" i="5"/>
  <c r="G71" i="5"/>
  <c r="F71" i="5"/>
  <c r="E71" i="5"/>
  <c r="D71" i="5"/>
  <c r="C71" i="5"/>
  <c r="AA70" i="5"/>
  <c r="Z70" i="5"/>
  <c r="Y70" i="5"/>
  <c r="X70" i="5"/>
  <c r="W70" i="5"/>
  <c r="V70" i="5"/>
  <c r="U70" i="5"/>
  <c r="T70" i="5"/>
  <c r="S70" i="5"/>
  <c r="R70" i="5"/>
  <c r="Q70" i="5"/>
  <c r="P70" i="5"/>
  <c r="O70" i="5"/>
  <c r="N70" i="5"/>
  <c r="M70" i="5"/>
  <c r="L70" i="5"/>
  <c r="K70" i="5"/>
  <c r="J70" i="5"/>
  <c r="I70" i="5"/>
  <c r="H70" i="5"/>
  <c r="G70" i="5"/>
  <c r="F70" i="5"/>
  <c r="E70" i="5"/>
  <c r="D70" i="5"/>
  <c r="C70" i="5"/>
  <c r="AA69" i="5"/>
  <c r="Z69" i="5"/>
  <c r="Y69" i="5"/>
  <c r="X69" i="5"/>
  <c r="W69" i="5"/>
  <c r="V69" i="5"/>
  <c r="U69" i="5"/>
  <c r="T69" i="5"/>
  <c r="S69" i="5"/>
  <c r="R69" i="5"/>
  <c r="Q69" i="5"/>
  <c r="P69" i="5"/>
  <c r="O69" i="5"/>
  <c r="N69" i="5"/>
  <c r="M69" i="5"/>
  <c r="L69" i="5"/>
  <c r="K69" i="5"/>
  <c r="J69" i="5"/>
  <c r="I69" i="5"/>
  <c r="H69" i="5"/>
  <c r="G69" i="5"/>
  <c r="F69" i="5"/>
  <c r="E69" i="5"/>
  <c r="D69" i="5"/>
  <c r="C69" i="5"/>
  <c r="AA68" i="5"/>
  <c r="Z68" i="5"/>
  <c r="Y68" i="5"/>
  <c r="X68" i="5"/>
  <c r="W68" i="5"/>
  <c r="V68" i="5"/>
  <c r="U68" i="5"/>
  <c r="T68" i="5"/>
  <c r="S68" i="5"/>
  <c r="R68" i="5"/>
  <c r="Q68" i="5"/>
  <c r="P68" i="5"/>
  <c r="O68" i="5"/>
  <c r="N68" i="5"/>
  <c r="M68" i="5"/>
  <c r="L68" i="5"/>
  <c r="K68" i="5"/>
  <c r="J68" i="5"/>
  <c r="I68" i="5"/>
  <c r="H68" i="5"/>
  <c r="G68" i="5"/>
  <c r="F68" i="5"/>
  <c r="E68" i="5"/>
  <c r="D68" i="5"/>
  <c r="C68" i="5"/>
  <c r="AA67" i="5"/>
  <c r="Z67" i="5"/>
  <c r="Y67" i="5"/>
  <c r="X67" i="5"/>
  <c r="W67" i="5"/>
  <c r="V67" i="5"/>
  <c r="U67" i="5"/>
  <c r="T67" i="5"/>
  <c r="S67" i="5"/>
  <c r="R67" i="5"/>
  <c r="Q67" i="5"/>
  <c r="P67" i="5"/>
  <c r="O67" i="5"/>
  <c r="N67" i="5"/>
  <c r="M67" i="5"/>
  <c r="L67" i="5"/>
  <c r="K67" i="5"/>
  <c r="J67" i="5"/>
  <c r="I67" i="5"/>
  <c r="H67" i="5"/>
  <c r="G67" i="5"/>
  <c r="F67" i="5"/>
  <c r="E67" i="5"/>
  <c r="D67" i="5"/>
  <c r="C67" i="5"/>
  <c r="AA66" i="5"/>
  <c r="Z66" i="5"/>
  <c r="Y66" i="5"/>
  <c r="X66" i="5"/>
  <c r="W66" i="5"/>
  <c r="V66" i="5"/>
  <c r="U66" i="5"/>
  <c r="T66" i="5"/>
  <c r="S66" i="5"/>
  <c r="R66" i="5"/>
  <c r="Q66" i="5"/>
  <c r="P66" i="5"/>
  <c r="O66" i="5"/>
  <c r="N66" i="5"/>
  <c r="M66" i="5"/>
  <c r="L66" i="5"/>
  <c r="K66" i="5"/>
  <c r="J66" i="5"/>
  <c r="I66" i="5"/>
  <c r="H66" i="5"/>
  <c r="G66" i="5"/>
  <c r="F66" i="5"/>
  <c r="E66" i="5"/>
  <c r="D66" i="5"/>
  <c r="C66" i="5"/>
  <c r="AA65" i="5"/>
  <c r="Z65" i="5"/>
  <c r="Y65" i="5"/>
  <c r="X65" i="5"/>
  <c r="W65" i="5"/>
  <c r="V65" i="5"/>
  <c r="U65" i="5"/>
  <c r="T65" i="5"/>
  <c r="S65" i="5"/>
  <c r="R65" i="5"/>
  <c r="Q65" i="5"/>
  <c r="P65" i="5"/>
  <c r="O65" i="5"/>
  <c r="N65" i="5"/>
  <c r="M65" i="5"/>
  <c r="L65" i="5"/>
  <c r="K65" i="5"/>
  <c r="J65" i="5"/>
  <c r="I65" i="5"/>
  <c r="H65" i="5"/>
  <c r="G65" i="5"/>
  <c r="F65" i="5"/>
  <c r="E65" i="5"/>
  <c r="D65" i="5"/>
  <c r="C65" i="5"/>
  <c r="AA64" i="5"/>
  <c r="Z64" i="5"/>
  <c r="Y64" i="5"/>
  <c r="X64" i="5"/>
  <c r="W64" i="5"/>
  <c r="V64" i="5"/>
  <c r="U64" i="5"/>
  <c r="T64" i="5"/>
  <c r="S64" i="5"/>
  <c r="R64" i="5"/>
  <c r="Q64" i="5"/>
  <c r="P64" i="5"/>
  <c r="O64" i="5"/>
  <c r="N64" i="5"/>
  <c r="M64" i="5"/>
  <c r="L64" i="5"/>
  <c r="K64" i="5"/>
  <c r="J64" i="5"/>
  <c r="I64" i="5"/>
  <c r="H64" i="5"/>
  <c r="G64" i="5"/>
  <c r="F64" i="5"/>
  <c r="E64" i="5"/>
  <c r="D64" i="5"/>
  <c r="C64" i="5"/>
  <c r="AA63" i="5"/>
  <c r="Z63" i="5"/>
  <c r="Y63" i="5"/>
  <c r="X63" i="5"/>
  <c r="W63" i="5"/>
  <c r="V63" i="5"/>
  <c r="U63" i="5"/>
  <c r="T63" i="5"/>
  <c r="S63" i="5"/>
  <c r="R63" i="5"/>
  <c r="Q63" i="5"/>
  <c r="P63" i="5"/>
  <c r="O63" i="5"/>
  <c r="N63" i="5"/>
  <c r="M63" i="5"/>
  <c r="L63" i="5"/>
  <c r="K63" i="5"/>
  <c r="J63" i="5"/>
  <c r="I63" i="5"/>
  <c r="H63" i="5"/>
  <c r="G63" i="5"/>
  <c r="F63" i="5"/>
  <c r="E63" i="5"/>
  <c r="D63" i="5"/>
  <c r="C63" i="5"/>
  <c r="AA62" i="5"/>
  <c r="Z62" i="5"/>
  <c r="Y62" i="5"/>
  <c r="X62" i="5"/>
  <c r="W62" i="5"/>
  <c r="V62" i="5"/>
  <c r="U62" i="5"/>
  <c r="T62" i="5"/>
  <c r="S62" i="5"/>
  <c r="R62" i="5"/>
  <c r="Q62" i="5"/>
  <c r="P62" i="5"/>
  <c r="O62" i="5"/>
  <c r="N62" i="5"/>
  <c r="M62" i="5"/>
  <c r="L62" i="5"/>
  <c r="K62" i="5"/>
  <c r="J62" i="5"/>
  <c r="I62" i="5"/>
  <c r="H62" i="5"/>
  <c r="G62" i="5"/>
  <c r="F62" i="5"/>
  <c r="E62" i="5"/>
  <c r="D62" i="5"/>
  <c r="C62" i="5"/>
  <c r="AA61" i="5"/>
  <c r="Z61" i="5"/>
  <c r="Y61" i="5"/>
  <c r="X61" i="5"/>
  <c r="W61" i="5"/>
  <c r="V61" i="5"/>
  <c r="U61" i="5"/>
  <c r="T61" i="5"/>
  <c r="S61" i="5"/>
  <c r="R61" i="5"/>
  <c r="Q61" i="5"/>
  <c r="P61" i="5"/>
  <c r="O61" i="5"/>
  <c r="N61" i="5"/>
  <c r="M61" i="5"/>
  <c r="L61" i="5"/>
  <c r="K61" i="5"/>
  <c r="J61" i="5"/>
  <c r="I61" i="5"/>
  <c r="H61" i="5"/>
  <c r="G61" i="5"/>
  <c r="F61" i="5"/>
  <c r="E61" i="5"/>
  <c r="D61" i="5"/>
  <c r="C61" i="5"/>
  <c r="AA60" i="5"/>
  <c r="Z60" i="5"/>
  <c r="Y60" i="5"/>
  <c r="X60" i="5"/>
  <c r="W60" i="5"/>
  <c r="V60" i="5"/>
  <c r="U60" i="5"/>
  <c r="T60" i="5"/>
  <c r="S60" i="5"/>
  <c r="R60" i="5"/>
  <c r="Q60" i="5"/>
  <c r="P60" i="5"/>
  <c r="O60" i="5"/>
  <c r="N60" i="5"/>
  <c r="M60" i="5"/>
  <c r="L60" i="5"/>
  <c r="K60" i="5"/>
  <c r="J60" i="5"/>
  <c r="I60" i="5"/>
  <c r="H60" i="5"/>
  <c r="G60" i="5"/>
  <c r="F60" i="5"/>
  <c r="E60" i="5"/>
  <c r="D60" i="5"/>
  <c r="C60" i="5"/>
  <c r="AA59" i="5"/>
  <c r="Z59" i="5"/>
  <c r="Y59" i="5"/>
  <c r="X59" i="5"/>
  <c r="W59" i="5"/>
  <c r="V59" i="5"/>
  <c r="U59" i="5"/>
  <c r="T59" i="5"/>
  <c r="S59" i="5"/>
  <c r="R59" i="5"/>
  <c r="Q59" i="5"/>
  <c r="P59" i="5"/>
  <c r="O59" i="5"/>
  <c r="N59" i="5"/>
  <c r="M59" i="5"/>
  <c r="L59" i="5"/>
  <c r="K59" i="5"/>
  <c r="J59" i="5"/>
  <c r="I59" i="5"/>
  <c r="H59" i="5"/>
  <c r="G59" i="5"/>
  <c r="F59" i="5"/>
  <c r="E59" i="5"/>
  <c r="D59" i="5"/>
  <c r="C59" i="5"/>
  <c r="AA58" i="5"/>
  <c r="Z58" i="5"/>
  <c r="Y58" i="5"/>
  <c r="X58" i="5"/>
  <c r="W58" i="5"/>
  <c r="V58" i="5"/>
  <c r="U58" i="5"/>
  <c r="T58" i="5"/>
  <c r="S58" i="5"/>
  <c r="R58" i="5"/>
  <c r="Q58" i="5"/>
  <c r="P58" i="5"/>
  <c r="O58" i="5"/>
  <c r="N58" i="5"/>
  <c r="M58" i="5"/>
  <c r="L58" i="5"/>
  <c r="K58" i="5"/>
  <c r="J58" i="5"/>
  <c r="I58" i="5"/>
  <c r="H58" i="5"/>
  <c r="G58" i="5"/>
  <c r="F58" i="5"/>
  <c r="E58" i="5"/>
  <c r="D58" i="5"/>
  <c r="C58" i="5"/>
  <c r="AA57" i="5"/>
  <c r="Z57" i="5"/>
  <c r="Y57" i="5"/>
  <c r="X57" i="5"/>
  <c r="W57" i="5"/>
  <c r="V57" i="5"/>
  <c r="U57" i="5"/>
  <c r="T57" i="5"/>
  <c r="S57" i="5"/>
  <c r="R57" i="5"/>
  <c r="Q57" i="5"/>
  <c r="P57" i="5"/>
  <c r="O57" i="5"/>
  <c r="N57" i="5"/>
  <c r="M57" i="5"/>
  <c r="L57" i="5"/>
  <c r="K57" i="5"/>
  <c r="J57" i="5"/>
  <c r="I57" i="5"/>
  <c r="H57" i="5"/>
  <c r="G57" i="5"/>
  <c r="F57" i="5"/>
  <c r="E57" i="5"/>
  <c r="D57" i="5"/>
  <c r="C57" i="5"/>
  <c r="AA56" i="5"/>
  <c r="Z56" i="5"/>
  <c r="Y56" i="5"/>
  <c r="X56" i="5"/>
  <c r="W56" i="5"/>
  <c r="V56" i="5"/>
  <c r="U56" i="5"/>
  <c r="T56" i="5"/>
  <c r="S56" i="5"/>
  <c r="R56" i="5"/>
  <c r="Q56" i="5"/>
  <c r="P56" i="5"/>
  <c r="O56" i="5"/>
  <c r="N56" i="5"/>
  <c r="M56" i="5"/>
  <c r="L56" i="5"/>
  <c r="K56" i="5"/>
  <c r="J56" i="5"/>
  <c r="I56" i="5"/>
  <c r="H56" i="5"/>
  <c r="G56" i="5"/>
  <c r="F56" i="5"/>
  <c r="E56" i="5"/>
  <c r="D56" i="5"/>
  <c r="C56" i="5"/>
  <c r="AA55" i="5"/>
  <c r="Z55" i="5"/>
  <c r="Y55" i="5"/>
  <c r="X55" i="5"/>
  <c r="W55" i="5"/>
  <c r="V55" i="5"/>
  <c r="U55" i="5"/>
  <c r="T55" i="5"/>
  <c r="S55" i="5"/>
  <c r="R55" i="5"/>
  <c r="Q55" i="5"/>
  <c r="P55" i="5"/>
  <c r="O55" i="5"/>
  <c r="N55" i="5"/>
  <c r="M55" i="5"/>
  <c r="L55" i="5"/>
  <c r="K55" i="5"/>
  <c r="J55" i="5"/>
  <c r="I55" i="5"/>
  <c r="H55" i="5"/>
  <c r="G55" i="5"/>
  <c r="F55" i="5"/>
  <c r="E55" i="5"/>
  <c r="D55" i="5"/>
  <c r="C55" i="5"/>
  <c r="AA54" i="5"/>
  <c r="Z54" i="5"/>
  <c r="Y54" i="5"/>
  <c r="X54" i="5"/>
  <c r="W54" i="5"/>
  <c r="V54" i="5"/>
  <c r="U54" i="5"/>
  <c r="T54" i="5"/>
  <c r="S54" i="5"/>
  <c r="R54" i="5"/>
  <c r="Q54" i="5"/>
  <c r="P54" i="5"/>
  <c r="O54" i="5"/>
  <c r="N54" i="5"/>
  <c r="M54" i="5"/>
  <c r="L54" i="5"/>
  <c r="K54" i="5"/>
  <c r="J54" i="5"/>
  <c r="I54" i="5"/>
  <c r="H54" i="5"/>
  <c r="G54" i="5"/>
  <c r="F54" i="5"/>
  <c r="E54" i="5"/>
  <c r="D54" i="5"/>
  <c r="C54" i="5"/>
  <c r="AA53" i="5"/>
  <c r="Z53" i="5"/>
  <c r="Y53" i="5"/>
  <c r="X53" i="5"/>
  <c r="W53" i="5"/>
  <c r="V53" i="5"/>
  <c r="U53" i="5"/>
  <c r="T53" i="5"/>
  <c r="S53" i="5"/>
  <c r="R53" i="5"/>
  <c r="Q53" i="5"/>
  <c r="P53" i="5"/>
  <c r="O53" i="5"/>
  <c r="N53" i="5"/>
  <c r="M53" i="5"/>
  <c r="L53" i="5"/>
  <c r="K53" i="5"/>
  <c r="J53" i="5"/>
  <c r="I53" i="5"/>
  <c r="H53" i="5"/>
  <c r="G53" i="5"/>
  <c r="F53" i="5"/>
  <c r="E53" i="5"/>
  <c r="D53" i="5"/>
  <c r="C53" i="5"/>
  <c r="AA52" i="5"/>
  <c r="Z52" i="5"/>
  <c r="Y52" i="5"/>
  <c r="X52" i="5"/>
  <c r="W52" i="5"/>
  <c r="V52" i="5"/>
  <c r="U52" i="5"/>
  <c r="T52" i="5"/>
  <c r="S52" i="5"/>
  <c r="R52" i="5"/>
  <c r="Q52" i="5"/>
  <c r="P52" i="5"/>
  <c r="O52" i="5"/>
  <c r="N52" i="5"/>
  <c r="M52" i="5"/>
  <c r="L52" i="5"/>
  <c r="K52" i="5"/>
  <c r="J52" i="5"/>
  <c r="I52" i="5"/>
  <c r="H52" i="5"/>
  <c r="G52" i="5"/>
  <c r="F52" i="5"/>
  <c r="E52" i="5"/>
  <c r="D52" i="5"/>
  <c r="C52" i="5"/>
  <c r="AA51" i="5"/>
  <c r="Z51" i="5"/>
  <c r="Y51" i="5"/>
  <c r="X51" i="5"/>
  <c r="W51" i="5"/>
  <c r="V51" i="5"/>
  <c r="U51" i="5"/>
  <c r="T51" i="5"/>
  <c r="S51" i="5"/>
  <c r="R51" i="5"/>
  <c r="Q51" i="5"/>
  <c r="P51" i="5"/>
  <c r="O51" i="5"/>
  <c r="N51" i="5"/>
  <c r="M51" i="5"/>
  <c r="L51" i="5"/>
  <c r="K51" i="5"/>
  <c r="J51" i="5"/>
  <c r="I51" i="5"/>
  <c r="H51" i="5"/>
  <c r="G51" i="5"/>
  <c r="F51" i="5"/>
  <c r="E51" i="5"/>
  <c r="D51" i="5"/>
  <c r="C51" i="5"/>
  <c r="AA50" i="5"/>
  <c r="Z50" i="5"/>
  <c r="Y50" i="5"/>
  <c r="X50" i="5"/>
  <c r="W50" i="5"/>
  <c r="V50" i="5"/>
  <c r="U50" i="5"/>
  <c r="T50" i="5"/>
  <c r="S50" i="5"/>
  <c r="R50" i="5"/>
  <c r="Q50" i="5"/>
  <c r="P50" i="5"/>
  <c r="O50" i="5"/>
  <c r="N50" i="5"/>
  <c r="M50" i="5"/>
  <c r="L50" i="5"/>
  <c r="K50" i="5"/>
  <c r="J50" i="5"/>
  <c r="I50" i="5"/>
  <c r="H50" i="5"/>
  <c r="G50" i="5"/>
  <c r="F50" i="5"/>
  <c r="E50" i="5"/>
  <c r="D50" i="5"/>
  <c r="C50" i="5"/>
  <c r="AA49" i="5"/>
  <c r="Z49" i="5"/>
  <c r="Y49" i="5"/>
  <c r="X49" i="5"/>
  <c r="W49" i="5"/>
  <c r="V49" i="5"/>
  <c r="U49" i="5"/>
  <c r="T49" i="5"/>
  <c r="S49" i="5"/>
  <c r="R49" i="5"/>
  <c r="Q49" i="5"/>
  <c r="P49" i="5"/>
  <c r="O49" i="5"/>
  <c r="N49" i="5"/>
  <c r="M49" i="5"/>
  <c r="L49" i="5"/>
  <c r="K49" i="5"/>
  <c r="J49" i="5"/>
  <c r="I49" i="5"/>
  <c r="H49" i="5"/>
  <c r="G49" i="5"/>
  <c r="F49" i="5"/>
  <c r="E49" i="5"/>
  <c r="D49" i="5"/>
  <c r="C49" i="5"/>
  <c r="AA48" i="5"/>
  <c r="Z48" i="5"/>
  <c r="Y48" i="5"/>
  <c r="X48" i="5"/>
  <c r="W48" i="5"/>
  <c r="V48" i="5"/>
  <c r="U48" i="5"/>
  <c r="T48" i="5"/>
  <c r="S48" i="5"/>
  <c r="R48" i="5"/>
  <c r="Q48" i="5"/>
  <c r="P48" i="5"/>
  <c r="O48" i="5"/>
  <c r="N48" i="5"/>
  <c r="M48" i="5"/>
  <c r="L48" i="5"/>
  <c r="K48" i="5"/>
  <c r="J48" i="5"/>
  <c r="I48" i="5"/>
  <c r="H48" i="5"/>
  <c r="G48" i="5"/>
  <c r="F48" i="5"/>
  <c r="E48" i="5"/>
  <c r="D48" i="5"/>
  <c r="C48" i="5"/>
  <c r="AA47" i="5"/>
  <c r="Z47" i="5"/>
  <c r="Y47" i="5"/>
  <c r="X47" i="5"/>
  <c r="W47" i="5"/>
  <c r="V47" i="5"/>
  <c r="U47" i="5"/>
  <c r="T47" i="5"/>
  <c r="S47" i="5"/>
  <c r="R47" i="5"/>
  <c r="Q47" i="5"/>
  <c r="P47" i="5"/>
  <c r="O47" i="5"/>
  <c r="N47" i="5"/>
  <c r="M47" i="5"/>
  <c r="L47" i="5"/>
  <c r="K47" i="5"/>
  <c r="J47" i="5"/>
  <c r="I47" i="5"/>
  <c r="H47" i="5"/>
  <c r="G47" i="5"/>
  <c r="F47" i="5"/>
  <c r="E47" i="5"/>
  <c r="D47" i="5"/>
  <c r="C47" i="5"/>
  <c r="AA46" i="5"/>
  <c r="Z46" i="5"/>
  <c r="Y46" i="5"/>
  <c r="X46" i="5"/>
  <c r="W46" i="5"/>
  <c r="V46" i="5"/>
  <c r="U46" i="5"/>
  <c r="T46" i="5"/>
  <c r="S46" i="5"/>
  <c r="R46" i="5"/>
  <c r="Q46" i="5"/>
  <c r="P46" i="5"/>
  <c r="O46" i="5"/>
  <c r="N46" i="5"/>
  <c r="M46" i="5"/>
  <c r="L46" i="5"/>
  <c r="K46" i="5"/>
  <c r="J46" i="5"/>
  <c r="I46" i="5"/>
  <c r="H46" i="5"/>
  <c r="G46" i="5"/>
  <c r="F46" i="5"/>
  <c r="E46" i="5"/>
  <c r="D46" i="5"/>
  <c r="C46" i="5"/>
  <c r="AA45" i="5"/>
  <c r="Z45" i="5"/>
  <c r="Y45" i="5"/>
  <c r="X45" i="5"/>
  <c r="W45" i="5"/>
  <c r="V45" i="5"/>
  <c r="U45" i="5"/>
  <c r="T45" i="5"/>
  <c r="S45" i="5"/>
  <c r="R45" i="5"/>
  <c r="Q45" i="5"/>
  <c r="P45" i="5"/>
  <c r="O45" i="5"/>
  <c r="N45" i="5"/>
  <c r="M45" i="5"/>
  <c r="L45" i="5"/>
  <c r="K45" i="5"/>
  <c r="J45" i="5"/>
  <c r="I45" i="5"/>
  <c r="H45" i="5"/>
  <c r="G45" i="5"/>
  <c r="F45" i="5"/>
  <c r="E45" i="5"/>
  <c r="D45" i="5"/>
  <c r="C45" i="5"/>
  <c r="AA44" i="5"/>
  <c r="Z44" i="5"/>
  <c r="Y44" i="5"/>
  <c r="X44" i="5"/>
  <c r="W44" i="5"/>
  <c r="V44" i="5"/>
  <c r="U44" i="5"/>
  <c r="T44" i="5"/>
  <c r="S44" i="5"/>
  <c r="R44" i="5"/>
  <c r="Q44" i="5"/>
  <c r="P44" i="5"/>
  <c r="O44" i="5"/>
  <c r="N44" i="5"/>
  <c r="M44" i="5"/>
  <c r="L44" i="5"/>
  <c r="K44" i="5"/>
  <c r="J44" i="5"/>
  <c r="I44" i="5"/>
  <c r="H44" i="5"/>
  <c r="G44" i="5"/>
  <c r="F44" i="5"/>
  <c r="E44" i="5"/>
  <c r="D44" i="5"/>
  <c r="C44" i="5"/>
  <c r="AA43" i="5"/>
  <c r="Z43" i="5"/>
  <c r="Y43" i="5"/>
  <c r="X43" i="5"/>
  <c r="W43" i="5"/>
  <c r="V43" i="5"/>
  <c r="U43" i="5"/>
  <c r="T43" i="5"/>
  <c r="S43" i="5"/>
  <c r="R43" i="5"/>
  <c r="Q43" i="5"/>
  <c r="P43" i="5"/>
  <c r="O43" i="5"/>
  <c r="N43" i="5"/>
  <c r="M43" i="5"/>
  <c r="L43" i="5"/>
  <c r="K43" i="5"/>
  <c r="J43" i="5"/>
  <c r="I43" i="5"/>
  <c r="H43" i="5"/>
  <c r="G43" i="5"/>
  <c r="F43" i="5"/>
  <c r="E43" i="5"/>
  <c r="D43" i="5"/>
  <c r="C43" i="5"/>
  <c r="AA42" i="5"/>
  <c r="Z42" i="5"/>
  <c r="Y42" i="5"/>
  <c r="X42" i="5"/>
  <c r="W42" i="5"/>
  <c r="V42" i="5"/>
  <c r="U42" i="5"/>
  <c r="T42" i="5"/>
  <c r="S42" i="5"/>
  <c r="R42" i="5"/>
  <c r="Q42" i="5"/>
  <c r="P42" i="5"/>
  <c r="O42" i="5"/>
  <c r="N42" i="5"/>
  <c r="M42" i="5"/>
  <c r="L42" i="5"/>
  <c r="K42" i="5"/>
  <c r="J42" i="5"/>
  <c r="I42" i="5"/>
  <c r="H42" i="5"/>
  <c r="G42" i="5"/>
  <c r="F42" i="5"/>
  <c r="E42" i="5"/>
  <c r="D42" i="5"/>
  <c r="C42" i="5"/>
  <c r="AA41" i="5"/>
  <c r="Z41" i="5"/>
  <c r="Y41" i="5"/>
  <c r="X41" i="5"/>
  <c r="W41" i="5"/>
  <c r="V41" i="5"/>
  <c r="U41" i="5"/>
  <c r="T41" i="5"/>
  <c r="S41" i="5"/>
  <c r="R41" i="5"/>
  <c r="Q41" i="5"/>
  <c r="P41" i="5"/>
  <c r="O41" i="5"/>
  <c r="N41" i="5"/>
  <c r="M41" i="5"/>
  <c r="L41" i="5"/>
  <c r="K41" i="5"/>
  <c r="J41" i="5"/>
  <c r="I41" i="5"/>
  <c r="H41" i="5"/>
  <c r="G41" i="5"/>
  <c r="F41" i="5"/>
  <c r="E41" i="5"/>
  <c r="D41" i="5"/>
  <c r="C41" i="5"/>
  <c r="AA40" i="5"/>
  <c r="Z40" i="5"/>
  <c r="Y40" i="5"/>
  <c r="X40" i="5"/>
  <c r="W40" i="5"/>
  <c r="V40" i="5"/>
  <c r="U40" i="5"/>
  <c r="T40" i="5"/>
  <c r="S40" i="5"/>
  <c r="R40" i="5"/>
  <c r="Q40" i="5"/>
  <c r="P40" i="5"/>
  <c r="O40" i="5"/>
  <c r="N40" i="5"/>
  <c r="M40" i="5"/>
  <c r="L40" i="5"/>
  <c r="K40" i="5"/>
  <c r="J40" i="5"/>
  <c r="I40" i="5"/>
  <c r="H40" i="5"/>
  <c r="G40" i="5"/>
  <c r="F40" i="5"/>
  <c r="E40" i="5"/>
  <c r="D40" i="5"/>
  <c r="C40" i="5"/>
  <c r="AA39" i="5"/>
  <c r="Z39" i="5"/>
  <c r="Y39" i="5"/>
  <c r="X39" i="5"/>
  <c r="W39" i="5"/>
  <c r="V39" i="5"/>
  <c r="U39" i="5"/>
  <c r="T39" i="5"/>
  <c r="S39" i="5"/>
  <c r="R39" i="5"/>
  <c r="Q39" i="5"/>
  <c r="P39" i="5"/>
  <c r="O39" i="5"/>
  <c r="N39" i="5"/>
  <c r="M39" i="5"/>
  <c r="L39" i="5"/>
  <c r="K39" i="5"/>
  <c r="J39" i="5"/>
  <c r="I39" i="5"/>
  <c r="H39" i="5"/>
  <c r="G39" i="5"/>
  <c r="F39" i="5"/>
  <c r="E39" i="5"/>
  <c r="D39" i="5"/>
  <c r="C39" i="5"/>
  <c r="AA38" i="5"/>
  <c r="Z38" i="5"/>
  <c r="Y38" i="5"/>
  <c r="X38" i="5"/>
  <c r="W38" i="5"/>
  <c r="V38" i="5"/>
  <c r="U38" i="5"/>
  <c r="T38" i="5"/>
  <c r="S38" i="5"/>
  <c r="R38" i="5"/>
  <c r="Q38" i="5"/>
  <c r="P38" i="5"/>
  <c r="O38" i="5"/>
  <c r="N38" i="5"/>
  <c r="M38" i="5"/>
  <c r="L38" i="5"/>
  <c r="K38" i="5"/>
  <c r="J38" i="5"/>
  <c r="I38" i="5"/>
  <c r="H38" i="5"/>
  <c r="G38" i="5"/>
  <c r="F38" i="5"/>
  <c r="E38" i="5"/>
  <c r="D38" i="5"/>
  <c r="C38" i="5"/>
  <c r="AA37" i="5"/>
  <c r="Z37" i="5"/>
  <c r="Y37" i="5"/>
  <c r="X37" i="5"/>
  <c r="W37" i="5"/>
  <c r="V37" i="5"/>
  <c r="U37" i="5"/>
  <c r="T37" i="5"/>
  <c r="S37" i="5"/>
  <c r="R37" i="5"/>
  <c r="Q37" i="5"/>
  <c r="P37" i="5"/>
  <c r="O37" i="5"/>
  <c r="N37" i="5"/>
  <c r="M37" i="5"/>
  <c r="L37" i="5"/>
  <c r="K37" i="5"/>
  <c r="J37" i="5"/>
  <c r="I37" i="5"/>
  <c r="H37" i="5"/>
  <c r="G37" i="5"/>
  <c r="F37" i="5"/>
  <c r="E37" i="5"/>
  <c r="D37" i="5"/>
  <c r="C37" i="5"/>
  <c r="AA36" i="5"/>
  <c r="Z36" i="5"/>
  <c r="Y36" i="5"/>
  <c r="X36" i="5"/>
  <c r="W36" i="5"/>
  <c r="V36" i="5"/>
  <c r="U36" i="5"/>
  <c r="T36" i="5"/>
  <c r="S36" i="5"/>
  <c r="R36" i="5"/>
  <c r="Q36" i="5"/>
  <c r="P36" i="5"/>
  <c r="O36" i="5"/>
  <c r="N36" i="5"/>
  <c r="M36" i="5"/>
  <c r="L36" i="5"/>
  <c r="K36" i="5"/>
  <c r="J36" i="5"/>
  <c r="I36" i="5"/>
  <c r="H36" i="5"/>
  <c r="G36" i="5"/>
  <c r="F36" i="5"/>
  <c r="E36" i="5"/>
  <c r="D36" i="5"/>
  <c r="C36" i="5"/>
  <c r="AA35" i="5"/>
  <c r="Z35" i="5"/>
  <c r="Y35" i="5"/>
  <c r="X35" i="5"/>
  <c r="W35" i="5"/>
  <c r="V35" i="5"/>
  <c r="U35" i="5"/>
  <c r="T35" i="5"/>
  <c r="S35" i="5"/>
  <c r="R35" i="5"/>
  <c r="Q35" i="5"/>
  <c r="P35" i="5"/>
  <c r="O35" i="5"/>
  <c r="N35" i="5"/>
  <c r="M35" i="5"/>
  <c r="L35" i="5"/>
  <c r="K35" i="5"/>
  <c r="J35" i="5"/>
  <c r="I35" i="5"/>
  <c r="H35" i="5"/>
  <c r="G35" i="5"/>
  <c r="F35" i="5"/>
  <c r="E35" i="5"/>
  <c r="D35" i="5"/>
  <c r="C35" i="5"/>
  <c r="AA34" i="5"/>
  <c r="Z34" i="5"/>
  <c r="Y34" i="5"/>
  <c r="X34" i="5"/>
  <c r="W34" i="5"/>
  <c r="V34" i="5"/>
  <c r="U34" i="5"/>
  <c r="T34" i="5"/>
  <c r="S34" i="5"/>
  <c r="R34" i="5"/>
  <c r="Q34" i="5"/>
  <c r="P34" i="5"/>
  <c r="O34" i="5"/>
  <c r="N34" i="5"/>
  <c r="M34" i="5"/>
  <c r="L34" i="5"/>
  <c r="K34" i="5"/>
  <c r="J34" i="5"/>
  <c r="I34" i="5"/>
  <c r="H34" i="5"/>
  <c r="G34" i="5"/>
  <c r="F34" i="5"/>
  <c r="E34" i="5"/>
  <c r="D34" i="5"/>
  <c r="C34" i="5"/>
  <c r="AA33" i="5"/>
  <c r="Z33" i="5"/>
  <c r="Y33" i="5"/>
  <c r="X33" i="5"/>
  <c r="W33" i="5"/>
  <c r="V33" i="5"/>
  <c r="U33" i="5"/>
  <c r="T33" i="5"/>
  <c r="S33" i="5"/>
  <c r="R33" i="5"/>
  <c r="Q33" i="5"/>
  <c r="P33" i="5"/>
  <c r="O33" i="5"/>
  <c r="N33" i="5"/>
  <c r="M33" i="5"/>
  <c r="L33" i="5"/>
  <c r="K33" i="5"/>
  <c r="J33" i="5"/>
  <c r="I33" i="5"/>
  <c r="H33" i="5"/>
  <c r="G33" i="5"/>
  <c r="F33" i="5"/>
  <c r="E33" i="5"/>
  <c r="D33" i="5"/>
  <c r="C33" i="5"/>
  <c r="AA32" i="5"/>
  <c r="Z32" i="5"/>
  <c r="Y32" i="5"/>
  <c r="X32" i="5"/>
  <c r="W32" i="5"/>
  <c r="V32" i="5"/>
  <c r="U32" i="5"/>
  <c r="T32" i="5"/>
  <c r="S32" i="5"/>
  <c r="R32" i="5"/>
  <c r="Q32" i="5"/>
  <c r="P32" i="5"/>
  <c r="O32" i="5"/>
  <c r="N32" i="5"/>
  <c r="M32" i="5"/>
  <c r="L32" i="5"/>
  <c r="K32" i="5"/>
  <c r="J32" i="5"/>
  <c r="I32" i="5"/>
  <c r="H32" i="5"/>
  <c r="G32" i="5"/>
  <c r="F32" i="5"/>
  <c r="E32" i="5"/>
  <c r="D32" i="5"/>
  <c r="C32" i="5"/>
  <c r="AA31" i="5"/>
  <c r="Z31" i="5"/>
  <c r="Y31" i="5"/>
  <c r="X31" i="5"/>
  <c r="W31" i="5"/>
  <c r="V31" i="5"/>
  <c r="U31" i="5"/>
  <c r="T31" i="5"/>
  <c r="S31" i="5"/>
  <c r="R31" i="5"/>
  <c r="Q31" i="5"/>
  <c r="P31" i="5"/>
  <c r="O31" i="5"/>
  <c r="N31" i="5"/>
  <c r="M31" i="5"/>
  <c r="L31" i="5"/>
  <c r="K31" i="5"/>
  <c r="J31" i="5"/>
  <c r="I31" i="5"/>
  <c r="H31" i="5"/>
  <c r="G31" i="5"/>
  <c r="F31" i="5"/>
  <c r="E31" i="5"/>
  <c r="D31" i="5"/>
  <c r="C31" i="5"/>
  <c r="AA30" i="5"/>
  <c r="Z30" i="5"/>
  <c r="Y30" i="5"/>
  <c r="X30" i="5"/>
  <c r="W30" i="5"/>
  <c r="V30" i="5"/>
  <c r="U30" i="5"/>
  <c r="T30" i="5"/>
  <c r="S30" i="5"/>
  <c r="R30" i="5"/>
  <c r="Q30" i="5"/>
  <c r="P30" i="5"/>
  <c r="O30" i="5"/>
  <c r="N30" i="5"/>
  <c r="M30" i="5"/>
  <c r="L30" i="5"/>
  <c r="K30" i="5"/>
  <c r="J30" i="5"/>
  <c r="I30" i="5"/>
  <c r="H30" i="5"/>
  <c r="G30" i="5"/>
  <c r="F30" i="5"/>
  <c r="E30" i="5"/>
  <c r="D30" i="5"/>
  <c r="C30" i="5"/>
  <c r="AA29" i="5"/>
  <c r="Z29" i="5"/>
  <c r="Y29" i="5"/>
  <c r="X29" i="5"/>
  <c r="W29" i="5"/>
  <c r="V29" i="5"/>
  <c r="U29" i="5"/>
  <c r="T29" i="5"/>
  <c r="S29" i="5"/>
  <c r="R29" i="5"/>
  <c r="Q29" i="5"/>
  <c r="P29" i="5"/>
  <c r="O29" i="5"/>
  <c r="N29" i="5"/>
  <c r="M29" i="5"/>
  <c r="L29" i="5"/>
  <c r="K29" i="5"/>
  <c r="J29" i="5"/>
  <c r="I29" i="5"/>
  <c r="H29" i="5"/>
  <c r="G29" i="5"/>
  <c r="F29" i="5"/>
  <c r="E29" i="5"/>
  <c r="D29" i="5"/>
  <c r="C29" i="5"/>
  <c r="AA28" i="5"/>
  <c r="Z28" i="5"/>
  <c r="Y28" i="5"/>
  <c r="X28" i="5"/>
  <c r="W28" i="5"/>
  <c r="V28" i="5"/>
  <c r="U28" i="5"/>
  <c r="T28" i="5"/>
  <c r="S28" i="5"/>
  <c r="R28" i="5"/>
  <c r="Q28" i="5"/>
  <c r="P28" i="5"/>
  <c r="O28" i="5"/>
  <c r="N28" i="5"/>
  <c r="M28" i="5"/>
  <c r="L28" i="5"/>
  <c r="K28" i="5"/>
  <c r="J28" i="5"/>
  <c r="I28" i="5"/>
  <c r="H28" i="5"/>
  <c r="G28" i="5"/>
  <c r="F28" i="5"/>
  <c r="E28" i="5"/>
  <c r="D28" i="5"/>
  <c r="C28" i="5"/>
  <c r="AA27" i="5"/>
  <c r="Z27" i="5"/>
  <c r="Y27" i="5"/>
  <c r="X27" i="5"/>
  <c r="W27" i="5"/>
  <c r="V27" i="5"/>
  <c r="U27" i="5"/>
  <c r="T27" i="5"/>
  <c r="S27" i="5"/>
  <c r="R27" i="5"/>
  <c r="Q27" i="5"/>
  <c r="P27" i="5"/>
  <c r="O27" i="5"/>
  <c r="N27" i="5"/>
  <c r="M27" i="5"/>
  <c r="L27" i="5"/>
  <c r="K27" i="5"/>
  <c r="J27" i="5"/>
  <c r="I27" i="5"/>
  <c r="H27" i="5"/>
  <c r="G27" i="5"/>
  <c r="F27" i="5"/>
  <c r="E27" i="5"/>
  <c r="D27" i="5"/>
  <c r="C27" i="5"/>
  <c r="AA26" i="5"/>
  <c r="Z26" i="5"/>
  <c r="Y26" i="5"/>
  <c r="X26" i="5"/>
  <c r="W26" i="5"/>
  <c r="V26" i="5"/>
  <c r="U26" i="5"/>
  <c r="T26" i="5"/>
  <c r="S26" i="5"/>
  <c r="R26" i="5"/>
  <c r="Q26" i="5"/>
  <c r="P26" i="5"/>
  <c r="O26" i="5"/>
  <c r="N26" i="5"/>
  <c r="M26" i="5"/>
  <c r="L26" i="5"/>
  <c r="K26" i="5"/>
  <c r="J26" i="5"/>
  <c r="I26" i="5"/>
  <c r="H26" i="5"/>
  <c r="G26" i="5"/>
  <c r="F26" i="5"/>
  <c r="E26" i="5"/>
  <c r="D26" i="5"/>
  <c r="C26" i="5"/>
  <c r="AA25" i="5"/>
  <c r="Z25" i="5"/>
  <c r="Y25" i="5"/>
  <c r="X25" i="5"/>
  <c r="W25" i="5"/>
  <c r="V25" i="5"/>
  <c r="U25" i="5"/>
  <c r="T25" i="5"/>
  <c r="S25" i="5"/>
  <c r="R25" i="5"/>
  <c r="Q25" i="5"/>
  <c r="P25" i="5"/>
  <c r="O25" i="5"/>
  <c r="N25" i="5"/>
  <c r="M25" i="5"/>
  <c r="L25" i="5"/>
  <c r="K25" i="5"/>
  <c r="J25" i="5"/>
  <c r="I25" i="5"/>
  <c r="H25" i="5"/>
  <c r="G25" i="5"/>
  <c r="F25" i="5"/>
  <c r="E25" i="5"/>
  <c r="D25" i="5"/>
  <c r="C25" i="5"/>
  <c r="AA24" i="5"/>
  <c r="Z24" i="5"/>
  <c r="Y24" i="5"/>
  <c r="X24" i="5"/>
  <c r="W24" i="5"/>
  <c r="V24" i="5"/>
  <c r="U24" i="5"/>
  <c r="T24" i="5"/>
  <c r="S24" i="5"/>
  <c r="R24" i="5"/>
  <c r="Q24" i="5"/>
  <c r="P24" i="5"/>
  <c r="O24" i="5"/>
  <c r="N24" i="5"/>
  <c r="M24" i="5"/>
  <c r="L24" i="5"/>
  <c r="K24" i="5"/>
  <c r="J24" i="5"/>
  <c r="I24" i="5"/>
  <c r="H24" i="5"/>
  <c r="G24" i="5"/>
  <c r="F24" i="5"/>
  <c r="E24" i="5"/>
  <c r="D24" i="5"/>
  <c r="C24" i="5"/>
  <c r="AA23" i="5"/>
  <c r="Z23" i="5"/>
  <c r="Y23" i="5"/>
  <c r="X23" i="5"/>
  <c r="W23" i="5"/>
  <c r="V23" i="5"/>
  <c r="U23" i="5"/>
  <c r="T23" i="5"/>
  <c r="S23" i="5"/>
  <c r="R23" i="5"/>
  <c r="Q23" i="5"/>
  <c r="P23" i="5"/>
  <c r="O23" i="5"/>
  <c r="N23" i="5"/>
  <c r="M23" i="5"/>
  <c r="L23" i="5"/>
  <c r="K23" i="5"/>
  <c r="J23" i="5"/>
  <c r="I23" i="5"/>
  <c r="H23" i="5"/>
  <c r="G23" i="5"/>
  <c r="F23" i="5"/>
  <c r="E23" i="5"/>
  <c r="D23" i="5"/>
  <c r="C23" i="5"/>
  <c r="AA22" i="5"/>
  <c r="Z22" i="5"/>
  <c r="Y22" i="5"/>
  <c r="X22" i="5"/>
  <c r="W22" i="5"/>
  <c r="V22" i="5"/>
  <c r="U22" i="5"/>
  <c r="T22" i="5"/>
  <c r="S22" i="5"/>
  <c r="R22" i="5"/>
  <c r="Q22" i="5"/>
  <c r="P22" i="5"/>
  <c r="O22" i="5"/>
  <c r="N22" i="5"/>
  <c r="M22" i="5"/>
  <c r="L22" i="5"/>
  <c r="K22" i="5"/>
  <c r="J22" i="5"/>
  <c r="I22" i="5"/>
  <c r="H22" i="5"/>
  <c r="G22" i="5"/>
  <c r="F22" i="5"/>
  <c r="E22" i="5"/>
  <c r="D22" i="5"/>
  <c r="C22" i="5"/>
  <c r="AA21" i="5"/>
  <c r="Z21" i="5"/>
  <c r="Y21" i="5"/>
  <c r="X21" i="5"/>
  <c r="W21" i="5"/>
  <c r="V21" i="5"/>
  <c r="U21" i="5"/>
  <c r="T21" i="5"/>
  <c r="S21" i="5"/>
  <c r="R21" i="5"/>
  <c r="Q21" i="5"/>
  <c r="P21" i="5"/>
  <c r="O21" i="5"/>
  <c r="N21" i="5"/>
  <c r="M21" i="5"/>
  <c r="L21" i="5"/>
  <c r="K21" i="5"/>
  <c r="J21" i="5"/>
  <c r="I21" i="5"/>
  <c r="H21" i="5"/>
  <c r="G21" i="5"/>
  <c r="F21" i="5"/>
  <c r="E21" i="5"/>
  <c r="D21" i="5"/>
  <c r="C21" i="5"/>
  <c r="AA20" i="5"/>
  <c r="Z20" i="5"/>
  <c r="Y20" i="5"/>
  <c r="X20" i="5"/>
  <c r="W20" i="5"/>
  <c r="V20" i="5"/>
  <c r="U20" i="5"/>
  <c r="T20" i="5"/>
  <c r="S20" i="5"/>
  <c r="R20" i="5"/>
  <c r="Q20" i="5"/>
  <c r="P20" i="5"/>
  <c r="O20" i="5"/>
  <c r="N20" i="5"/>
  <c r="M20" i="5"/>
  <c r="L20" i="5"/>
  <c r="K20" i="5"/>
  <c r="J20" i="5"/>
  <c r="I20" i="5"/>
  <c r="H20" i="5"/>
  <c r="G20" i="5"/>
  <c r="F20" i="5"/>
  <c r="E20" i="5"/>
  <c r="D20" i="5"/>
  <c r="C20" i="5"/>
  <c r="AA19" i="5"/>
  <c r="Z19" i="5"/>
  <c r="Y19" i="5"/>
  <c r="X19" i="5"/>
  <c r="W19" i="5"/>
  <c r="V19" i="5"/>
  <c r="U19" i="5"/>
  <c r="T19" i="5"/>
  <c r="S19" i="5"/>
  <c r="R19" i="5"/>
  <c r="Q19" i="5"/>
  <c r="P19" i="5"/>
  <c r="O19" i="5"/>
  <c r="N19" i="5"/>
  <c r="M19" i="5"/>
  <c r="L19" i="5"/>
  <c r="K19" i="5"/>
  <c r="J19" i="5"/>
  <c r="I19" i="5"/>
  <c r="H19" i="5"/>
  <c r="G19" i="5"/>
  <c r="F19" i="5"/>
  <c r="E19" i="5"/>
  <c r="D19" i="5"/>
  <c r="C19" i="5"/>
  <c r="AA18" i="5"/>
  <c r="Z18" i="5"/>
  <c r="Y18" i="5"/>
  <c r="X18" i="5"/>
  <c r="W18" i="5"/>
  <c r="V18" i="5"/>
  <c r="U18" i="5"/>
  <c r="T18" i="5"/>
  <c r="S18" i="5"/>
  <c r="R18" i="5"/>
  <c r="Q18" i="5"/>
  <c r="P18" i="5"/>
  <c r="O18" i="5"/>
  <c r="N18" i="5"/>
  <c r="M18" i="5"/>
  <c r="L18" i="5"/>
  <c r="K18" i="5"/>
  <c r="J18" i="5"/>
  <c r="I18" i="5"/>
  <c r="H18" i="5"/>
  <c r="G18" i="5"/>
  <c r="F18" i="5"/>
  <c r="E18" i="5"/>
  <c r="D18" i="5"/>
  <c r="C18" i="5"/>
  <c r="AA17" i="5"/>
  <c r="Z17" i="5"/>
  <c r="Y17" i="5"/>
  <c r="X17" i="5"/>
  <c r="W17" i="5"/>
  <c r="V17" i="5"/>
  <c r="U17" i="5"/>
  <c r="T17" i="5"/>
  <c r="S17" i="5"/>
  <c r="R17" i="5"/>
  <c r="Q17" i="5"/>
  <c r="P17" i="5"/>
  <c r="O17" i="5"/>
  <c r="N17" i="5"/>
  <c r="M17" i="5"/>
  <c r="L17" i="5"/>
  <c r="K17" i="5"/>
  <c r="J17" i="5"/>
  <c r="I17" i="5"/>
  <c r="H17" i="5"/>
  <c r="G17" i="5"/>
  <c r="F17" i="5"/>
  <c r="E17" i="5"/>
  <c r="D17" i="5"/>
  <c r="C17" i="5"/>
  <c r="AA16" i="5"/>
  <c r="Z16" i="5"/>
  <c r="Y16" i="5"/>
  <c r="X16" i="5"/>
  <c r="W16" i="5"/>
  <c r="V16" i="5"/>
  <c r="U16" i="5"/>
  <c r="T16" i="5"/>
  <c r="S16" i="5"/>
  <c r="R16" i="5"/>
  <c r="Q16" i="5"/>
  <c r="P16" i="5"/>
  <c r="O16" i="5"/>
  <c r="N16" i="5"/>
  <c r="M16" i="5"/>
  <c r="L16" i="5"/>
  <c r="K16" i="5"/>
  <c r="J16" i="5"/>
  <c r="I16" i="5"/>
  <c r="H16" i="5"/>
  <c r="G16" i="5"/>
  <c r="F16" i="5"/>
  <c r="E16" i="5"/>
  <c r="D16" i="5"/>
  <c r="C16" i="5"/>
  <c r="AA15" i="5"/>
  <c r="Z15" i="5"/>
  <c r="Y15" i="5"/>
  <c r="X15" i="5"/>
  <c r="W15" i="5"/>
  <c r="V15" i="5"/>
  <c r="U15" i="5"/>
  <c r="T15" i="5"/>
  <c r="S15" i="5"/>
  <c r="R15" i="5"/>
  <c r="Q15" i="5"/>
  <c r="P15" i="5"/>
  <c r="O15" i="5"/>
  <c r="N15" i="5"/>
  <c r="M15" i="5"/>
  <c r="L15" i="5"/>
  <c r="K15" i="5"/>
  <c r="J15" i="5"/>
  <c r="I15" i="5"/>
  <c r="H15" i="5"/>
  <c r="G15" i="5"/>
  <c r="F15" i="5"/>
  <c r="E15" i="5"/>
  <c r="D15" i="5"/>
  <c r="C15" i="5"/>
  <c r="AA14" i="5"/>
  <c r="Z14" i="5"/>
  <c r="Y14" i="5"/>
  <c r="X14" i="5"/>
  <c r="W14" i="5"/>
  <c r="V14" i="5"/>
  <c r="U14" i="5"/>
  <c r="T14" i="5"/>
  <c r="S14" i="5"/>
  <c r="R14" i="5"/>
  <c r="Q14" i="5"/>
  <c r="P14" i="5"/>
  <c r="O14" i="5"/>
  <c r="N14" i="5"/>
  <c r="M14" i="5"/>
  <c r="L14" i="5"/>
  <c r="K14" i="5"/>
  <c r="J14" i="5"/>
  <c r="I14" i="5"/>
  <c r="H14" i="5"/>
  <c r="G14" i="5"/>
  <c r="F14" i="5"/>
  <c r="E14" i="5"/>
  <c r="D14" i="5"/>
  <c r="C14" i="5"/>
  <c r="AA13" i="5"/>
  <c r="Z13" i="5"/>
  <c r="Y13" i="5"/>
  <c r="X13" i="5"/>
  <c r="W13" i="5"/>
  <c r="V13" i="5"/>
  <c r="U13" i="5"/>
  <c r="T13" i="5"/>
  <c r="S13" i="5"/>
  <c r="R13" i="5"/>
  <c r="Q13" i="5"/>
  <c r="P13" i="5"/>
  <c r="O13" i="5"/>
  <c r="N13" i="5"/>
  <c r="M13" i="5"/>
  <c r="L13" i="5"/>
  <c r="K13" i="5"/>
  <c r="J13" i="5"/>
  <c r="I13" i="5"/>
  <c r="H13" i="5"/>
  <c r="G13" i="5"/>
  <c r="F13" i="5"/>
  <c r="E13" i="5"/>
  <c r="D13" i="5"/>
  <c r="C13" i="5"/>
  <c r="Z12" i="5"/>
  <c r="Y12" i="5"/>
  <c r="X12" i="5"/>
  <c r="W12" i="5"/>
  <c r="V12" i="5"/>
  <c r="U12" i="5"/>
  <c r="T12" i="5"/>
  <c r="S12" i="5"/>
  <c r="R12" i="5"/>
  <c r="Q12" i="5"/>
  <c r="P12" i="5"/>
  <c r="O12" i="5"/>
  <c r="N12" i="5"/>
  <c r="M12" i="5"/>
  <c r="L12" i="5"/>
  <c r="K12" i="5"/>
  <c r="J12" i="5"/>
  <c r="I12" i="5"/>
  <c r="H12" i="5"/>
  <c r="G12" i="5"/>
  <c r="F12" i="5"/>
  <c r="E12" i="5"/>
  <c r="D12" i="5"/>
  <c r="C12" i="5"/>
  <c r="AA12" i="5" s="1"/>
  <c r="Z11" i="5"/>
  <c r="Y11" i="5"/>
  <c r="X11" i="5"/>
  <c r="W11" i="5"/>
  <c r="V11" i="5"/>
  <c r="U11" i="5"/>
  <c r="T11" i="5"/>
  <c r="S11" i="5"/>
  <c r="R11" i="5"/>
  <c r="Q11" i="5"/>
  <c r="P11" i="5"/>
  <c r="O11" i="5"/>
  <c r="N11" i="5"/>
  <c r="M11" i="5"/>
  <c r="L11" i="5"/>
  <c r="K11" i="5"/>
  <c r="J11" i="5"/>
  <c r="I11" i="5"/>
  <c r="H11" i="5"/>
  <c r="G11" i="5"/>
  <c r="F11" i="5"/>
  <c r="E11" i="5"/>
  <c r="D11" i="5"/>
  <c r="C11" i="5"/>
  <c r="AA11" i="5" s="1"/>
  <c r="AE4" i="5"/>
  <c r="AE3" i="5"/>
  <c r="AE2" i="5"/>
  <c r="AC86" i="4"/>
  <c r="AC87" i="4"/>
  <c r="AC88" i="4"/>
  <c r="AA88" i="4"/>
  <c r="Z88" i="4"/>
  <c r="Y88" i="4"/>
  <c r="X88" i="4"/>
  <c r="W88" i="4"/>
  <c r="V88" i="4"/>
  <c r="U88" i="4"/>
  <c r="T88" i="4"/>
  <c r="S88" i="4"/>
  <c r="Q88" i="4"/>
  <c r="P88" i="4"/>
  <c r="N88" i="4"/>
  <c r="M88" i="4"/>
  <c r="L88" i="4"/>
  <c r="K88" i="4"/>
  <c r="J88" i="4"/>
  <c r="I88" i="4"/>
  <c r="H88" i="4"/>
  <c r="G88" i="4"/>
  <c r="F88" i="4"/>
  <c r="E88" i="4"/>
  <c r="D88" i="4"/>
  <c r="C88" i="4"/>
  <c r="AA87" i="4"/>
  <c r="Z87" i="4"/>
  <c r="Y87" i="4"/>
  <c r="X87" i="4"/>
  <c r="W87" i="4"/>
  <c r="V87" i="4"/>
  <c r="U87" i="4"/>
  <c r="T87" i="4"/>
  <c r="S87" i="4"/>
  <c r="Q87" i="4"/>
  <c r="P87" i="4"/>
  <c r="N87" i="4"/>
  <c r="M87" i="4"/>
  <c r="L87" i="4"/>
  <c r="K87" i="4"/>
  <c r="J87" i="4"/>
  <c r="I87" i="4"/>
  <c r="H87" i="4"/>
  <c r="G87" i="4"/>
  <c r="F87" i="4"/>
  <c r="E87" i="4"/>
  <c r="D87" i="4"/>
  <c r="C87" i="4"/>
  <c r="AA86" i="4"/>
  <c r="Z86" i="4"/>
  <c r="Y86" i="4"/>
  <c r="X86" i="4"/>
  <c r="W86" i="4"/>
  <c r="V86" i="4"/>
  <c r="U86" i="4"/>
  <c r="T86" i="4"/>
  <c r="S86" i="4"/>
  <c r="Q86" i="4"/>
  <c r="P86" i="4"/>
  <c r="N86" i="4"/>
  <c r="M86" i="4"/>
  <c r="L86" i="4"/>
  <c r="K86" i="4"/>
  <c r="J86" i="4"/>
  <c r="I86" i="4"/>
  <c r="H86" i="4"/>
  <c r="G86" i="4"/>
  <c r="F86" i="4"/>
  <c r="E86" i="4"/>
  <c r="D86" i="4"/>
  <c r="C86" i="4"/>
  <c r="AA85" i="4"/>
  <c r="Z85" i="4"/>
  <c r="Y85" i="4"/>
  <c r="X85" i="4"/>
  <c r="W85" i="4"/>
  <c r="V85" i="4"/>
  <c r="U85" i="4"/>
  <c r="T85" i="4"/>
  <c r="S85" i="4"/>
  <c r="Q85" i="4"/>
  <c r="P85" i="4"/>
  <c r="N85" i="4"/>
  <c r="M85" i="4"/>
  <c r="L85" i="4"/>
  <c r="K85" i="4"/>
  <c r="J85" i="4"/>
  <c r="I85" i="4"/>
  <c r="H85" i="4"/>
  <c r="G85" i="4"/>
  <c r="F85" i="4"/>
  <c r="E85" i="4"/>
  <c r="D85" i="4"/>
  <c r="C85" i="4"/>
  <c r="AA84" i="4"/>
  <c r="Z84" i="4"/>
  <c r="Y84" i="4"/>
  <c r="X84" i="4"/>
  <c r="W84" i="4"/>
  <c r="V84" i="4"/>
  <c r="U84" i="4"/>
  <c r="T84" i="4"/>
  <c r="S84" i="4"/>
  <c r="Q84" i="4"/>
  <c r="P84" i="4"/>
  <c r="N84" i="4"/>
  <c r="M84" i="4"/>
  <c r="L84" i="4"/>
  <c r="K84" i="4"/>
  <c r="J84" i="4"/>
  <c r="I84" i="4"/>
  <c r="H84" i="4"/>
  <c r="G84" i="4"/>
  <c r="F84" i="4"/>
  <c r="E84" i="4"/>
  <c r="D84" i="4"/>
  <c r="C84" i="4"/>
  <c r="AA83" i="4"/>
  <c r="Z83" i="4"/>
  <c r="Y83" i="4"/>
  <c r="X83" i="4"/>
  <c r="W83" i="4"/>
  <c r="V83" i="4"/>
  <c r="U83" i="4"/>
  <c r="T83" i="4"/>
  <c r="S83" i="4"/>
  <c r="Q83" i="4"/>
  <c r="P83" i="4"/>
  <c r="N83" i="4"/>
  <c r="M83" i="4"/>
  <c r="L83" i="4"/>
  <c r="K83" i="4"/>
  <c r="J83" i="4"/>
  <c r="I83" i="4"/>
  <c r="H83" i="4"/>
  <c r="G83" i="4"/>
  <c r="F83" i="4"/>
  <c r="E83" i="4"/>
  <c r="D83" i="4"/>
  <c r="C83" i="4"/>
  <c r="AA82" i="4"/>
  <c r="Z82" i="4"/>
  <c r="Y82" i="4"/>
  <c r="X82" i="4"/>
  <c r="W82" i="4"/>
  <c r="V82" i="4"/>
  <c r="U82" i="4"/>
  <c r="T82" i="4"/>
  <c r="S82" i="4"/>
  <c r="Q82" i="4"/>
  <c r="P82" i="4"/>
  <c r="N82" i="4"/>
  <c r="M82" i="4"/>
  <c r="L82" i="4"/>
  <c r="K82" i="4"/>
  <c r="J82" i="4"/>
  <c r="I82" i="4"/>
  <c r="H82" i="4"/>
  <c r="G82" i="4"/>
  <c r="F82" i="4"/>
  <c r="E82" i="4"/>
  <c r="D82" i="4"/>
  <c r="C82" i="4"/>
  <c r="AA81" i="4"/>
  <c r="Z81" i="4"/>
  <c r="Y81" i="4"/>
  <c r="X81" i="4"/>
  <c r="W81" i="4"/>
  <c r="V81" i="4"/>
  <c r="U81" i="4"/>
  <c r="T81" i="4"/>
  <c r="S81" i="4"/>
  <c r="Q81" i="4"/>
  <c r="P81" i="4"/>
  <c r="N81" i="4"/>
  <c r="M81" i="4"/>
  <c r="L81" i="4"/>
  <c r="K81" i="4"/>
  <c r="J81" i="4"/>
  <c r="I81" i="4"/>
  <c r="H81" i="4"/>
  <c r="G81" i="4"/>
  <c r="F81" i="4"/>
  <c r="E81" i="4"/>
  <c r="D81" i="4"/>
  <c r="C81" i="4"/>
  <c r="AA80" i="4"/>
  <c r="Z80" i="4"/>
  <c r="Y80" i="4"/>
  <c r="X80" i="4"/>
  <c r="W80" i="4"/>
  <c r="V80" i="4"/>
  <c r="U80" i="4"/>
  <c r="T80" i="4"/>
  <c r="S80" i="4"/>
  <c r="Q80" i="4"/>
  <c r="P80" i="4"/>
  <c r="N80" i="4"/>
  <c r="M80" i="4"/>
  <c r="L80" i="4"/>
  <c r="K80" i="4"/>
  <c r="J80" i="4"/>
  <c r="I80" i="4"/>
  <c r="H80" i="4"/>
  <c r="G80" i="4"/>
  <c r="F80" i="4"/>
  <c r="E80" i="4"/>
  <c r="D80" i="4"/>
  <c r="C80" i="4"/>
  <c r="AA79" i="4"/>
  <c r="Z79" i="4"/>
  <c r="Y79" i="4"/>
  <c r="X79" i="4"/>
  <c r="W79" i="4"/>
  <c r="V79" i="4"/>
  <c r="U79" i="4"/>
  <c r="T79" i="4"/>
  <c r="S79" i="4"/>
  <c r="Q79" i="4"/>
  <c r="P79" i="4"/>
  <c r="N79" i="4"/>
  <c r="M79" i="4"/>
  <c r="L79" i="4"/>
  <c r="K79" i="4"/>
  <c r="J79" i="4"/>
  <c r="I79" i="4"/>
  <c r="H79" i="4"/>
  <c r="G79" i="4"/>
  <c r="F79" i="4"/>
  <c r="E79" i="4"/>
  <c r="D79" i="4"/>
  <c r="C79" i="4"/>
  <c r="AA78" i="4"/>
  <c r="Z78" i="4"/>
  <c r="Y78" i="4"/>
  <c r="X78" i="4"/>
  <c r="W78" i="4"/>
  <c r="V78" i="4"/>
  <c r="U78" i="4"/>
  <c r="T78" i="4"/>
  <c r="S78" i="4"/>
  <c r="Q78" i="4"/>
  <c r="P78" i="4"/>
  <c r="N78" i="4"/>
  <c r="M78" i="4"/>
  <c r="L78" i="4"/>
  <c r="K78" i="4"/>
  <c r="J78" i="4"/>
  <c r="I78" i="4"/>
  <c r="H78" i="4"/>
  <c r="G78" i="4"/>
  <c r="F78" i="4"/>
  <c r="E78" i="4"/>
  <c r="D78" i="4"/>
  <c r="C78" i="4"/>
  <c r="AA77" i="4"/>
  <c r="Z77" i="4"/>
  <c r="Y77" i="4"/>
  <c r="X77" i="4"/>
  <c r="W77" i="4"/>
  <c r="V77" i="4"/>
  <c r="U77" i="4"/>
  <c r="T77" i="4"/>
  <c r="S77" i="4"/>
  <c r="Q77" i="4"/>
  <c r="P77" i="4"/>
  <c r="N77" i="4"/>
  <c r="M77" i="4"/>
  <c r="L77" i="4"/>
  <c r="K77" i="4"/>
  <c r="J77" i="4"/>
  <c r="I77" i="4"/>
  <c r="H77" i="4"/>
  <c r="G77" i="4"/>
  <c r="F77" i="4"/>
  <c r="E77" i="4"/>
  <c r="D77" i="4"/>
  <c r="C77" i="4"/>
  <c r="AA76" i="4"/>
  <c r="Z76" i="4"/>
  <c r="Y76" i="4"/>
  <c r="X76" i="4"/>
  <c r="W76" i="4"/>
  <c r="V76" i="4"/>
  <c r="U76" i="4"/>
  <c r="T76" i="4"/>
  <c r="S76" i="4"/>
  <c r="Q76" i="4"/>
  <c r="P76" i="4"/>
  <c r="N76" i="4"/>
  <c r="M76" i="4"/>
  <c r="L76" i="4"/>
  <c r="K76" i="4"/>
  <c r="J76" i="4"/>
  <c r="I76" i="4"/>
  <c r="H76" i="4"/>
  <c r="G76" i="4"/>
  <c r="F76" i="4"/>
  <c r="E76" i="4"/>
  <c r="D76" i="4"/>
  <c r="C76" i="4"/>
  <c r="AA75" i="4"/>
  <c r="Z75" i="4"/>
  <c r="Y75" i="4"/>
  <c r="X75" i="4"/>
  <c r="W75" i="4"/>
  <c r="V75" i="4"/>
  <c r="U75" i="4"/>
  <c r="T75" i="4"/>
  <c r="S75" i="4"/>
  <c r="Q75" i="4"/>
  <c r="P75" i="4"/>
  <c r="N75" i="4"/>
  <c r="M75" i="4"/>
  <c r="L75" i="4"/>
  <c r="K75" i="4"/>
  <c r="J75" i="4"/>
  <c r="I75" i="4"/>
  <c r="H75" i="4"/>
  <c r="G75" i="4"/>
  <c r="F75" i="4"/>
  <c r="E75" i="4"/>
  <c r="D75" i="4"/>
  <c r="C75" i="4"/>
  <c r="AA74" i="4"/>
  <c r="Z74" i="4"/>
  <c r="Y74" i="4"/>
  <c r="X74" i="4"/>
  <c r="W74" i="4"/>
  <c r="V74" i="4"/>
  <c r="U74" i="4"/>
  <c r="T74" i="4"/>
  <c r="S74" i="4"/>
  <c r="Q74" i="4"/>
  <c r="P74" i="4"/>
  <c r="N74" i="4"/>
  <c r="M74" i="4"/>
  <c r="L74" i="4"/>
  <c r="K74" i="4"/>
  <c r="J74" i="4"/>
  <c r="I74" i="4"/>
  <c r="H74" i="4"/>
  <c r="G74" i="4"/>
  <c r="F74" i="4"/>
  <c r="E74" i="4"/>
  <c r="AE74" i="4" s="1"/>
  <c r="D74" i="4"/>
  <c r="C74" i="4"/>
  <c r="AA73" i="4"/>
  <c r="Z73" i="4"/>
  <c r="Y73" i="4"/>
  <c r="X73" i="4"/>
  <c r="W73" i="4"/>
  <c r="V73" i="4"/>
  <c r="U73" i="4"/>
  <c r="T73" i="4"/>
  <c r="S73" i="4"/>
  <c r="Q73" i="4"/>
  <c r="P73" i="4"/>
  <c r="N73" i="4"/>
  <c r="M73" i="4"/>
  <c r="L73" i="4"/>
  <c r="K73" i="4"/>
  <c r="J73" i="4"/>
  <c r="I73" i="4"/>
  <c r="H73" i="4"/>
  <c r="G73" i="4"/>
  <c r="F73" i="4"/>
  <c r="E73" i="4"/>
  <c r="D73" i="4"/>
  <c r="C73" i="4"/>
  <c r="AA72" i="4"/>
  <c r="Z72" i="4"/>
  <c r="Y72" i="4"/>
  <c r="X72" i="4"/>
  <c r="W72" i="4"/>
  <c r="V72" i="4"/>
  <c r="U72" i="4"/>
  <c r="T72" i="4"/>
  <c r="S72" i="4"/>
  <c r="Q72" i="4"/>
  <c r="P72" i="4"/>
  <c r="N72" i="4"/>
  <c r="M72" i="4"/>
  <c r="L72" i="4"/>
  <c r="K72" i="4"/>
  <c r="J72" i="4"/>
  <c r="I72" i="4"/>
  <c r="H72" i="4"/>
  <c r="G72" i="4"/>
  <c r="F72" i="4"/>
  <c r="E72" i="4"/>
  <c r="D72" i="4"/>
  <c r="C72" i="4"/>
  <c r="AA71" i="4"/>
  <c r="Z71" i="4"/>
  <c r="Y71" i="4"/>
  <c r="X71" i="4"/>
  <c r="W71" i="4"/>
  <c r="V71" i="4"/>
  <c r="U71" i="4"/>
  <c r="T71" i="4"/>
  <c r="S71" i="4"/>
  <c r="Q71" i="4"/>
  <c r="P71" i="4"/>
  <c r="N71" i="4"/>
  <c r="M71" i="4"/>
  <c r="L71" i="4"/>
  <c r="K71" i="4"/>
  <c r="J71" i="4"/>
  <c r="I71" i="4"/>
  <c r="H71" i="4"/>
  <c r="G71" i="4"/>
  <c r="F71" i="4"/>
  <c r="E71" i="4"/>
  <c r="D71" i="4"/>
  <c r="C71" i="4"/>
  <c r="AA70" i="4"/>
  <c r="Z70" i="4"/>
  <c r="Y70" i="4"/>
  <c r="X70" i="4"/>
  <c r="W70" i="4"/>
  <c r="V70" i="4"/>
  <c r="U70" i="4"/>
  <c r="T70" i="4"/>
  <c r="S70" i="4"/>
  <c r="R70" i="4"/>
  <c r="Q70" i="4"/>
  <c r="P70" i="4"/>
  <c r="O70" i="4"/>
  <c r="N70" i="4"/>
  <c r="M70" i="4"/>
  <c r="L70" i="4"/>
  <c r="K70" i="4"/>
  <c r="J70" i="4"/>
  <c r="I70" i="4"/>
  <c r="H70" i="4"/>
  <c r="G70" i="4"/>
  <c r="F70" i="4"/>
  <c r="E70" i="4"/>
  <c r="D70" i="4"/>
  <c r="C70" i="4"/>
  <c r="AA69" i="4"/>
  <c r="Z69" i="4"/>
  <c r="Y69" i="4"/>
  <c r="X69" i="4"/>
  <c r="W69" i="4"/>
  <c r="V69" i="4"/>
  <c r="U69" i="4"/>
  <c r="T69" i="4"/>
  <c r="S69" i="4"/>
  <c r="R69" i="4"/>
  <c r="Q69" i="4"/>
  <c r="P69" i="4"/>
  <c r="O69" i="4"/>
  <c r="N69" i="4"/>
  <c r="M69" i="4"/>
  <c r="L69" i="4"/>
  <c r="K69" i="4"/>
  <c r="J69" i="4"/>
  <c r="I69" i="4"/>
  <c r="H69" i="4"/>
  <c r="G69" i="4"/>
  <c r="F69" i="4"/>
  <c r="E69" i="4"/>
  <c r="D69" i="4"/>
  <c r="C69" i="4"/>
  <c r="AA68" i="4"/>
  <c r="Z68" i="4"/>
  <c r="Y68" i="4"/>
  <c r="X68" i="4"/>
  <c r="W68" i="4"/>
  <c r="V68" i="4"/>
  <c r="U68" i="4"/>
  <c r="T68" i="4"/>
  <c r="S68" i="4"/>
  <c r="R68" i="4"/>
  <c r="Q68" i="4"/>
  <c r="P68" i="4"/>
  <c r="O68" i="4"/>
  <c r="N68" i="4"/>
  <c r="M68" i="4"/>
  <c r="L68" i="4"/>
  <c r="K68" i="4"/>
  <c r="J68" i="4"/>
  <c r="I68" i="4"/>
  <c r="H68" i="4"/>
  <c r="G68" i="4"/>
  <c r="F68" i="4"/>
  <c r="E68" i="4"/>
  <c r="D68" i="4"/>
  <c r="C68" i="4"/>
  <c r="AA67" i="4"/>
  <c r="Z67" i="4"/>
  <c r="Y67" i="4"/>
  <c r="X67" i="4"/>
  <c r="W67" i="4"/>
  <c r="V67" i="4"/>
  <c r="U67" i="4"/>
  <c r="T67" i="4"/>
  <c r="S67" i="4"/>
  <c r="R67" i="4"/>
  <c r="Q67" i="4"/>
  <c r="P67" i="4"/>
  <c r="O67" i="4"/>
  <c r="N67" i="4"/>
  <c r="M67" i="4"/>
  <c r="L67" i="4"/>
  <c r="K67" i="4"/>
  <c r="J67" i="4"/>
  <c r="I67" i="4"/>
  <c r="H67" i="4"/>
  <c r="G67" i="4"/>
  <c r="F67" i="4"/>
  <c r="E67" i="4"/>
  <c r="D67" i="4"/>
  <c r="C67" i="4"/>
  <c r="AA66" i="4"/>
  <c r="Z66" i="4"/>
  <c r="Y66" i="4"/>
  <c r="X66" i="4"/>
  <c r="W66" i="4"/>
  <c r="V66" i="4"/>
  <c r="U66" i="4"/>
  <c r="T66" i="4"/>
  <c r="S66" i="4"/>
  <c r="R66" i="4"/>
  <c r="Q66" i="4"/>
  <c r="P66" i="4"/>
  <c r="O66" i="4"/>
  <c r="N66" i="4"/>
  <c r="M66" i="4"/>
  <c r="L66" i="4"/>
  <c r="K66" i="4"/>
  <c r="J66" i="4"/>
  <c r="I66" i="4"/>
  <c r="H66" i="4"/>
  <c r="G66" i="4"/>
  <c r="F66" i="4"/>
  <c r="E66" i="4"/>
  <c r="D66" i="4"/>
  <c r="C66" i="4"/>
  <c r="AA65" i="4"/>
  <c r="Z65" i="4"/>
  <c r="Y65" i="4"/>
  <c r="X65" i="4"/>
  <c r="W65" i="4"/>
  <c r="V65" i="4"/>
  <c r="U65" i="4"/>
  <c r="T65" i="4"/>
  <c r="S65" i="4"/>
  <c r="R65" i="4"/>
  <c r="Q65" i="4"/>
  <c r="P65" i="4"/>
  <c r="O65" i="4"/>
  <c r="N65" i="4"/>
  <c r="M65" i="4"/>
  <c r="L65" i="4"/>
  <c r="K65" i="4"/>
  <c r="J65" i="4"/>
  <c r="I65" i="4"/>
  <c r="H65" i="4"/>
  <c r="G65" i="4"/>
  <c r="F65" i="4"/>
  <c r="E65" i="4"/>
  <c r="D65" i="4"/>
  <c r="C65" i="4"/>
  <c r="AA64" i="4"/>
  <c r="Z64" i="4"/>
  <c r="Y64" i="4"/>
  <c r="X64" i="4"/>
  <c r="W64" i="4"/>
  <c r="V64" i="4"/>
  <c r="U64" i="4"/>
  <c r="T64" i="4"/>
  <c r="S64" i="4"/>
  <c r="R64" i="4"/>
  <c r="Q64" i="4"/>
  <c r="P64" i="4"/>
  <c r="O64" i="4"/>
  <c r="N64" i="4"/>
  <c r="M64" i="4"/>
  <c r="L64" i="4"/>
  <c r="K64" i="4"/>
  <c r="J64" i="4"/>
  <c r="I64" i="4"/>
  <c r="H64" i="4"/>
  <c r="G64" i="4"/>
  <c r="F64" i="4"/>
  <c r="E64" i="4"/>
  <c r="D64" i="4"/>
  <c r="C64" i="4"/>
  <c r="AA63" i="4"/>
  <c r="Z63" i="4"/>
  <c r="Y63" i="4"/>
  <c r="X63" i="4"/>
  <c r="W63" i="4"/>
  <c r="V63" i="4"/>
  <c r="U63" i="4"/>
  <c r="T63" i="4"/>
  <c r="S63" i="4"/>
  <c r="R63" i="4"/>
  <c r="Q63" i="4"/>
  <c r="P63" i="4"/>
  <c r="O63" i="4"/>
  <c r="N63" i="4"/>
  <c r="M63" i="4"/>
  <c r="L63" i="4"/>
  <c r="K63" i="4"/>
  <c r="J63" i="4"/>
  <c r="I63" i="4"/>
  <c r="H63" i="4"/>
  <c r="G63" i="4"/>
  <c r="F63" i="4"/>
  <c r="E63" i="4"/>
  <c r="D63" i="4"/>
  <c r="C63" i="4"/>
  <c r="AA62" i="4"/>
  <c r="Z62" i="4"/>
  <c r="Y62" i="4"/>
  <c r="X62" i="4"/>
  <c r="W62" i="4"/>
  <c r="V62" i="4"/>
  <c r="U62" i="4"/>
  <c r="T62" i="4"/>
  <c r="S62" i="4"/>
  <c r="R62" i="4"/>
  <c r="Q62" i="4"/>
  <c r="P62" i="4"/>
  <c r="O62" i="4"/>
  <c r="N62" i="4"/>
  <c r="M62" i="4"/>
  <c r="L62" i="4"/>
  <c r="K62" i="4"/>
  <c r="J62" i="4"/>
  <c r="I62" i="4"/>
  <c r="H62" i="4"/>
  <c r="G62" i="4"/>
  <c r="F62" i="4"/>
  <c r="E62" i="4"/>
  <c r="D62" i="4"/>
  <c r="C62" i="4"/>
  <c r="AA61" i="4"/>
  <c r="Z61" i="4"/>
  <c r="Y61" i="4"/>
  <c r="X61" i="4"/>
  <c r="W61" i="4"/>
  <c r="V61" i="4"/>
  <c r="U61" i="4"/>
  <c r="T61" i="4"/>
  <c r="S61" i="4"/>
  <c r="R61" i="4"/>
  <c r="Q61" i="4"/>
  <c r="P61" i="4"/>
  <c r="O61" i="4"/>
  <c r="N61" i="4"/>
  <c r="M61" i="4"/>
  <c r="L61" i="4"/>
  <c r="K61" i="4"/>
  <c r="J61" i="4"/>
  <c r="I61" i="4"/>
  <c r="H61" i="4"/>
  <c r="G61" i="4"/>
  <c r="F61" i="4"/>
  <c r="E61" i="4"/>
  <c r="D61" i="4"/>
  <c r="C61" i="4"/>
  <c r="AA60" i="4"/>
  <c r="Z60" i="4"/>
  <c r="Y60" i="4"/>
  <c r="X60" i="4"/>
  <c r="W60" i="4"/>
  <c r="V60" i="4"/>
  <c r="U60" i="4"/>
  <c r="T60" i="4"/>
  <c r="S60" i="4"/>
  <c r="R60" i="4"/>
  <c r="Q60" i="4"/>
  <c r="P60" i="4"/>
  <c r="O60" i="4"/>
  <c r="N60" i="4"/>
  <c r="M60" i="4"/>
  <c r="L60" i="4"/>
  <c r="K60" i="4"/>
  <c r="J60" i="4"/>
  <c r="I60" i="4"/>
  <c r="H60" i="4"/>
  <c r="G60" i="4"/>
  <c r="F60" i="4"/>
  <c r="E60" i="4"/>
  <c r="D60" i="4"/>
  <c r="C60" i="4"/>
  <c r="AA59" i="4"/>
  <c r="Z59" i="4"/>
  <c r="Y59" i="4"/>
  <c r="X59" i="4"/>
  <c r="W59" i="4"/>
  <c r="V59" i="4"/>
  <c r="U59" i="4"/>
  <c r="T59" i="4"/>
  <c r="S59" i="4"/>
  <c r="R59" i="4"/>
  <c r="Q59" i="4"/>
  <c r="P59" i="4"/>
  <c r="O59" i="4"/>
  <c r="N59" i="4"/>
  <c r="M59" i="4"/>
  <c r="L59" i="4"/>
  <c r="K59" i="4"/>
  <c r="J59" i="4"/>
  <c r="I59" i="4"/>
  <c r="H59" i="4"/>
  <c r="G59" i="4"/>
  <c r="F59" i="4"/>
  <c r="E59" i="4"/>
  <c r="D59" i="4"/>
  <c r="C59" i="4"/>
  <c r="AA58" i="4"/>
  <c r="Z58" i="4"/>
  <c r="Y58" i="4"/>
  <c r="X58" i="4"/>
  <c r="W58" i="4"/>
  <c r="V58" i="4"/>
  <c r="U58" i="4"/>
  <c r="T58" i="4"/>
  <c r="S58" i="4"/>
  <c r="R58" i="4"/>
  <c r="Q58" i="4"/>
  <c r="P58" i="4"/>
  <c r="O58" i="4"/>
  <c r="N58" i="4"/>
  <c r="M58" i="4"/>
  <c r="L58" i="4"/>
  <c r="K58" i="4"/>
  <c r="J58" i="4"/>
  <c r="I58" i="4"/>
  <c r="H58" i="4"/>
  <c r="G58" i="4"/>
  <c r="F58" i="4"/>
  <c r="E58" i="4"/>
  <c r="D58" i="4"/>
  <c r="C58" i="4"/>
  <c r="AA57" i="4"/>
  <c r="Z57" i="4"/>
  <c r="Y57" i="4"/>
  <c r="X57" i="4"/>
  <c r="W57" i="4"/>
  <c r="V57" i="4"/>
  <c r="U57" i="4"/>
  <c r="T57" i="4"/>
  <c r="S57" i="4"/>
  <c r="R57" i="4"/>
  <c r="Q57" i="4"/>
  <c r="P57" i="4"/>
  <c r="O57" i="4"/>
  <c r="N57" i="4"/>
  <c r="M57" i="4"/>
  <c r="L57" i="4"/>
  <c r="K57" i="4"/>
  <c r="J57" i="4"/>
  <c r="I57" i="4"/>
  <c r="H57" i="4"/>
  <c r="G57" i="4"/>
  <c r="F57" i="4"/>
  <c r="E57" i="4"/>
  <c r="D57" i="4"/>
  <c r="C57" i="4"/>
  <c r="AA56" i="4"/>
  <c r="Z56" i="4"/>
  <c r="Y56" i="4"/>
  <c r="X56" i="4"/>
  <c r="W56" i="4"/>
  <c r="V56" i="4"/>
  <c r="U56" i="4"/>
  <c r="T56" i="4"/>
  <c r="S56" i="4"/>
  <c r="R56" i="4"/>
  <c r="Q56" i="4"/>
  <c r="P56" i="4"/>
  <c r="O56" i="4"/>
  <c r="N56" i="4"/>
  <c r="M56" i="4"/>
  <c r="L56" i="4"/>
  <c r="K56" i="4"/>
  <c r="J56" i="4"/>
  <c r="I56" i="4"/>
  <c r="H56" i="4"/>
  <c r="G56" i="4"/>
  <c r="F56" i="4"/>
  <c r="E56" i="4"/>
  <c r="D56" i="4"/>
  <c r="C56" i="4"/>
  <c r="AA55" i="4"/>
  <c r="Z55" i="4"/>
  <c r="Y55" i="4"/>
  <c r="X55" i="4"/>
  <c r="W55" i="4"/>
  <c r="V55" i="4"/>
  <c r="U55" i="4"/>
  <c r="T55" i="4"/>
  <c r="S55" i="4"/>
  <c r="R55" i="4"/>
  <c r="Q55" i="4"/>
  <c r="P55" i="4"/>
  <c r="O55" i="4"/>
  <c r="N55" i="4"/>
  <c r="M55" i="4"/>
  <c r="L55" i="4"/>
  <c r="K55" i="4"/>
  <c r="J55" i="4"/>
  <c r="I55" i="4"/>
  <c r="H55" i="4"/>
  <c r="G55" i="4"/>
  <c r="F55" i="4"/>
  <c r="E55" i="4"/>
  <c r="D55" i="4"/>
  <c r="C55" i="4"/>
  <c r="AA54" i="4"/>
  <c r="Z54" i="4"/>
  <c r="Y54" i="4"/>
  <c r="X54" i="4"/>
  <c r="W54" i="4"/>
  <c r="V54" i="4"/>
  <c r="U54" i="4"/>
  <c r="T54" i="4"/>
  <c r="S54" i="4"/>
  <c r="R54" i="4"/>
  <c r="Q54" i="4"/>
  <c r="P54" i="4"/>
  <c r="O54" i="4"/>
  <c r="N54" i="4"/>
  <c r="M54" i="4"/>
  <c r="L54" i="4"/>
  <c r="K54" i="4"/>
  <c r="J54" i="4"/>
  <c r="I54" i="4"/>
  <c r="H54" i="4"/>
  <c r="G54" i="4"/>
  <c r="F54" i="4"/>
  <c r="E54" i="4"/>
  <c r="D54" i="4"/>
  <c r="C54" i="4"/>
  <c r="AA53" i="4"/>
  <c r="Z53" i="4"/>
  <c r="Y53" i="4"/>
  <c r="X53" i="4"/>
  <c r="W53" i="4"/>
  <c r="V53" i="4"/>
  <c r="U53" i="4"/>
  <c r="T53" i="4"/>
  <c r="S53" i="4"/>
  <c r="R53" i="4"/>
  <c r="Q53" i="4"/>
  <c r="P53" i="4"/>
  <c r="O53" i="4"/>
  <c r="N53" i="4"/>
  <c r="M53" i="4"/>
  <c r="L53" i="4"/>
  <c r="K53" i="4"/>
  <c r="J53" i="4"/>
  <c r="I53" i="4"/>
  <c r="H53" i="4"/>
  <c r="G53" i="4"/>
  <c r="F53" i="4"/>
  <c r="E53" i="4"/>
  <c r="D53" i="4"/>
  <c r="C53" i="4"/>
  <c r="AA52" i="4"/>
  <c r="Z52" i="4"/>
  <c r="Y52" i="4"/>
  <c r="X52" i="4"/>
  <c r="W52" i="4"/>
  <c r="V52" i="4"/>
  <c r="U52" i="4"/>
  <c r="T52" i="4"/>
  <c r="S52" i="4"/>
  <c r="R52" i="4"/>
  <c r="Q52" i="4"/>
  <c r="P52" i="4"/>
  <c r="O52" i="4"/>
  <c r="N52" i="4"/>
  <c r="M52" i="4"/>
  <c r="L52" i="4"/>
  <c r="K52" i="4"/>
  <c r="J52" i="4"/>
  <c r="I52" i="4"/>
  <c r="H52" i="4"/>
  <c r="G52" i="4"/>
  <c r="F52" i="4"/>
  <c r="E52" i="4"/>
  <c r="D52" i="4"/>
  <c r="C52" i="4"/>
  <c r="AA51" i="4"/>
  <c r="Z51" i="4"/>
  <c r="Y51" i="4"/>
  <c r="X51" i="4"/>
  <c r="W51" i="4"/>
  <c r="V51" i="4"/>
  <c r="U51" i="4"/>
  <c r="T51" i="4"/>
  <c r="S51" i="4"/>
  <c r="R51" i="4"/>
  <c r="Q51" i="4"/>
  <c r="P51" i="4"/>
  <c r="O51" i="4"/>
  <c r="N51" i="4"/>
  <c r="M51" i="4"/>
  <c r="L51" i="4"/>
  <c r="K51" i="4"/>
  <c r="J51" i="4"/>
  <c r="I51" i="4"/>
  <c r="H51" i="4"/>
  <c r="G51" i="4"/>
  <c r="F51" i="4"/>
  <c r="E51" i="4"/>
  <c r="D51" i="4"/>
  <c r="C51" i="4"/>
  <c r="AA50" i="4"/>
  <c r="Z50" i="4"/>
  <c r="Y50" i="4"/>
  <c r="X50" i="4"/>
  <c r="W50" i="4"/>
  <c r="V50" i="4"/>
  <c r="U50" i="4"/>
  <c r="T50" i="4"/>
  <c r="S50" i="4"/>
  <c r="R50" i="4"/>
  <c r="Q50" i="4"/>
  <c r="P50" i="4"/>
  <c r="O50" i="4"/>
  <c r="N50" i="4"/>
  <c r="M50" i="4"/>
  <c r="L50" i="4"/>
  <c r="K50" i="4"/>
  <c r="J50" i="4"/>
  <c r="I50" i="4"/>
  <c r="H50" i="4"/>
  <c r="G50" i="4"/>
  <c r="F50" i="4"/>
  <c r="E50" i="4"/>
  <c r="D50" i="4"/>
  <c r="C50" i="4"/>
  <c r="AA49" i="4"/>
  <c r="Z49" i="4"/>
  <c r="Y49" i="4"/>
  <c r="X49" i="4"/>
  <c r="W49" i="4"/>
  <c r="V49" i="4"/>
  <c r="U49" i="4"/>
  <c r="T49" i="4"/>
  <c r="S49" i="4"/>
  <c r="R49" i="4"/>
  <c r="Q49" i="4"/>
  <c r="P49" i="4"/>
  <c r="O49" i="4"/>
  <c r="N49" i="4"/>
  <c r="M49" i="4"/>
  <c r="L49" i="4"/>
  <c r="K49" i="4"/>
  <c r="J49" i="4"/>
  <c r="I49" i="4"/>
  <c r="H49" i="4"/>
  <c r="G49" i="4"/>
  <c r="F49" i="4"/>
  <c r="E49" i="4"/>
  <c r="D49" i="4"/>
  <c r="C49" i="4"/>
  <c r="AA48" i="4"/>
  <c r="Z48" i="4"/>
  <c r="Y48" i="4"/>
  <c r="X48" i="4"/>
  <c r="W48" i="4"/>
  <c r="V48" i="4"/>
  <c r="U48" i="4"/>
  <c r="T48" i="4"/>
  <c r="S48" i="4"/>
  <c r="R48" i="4"/>
  <c r="Q48" i="4"/>
  <c r="P48" i="4"/>
  <c r="O48" i="4"/>
  <c r="N48" i="4"/>
  <c r="M48" i="4"/>
  <c r="L48" i="4"/>
  <c r="K48" i="4"/>
  <c r="J48" i="4"/>
  <c r="I48" i="4"/>
  <c r="H48" i="4"/>
  <c r="G48" i="4"/>
  <c r="F48" i="4"/>
  <c r="E48" i="4"/>
  <c r="D48" i="4"/>
  <c r="C48" i="4"/>
  <c r="AA47" i="4"/>
  <c r="Z47" i="4"/>
  <c r="Y47" i="4"/>
  <c r="X47" i="4"/>
  <c r="W47" i="4"/>
  <c r="V47" i="4"/>
  <c r="U47" i="4"/>
  <c r="T47" i="4"/>
  <c r="S47" i="4"/>
  <c r="R47" i="4"/>
  <c r="Q47" i="4"/>
  <c r="P47" i="4"/>
  <c r="O47" i="4"/>
  <c r="N47" i="4"/>
  <c r="M47" i="4"/>
  <c r="L47" i="4"/>
  <c r="K47" i="4"/>
  <c r="J47" i="4"/>
  <c r="I47" i="4"/>
  <c r="H47" i="4"/>
  <c r="G47" i="4"/>
  <c r="F47" i="4"/>
  <c r="E47" i="4"/>
  <c r="D47" i="4"/>
  <c r="C47" i="4"/>
  <c r="AA46" i="4"/>
  <c r="Z46" i="4"/>
  <c r="Y46" i="4"/>
  <c r="X46" i="4"/>
  <c r="W46" i="4"/>
  <c r="V46" i="4"/>
  <c r="U46" i="4"/>
  <c r="T46" i="4"/>
  <c r="S46" i="4"/>
  <c r="R46" i="4"/>
  <c r="Q46" i="4"/>
  <c r="P46" i="4"/>
  <c r="O46" i="4"/>
  <c r="N46" i="4"/>
  <c r="M46" i="4"/>
  <c r="L46" i="4"/>
  <c r="K46" i="4"/>
  <c r="J46" i="4"/>
  <c r="I46" i="4"/>
  <c r="H46" i="4"/>
  <c r="G46" i="4"/>
  <c r="F46" i="4"/>
  <c r="E46" i="4"/>
  <c r="D46" i="4"/>
  <c r="C46" i="4"/>
  <c r="Z45" i="4"/>
  <c r="Y45" i="4"/>
  <c r="X45" i="4"/>
  <c r="W45" i="4"/>
  <c r="V45" i="4"/>
  <c r="U45" i="4"/>
  <c r="T45" i="4"/>
  <c r="S45" i="4"/>
  <c r="R45" i="4"/>
  <c r="Q45" i="4"/>
  <c r="P45" i="4"/>
  <c r="O45" i="4"/>
  <c r="N45" i="4"/>
  <c r="M45" i="4"/>
  <c r="L45" i="4"/>
  <c r="K45" i="4"/>
  <c r="J45" i="4"/>
  <c r="I45" i="4"/>
  <c r="H45" i="4"/>
  <c r="G45" i="4"/>
  <c r="F45" i="4"/>
  <c r="E45" i="4"/>
  <c r="D45" i="4"/>
  <c r="C45" i="4"/>
  <c r="AA45" i="4" s="1"/>
  <c r="Z44" i="4"/>
  <c r="Y44" i="4"/>
  <c r="X44" i="4"/>
  <c r="W44" i="4"/>
  <c r="V44" i="4"/>
  <c r="U44" i="4"/>
  <c r="T44" i="4"/>
  <c r="S44" i="4"/>
  <c r="R44" i="4"/>
  <c r="Q44" i="4"/>
  <c r="P44" i="4"/>
  <c r="O44" i="4"/>
  <c r="N44" i="4"/>
  <c r="M44" i="4"/>
  <c r="L44" i="4"/>
  <c r="K44" i="4"/>
  <c r="J44" i="4"/>
  <c r="I44" i="4"/>
  <c r="H44" i="4"/>
  <c r="G44" i="4"/>
  <c r="F44" i="4"/>
  <c r="E44" i="4"/>
  <c r="D44" i="4"/>
  <c r="C44" i="4"/>
  <c r="AA44" i="4" s="1"/>
  <c r="Z43" i="4"/>
  <c r="Y43" i="4"/>
  <c r="X43" i="4"/>
  <c r="W43" i="4"/>
  <c r="V43" i="4"/>
  <c r="U43" i="4"/>
  <c r="T43" i="4"/>
  <c r="S43" i="4"/>
  <c r="R43" i="4"/>
  <c r="Q43" i="4"/>
  <c r="P43" i="4"/>
  <c r="O43" i="4"/>
  <c r="N43" i="4"/>
  <c r="M43" i="4"/>
  <c r="L43" i="4"/>
  <c r="K43" i="4"/>
  <c r="J43" i="4"/>
  <c r="I43" i="4"/>
  <c r="H43" i="4"/>
  <c r="G43" i="4"/>
  <c r="F43" i="4"/>
  <c r="E43" i="4"/>
  <c r="D43" i="4"/>
  <c r="C43" i="4"/>
  <c r="AA43" i="4" s="1"/>
  <c r="Z42" i="4"/>
  <c r="Y42" i="4"/>
  <c r="X42" i="4"/>
  <c r="W42" i="4"/>
  <c r="V42" i="4"/>
  <c r="U42" i="4"/>
  <c r="T42" i="4"/>
  <c r="S42" i="4"/>
  <c r="R42" i="4"/>
  <c r="Q42" i="4"/>
  <c r="P42" i="4"/>
  <c r="O42" i="4"/>
  <c r="N42" i="4"/>
  <c r="M42" i="4"/>
  <c r="L42" i="4"/>
  <c r="K42" i="4"/>
  <c r="J42" i="4"/>
  <c r="I42" i="4"/>
  <c r="H42" i="4"/>
  <c r="G42" i="4"/>
  <c r="F42" i="4"/>
  <c r="E42" i="4"/>
  <c r="D42" i="4"/>
  <c r="C42" i="4"/>
  <c r="AA42" i="4" s="1"/>
  <c r="Z41" i="4"/>
  <c r="Y41" i="4"/>
  <c r="X41" i="4"/>
  <c r="W41" i="4"/>
  <c r="V41" i="4"/>
  <c r="U41" i="4"/>
  <c r="T41" i="4"/>
  <c r="S41" i="4"/>
  <c r="R41" i="4"/>
  <c r="Q41" i="4"/>
  <c r="P41" i="4"/>
  <c r="O41" i="4"/>
  <c r="N41" i="4"/>
  <c r="M41" i="4"/>
  <c r="L41" i="4"/>
  <c r="K41" i="4"/>
  <c r="J41" i="4"/>
  <c r="I41" i="4"/>
  <c r="H41" i="4"/>
  <c r="G41" i="4"/>
  <c r="F41" i="4"/>
  <c r="E41" i="4"/>
  <c r="D41" i="4"/>
  <c r="C41" i="4"/>
  <c r="AA41" i="4" s="1"/>
  <c r="Z40" i="4"/>
  <c r="Y40" i="4"/>
  <c r="X40" i="4"/>
  <c r="W40" i="4"/>
  <c r="V40" i="4"/>
  <c r="U40" i="4"/>
  <c r="T40" i="4"/>
  <c r="S40" i="4"/>
  <c r="R40" i="4"/>
  <c r="Q40" i="4"/>
  <c r="P40" i="4"/>
  <c r="O40" i="4"/>
  <c r="N40" i="4"/>
  <c r="M40" i="4"/>
  <c r="L40" i="4"/>
  <c r="K40" i="4"/>
  <c r="J40" i="4"/>
  <c r="I40" i="4"/>
  <c r="H40" i="4"/>
  <c r="G40" i="4"/>
  <c r="F40" i="4"/>
  <c r="E40" i="4"/>
  <c r="D40" i="4"/>
  <c r="C40" i="4"/>
  <c r="AA40" i="4" s="1"/>
  <c r="Z39" i="4"/>
  <c r="Y39" i="4"/>
  <c r="X39" i="4"/>
  <c r="W39" i="4"/>
  <c r="V39" i="4"/>
  <c r="U39" i="4"/>
  <c r="T39" i="4"/>
  <c r="S39" i="4"/>
  <c r="R39" i="4"/>
  <c r="Q39" i="4"/>
  <c r="P39" i="4"/>
  <c r="O39" i="4"/>
  <c r="N39" i="4"/>
  <c r="M39" i="4"/>
  <c r="L39" i="4"/>
  <c r="K39" i="4"/>
  <c r="J39" i="4"/>
  <c r="I39" i="4"/>
  <c r="H39" i="4"/>
  <c r="G39" i="4"/>
  <c r="F39" i="4"/>
  <c r="E39" i="4"/>
  <c r="D39" i="4"/>
  <c r="C39" i="4"/>
  <c r="AA39" i="4" s="1"/>
  <c r="Z38" i="4"/>
  <c r="Y38" i="4"/>
  <c r="X38" i="4"/>
  <c r="W38" i="4"/>
  <c r="V38" i="4"/>
  <c r="U38" i="4"/>
  <c r="T38" i="4"/>
  <c r="S38" i="4"/>
  <c r="R38" i="4"/>
  <c r="Q38" i="4"/>
  <c r="P38" i="4"/>
  <c r="O38" i="4"/>
  <c r="N38" i="4"/>
  <c r="M38" i="4"/>
  <c r="L38" i="4"/>
  <c r="K38" i="4"/>
  <c r="J38" i="4"/>
  <c r="I38" i="4"/>
  <c r="H38" i="4"/>
  <c r="G38" i="4"/>
  <c r="F38" i="4"/>
  <c r="E38" i="4"/>
  <c r="D38" i="4"/>
  <c r="C38" i="4"/>
  <c r="AA38" i="4" s="1"/>
  <c r="Z37" i="4"/>
  <c r="Y37" i="4"/>
  <c r="X37" i="4"/>
  <c r="W37" i="4"/>
  <c r="V37" i="4"/>
  <c r="U37" i="4"/>
  <c r="T37" i="4"/>
  <c r="S37" i="4"/>
  <c r="R37" i="4"/>
  <c r="Q37" i="4"/>
  <c r="P37" i="4"/>
  <c r="O37" i="4"/>
  <c r="N37" i="4"/>
  <c r="M37" i="4"/>
  <c r="L37" i="4"/>
  <c r="K37" i="4"/>
  <c r="J37" i="4"/>
  <c r="I37" i="4"/>
  <c r="H37" i="4"/>
  <c r="G37" i="4"/>
  <c r="F37" i="4"/>
  <c r="E37" i="4"/>
  <c r="D37" i="4"/>
  <c r="C37" i="4"/>
  <c r="AA37" i="4" s="1"/>
  <c r="Z36" i="4"/>
  <c r="Y36" i="4"/>
  <c r="X36" i="4"/>
  <c r="W36" i="4"/>
  <c r="V36" i="4"/>
  <c r="U36" i="4"/>
  <c r="T36" i="4"/>
  <c r="S36" i="4"/>
  <c r="R36" i="4"/>
  <c r="Q36" i="4"/>
  <c r="P36" i="4"/>
  <c r="O36" i="4"/>
  <c r="N36" i="4"/>
  <c r="M36" i="4"/>
  <c r="L36" i="4"/>
  <c r="K36" i="4"/>
  <c r="J36" i="4"/>
  <c r="I36" i="4"/>
  <c r="H36" i="4"/>
  <c r="G36" i="4"/>
  <c r="F36" i="4"/>
  <c r="E36" i="4"/>
  <c r="AE36" i="4" s="1"/>
  <c r="D36" i="4"/>
  <c r="C36" i="4"/>
  <c r="AA36" i="4" s="1"/>
  <c r="Z35" i="4"/>
  <c r="Y35" i="4"/>
  <c r="X35" i="4"/>
  <c r="W35" i="4"/>
  <c r="V35" i="4"/>
  <c r="U35" i="4"/>
  <c r="T35" i="4"/>
  <c r="S35" i="4"/>
  <c r="R35" i="4"/>
  <c r="Q35" i="4"/>
  <c r="P35" i="4"/>
  <c r="O35" i="4"/>
  <c r="N35" i="4"/>
  <c r="M35" i="4"/>
  <c r="L35" i="4"/>
  <c r="K35" i="4"/>
  <c r="J35" i="4"/>
  <c r="I35" i="4"/>
  <c r="H35" i="4"/>
  <c r="G35" i="4"/>
  <c r="F35" i="4"/>
  <c r="E35" i="4"/>
  <c r="D35" i="4"/>
  <c r="C35" i="4"/>
  <c r="AA35" i="4" s="1"/>
  <c r="Z34" i="4"/>
  <c r="Y34" i="4"/>
  <c r="X34" i="4"/>
  <c r="W34" i="4"/>
  <c r="V34" i="4"/>
  <c r="U34" i="4"/>
  <c r="T34" i="4"/>
  <c r="S34" i="4"/>
  <c r="R34" i="4"/>
  <c r="Q34" i="4"/>
  <c r="P34" i="4"/>
  <c r="O34" i="4"/>
  <c r="N34" i="4"/>
  <c r="M34" i="4"/>
  <c r="L34" i="4"/>
  <c r="K34" i="4"/>
  <c r="J34" i="4"/>
  <c r="I34" i="4"/>
  <c r="AD34" i="4" s="1"/>
  <c r="H34" i="4"/>
  <c r="G34" i="4"/>
  <c r="F34" i="4"/>
  <c r="E34" i="4"/>
  <c r="D34" i="4"/>
  <c r="C34" i="4"/>
  <c r="AA34" i="4" s="1"/>
  <c r="Z33" i="4"/>
  <c r="Y33" i="4"/>
  <c r="X33" i="4"/>
  <c r="W33" i="4"/>
  <c r="V33" i="4"/>
  <c r="U33" i="4"/>
  <c r="T33" i="4"/>
  <c r="S33" i="4"/>
  <c r="R33" i="4"/>
  <c r="Q33" i="4"/>
  <c r="P33" i="4"/>
  <c r="O33" i="4"/>
  <c r="N33" i="4"/>
  <c r="M33" i="4"/>
  <c r="L33" i="4"/>
  <c r="K33" i="4"/>
  <c r="J33" i="4"/>
  <c r="I33" i="4"/>
  <c r="H33" i="4"/>
  <c r="G33" i="4"/>
  <c r="F33" i="4"/>
  <c r="E33" i="4"/>
  <c r="D33" i="4"/>
  <c r="C33" i="4"/>
  <c r="AA33" i="4" s="1"/>
  <c r="Z32" i="4"/>
  <c r="Y32" i="4"/>
  <c r="X32" i="4"/>
  <c r="W32" i="4"/>
  <c r="V32" i="4"/>
  <c r="U32" i="4"/>
  <c r="T32" i="4"/>
  <c r="S32" i="4"/>
  <c r="R32" i="4"/>
  <c r="Q32" i="4"/>
  <c r="P32" i="4"/>
  <c r="O32" i="4"/>
  <c r="N32" i="4"/>
  <c r="M32" i="4"/>
  <c r="L32" i="4"/>
  <c r="K32" i="4"/>
  <c r="J32" i="4"/>
  <c r="I32" i="4"/>
  <c r="H32" i="4"/>
  <c r="G32" i="4"/>
  <c r="F32" i="4"/>
  <c r="E32" i="4"/>
  <c r="D32" i="4"/>
  <c r="C32" i="4"/>
  <c r="AA32" i="4" s="1"/>
  <c r="Z31" i="4"/>
  <c r="Y31" i="4"/>
  <c r="X31" i="4"/>
  <c r="W31" i="4"/>
  <c r="V31" i="4"/>
  <c r="U31" i="4"/>
  <c r="T31" i="4"/>
  <c r="S31" i="4"/>
  <c r="R31" i="4"/>
  <c r="Q31" i="4"/>
  <c r="P31" i="4"/>
  <c r="O31" i="4"/>
  <c r="N31" i="4"/>
  <c r="M31" i="4"/>
  <c r="L31" i="4"/>
  <c r="K31" i="4"/>
  <c r="J31" i="4"/>
  <c r="I31" i="4"/>
  <c r="H31" i="4"/>
  <c r="G31" i="4"/>
  <c r="F31" i="4"/>
  <c r="E31" i="4"/>
  <c r="D31" i="4"/>
  <c r="C31" i="4"/>
  <c r="AA31" i="4" s="1"/>
  <c r="Z30" i="4"/>
  <c r="Y30" i="4"/>
  <c r="X30" i="4"/>
  <c r="W30" i="4"/>
  <c r="V30" i="4"/>
  <c r="U30" i="4"/>
  <c r="T30" i="4"/>
  <c r="S30" i="4"/>
  <c r="R30" i="4"/>
  <c r="Q30" i="4"/>
  <c r="P30" i="4"/>
  <c r="O30" i="4"/>
  <c r="N30" i="4"/>
  <c r="M30" i="4"/>
  <c r="L30" i="4"/>
  <c r="K30" i="4"/>
  <c r="J30" i="4"/>
  <c r="I30" i="4"/>
  <c r="H30" i="4"/>
  <c r="G30" i="4"/>
  <c r="F30" i="4"/>
  <c r="E30" i="4"/>
  <c r="D30" i="4"/>
  <c r="C30" i="4"/>
  <c r="AA30" i="4" s="1"/>
  <c r="Z29" i="4"/>
  <c r="Y29" i="4"/>
  <c r="X29" i="4"/>
  <c r="W29" i="4"/>
  <c r="V29" i="4"/>
  <c r="U29" i="4"/>
  <c r="T29" i="4"/>
  <c r="S29" i="4"/>
  <c r="R29" i="4"/>
  <c r="Q29" i="4"/>
  <c r="P29" i="4"/>
  <c r="O29" i="4"/>
  <c r="N29" i="4"/>
  <c r="M29" i="4"/>
  <c r="L29" i="4"/>
  <c r="K29" i="4"/>
  <c r="J29" i="4"/>
  <c r="I29" i="4"/>
  <c r="H29" i="4"/>
  <c r="G29" i="4"/>
  <c r="F29" i="4"/>
  <c r="E29" i="4"/>
  <c r="D29" i="4"/>
  <c r="C29" i="4"/>
  <c r="AA29" i="4" s="1"/>
  <c r="Z28" i="4"/>
  <c r="Y28" i="4"/>
  <c r="X28" i="4"/>
  <c r="W28" i="4"/>
  <c r="V28" i="4"/>
  <c r="U28" i="4"/>
  <c r="T28" i="4"/>
  <c r="S28" i="4"/>
  <c r="R28" i="4"/>
  <c r="Q28" i="4"/>
  <c r="P28" i="4"/>
  <c r="O28" i="4"/>
  <c r="N28" i="4"/>
  <c r="M28" i="4"/>
  <c r="L28" i="4"/>
  <c r="K28" i="4"/>
  <c r="J28" i="4"/>
  <c r="I28" i="4"/>
  <c r="H28" i="4"/>
  <c r="G28" i="4"/>
  <c r="F28" i="4"/>
  <c r="E28" i="4"/>
  <c r="D28" i="4"/>
  <c r="C28" i="4"/>
  <c r="AA28" i="4" s="1"/>
  <c r="Z27" i="4"/>
  <c r="Y27" i="4"/>
  <c r="X27" i="4"/>
  <c r="W27" i="4"/>
  <c r="V27" i="4"/>
  <c r="U27" i="4"/>
  <c r="T27" i="4"/>
  <c r="S27" i="4"/>
  <c r="R27" i="4"/>
  <c r="Q27" i="4"/>
  <c r="P27" i="4"/>
  <c r="O27" i="4"/>
  <c r="N27" i="4"/>
  <c r="M27" i="4"/>
  <c r="L27" i="4"/>
  <c r="K27" i="4"/>
  <c r="J27" i="4"/>
  <c r="I27" i="4"/>
  <c r="H27" i="4"/>
  <c r="G27" i="4"/>
  <c r="F27" i="4"/>
  <c r="E27" i="4"/>
  <c r="D27" i="4"/>
  <c r="C27" i="4"/>
  <c r="AA27" i="4" s="1"/>
  <c r="Z26" i="4"/>
  <c r="Y26" i="4"/>
  <c r="X26" i="4"/>
  <c r="W26" i="4"/>
  <c r="V26" i="4"/>
  <c r="U26" i="4"/>
  <c r="T26" i="4"/>
  <c r="S26" i="4"/>
  <c r="R26" i="4"/>
  <c r="Q26" i="4"/>
  <c r="P26" i="4"/>
  <c r="O26" i="4"/>
  <c r="N26" i="4"/>
  <c r="M26" i="4"/>
  <c r="L26" i="4"/>
  <c r="K26" i="4"/>
  <c r="J26" i="4"/>
  <c r="I26" i="4"/>
  <c r="H26" i="4"/>
  <c r="G26" i="4"/>
  <c r="F26" i="4"/>
  <c r="E26" i="4"/>
  <c r="D26" i="4"/>
  <c r="C26" i="4"/>
  <c r="AA26" i="4" s="1"/>
  <c r="Z25" i="4"/>
  <c r="Y25" i="4"/>
  <c r="X25" i="4"/>
  <c r="W25" i="4"/>
  <c r="V25" i="4"/>
  <c r="U25" i="4"/>
  <c r="T25" i="4"/>
  <c r="S25" i="4"/>
  <c r="R25" i="4"/>
  <c r="Q25" i="4"/>
  <c r="P25" i="4"/>
  <c r="O25" i="4"/>
  <c r="N25" i="4"/>
  <c r="M25" i="4"/>
  <c r="L25" i="4"/>
  <c r="K25" i="4"/>
  <c r="J25" i="4"/>
  <c r="I25" i="4"/>
  <c r="H25" i="4"/>
  <c r="G25" i="4"/>
  <c r="F25" i="4"/>
  <c r="E25" i="4"/>
  <c r="D25" i="4"/>
  <c r="C25" i="4"/>
  <c r="AA25" i="4" s="1"/>
  <c r="Z24" i="4"/>
  <c r="Y24" i="4"/>
  <c r="X24" i="4"/>
  <c r="W24" i="4"/>
  <c r="V24" i="4"/>
  <c r="U24" i="4"/>
  <c r="T24" i="4"/>
  <c r="S24" i="4"/>
  <c r="R24" i="4"/>
  <c r="Q24" i="4"/>
  <c r="P24" i="4"/>
  <c r="O24" i="4"/>
  <c r="N24" i="4"/>
  <c r="M24" i="4"/>
  <c r="L24" i="4"/>
  <c r="K24" i="4"/>
  <c r="J24" i="4"/>
  <c r="I24" i="4"/>
  <c r="H24" i="4"/>
  <c r="G24" i="4"/>
  <c r="F24" i="4"/>
  <c r="E24" i="4"/>
  <c r="D24" i="4"/>
  <c r="C24" i="4"/>
  <c r="AA24" i="4" s="1"/>
  <c r="Z23" i="4"/>
  <c r="Y23" i="4"/>
  <c r="X23" i="4"/>
  <c r="W23" i="4"/>
  <c r="V23" i="4"/>
  <c r="U23" i="4"/>
  <c r="T23" i="4"/>
  <c r="S23" i="4"/>
  <c r="R23" i="4"/>
  <c r="Q23" i="4"/>
  <c r="P23" i="4"/>
  <c r="O23" i="4"/>
  <c r="N23" i="4"/>
  <c r="M23" i="4"/>
  <c r="L23" i="4"/>
  <c r="K23" i="4"/>
  <c r="J23" i="4"/>
  <c r="I23" i="4"/>
  <c r="H23" i="4"/>
  <c r="G23" i="4"/>
  <c r="F23" i="4"/>
  <c r="E23" i="4"/>
  <c r="D23" i="4"/>
  <c r="C23" i="4"/>
  <c r="AA23" i="4" s="1"/>
  <c r="Z22" i="4"/>
  <c r="Y22" i="4"/>
  <c r="X22" i="4"/>
  <c r="W22" i="4"/>
  <c r="V22" i="4"/>
  <c r="U22" i="4"/>
  <c r="T22" i="4"/>
  <c r="S22" i="4"/>
  <c r="R22" i="4"/>
  <c r="Q22" i="4"/>
  <c r="P22" i="4"/>
  <c r="O22" i="4"/>
  <c r="N22" i="4"/>
  <c r="M22" i="4"/>
  <c r="L22" i="4"/>
  <c r="K22" i="4"/>
  <c r="J22" i="4"/>
  <c r="I22" i="4"/>
  <c r="H22" i="4"/>
  <c r="G22" i="4"/>
  <c r="F22" i="4"/>
  <c r="E22" i="4"/>
  <c r="D22" i="4"/>
  <c r="C22" i="4"/>
  <c r="AA22" i="4" s="1"/>
  <c r="Z21" i="4"/>
  <c r="Y21" i="4"/>
  <c r="X21" i="4"/>
  <c r="W21" i="4"/>
  <c r="V21" i="4"/>
  <c r="U21" i="4"/>
  <c r="T21" i="4"/>
  <c r="S21" i="4"/>
  <c r="R21" i="4"/>
  <c r="Q21" i="4"/>
  <c r="P21" i="4"/>
  <c r="O21" i="4"/>
  <c r="N21" i="4"/>
  <c r="M21" i="4"/>
  <c r="L21" i="4"/>
  <c r="K21" i="4"/>
  <c r="J21" i="4"/>
  <c r="I21" i="4"/>
  <c r="H21" i="4"/>
  <c r="G21" i="4"/>
  <c r="F21" i="4"/>
  <c r="E21" i="4"/>
  <c r="D21" i="4"/>
  <c r="C21" i="4"/>
  <c r="AA21" i="4" s="1"/>
  <c r="Z20" i="4"/>
  <c r="Y20" i="4"/>
  <c r="X20" i="4"/>
  <c r="W20" i="4"/>
  <c r="V20" i="4"/>
  <c r="U20" i="4"/>
  <c r="T20" i="4"/>
  <c r="S20" i="4"/>
  <c r="R20" i="4"/>
  <c r="Q20" i="4"/>
  <c r="P20" i="4"/>
  <c r="O20" i="4"/>
  <c r="N20" i="4"/>
  <c r="M20" i="4"/>
  <c r="L20" i="4"/>
  <c r="K20" i="4"/>
  <c r="J20" i="4"/>
  <c r="I20" i="4"/>
  <c r="H20" i="4"/>
  <c r="G20" i="4"/>
  <c r="F20" i="4"/>
  <c r="E20" i="4"/>
  <c r="D20" i="4"/>
  <c r="C20" i="4"/>
  <c r="AA20" i="4" s="1"/>
  <c r="Z19" i="4"/>
  <c r="Y19" i="4"/>
  <c r="X19" i="4"/>
  <c r="W19" i="4"/>
  <c r="V19" i="4"/>
  <c r="U19" i="4"/>
  <c r="T19" i="4"/>
  <c r="S19" i="4"/>
  <c r="R19" i="4"/>
  <c r="Q19" i="4"/>
  <c r="P19" i="4"/>
  <c r="O19" i="4"/>
  <c r="N19" i="4"/>
  <c r="M19" i="4"/>
  <c r="L19" i="4"/>
  <c r="K19" i="4"/>
  <c r="J19" i="4"/>
  <c r="I19" i="4"/>
  <c r="H19" i="4"/>
  <c r="G19" i="4"/>
  <c r="F19" i="4"/>
  <c r="E19" i="4"/>
  <c r="D19" i="4"/>
  <c r="C19" i="4"/>
  <c r="AA19" i="4" s="1"/>
  <c r="Z18" i="4"/>
  <c r="Y18" i="4"/>
  <c r="X18" i="4"/>
  <c r="W18" i="4"/>
  <c r="V18" i="4"/>
  <c r="U18" i="4"/>
  <c r="T18" i="4"/>
  <c r="S18" i="4"/>
  <c r="R18" i="4"/>
  <c r="Q18" i="4"/>
  <c r="P18" i="4"/>
  <c r="O18" i="4"/>
  <c r="N18" i="4"/>
  <c r="M18" i="4"/>
  <c r="L18" i="4"/>
  <c r="K18" i="4"/>
  <c r="J18" i="4"/>
  <c r="I18" i="4"/>
  <c r="H18" i="4"/>
  <c r="G18" i="4"/>
  <c r="F18" i="4"/>
  <c r="E18" i="4"/>
  <c r="D18" i="4"/>
  <c r="C18" i="4"/>
  <c r="AA18" i="4" s="1"/>
  <c r="Z17" i="4"/>
  <c r="Y17" i="4"/>
  <c r="X17" i="4"/>
  <c r="W17" i="4"/>
  <c r="V17" i="4"/>
  <c r="U17" i="4"/>
  <c r="T17" i="4"/>
  <c r="S17" i="4"/>
  <c r="R17" i="4"/>
  <c r="Q17" i="4"/>
  <c r="P17" i="4"/>
  <c r="O17" i="4"/>
  <c r="N17" i="4"/>
  <c r="M17" i="4"/>
  <c r="L17" i="4"/>
  <c r="K17" i="4"/>
  <c r="J17" i="4"/>
  <c r="I17" i="4"/>
  <c r="H17" i="4"/>
  <c r="G17" i="4"/>
  <c r="F17" i="4"/>
  <c r="E17" i="4"/>
  <c r="D17" i="4"/>
  <c r="C17" i="4"/>
  <c r="AA17" i="4" s="1"/>
  <c r="Z16" i="4"/>
  <c r="Y16" i="4"/>
  <c r="X16" i="4"/>
  <c r="W16" i="4"/>
  <c r="V16" i="4"/>
  <c r="U16" i="4"/>
  <c r="T16" i="4"/>
  <c r="S16" i="4"/>
  <c r="R16" i="4"/>
  <c r="Q16" i="4"/>
  <c r="P16" i="4"/>
  <c r="O16" i="4"/>
  <c r="N16" i="4"/>
  <c r="M16" i="4"/>
  <c r="L16" i="4"/>
  <c r="K16" i="4"/>
  <c r="J16" i="4"/>
  <c r="I16" i="4"/>
  <c r="H16" i="4"/>
  <c r="G16" i="4"/>
  <c r="F16" i="4"/>
  <c r="E16" i="4"/>
  <c r="D16" i="4"/>
  <c r="C16" i="4"/>
  <c r="AA16" i="4" s="1"/>
  <c r="Z15" i="4"/>
  <c r="Y15" i="4"/>
  <c r="X15" i="4"/>
  <c r="W15" i="4"/>
  <c r="V15" i="4"/>
  <c r="U15" i="4"/>
  <c r="T15" i="4"/>
  <c r="S15" i="4"/>
  <c r="R15" i="4"/>
  <c r="Q15" i="4"/>
  <c r="P15" i="4"/>
  <c r="O15" i="4"/>
  <c r="N15" i="4"/>
  <c r="M15" i="4"/>
  <c r="L15" i="4"/>
  <c r="K15" i="4"/>
  <c r="J15" i="4"/>
  <c r="I15" i="4"/>
  <c r="H15" i="4"/>
  <c r="G15" i="4"/>
  <c r="F15" i="4"/>
  <c r="E15" i="4"/>
  <c r="D15" i="4"/>
  <c r="C15" i="4"/>
  <c r="AA15" i="4" s="1"/>
  <c r="Z14" i="4"/>
  <c r="Y14" i="4"/>
  <c r="X14" i="4"/>
  <c r="W14" i="4"/>
  <c r="V14" i="4"/>
  <c r="U14" i="4"/>
  <c r="T14" i="4"/>
  <c r="S14" i="4"/>
  <c r="R14" i="4"/>
  <c r="Q14" i="4"/>
  <c r="P14" i="4"/>
  <c r="O14" i="4"/>
  <c r="N14" i="4"/>
  <c r="M14" i="4"/>
  <c r="L14" i="4"/>
  <c r="K14" i="4"/>
  <c r="J14" i="4"/>
  <c r="I14" i="4"/>
  <c r="H14" i="4"/>
  <c r="G14" i="4"/>
  <c r="F14" i="4"/>
  <c r="E14" i="4"/>
  <c r="D14" i="4"/>
  <c r="C14" i="4"/>
  <c r="AA14" i="4" s="1"/>
  <c r="Z13" i="4"/>
  <c r="Y13" i="4"/>
  <c r="X13" i="4"/>
  <c r="W13" i="4"/>
  <c r="V13" i="4"/>
  <c r="U13" i="4"/>
  <c r="T13" i="4"/>
  <c r="S13" i="4"/>
  <c r="R13" i="4"/>
  <c r="Q13" i="4"/>
  <c r="P13" i="4"/>
  <c r="O13" i="4"/>
  <c r="N13" i="4"/>
  <c r="M13" i="4"/>
  <c r="L13" i="4"/>
  <c r="K13" i="4"/>
  <c r="J13" i="4"/>
  <c r="I13" i="4"/>
  <c r="H13" i="4"/>
  <c r="G13" i="4"/>
  <c r="F13" i="4"/>
  <c r="E13" i="4"/>
  <c r="D13" i="4"/>
  <c r="C13" i="4"/>
  <c r="AA13" i="4" s="1"/>
  <c r="Z12" i="4"/>
  <c r="Y12" i="4"/>
  <c r="X12" i="4"/>
  <c r="W12" i="4"/>
  <c r="V12" i="4"/>
  <c r="U12" i="4"/>
  <c r="T12" i="4"/>
  <c r="S12" i="4"/>
  <c r="R12" i="4"/>
  <c r="Q12" i="4"/>
  <c r="P12" i="4"/>
  <c r="O12" i="4"/>
  <c r="N12" i="4"/>
  <c r="M12" i="4"/>
  <c r="L12" i="4"/>
  <c r="K12" i="4"/>
  <c r="J12" i="4"/>
  <c r="I12" i="4"/>
  <c r="H12" i="4"/>
  <c r="G12" i="4"/>
  <c r="F12" i="4"/>
  <c r="E12" i="4"/>
  <c r="D12" i="4"/>
  <c r="C12" i="4"/>
  <c r="AA12" i="4" s="1"/>
  <c r="Z11" i="4"/>
  <c r="Y11" i="4"/>
  <c r="X11" i="4"/>
  <c r="W11" i="4"/>
  <c r="V11" i="4"/>
  <c r="U11" i="4"/>
  <c r="T11" i="4"/>
  <c r="S11" i="4"/>
  <c r="R11" i="4"/>
  <c r="Q11" i="4"/>
  <c r="P11" i="4"/>
  <c r="O11" i="4"/>
  <c r="N11" i="4"/>
  <c r="M11" i="4"/>
  <c r="L11" i="4"/>
  <c r="K11" i="4"/>
  <c r="J11" i="4"/>
  <c r="I11" i="4"/>
  <c r="H11" i="4"/>
  <c r="G11" i="4"/>
  <c r="F11" i="4"/>
  <c r="E11" i="4"/>
  <c r="D11" i="4"/>
  <c r="C11" i="4"/>
  <c r="AA11" i="4" s="1"/>
  <c r="AC85" i="6"/>
  <c r="C9" i="6"/>
  <c r="AC84" i="6"/>
  <c r="AC83" i="6"/>
  <c r="AC82" i="6"/>
  <c r="AC81" i="6"/>
  <c r="AC80" i="6"/>
  <c r="AC79" i="6"/>
  <c r="AC78" i="6"/>
  <c r="AC77" i="6"/>
  <c r="AC76" i="6"/>
  <c r="AC75" i="6"/>
  <c r="AC74" i="6"/>
  <c r="AC73" i="6"/>
  <c r="AC72" i="6"/>
  <c r="AC71" i="6"/>
  <c r="AC70" i="6"/>
  <c r="AC69" i="6"/>
  <c r="AC68" i="6"/>
  <c r="AC67" i="6"/>
  <c r="AC66" i="6"/>
  <c r="AC65" i="6"/>
  <c r="AC64" i="6"/>
  <c r="AC63" i="6"/>
  <c r="AC62" i="6"/>
  <c r="AC61" i="6"/>
  <c r="AC60" i="6"/>
  <c r="AC59" i="6"/>
  <c r="AC58" i="6"/>
  <c r="AC57" i="6"/>
  <c r="AC56" i="6"/>
  <c r="AC55" i="6"/>
  <c r="AC54" i="6"/>
  <c r="AC53" i="6"/>
  <c r="AC52" i="6"/>
  <c r="AC51"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C12" i="6"/>
  <c r="AC11" i="6"/>
  <c r="F9" i="6"/>
  <c r="AC85" i="4"/>
  <c r="AC84" i="4"/>
  <c r="AC83" i="4"/>
  <c r="AC82" i="4"/>
  <c r="AC81" i="4"/>
  <c r="AD81" i="4"/>
  <c r="AC80" i="4"/>
  <c r="AC79" i="4"/>
  <c r="AC78" i="4"/>
  <c r="AC77" i="4"/>
  <c r="AC76" i="4"/>
  <c r="AC75" i="4"/>
  <c r="AC74" i="4"/>
  <c r="AC73" i="4"/>
  <c r="AC72" i="4"/>
  <c r="AE72" i="4" s="1"/>
  <c r="AC71" i="4"/>
  <c r="AC70" i="4"/>
  <c r="AC69" i="4"/>
  <c r="AE69" i="4" s="1"/>
  <c r="AD69" i="4"/>
  <c r="AC68" i="4"/>
  <c r="AC67" i="4"/>
  <c r="AC66" i="4"/>
  <c r="AC65" i="4"/>
  <c r="AC64" i="4"/>
  <c r="AC63" i="4"/>
  <c r="AC62" i="4"/>
  <c r="AC61" i="4"/>
  <c r="AC60" i="4"/>
  <c r="AE60" i="4" s="1"/>
  <c r="AC59" i="4"/>
  <c r="AC58" i="4"/>
  <c r="AC57" i="4"/>
  <c r="AD57" i="4" s="1"/>
  <c r="AC56" i="4"/>
  <c r="AC55" i="4"/>
  <c r="AE55" i="4" s="1"/>
  <c r="AC54" i="4"/>
  <c r="AC53" i="4"/>
  <c r="AC52" i="4"/>
  <c r="AC51" i="4"/>
  <c r="AC50" i="4"/>
  <c r="AC49" i="4"/>
  <c r="AC48" i="4"/>
  <c r="AC47" i="4"/>
  <c r="AC46" i="4"/>
  <c r="AC45" i="4"/>
  <c r="AC44" i="4"/>
  <c r="AC43" i="4"/>
  <c r="AC42" i="4"/>
  <c r="AC41" i="4"/>
  <c r="AC40" i="4"/>
  <c r="AC39" i="4"/>
  <c r="AE39" i="4" s="1"/>
  <c r="AC38" i="4"/>
  <c r="AC37" i="4"/>
  <c r="AC36" i="4"/>
  <c r="AC35" i="4"/>
  <c r="AC34" i="4"/>
  <c r="AC33" i="4"/>
  <c r="AC32" i="4"/>
  <c r="AC31" i="4"/>
  <c r="AC30" i="4"/>
  <c r="AC29" i="4"/>
  <c r="AC28" i="4"/>
  <c r="AC27" i="4"/>
  <c r="AC26" i="4"/>
  <c r="AC25" i="4"/>
  <c r="AC24" i="4"/>
  <c r="AC23" i="4"/>
  <c r="AC22" i="4"/>
  <c r="AC21" i="4"/>
  <c r="AC20" i="4"/>
  <c r="AC19" i="4"/>
  <c r="AC18" i="4"/>
  <c r="AC17" i="4"/>
  <c r="AC16" i="4"/>
  <c r="AC15" i="4"/>
  <c r="AC14" i="4"/>
  <c r="AC13" i="4"/>
  <c r="AC12" i="4"/>
  <c r="AC11" i="4"/>
  <c r="C8" i="4"/>
  <c r="AG6" i="4"/>
  <c r="U8" i="5"/>
  <c r="AC83" i="5"/>
  <c r="AC82" i="5"/>
  <c r="AC81" i="5"/>
  <c r="AC80" i="5"/>
  <c r="AC79" i="5"/>
  <c r="AC78" i="5"/>
  <c r="AC77" i="5"/>
  <c r="AC76" i="5"/>
  <c r="AC75" i="5"/>
  <c r="AC74" i="5"/>
  <c r="AC73" i="5"/>
  <c r="AC72" i="5"/>
  <c r="AC71" i="5"/>
  <c r="AC70" i="5"/>
  <c r="AC69" i="5"/>
  <c r="AC68" i="5"/>
  <c r="AC67" i="5"/>
  <c r="AC66" i="5"/>
  <c r="AC65" i="5"/>
  <c r="AC64" i="5"/>
  <c r="AC63" i="5"/>
  <c r="AC62" i="5"/>
  <c r="AC61" i="5"/>
  <c r="AC60" i="5"/>
  <c r="AC59" i="5"/>
  <c r="AC58" i="5"/>
  <c r="AC57" i="5"/>
  <c r="AC56" i="5"/>
  <c r="AC55" i="5"/>
  <c r="AC54" i="5"/>
  <c r="AC53" i="5"/>
  <c r="AC52" i="5"/>
  <c r="AC51" i="5"/>
  <c r="AC50" i="5"/>
  <c r="AC49" i="5"/>
  <c r="AC48" i="5"/>
  <c r="AC47" i="5"/>
  <c r="AC46" i="5"/>
  <c r="AC45" i="5"/>
  <c r="AC44" i="5"/>
  <c r="AC43" i="5"/>
  <c r="AC42" i="5"/>
  <c r="AC41" i="5"/>
  <c r="AC40" i="5"/>
  <c r="AC39" i="5"/>
  <c r="AC38" i="5"/>
  <c r="AC37" i="5"/>
  <c r="AC36" i="5"/>
  <c r="AC35" i="5"/>
  <c r="AC34" i="5"/>
  <c r="AC33" i="5"/>
  <c r="AC32" i="5"/>
  <c r="AC31" i="5"/>
  <c r="AC30" i="5"/>
  <c r="AC29" i="5"/>
  <c r="AC28" i="5"/>
  <c r="AC27" i="5"/>
  <c r="AC26" i="5"/>
  <c r="AC25" i="5"/>
  <c r="AC24" i="5"/>
  <c r="AC23" i="5"/>
  <c r="AC22" i="5"/>
  <c r="AC21" i="5"/>
  <c r="AC20" i="5"/>
  <c r="AC19" i="5"/>
  <c r="AC18" i="5"/>
  <c r="AC17" i="5"/>
  <c r="AC16" i="5"/>
  <c r="AC15" i="5"/>
  <c r="AC14" i="5"/>
  <c r="AC13" i="5"/>
  <c r="AC12" i="5"/>
  <c r="AC11" i="5"/>
  <c r="Z9" i="5"/>
  <c r="F9" i="5"/>
  <c r="AA8" i="5"/>
  <c r="J8" i="5"/>
  <c r="AE24" i="5" l="1"/>
  <c r="AE78" i="5"/>
  <c r="AE40" i="4"/>
  <c r="AE30" i="4"/>
  <c r="AE77" i="5"/>
  <c r="AE46" i="5"/>
  <c r="AE34" i="5"/>
  <c r="AD82" i="5"/>
  <c r="AE74" i="5"/>
  <c r="AE49" i="5"/>
  <c r="AE61" i="5"/>
  <c r="AE65" i="5"/>
  <c r="AE37" i="5"/>
  <c r="AE57" i="5"/>
  <c r="AE33" i="5"/>
  <c r="AE69" i="5"/>
  <c r="AE73" i="5"/>
  <c r="AD73" i="5"/>
  <c r="AE48" i="5"/>
  <c r="AE60" i="5"/>
  <c r="AE70" i="5"/>
  <c r="AE22" i="5"/>
  <c r="AD46" i="5"/>
  <c r="AE58" i="5"/>
  <c r="AE21" i="5"/>
  <c r="AD43" i="4"/>
  <c r="AD28" i="5"/>
  <c r="AE79" i="5"/>
  <c r="AE25" i="5"/>
  <c r="AE43" i="5"/>
  <c r="AE55" i="5"/>
  <c r="AE67" i="5"/>
  <c r="AE19" i="5"/>
  <c r="D8" i="5"/>
  <c r="AD55" i="5"/>
  <c r="Y9" i="5"/>
  <c r="I8" i="5"/>
  <c r="AE87" i="4"/>
  <c r="AE88" i="4"/>
  <c r="AD87" i="4"/>
  <c r="AD88" i="4"/>
  <c r="R7" i="5"/>
  <c r="AE31" i="5"/>
  <c r="K7" i="6"/>
  <c r="Q8" i="6"/>
  <c r="W7" i="5"/>
  <c r="L7" i="6"/>
  <c r="L7" i="5"/>
  <c r="X7" i="5"/>
  <c r="M7" i="6"/>
  <c r="N7" i="6"/>
  <c r="N7" i="5"/>
  <c r="C7" i="6"/>
  <c r="AA7" i="6"/>
  <c r="O7" i="5"/>
  <c r="D7" i="6"/>
  <c r="AE29" i="5"/>
  <c r="AE41" i="5"/>
  <c r="Q7" i="6"/>
  <c r="K8" i="5"/>
  <c r="L8" i="5"/>
  <c r="N8" i="5"/>
  <c r="O8" i="5"/>
  <c r="P8" i="5"/>
  <c r="Q8" i="5"/>
  <c r="M8" i="5"/>
  <c r="F8" i="5"/>
  <c r="V8" i="5"/>
  <c r="R8" i="5"/>
  <c r="X8" i="5"/>
  <c r="Y8" i="5"/>
  <c r="C8" i="5"/>
  <c r="Z8" i="5"/>
  <c r="K9" i="5"/>
  <c r="AA9" i="5"/>
  <c r="L9" i="5"/>
  <c r="M9" i="5"/>
  <c r="O9" i="5"/>
  <c r="P9" i="5"/>
  <c r="R9" i="5"/>
  <c r="Q9" i="5"/>
  <c r="V9" i="5"/>
  <c r="C9" i="5"/>
  <c r="W9" i="5"/>
  <c r="D9" i="5"/>
  <c r="J9" i="5"/>
  <c r="X9" i="5"/>
  <c r="E9" i="5"/>
  <c r="F7" i="5"/>
  <c r="AD34" i="6"/>
  <c r="AD46" i="6"/>
  <c r="AD82" i="6"/>
  <c r="W8" i="6"/>
  <c r="AD22" i="6"/>
  <c r="AD58" i="6"/>
  <c r="D8" i="6"/>
  <c r="AD70" i="6"/>
  <c r="AD14" i="6"/>
  <c r="E8" i="6"/>
  <c r="L8" i="6"/>
  <c r="X8" i="6"/>
  <c r="U8" i="6"/>
  <c r="M8" i="6"/>
  <c r="N8" i="6"/>
  <c r="P8" i="6"/>
  <c r="V8" i="6"/>
  <c r="J7" i="6"/>
  <c r="C164" i="8"/>
  <c r="AD37" i="5"/>
  <c r="AD85" i="5"/>
  <c r="AE23" i="5"/>
  <c r="AE39" i="5"/>
  <c r="AE47" i="5"/>
  <c r="AE51" i="5"/>
  <c r="AE59" i="5"/>
  <c r="AE75" i="5"/>
  <c r="AE83" i="5"/>
  <c r="AE87" i="5"/>
  <c r="AA7" i="5"/>
  <c r="D7" i="5"/>
  <c r="Z7" i="6"/>
  <c r="AE88" i="5"/>
  <c r="X7" i="6"/>
  <c r="W7" i="6"/>
  <c r="T8" i="6"/>
  <c r="AD33" i="4"/>
  <c r="AD42" i="4"/>
  <c r="C7" i="4"/>
  <c r="AE84" i="5"/>
  <c r="AD86" i="5"/>
  <c r="Q7" i="5"/>
  <c r="N9" i="5"/>
  <c r="E8" i="5"/>
  <c r="P7" i="5"/>
  <c r="G7" i="6"/>
  <c r="AA8" i="6"/>
  <c r="AA9" i="6"/>
  <c r="C7" i="5"/>
  <c r="AE20" i="4"/>
  <c r="D290" i="9"/>
  <c r="C291" i="9"/>
  <c r="AD21" i="4"/>
  <c r="C17" i="7"/>
  <c r="C5" i="7"/>
  <c r="C16" i="7"/>
  <c r="C4" i="7"/>
  <c r="C27" i="7"/>
  <c r="C15" i="7"/>
  <c r="C3" i="7"/>
  <c r="C26" i="7"/>
  <c r="C14" i="7"/>
  <c r="C25" i="7"/>
  <c r="C13" i="7"/>
  <c r="C24" i="7"/>
  <c r="C12" i="7"/>
  <c r="C23" i="7"/>
  <c r="C11" i="7"/>
  <c r="C22" i="7"/>
  <c r="C10" i="7"/>
  <c r="C21" i="7"/>
  <c r="C9" i="7"/>
  <c r="C20" i="7"/>
  <c r="C8" i="7"/>
  <c r="C18" i="7"/>
  <c r="C19" i="7"/>
  <c r="C7" i="7"/>
  <c r="C6" i="7"/>
  <c r="P9" i="6"/>
  <c r="M9" i="6"/>
  <c r="Q9" i="6"/>
  <c r="O9" i="6"/>
  <c r="R9" i="6"/>
  <c r="Y9" i="6"/>
  <c r="F8" i="6"/>
  <c r="Y8" i="6"/>
  <c r="C8" i="6"/>
  <c r="I8" i="6"/>
  <c r="Z8" i="6"/>
  <c r="G9" i="6"/>
  <c r="J8" i="6"/>
  <c r="D9" i="6"/>
  <c r="O8" i="6"/>
  <c r="S8" i="6"/>
  <c r="E7" i="5"/>
  <c r="K8" i="6"/>
  <c r="E9" i="6"/>
  <c r="AD50" i="4"/>
  <c r="AD62" i="4"/>
  <c r="AD86" i="4"/>
  <c r="AE66" i="4"/>
  <c r="C286" i="8"/>
  <c r="AE86" i="5"/>
  <c r="AD89" i="6"/>
  <c r="AD88" i="6"/>
  <c r="AD87" i="6"/>
  <c r="AE85" i="5"/>
  <c r="AD86" i="6"/>
  <c r="AD84" i="5"/>
  <c r="AE30" i="5"/>
  <c r="AE38" i="5"/>
  <c r="AE42" i="5"/>
  <c r="AE50" i="5"/>
  <c r="AE66" i="5"/>
  <c r="AD88" i="5"/>
  <c r="AE14" i="5"/>
  <c r="AE15" i="5"/>
  <c r="AE16" i="5"/>
  <c r="AE20" i="5"/>
  <c r="AE28" i="5"/>
  <c r="AE32" i="5"/>
  <c r="AE40" i="5"/>
  <c r="AE52" i="5"/>
  <c r="AE56" i="5"/>
  <c r="AE68" i="5"/>
  <c r="AE76" i="5"/>
  <c r="W8" i="5"/>
  <c r="AD87" i="5"/>
  <c r="C28" i="8"/>
  <c r="C20" i="8"/>
  <c r="C116" i="8"/>
  <c r="C264" i="9"/>
  <c r="C64" i="9"/>
  <c r="C288" i="9"/>
  <c r="C120" i="9"/>
  <c r="C8" i="9"/>
  <c r="C176" i="9"/>
  <c r="C200" i="9"/>
  <c r="C56" i="9"/>
  <c r="C284" i="9"/>
  <c r="C160" i="9"/>
  <c r="C236" i="9"/>
  <c r="C188" i="9"/>
  <c r="C192" i="9"/>
  <c r="C72" i="9"/>
  <c r="C272" i="9"/>
  <c r="C32" i="9"/>
  <c r="C224" i="9"/>
  <c r="C76" i="9"/>
  <c r="C24" i="9"/>
  <c r="C248" i="9"/>
  <c r="C208" i="9"/>
  <c r="C220" i="9"/>
  <c r="C256" i="9"/>
  <c r="C268" i="9"/>
  <c r="C96" i="9"/>
  <c r="C80" i="9"/>
  <c r="C92" i="9"/>
  <c r="C128" i="9"/>
  <c r="C140" i="9"/>
  <c r="C152" i="9"/>
  <c r="C144" i="9"/>
  <c r="C188" i="8"/>
  <c r="D148" i="9"/>
  <c r="C33" i="8"/>
  <c r="C57" i="8"/>
  <c r="C79" i="8"/>
  <c r="C104" i="8"/>
  <c r="C16" i="9"/>
  <c r="C28" i="9"/>
  <c r="C112" i="9"/>
  <c r="D170" i="9"/>
  <c r="D182" i="9"/>
  <c r="D194" i="9"/>
  <c r="D206" i="9"/>
  <c r="D218" i="9"/>
  <c r="C216" i="9"/>
  <c r="C247" i="8"/>
  <c r="D125" i="9"/>
  <c r="C240" i="9"/>
  <c r="D78" i="9"/>
  <c r="D90" i="9"/>
  <c r="C68" i="8"/>
  <c r="D124" i="9"/>
  <c r="C76" i="8"/>
  <c r="C200" i="8"/>
  <c r="C271" i="8"/>
  <c r="C27" i="8"/>
  <c r="C22" i="8"/>
  <c r="C46" i="8"/>
  <c r="C235" i="8"/>
  <c r="C48" i="9"/>
  <c r="C256" i="8"/>
  <c r="C132" i="8"/>
  <c r="C172" i="8"/>
  <c r="C137" i="8"/>
  <c r="C161" i="8"/>
  <c r="C124" i="8"/>
  <c r="C168" i="9"/>
  <c r="C259" i="8"/>
  <c r="C7" i="8"/>
  <c r="C126" i="8"/>
  <c r="C185" i="8"/>
  <c r="C197" i="8"/>
  <c r="C281" i="8"/>
  <c r="C91" i="8"/>
  <c r="C115" i="8"/>
  <c r="C258" i="8"/>
  <c r="C270" i="8"/>
  <c r="C3" i="8"/>
  <c r="D14" i="9"/>
  <c r="D169" i="9"/>
  <c r="D104" i="9"/>
  <c r="D44" i="9"/>
  <c r="C290" i="8"/>
  <c r="C144" i="8"/>
  <c r="D150" i="9"/>
  <c r="D138" i="9"/>
  <c r="D126" i="9"/>
  <c r="D114" i="9"/>
  <c r="D66" i="9"/>
  <c r="D6" i="9"/>
  <c r="C17" i="8"/>
  <c r="C52" i="8"/>
  <c r="C86" i="8"/>
  <c r="C98" i="8"/>
  <c r="C110" i="8"/>
  <c r="C156" i="8"/>
  <c r="C249" i="8"/>
  <c r="C238" i="8"/>
  <c r="C178" i="8"/>
  <c r="C65" i="8"/>
  <c r="C285" i="8"/>
  <c r="C273" i="8"/>
  <c r="C261" i="8"/>
  <c r="C225" i="8"/>
  <c r="C176" i="8"/>
  <c r="C201" i="9"/>
  <c r="D257" i="9"/>
  <c r="D161" i="9"/>
  <c r="D149" i="9"/>
  <c r="D137" i="9"/>
  <c r="D89" i="9"/>
  <c r="D77" i="9"/>
  <c r="D5" i="9"/>
  <c r="C88" i="8"/>
  <c r="C100" i="8"/>
  <c r="D4" i="9"/>
  <c r="C201" i="8"/>
  <c r="C9" i="8"/>
  <c r="C113" i="8"/>
  <c r="C67" i="8"/>
  <c r="C18" i="8"/>
  <c r="C289" i="8"/>
  <c r="C55" i="9"/>
  <c r="C213" i="8"/>
  <c r="C166" i="8"/>
  <c r="C190" i="8"/>
  <c r="C40" i="8"/>
  <c r="C75" i="8"/>
  <c r="C136" i="8"/>
  <c r="C148" i="8"/>
  <c r="C78" i="8"/>
  <c r="C41" i="8"/>
  <c r="C30" i="8"/>
  <c r="C101" i="9"/>
  <c r="D254" i="9"/>
  <c r="D242" i="9"/>
  <c r="D230" i="9"/>
  <c r="D158" i="9"/>
  <c r="D146" i="9"/>
  <c r="D134" i="9"/>
  <c r="D110" i="9"/>
  <c r="D98" i="9"/>
  <c r="D86" i="9"/>
  <c r="D74" i="9"/>
  <c r="D62" i="9"/>
  <c r="D50" i="9"/>
  <c r="D38" i="9"/>
  <c r="D26" i="9"/>
  <c r="D2" i="9"/>
  <c r="C253" i="9"/>
  <c r="C235" i="9"/>
  <c r="C11" i="9"/>
  <c r="C178" i="9"/>
  <c r="C23" i="9"/>
  <c r="C179" i="9"/>
  <c r="C191" i="9"/>
  <c r="C202" i="9"/>
  <c r="C34" i="9"/>
  <c r="C274" i="9"/>
  <c r="C285" i="9"/>
  <c r="C95" i="9"/>
  <c r="C174" i="9"/>
  <c r="C210" i="9"/>
  <c r="C221" i="9"/>
  <c r="C267" i="9"/>
  <c r="C106" i="9"/>
  <c r="C107" i="9"/>
  <c r="C163" i="9"/>
  <c r="C31" i="9"/>
  <c r="C42" i="9"/>
  <c r="C53" i="9"/>
  <c r="C211" i="9"/>
  <c r="C222" i="9"/>
  <c r="C245" i="9"/>
  <c r="C83" i="9"/>
  <c r="C10" i="9"/>
  <c r="C43" i="9"/>
  <c r="C54" i="9"/>
  <c r="C189" i="9"/>
  <c r="C223" i="9"/>
  <c r="C234" i="9"/>
  <c r="C246" i="9"/>
  <c r="C279" i="9"/>
  <c r="C73" i="9"/>
  <c r="C157" i="9"/>
  <c r="C241" i="9"/>
  <c r="C263" i="9"/>
  <c r="C85" i="9"/>
  <c r="C13" i="9"/>
  <c r="C181" i="9"/>
  <c r="C265" i="9"/>
  <c r="C275" i="9"/>
  <c r="C97" i="9"/>
  <c r="C119" i="9"/>
  <c r="C203" i="9"/>
  <c r="C266" i="9"/>
  <c r="C287" i="9"/>
  <c r="C25" i="9"/>
  <c r="C35" i="9"/>
  <c r="C109" i="9"/>
  <c r="C193" i="9"/>
  <c r="C215" i="9"/>
  <c r="C277" i="9"/>
  <c r="C47" i="9"/>
  <c r="C57" i="9"/>
  <c r="C130" i="9"/>
  <c r="C141" i="9"/>
  <c r="C205" i="9"/>
  <c r="C247" i="9"/>
  <c r="C278" i="9"/>
  <c r="C37" i="9"/>
  <c r="C58" i="9"/>
  <c r="C121" i="9"/>
  <c r="C131" i="9"/>
  <c r="C226" i="9"/>
  <c r="C237" i="9"/>
  <c r="C289" i="9"/>
  <c r="C269" i="9"/>
  <c r="C18" i="9"/>
  <c r="C49" i="9"/>
  <c r="C71" i="9"/>
  <c r="C102" i="9"/>
  <c r="C133" i="9"/>
  <c r="C154" i="9"/>
  <c r="C187" i="9"/>
  <c r="C197" i="9"/>
  <c r="C239" i="9"/>
  <c r="C249" i="9"/>
  <c r="C270" i="9"/>
  <c r="C19" i="9"/>
  <c r="C29" i="9"/>
  <c r="C61" i="9"/>
  <c r="C103" i="9"/>
  <c r="C155" i="9"/>
  <c r="C198" i="9"/>
  <c r="C229" i="9"/>
  <c r="C250" i="9"/>
  <c r="C271" i="9"/>
  <c r="C282" i="9"/>
  <c r="C59" i="9"/>
  <c r="C143" i="9"/>
  <c r="C153" i="9"/>
  <c r="C175" i="9"/>
  <c r="C186" i="9"/>
  <c r="C217" i="9"/>
  <c r="C227" i="9"/>
  <c r="C259" i="9"/>
  <c r="C9" i="9"/>
  <c r="C30" i="9"/>
  <c r="C82" i="9"/>
  <c r="C93" i="9"/>
  <c r="C145" i="9"/>
  <c r="C167" i="9"/>
  <c r="C199" i="9"/>
  <c r="C251" i="9"/>
  <c r="C283" i="9"/>
  <c r="C33" i="9"/>
  <c r="C52" i="9"/>
  <c r="C81" i="9"/>
  <c r="C100" i="9"/>
  <c r="C129" i="9"/>
  <c r="C177" i="9"/>
  <c r="C196" i="9"/>
  <c r="C225" i="9"/>
  <c r="C244" i="9"/>
  <c r="C273" i="9"/>
  <c r="C17" i="9"/>
  <c r="C36" i="9"/>
  <c r="C46" i="9"/>
  <c r="C65" i="9"/>
  <c r="C84" i="9"/>
  <c r="C94" i="9"/>
  <c r="C113" i="9"/>
  <c r="C132" i="9"/>
  <c r="C142" i="9"/>
  <c r="C180" i="9"/>
  <c r="C190" i="9"/>
  <c r="C209" i="9"/>
  <c r="C228" i="9"/>
  <c r="C238" i="9"/>
  <c r="C276" i="9"/>
  <c r="C286" i="9"/>
  <c r="C20" i="9"/>
  <c r="C68" i="9"/>
  <c r="C116" i="9"/>
  <c r="C164" i="9"/>
  <c r="C212" i="9"/>
  <c r="C260" i="9"/>
  <c r="C21" i="9"/>
  <c r="C40" i="9"/>
  <c r="C69" i="9"/>
  <c r="C88" i="9"/>
  <c r="C117" i="9"/>
  <c r="C136" i="9"/>
  <c r="C165" i="9"/>
  <c r="C184" i="9"/>
  <c r="C213" i="9"/>
  <c r="C232" i="9"/>
  <c r="C261" i="9"/>
  <c r="C280" i="9"/>
  <c r="C290" i="9"/>
  <c r="C12" i="9"/>
  <c r="C22" i="9"/>
  <c r="C41" i="9"/>
  <c r="C60" i="9"/>
  <c r="C70" i="9"/>
  <c r="C108" i="9"/>
  <c r="C118" i="9"/>
  <c r="C156" i="9"/>
  <c r="C166" i="9"/>
  <c r="C185" i="9"/>
  <c r="C204" i="9"/>
  <c r="C214" i="9"/>
  <c r="C233" i="9"/>
  <c r="C252" i="9"/>
  <c r="C262" i="9"/>
  <c r="C281" i="9"/>
  <c r="C180" i="8"/>
  <c r="C84" i="8"/>
  <c r="C36" i="8"/>
  <c r="C123" i="8"/>
  <c r="C145" i="8"/>
  <c r="C157" i="8"/>
  <c r="C168" i="8"/>
  <c r="C262" i="8"/>
  <c r="C287" i="8"/>
  <c r="C134" i="8"/>
  <c r="C146" i="8"/>
  <c r="C158" i="8"/>
  <c r="C171" i="8"/>
  <c r="C12" i="8"/>
  <c r="C207" i="8"/>
  <c r="C219" i="8"/>
  <c r="C231" i="8"/>
  <c r="C243" i="8"/>
  <c r="C13" i="8"/>
  <c r="C24" i="8"/>
  <c r="C70" i="8"/>
  <c r="C81" i="8"/>
  <c r="C105" i="8"/>
  <c r="C138" i="8"/>
  <c r="C184" i="8"/>
  <c r="C196" i="8"/>
  <c r="C208" i="8"/>
  <c r="C220" i="8"/>
  <c r="C279" i="8"/>
  <c r="C14" i="8"/>
  <c r="C117" i="8"/>
  <c r="C128" i="8"/>
  <c r="C139" i="8"/>
  <c r="C163" i="8"/>
  <c r="C268" i="8"/>
  <c r="C280" i="8"/>
  <c r="C288" i="8"/>
  <c r="C129" i="8"/>
  <c r="C152" i="8"/>
  <c r="C174" i="8"/>
  <c r="C186" i="8"/>
  <c r="C234" i="8"/>
  <c r="C246" i="8"/>
  <c r="C203" i="8"/>
  <c r="C215" i="8"/>
  <c r="C239" i="8"/>
  <c r="C192" i="8"/>
  <c r="C204" i="8"/>
  <c r="C216" i="8"/>
  <c r="C228" i="8"/>
  <c r="C240" i="8"/>
  <c r="C252" i="8"/>
  <c r="C193" i="8"/>
  <c r="C205" i="8"/>
  <c r="C217" i="8"/>
  <c r="C229" i="8"/>
  <c r="C241" i="8"/>
  <c r="C253" i="8"/>
  <c r="C264" i="8"/>
  <c r="C276" i="8"/>
  <c r="C182" i="8"/>
  <c r="C194" i="8"/>
  <c r="C206" i="8"/>
  <c r="C218" i="8"/>
  <c r="C230" i="8"/>
  <c r="C48" i="8"/>
  <c r="C60" i="8"/>
  <c r="C266" i="8"/>
  <c r="C278" i="8"/>
  <c r="C242" i="8"/>
  <c r="C49" i="8"/>
  <c r="C61" i="8"/>
  <c r="C72" i="8"/>
  <c r="C94" i="8"/>
  <c r="C38" i="8"/>
  <c r="C50" i="8"/>
  <c r="C62" i="8"/>
  <c r="C118" i="8"/>
  <c r="C96" i="8"/>
  <c r="C108" i="8"/>
  <c r="C153" i="8"/>
  <c r="C254" i="8"/>
  <c r="C97" i="8"/>
  <c r="C109" i="8"/>
  <c r="C120" i="8"/>
  <c r="C142" i="8"/>
  <c r="C165" i="8"/>
  <c r="C211" i="8"/>
  <c r="C223" i="8"/>
  <c r="C282" i="8"/>
  <c r="C8" i="8"/>
  <c r="C16" i="8"/>
  <c r="C26" i="8"/>
  <c r="C55" i="8"/>
  <c r="C64" i="8"/>
  <c r="C74" i="8"/>
  <c r="C93" i="8"/>
  <c r="C112" i="8"/>
  <c r="C122" i="8"/>
  <c r="C141" i="8"/>
  <c r="C151" i="8"/>
  <c r="C160" i="8"/>
  <c r="C170" i="8"/>
  <c r="C189" i="8"/>
  <c r="C210" i="8"/>
  <c r="C222" i="8"/>
  <c r="C233" i="8"/>
  <c r="C245" i="8"/>
  <c r="C265" i="8"/>
  <c r="C275" i="8"/>
  <c r="C37" i="8"/>
  <c r="C47" i="8"/>
  <c r="C85" i="8"/>
  <c r="C95" i="8"/>
  <c r="C133" i="8"/>
  <c r="C143" i="8"/>
  <c r="C162" i="8"/>
  <c r="C181" i="8"/>
  <c r="C191" i="8"/>
  <c r="C212" i="8"/>
  <c r="C267" i="8"/>
  <c r="C277" i="8"/>
  <c r="C10" i="8"/>
  <c r="C39" i="8"/>
  <c r="C58" i="8"/>
  <c r="C87" i="8"/>
  <c r="C106" i="8"/>
  <c r="C135" i="8"/>
  <c r="C154" i="8"/>
  <c r="C173" i="8"/>
  <c r="C183" i="8"/>
  <c r="C202" i="8"/>
  <c r="C214" i="8"/>
  <c r="C226" i="8"/>
  <c r="C11" i="8"/>
  <c r="C155" i="8"/>
  <c r="C227" i="8"/>
  <c r="C59" i="8"/>
  <c r="C175" i="8"/>
  <c r="C251" i="8"/>
  <c r="C51" i="8"/>
  <c r="C147" i="8"/>
  <c r="C195" i="8"/>
  <c r="C107" i="8"/>
  <c r="C99" i="8"/>
  <c r="C23" i="8"/>
  <c r="C71" i="8"/>
  <c r="C167" i="8"/>
  <c r="C43" i="8"/>
  <c r="C263" i="8"/>
  <c r="C15" i="8"/>
  <c r="C34" i="8"/>
  <c r="C53" i="8"/>
  <c r="C63" i="8"/>
  <c r="C82" i="8"/>
  <c r="C101" i="8"/>
  <c r="C111" i="8"/>
  <c r="C130" i="8"/>
  <c r="C149" i="8"/>
  <c r="C159" i="8"/>
  <c r="C31" i="8"/>
  <c r="C127" i="8"/>
  <c r="C119" i="8"/>
  <c r="C25" i="8"/>
  <c r="C35" i="8"/>
  <c r="C44" i="8"/>
  <c r="C54" i="8"/>
  <c r="C73" i="8"/>
  <c r="C83" i="8"/>
  <c r="C92" i="8"/>
  <c r="C102" i="8"/>
  <c r="C121" i="8"/>
  <c r="C131" i="8"/>
  <c r="C140" i="8"/>
  <c r="C150" i="8"/>
  <c r="C169" i="8"/>
  <c r="C179" i="8"/>
  <c r="C198" i="8"/>
  <c r="C209" i="8"/>
  <c r="C221" i="8"/>
  <c r="C232" i="8"/>
  <c r="C244" i="8"/>
  <c r="C255" i="8"/>
  <c r="C274" i="8"/>
  <c r="H8" i="6"/>
  <c r="T7" i="6"/>
  <c r="H7" i="6"/>
  <c r="R7" i="6"/>
  <c r="F7" i="6"/>
  <c r="E7" i="6"/>
  <c r="AD11" i="6"/>
  <c r="AD26" i="6"/>
  <c r="AD38" i="6"/>
  <c r="AD50" i="6"/>
  <c r="AD62" i="6"/>
  <c r="AD74" i="6"/>
  <c r="O7" i="6"/>
  <c r="AD15" i="6"/>
  <c r="AD21" i="6"/>
  <c r="AD27" i="6"/>
  <c r="AD33" i="6"/>
  <c r="AD39" i="6"/>
  <c r="AD45" i="6"/>
  <c r="AD51" i="6"/>
  <c r="AD57" i="6"/>
  <c r="AD63" i="6"/>
  <c r="AD69" i="6"/>
  <c r="AD75" i="6"/>
  <c r="AD81" i="6"/>
  <c r="S9" i="6"/>
  <c r="AD16" i="6"/>
  <c r="AD28" i="6"/>
  <c r="AD40" i="6"/>
  <c r="AD52" i="6"/>
  <c r="AD64" i="6"/>
  <c r="AD76" i="6"/>
  <c r="H9" i="6"/>
  <c r="T9" i="6"/>
  <c r="I9" i="6"/>
  <c r="U9" i="6"/>
  <c r="AD17" i="6"/>
  <c r="AD23" i="6"/>
  <c r="AD29" i="6"/>
  <c r="AD35" i="6"/>
  <c r="AD41" i="6"/>
  <c r="AD47" i="6"/>
  <c r="AD53" i="6"/>
  <c r="AD59" i="6"/>
  <c r="AD65" i="6"/>
  <c r="AD71" i="6"/>
  <c r="AD77" i="6"/>
  <c r="AD83" i="6"/>
  <c r="J9" i="6"/>
  <c r="V9" i="6"/>
  <c r="V7" i="6"/>
  <c r="K9" i="6"/>
  <c r="W9" i="6"/>
  <c r="U7" i="6"/>
  <c r="I7" i="6"/>
  <c r="AD24" i="6"/>
  <c r="AD36" i="6"/>
  <c r="AD48" i="6"/>
  <c r="AD60" i="6"/>
  <c r="AD72" i="6"/>
  <c r="AD84" i="6"/>
  <c r="L9" i="6"/>
  <c r="X9" i="6"/>
  <c r="AD18" i="6"/>
  <c r="AD30" i="6"/>
  <c r="AD42" i="6"/>
  <c r="AD54" i="6"/>
  <c r="AD66" i="6"/>
  <c r="AD78" i="6"/>
  <c r="S7" i="6"/>
  <c r="AD13" i="6"/>
  <c r="AD19" i="6"/>
  <c r="AD25" i="6"/>
  <c r="AD31" i="6"/>
  <c r="AD37" i="6"/>
  <c r="AD43" i="6"/>
  <c r="AD49" i="6"/>
  <c r="AD55" i="6"/>
  <c r="AD61" i="6"/>
  <c r="AD67" i="6"/>
  <c r="AD73" i="6"/>
  <c r="AD79" i="6"/>
  <c r="AD85" i="6"/>
  <c r="N9" i="6"/>
  <c r="Z9" i="6"/>
  <c r="G8" i="6"/>
  <c r="AD20" i="6"/>
  <c r="AD32" i="6"/>
  <c r="AD44" i="6"/>
  <c r="AD56" i="6"/>
  <c r="AD68" i="6"/>
  <c r="AD80" i="6"/>
  <c r="P7" i="6"/>
  <c r="AD12" i="6"/>
  <c r="AD19" i="5"/>
  <c r="AD64" i="5"/>
  <c r="V7" i="5"/>
  <c r="J7" i="5"/>
  <c r="AE64" i="5"/>
  <c r="S9" i="5"/>
  <c r="U7" i="5"/>
  <c r="I7" i="5"/>
  <c r="T7" i="5"/>
  <c r="S7" i="5"/>
  <c r="G7" i="5"/>
  <c r="Z7" i="5"/>
  <c r="M7" i="5"/>
  <c r="Y7" i="5"/>
  <c r="K7" i="5"/>
  <c r="AD14" i="5"/>
  <c r="AD23" i="5"/>
  <c r="AD32" i="5"/>
  <c r="AD41" i="5"/>
  <c r="AD50" i="5"/>
  <c r="AD59" i="5"/>
  <c r="AD68" i="5"/>
  <c r="AD77" i="5"/>
  <c r="I9" i="5"/>
  <c r="U9" i="5"/>
  <c r="H9" i="5"/>
  <c r="T9" i="5"/>
  <c r="AD15" i="5"/>
  <c r="AD24" i="5"/>
  <c r="AD33" i="5"/>
  <c r="AD42" i="5"/>
  <c r="AD51" i="5"/>
  <c r="AD60" i="5"/>
  <c r="AD69" i="5"/>
  <c r="AD78" i="5"/>
  <c r="AD20" i="5"/>
  <c r="AD29" i="5"/>
  <c r="AD38" i="5"/>
  <c r="AD47" i="5"/>
  <c r="AD56" i="5"/>
  <c r="AD65" i="5"/>
  <c r="AD74" i="5"/>
  <c r="AD83" i="5"/>
  <c r="AD16" i="5"/>
  <c r="AD25" i="5"/>
  <c r="AD34" i="5"/>
  <c r="AD43" i="5"/>
  <c r="AD52" i="5"/>
  <c r="AD61" i="5"/>
  <c r="AD70" i="5"/>
  <c r="AD79" i="5"/>
  <c r="AD21" i="5"/>
  <c r="AD30" i="5"/>
  <c r="AD39" i="5"/>
  <c r="AD48" i="5"/>
  <c r="AD57" i="5"/>
  <c r="AD66" i="5"/>
  <c r="AD75" i="5"/>
  <c r="AE26" i="5"/>
  <c r="AE35" i="5"/>
  <c r="AE44" i="5"/>
  <c r="AE53" i="5"/>
  <c r="AE62" i="5"/>
  <c r="AE71" i="5"/>
  <c r="AE80" i="5"/>
  <c r="AD17" i="5"/>
  <c r="AD26" i="5"/>
  <c r="AD35" i="5"/>
  <c r="AD44" i="5"/>
  <c r="AD53" i="5"/>
  <c r="AD62" i="5"/>
  <c r="AD71" i="5"/>
  <c r="AD80" i="5"/>
  <c r="AE11" i="5"/>
  <c r="AE17" i="5"/>
  <c r="AE13" i="5"/>
  <c r="AE18" i="5"/>
  <c r="AD22" i="5"/>
  <c r="AE27" i="5"/>
  <c r="AD31" i="5"/>
  <c r="AE36" i="5"/>
  <c r="AD40" i="5"/>
  <c r="AE45" i="5"/>
  <c r="AD49" i="5"/>
  <c r="AE54" i="5"/>
  <c r="AD58" i="5"/>
  <c r="AE63" i="5"/>
  <c r="AD67" i="5"/>
  <c r="AE72" i="5"/>
  <c r="AD76" i="5"/>
  <c r="AD13" i="5"/>
  <c r="AD18" i="5"/>
  <c r="AD27" i="5"/>
  <c r="AD36" i="5"/>
  <c r="AD45" i="5"/>
  <c r="AD54" i="5"/>
  <c r="AD63" i="5"/>
  <c r="AD72" i="5"/>
  <c r="AD81" i="5"/>
  <c r="AD11" i="5"/>
  <c r="AD12" i="5"/>
  <c r="AE86" i="4"/>
  <c r="AE43" i="4"/>
  <c r="AE57" i="4"/>
  <c r="AF57" i="4" s="1"/>
  <c r="AE15" i="4"/>
  <c r="AE77" i="4"/>
  <c r="AE19" i="4"/>
  <c r="AE31" i="4"/>
  <c r="AE51" i="4"/>
  <c r="AE62" i="4"/>
  <c r="AE80" i="4"/>
  <c r="AE22" i="4"/>
  <c r="AD40" i="4"/>
  <c r="AE11" i="4"/>
  <c r="AE21" i="4"/>
  <c r="AE23" i="4"/>
  <c r="AE33" i="4"/>
  <c r="AD52" i="4"/>
  <c r="AE75" i="4"/>
  <c r="AE81" i="4"/>
  <c r="AF81" i="4" s="1"/>
  <c r="AD12" i="4"/>
  <c r="AD24" i="4"/>
  <c r="AD58" i="4"/>
  <c r="AE13" i="4"/>
  <c r="AD37" i="4"/>
  <c r="AE58" i="4"/>
  <c r="AE64" i="4"/>
  <c r="AD70" i="4"/>
  <c r="AD76" i="4"/>
  <c r="AE65" i="4"/>
  <c r="AD74" i="4"/>
  <c r="AF74" i="4" s="1"/>
  <c r="AD82" i="4"/>
  <c r="AE17" i="4"/>
  <c r="AE29" i="4"/>
  <c r="AD18" i="4"/>
  <c r="AD30" i="4"/>
  <c r="AE41" i="4"/>
  <c r="AE42" i="4"/>
  <c r="AD45" i="4"/>
  <c r="AE34" i="4"/>
  <c r="AD36" i="4"/>
  <c r="AD46" i="4"/>
  <c r="AE12" i="4"/>
  <c r="AE14" i="4"/>
  <c r="AE24" i="4"/>
  <c r="AD15" i="4"/>
  <c r="AD27" i="4"/>
  <c r="AE47" i="4"/>
  <c r="AD39" i="4"/>
  <c r="AE44" i="4"/>
  <c r="AE59" i="4"/>
  <c r="AF69" i="4"/>
  <c r="AE84" i="4"/>
  <c r="AE37" i="4"/>
  <c r="AE38" i="4"/>
  <c r="AE50" i="4"/>
  <c r="AE85" i="4"/>
  <c r="AE45" i="4"/>
  <c r="AE56" i="4"/>
  <c r="AE70" i="4"/>
  <c r="AE32" i="4"/>
  <c r="AE61" i="4"/>
  <c r="AE46" i="4"/>
  <c r="AE71" i="4"/>
  <c r="AE76" i="4"/>
  <c r="AE67" i="4"/>
  <c r="AE16" i="4"/>
  <c r="AE25" i="4"/>
  <c r="AE52" i="4"/>
  <c r="AE26" i="4"/>
  <c r="AE68" i="4"/>
  <c r="AE82" i="4"/>
  <c r="AE35" i="4"/>
  <c r="AE48" i="4"/>
  <c r="AE53" i="4"/>
  <c r="AE63" i="4"/>
  <c r="AE73" i="4"/>
  <c r="AE78" i="4"/>
  <c r="AE83" i="4"/>
  <c r="AE18" i="4"/>
  <c r="AE27" i="4"/>
  <c r="AE28" i="4"/>
  <c r="AE49" i="4"/>
  <c r="AE54" i="4"/>
  <c r="AD64" i="4"/>
  <c r="AE79" i="4"/>
  <c r="Y7" i="6"/>
  <c r="AD55" i="4"/>
  <c r="AF55" i="4" s="1"/>
  <c r="AD67" i="4"/>
  <c r="AD79" i="4"/>
  <c r="AD48" i="4"/>
  <c r="AD60" i="4"/>
  <c r="AF60" i="4" s="1"/>
  <c r="AD72" i="4"/>
  <c r="AF72" i="4" s="1"/>
  <c r="AD84" i="4"/>
  <c r="AD53" i="4"/>
  <c r="AD65" i="4"/>
  <c r="AD77" i="4"/>
  <c r="AD13" i="4"/>
  <c r="AD16" i="4"/>
  <c r="AD19" i="4"/>
  <c r="AD22" i="4"/>
  <c r="AD25" i="4"/>
  <c r="AD28" i="4"/>
  <c r="AD31" i="4"/>
  <c r="AD51" i="4"/>
  <c r="AD63" i="4"/>
  <c r="AD75" i="4"/>
  <c r="AD56" i="4"/>
  <c r="AD68" i="4"/>
  <c r="AD80" i="4"/>
  <c r="AD49" i="4"/>
  <c r="AD61" i="4"/>
  <c r="AD73" i="4"/>
  <c r="AD85" i="4"/>
  <c r="AD11" i="4"/>
  <c r="AD14" i="4"/>
  <c r="AD17" i="4"/>
  <c r="AD20" i="4"/>
  <c r="AD23" i="4"/>
  <c r="AD26" i="4"/>
  <c r="AD29" i="4"/>
  <c r="AD32" i="4"/>
  <c r="AD35" i="4"/>
  <c r="AD38" i="4"/>
  <c r="AD41" i="4"/>
  <c r="AD44" i="4"/>
  <c r="AD54" i="4"/>
  <c r="AD66" i="4"/>
  <c r="AF66" i="4" s="1"/>
  <c r="AD78" i="4"/>
  <c r="AD47" i="4"/>
  <c r="AD59" i="4"/>
  <c r="AD71" i="4"/>
  <c r="AD83" i="4"/>
  <c r="AE12" i="5"/>
  <c r="G8" i="5"/>
  <c r="H7" i="5"/>
  <c r="S8" i="5"/>
  <c r="H8" i="5"/>
  <c r="T8" i="5"/>
  <c r="G9" i="5"/>
  <c r="C45" i="8" l="1"/>
  <c r="AF88" i="4"/>
  <c r="AF87" i="4"/>
  <c r="C21" i="8"/>
  <c r="C29" i="8"/>
  <c r="AF86" i="4"/>
  <c r="AF50" i="4"/>
  <c r="C103" i="8"/>
  <c r="AF62" i="4"/>
  <c r="C77" i="8"/>
  <c r="AF71" i="4"/>
  <c r="C269" i="8"/>
  <c r="C56" i="8"/>
  <c r="C32" i="8"/>
  <c r="C237" i="8"/>
  <c r="C257" i="8"/>
  <c r="C272" i="8"/>
  <c r="C42" i="8"/>
  <c r="C89" i="9"/>
  <c r="C187" i="8"/>
  <c r="C125" i="8"/>
  <c r="C90" i="8"/>
  <c r="C146" i="9"/>
  <c r="C4" i="8"/>
  <c r="C89" i="8"/>
  <c r="C284" i="8"/>
  <c r="C260" i="8"/>
  <c r="C283" i="8"/>
  <c r="C5" i="8"/>
  <c r="C123" i="9"/>
  <c r="D122" i="9"/>
  <c r="C172" i="9"/>
  <c r="D172" i="9"/>
  <c r="C151" i="9"/>
  <c r="C257" i="9"/>
  <c r="C135" i="9"/>
  <c r="C90" i="9"/>
  <c r="C5" i="9"/>
  <c r="C98" i="9"/>
  <c r="C26" i="9"/>
  <c r="C242" i="9"/>
  <c r="C137" i="9"/>
  <c r="C15" i="9"/>
  <c r="C87" i="9"/>
  <c r="C111" i="9"/>
  <c r="C45" i="9"/>
  <c r="C104" i="9"/>
  <c r="C147" i="9"/>
  <c r="C6" i="9"/>
  <c r="C77" i="9"/>
  <c r="C7" i="9"/>
  <c r="C3" i="9"/>
  <c r="C170" i="9"/>
  <c r="C171" i="9"/>
  <c r="C255" i="9"/>
  <c r="C114" i="9"/>
  <c r="C62" i="9"/>
  <c r="C127" i="9"/>
  <c r="C91" i="9"/>
  <c r="C173" i="9"/>
  <c r="C122" i="9"/>
  <c r="C219" i="9"/>
  <c r="C134" i="9"/>
  <c r="C207" i="9"/>
  <c r="C158" i="9"/>
  <c r="C195" i="9"/>
  <c r="C231" i="9"/>
  <c r="C183" i="9"/>
  <c r="C39" i="9"/>
  <c r="C66" i="9"/>
  <c r="C124" i="9"/>
  <c r="C51" i="9"/>
  <c r="C74" i="9"/>
  <c r="C162" i="9"/>
  <c r="C139" i="9"/>
  <c r="C79" i="9"/>
  <c r="C38" i="9"/>
  <c r="C14" i="9"/>
  <c r="C4" i="9"/>
  <c r="C67" i="9"/>
  <c r="C194" i="9"/>
  <c r="C161" i="9"/>
  <c r="C78" i="9"/>
  <c r="C218" i="9"/>
  <c r="C230" i="9"/>
  <c r="C254" i="9"/>
  <c r="C149" i="9"/>
  <c r="C206" i="9"/>
  <c r="C138" i="9"/>
  <c r="C258" i="9"/>
  <c r="C243" i="9"/>
  <c r="C148" i="9"/>
  <c r="C50" i="9"/>
  <c r="C105" i="9"/>
  <c r="C44" i="9"/>
  <c r="C169" i="9"/>
  <c r="C110" i="9"/>
  <c r="C126" i="9"/>
  <c r="C177" i="8"/>
  <c r="C236" i="8"/>
  <c r="C125" i="9"/>
  <c r="C248" i="8"/>
  <c r="C199" i="8"/>
  <c r="C250" i="8"/>
  <c r="C115" i="9"/>
  <c r="C75" i="9"/>
  <c r="C224" i="8"/>
  <c r="C182" i="9"/>
  <c r="C27" i="9"/>
  <c r="C69" i="8"/>
  <c r="C114" i="8"/>
  <c r="C86" i="9"/>
  <c r="C6" i="8"/>
  <c r="C159" i="9"/>
  <c r="C150" i="9"/>
  <c r="C63" i="9"/>
  <c r="C19" i="8"/>
  <c r="C80" i="8"/>
  <c r="C66" i="8"/>
  <c r="C99" i="9"/>
  <c r="AF76" i="4"/>
  <c r="AF52" i="4"/>
  <c r="AF80" i="4"/>
  <c r="AF77" i="4"/>
  <c r="AF64" i="4"/>
  <c r="AF82" i="4"/>
  <c r="AF47" i="4"/>
  <c r="AF84" i="4"/>
  <c r="AF58" i="4"/>
  <c r="AF49" i="4"/>
  <c r="AF46" i="4"/>
  <c r="AF61" i="4"/>
  <c r="AF65" i="4"/>
  <c r="AF59" i="4"/>
  <c r="AF75" i="4"/>
  <c r="AF51" i="4"/>
  <c r="AF70" i="4"/>
  <c r="AF54" i="4"/>
  <c r="AF68" i="4"/>
  <c r="AF78" i="4"/>
  <c r="AF48" i="4"/>
  <c r="AF79" i="4"/>
  <c r="AF56" i="4"/>
  <c r="AF85" i="4"/>
  <c r="AF63" i="4"/>
  <c r="AF67" i="4"/>
  <c r="AF73" i="4"/>
  <c r="AF83" i="4"/>
  <c r="AF53"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g.dupont</author>
  </authors>
  <commentList>
    <comment ref="B2" authorId="0" shapeId="0" xr:uid="{33743E04-63AB-4C6E-8564-E228FA380EB5}">
      <text>
        <r>
          <rPr>
            <b/>
            <sz val="9"/>
            <color rgb="FF000000"/>
            <rFont val="Tahoma"/>
            <family val="2"/>
          </rPr>
          <t>g.dupont:</t>
        </r>
        <r>
          <rPr>
            <sz val="9"/>
            <color rgb="FF000000"/>
            <rFont val="Tahoma"/>
            <family val="2"/>
          </rPr>
          <t xml:space="preserve">
</t>
        </r>
        <r>
          <rPr>
            <sz val="9"/>
            <color rgb="FF000000"/>
            <rFont val="Tahoma"/>
            <family val="2"/>
          </rPr>
          <t>Changed on the 31/10/2018 to 01/07/1947 instead of 01/04/1947</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g.dupont</author>
  </authors>
  <commentList>
    <comment ref="B2" authorId="0" shapeId="0" xr:uid="{B52703AB-25E9-4D23-B555-F89981649FCB}">
      <text>
        <r>
          <rPr>
            <b/>
            <sz val="9"/>
            <color rgb="FF000000"/>
            <rFont val="Tahoma"/>
            <family val="2"/>
          </rPr>
          <t>g.dupont:</t>
        </r>
        <r>
          <rPr>
            <sz val="9"/>
            <color rgb="FF000000"/>
            <rFont val="Tahoma"/>
            <family val="2"/>
          </rPr>
          <t xml:space="preserve">
</t>
        </r>
        <r>
          <rPr>
            <sz val="9"/>
            <color rgb="FF000000"/>
            <rFont val="Tahoma"/>
            <family val="2"/>
          </rPr>
          <t>Changed on the 31/10/2018 to 01/07/1947 instead of 01/04/1947</t>
        </r>
      </text>
    </comment>
  </commentList>
</comments>
</file>

<file path=xl/sharedStrings.xml><?xml version="1.0" encoding="utf-8"?>
<sst xmlns="http://schemas.openxmlformats.org/spreadsheetml/2006/main" count="1513" uniqueCount="590">
  <si>
    <t>https://data.oecd.org/gdp/quarterly-gdp.htm#indicator-chart</t>
  </si>
  <si>
    <t>https://data.oecd.org/gdp/quarterly-gdp.htm</t>
  </si>
  <si>
    <t>AUS</t>
  </si>
  <si>
    <t>AUT</t>
  </si>
  <si>
    <t>BEL</t>
  </si>
  <si>
    <t>CAN</t>
  </si>
  <si>
    <t>CHL</t>
  </si>
  <si>
    <t>CZE</t>
  </si>
  <si>
    <t>DEU</t>
  </si>
  <si>
    <t>DNK</t>
  </si>
  <si>
    <t>ESP</t>
  </si>
  <si>
    <t>EST</t>
  </si>
  <si>
    <t>FIN</t>
  </si>
  <si>
    <t>FRA</t>
  </si>
  <si>
    <t>GBR</t>
  </si>
  <si>
    <t>GRC</t>
  </si>
  <si>
    <t>HUN</t>
  </si>
  <si>
    <t>IRL</t>
  </si>
  <si>
    <t>ISL</t>
  </si>
  <si>
    <t>ISR</t>
  </si>
  <si>
    <t>ITA</t>
  </si>
  <si>
    <t>JPN</t>
  </si>
  <si>
    <t>KOR</t>
  </si>
  <si>
    <t>LUX</t>
  </si>
  <si>
    <t>LVA</t>
  </si>
  <si>
    <t>MEX</t>
  </si>
  <si>
    <t>NLD</t>
  </si>
  <si>
    <t>NOR</t>
  </si>
  <si>
    <t>OECD</t>
  </si>
  <si>
    <t>POL</t>
  </si>
  <si>
    <t>PRT</t>
  </si>
  <si>
    <t>SVK</t>
  </si>
  <si>
    <t>SVN</t>
  </si>
  <si>
    <t>SWE</t>
  </si>
  <si>
    <t>USA</t>
  </si>
  <si>
    <t>EA19</t>
  </si>
  <si>
    <t>EU28</t>
  </si>
  <si>
    <t>G7</t>
  </si>
  <si>
    <t>CHE</t>
  </si>
  <si>
    <t>IND</t>
  </si>
  <si>
    <t>ZAF</t>
  </si>
  <si>
    <t>RUS</t>
  </si>
  <si>
    <t>CHI</t>
  </si>
  <si>
    <t>TUR</t>
  </si>
  <si>
    <t>BRA</t>
  </si>
  <si>
    <t>TO DO LIST</t>
  </si>
  <si>
    <t>NZL</t>
  </si>
  <si>
    <t>CHN</t>
  </si>
  <si>
    <t>ARG</t>
  </si>
  <si>
    <t>1947-Q2</t>
  </si>
  <si>
    <t>1947-Q3</t>
  </si>
  <si>
    <t>1947-Q4</t>
  </si>
  <si>
    <t>1948-Q1</t>
  </si>
  <si>
    <t>1948-Q2</t>
  </si>
  <si>
    <t>1948-Q3</t>
  </si>
  <si>
    <t>1948-Q4</t>
  </si>
  <si>
    <t>1949-Q1</t>
  </si>
  <si>
    <t>1949-Q2</t>
  </si>
  <si>
    <t>1949-Q3</t>
  </si>
  <si>
    <t>1949-Q4</t>
  </si>
  <si>
    <t>1950-Q1</t>
  </si>
  <si>
    <t>1950-Q2</t>
  </si>
  <si>
    <t>1950-Q3</t>
  </si>
  <si>
    <t>1950-Q4</t>
  </si>
  <si>
    <t>1951-Q1</t>
  </si>
  <si>
    <t>1951-Q2</t>
  </si>
  <si>
    <t>1951-Q3</t>
  </si>
  <si>
    <t>1951-Q4</t>
  </si>
  <si>
    <t>1952-Q1</t>
  </si>
  <si>
    <t>1952-Q2</t>
  </si>
  <si>
    <t>1952-Q3</t>
  </si>
  <si>
    <t>1952-Q4</t>
  </si>
  <si>
    <t>1953-Q1</t>
  </si>
  <si>
    <t>1953-Q2</t>
  </si>
  <si>
    <t>1953-Q3</t>
  </si>
  <si>
    <t>1953-Q4</t>
  </si>
  <si>
    <t>1954-Q1</t>
  </si>
  <si>
    <t>1954-Q2</t>
  </si>
  <si>
    <t>1954-Q3</t>
  </si>
  <si>
    <t>1954-Q4</t>
  </si>
  <si>
    <t>1955-Q1</t>
  </si>
  <si>
    <t>1955-Q2</t>
  </si>
  <si>
    <t>1955-Q3</t>
  </si>
  <si>
    <t>1955-Q4</t>
  </si>
  <si>
    <t>1956-Q1</t>
  </si>
  <si>
    <t>1956-Q2</t>
  </si>
  <si>
    <t>1956-Q3</t>
  </si>
  <si>
    <t>1956-Q4</t>
  </si>
  <si>
    <t>1957-Q1</t>
  </si>
  <si>
    <t>1957-Q2</t>
  </si>
  <si>
    <t>1957-Q3</t>
  </si>
  <si>
    <t>1957-Q4</t>
  </si>
  <si>
    <t>1958-Q1</t>
  </si>
  <si>
    <t>1958-Q2</t>
  </si>
  <si>
    <t>1958-Q3</t>
  </si>
  <si>
    <t>1958-Q4</t>
  </si>
  <si>
    <t>1959-Q1</t>
  </si>
  <si>
    <t>1959-Q2</t>
  </si>
  <si>
    <t>1959-Q3</t>
  </si>
  <si>
    <t>1959-Q4</t>
  </si>
  <si>
    <t>1960-Q1</t>
  </si>
  <si>
    <t>1960-Q2</t>
  </si>
  <si>
    <t>1960-Q3</t>
  </si>
  <si>
    <t>1960-Q4</t>
  </si>
  <si>
    <t>1961-Q1</t>
  </si>
  <si>
    <t>1961-Q2</t>
  </si>
  <si>
    <t>1961-Q3</t>
  </si>
  <si>
    <t>1961-Q4</t>
  </si>
  <si>
    <t>1962-Q1</t>
  </si>
  <si>
    <t>1962-Q2</t>
  </si>
  <si>
    <t>1962-Q3</t>
  </si>
  <si>
    <t>1962-Q4</t>
  </si>
  <si>
    <t>1963-Q1</t>
  </si>
  <si>
    <t>1963-Q2</t>
  </si>
  <si>
    <t>1963-Q3</t>
  </si>
  <si>
    <t>1963-Q4</t>
  </si>
  <si>
    <t>1964-Q1</t>
  </si>
  <si>
    <t>1964-Q2</t>
  </si>
  <si>
    <t>1964-Q3</t>
  </si>
  <si>
    <t>1964-Q4</t>
  </si>
  <si>
    <t>1965-Q1</t>
  </si>
  <si>
    <t>1965-Q2</t>
  </si>
  <si>
    <t>1965-Q3</t>
  </si>
  <si>
    <t>1965-Q4</t>
  </si>
  <si>
    <t>1966-Q1</t>
  </si>
  <si>
    <t>1966-Q2</t>
  </si>
  <si>
    <t>1966-Q3</t>
  </si>
  <si>
    <t>1966-Q4</t>
  </si>
  <si>
    <t>1967-Q1</t>
  </si>
  <si>
    <t>1967-Q2</t>
  </si>
  <si>
    <t>1967-Q3</t>
  </si>
  <si>
    <t>1967-Q4</t>
  </si>
  <si>
    <t>1968-Q1</t>
  </si>
  <si>
    <t>1968-Q2</t>
  </si>
  <si>
    <t>1968-Q3</t>
  </si>
  <si>
    <t>1968-Q4</t>
  </si>
  <si>
    <t>1969-Q1</t>
  </si>
  <si>
    <t>1969-Q2</t>
  </si>
  <si>
    <t>1969-Q3</t>
  </si>
  <si>
    <t>1969-Q4</t>
  </si>
  <si>
    <t>1970-Q1</t>
  </si>
  <si>
    <t>1970-Q2</t>
  </si>
  <si>
    <t>1970-Q3</t>
  </si>
  <si>
    <t>1970-Q4</t>
  </si>
  <si>
    <t>1971-Q1</t>
  </si>
  <si>
    <t>1971-Q2</t>
  </si>
  <si>
    <t>1971-Q3</t>
  </si>
  <si>
    <t>1971-Q4</t>
  </si>
  <si>
    <t>1972-Q1</t>
  </si>
  <si>
    <t>1972-Q2</t>
  </si>
  <si>
    <t>1972-Q3</t>
  </si>
  <si>
    <t>1972-Q4</t>
  </si>
  <si>
    <t>1973-Q1</t>
  </si>
  <si>
    <t>1973-Q2</t>
  </si>
  <si>
    <t>1973-Q3</t>
  </si>
  <si>
    <t>1973-Q4</t>
  </si>
  <si>
    <t>1974-Q1</t>
  </si>
  <si>
    <t>1974-Q2</t>
  </si>
  <si>
    <t>1974-Q3</t>
  </si>
  <si>
    <t>1974-Q4</t>
  </si>
  <si>
    <t>1975-Q1</t>
  </si>
  <si>
    <t>1975-Q2</t>
  </si>
  <si>
    <t>1975-Q3</t>
  </si>
  <si>
    <t>1975-Q4</t>
  </si>
  <si>
    <t>1976-Q1</t>
  </si>
  <si>
    <t>1976-Q2</t>
  </si>
  <si>
    <t>1976-Q3</t>
  </si>
  <si>
    <t>1976-Q4</t>
  </si>
  <si>
    <t>1977-Q1</t>
  </si>
  <si>
    <t>1977-Q2</t>
  </si>
  <si>
    <t>1977-Q3</t>
  </si>
  <si>
    <t>1977-Q4</t>
  </si>
  <si>
    <t>1978-Q1</t>
  </si>
  <si>
    <t>1978-Q2</t>
  </si>
  <si>
    <t>1978-Q3</t>
  </si>
  <si>
    <t>1978-Q4</t>
  </si>
  <si>
    <t>1979-Q1</t>
  </si>
  <si>
    <t>1979-Q2</t>
  </si>
  <si>
    <t>1979-Q3</t>
  </si>
  <si>
    <t>1979-Q4</t>
  </si>
  <si>
    <t>1980-Q1</t>
  </si>
  <si>
    <t>1980-Q2</t>
  </si>
  <si>
    <t>1980-Q3</t>
  </si>
  <si>
    <t>1980-Q4</t>
  </si>
  <si>
    <t>1981-Q1</t>
  </si>
  <si>
    <t>1981-Q2</t>
  </si>
  <si>
    <t>1981-Q3</t>
  </si>
  <si>
    <t>1981-Q4</t>
  </si>
  <si>
    <t>1982-Q1</t>
  </si>
  <si>
    <t>1982-Q2</t>
  </si>
  <si>
    <t>1982-Q3</t>
  </si>
  <si>
    <t>1982-Q4</t>
  </si>
  <si>
    <t>1983-Q1</t>
  </si>
  <si>
    <t>1983-Q2</t>
  </si>
  <si>
    <t>1983-Q3</t>
  </si>
  <si>
    <t>1983-Q4</t>
  </si>
  <si>
    <t>1984-Q1</t>
  </si>
  <si>
    <t>1984-Q2</t>
  </si>
  <si>
    <t>1984-Q3</t>
  </si>
  <si>
    <t>1984-Q4</t>
  </si>
  <si>
    <t>1985-Q1</t>
  </si>
  <si>
    <t>1985-Q2</t>
  </si>
  <si>
    <t>1985-Q3</t>
  </si>
  <si>
    <t>1985-Q4</t>
  </si>
  <si>
    <t>1986-Q1</t>
  </si>
  <si>
    <t>1986-Q2</t>
  </si>
  <si>
    <t>1986-Q3</t>
  </si>
  <si>
    <t>1986-Q4</t>
  </si>
  <si>
    <t>1987-Q1</t>
  </si>
  <si>
    <t>1987-Q2</t>
  </si>
  <si>
    <t>1987-Q3</t>
  </si>
  <si>
    <t>1987-Q4</t>
  </si>
  <si>
    <t>1988-Q1</t>
  </si>
  <si>
    <t>1988-Q2</t>
  </si>
  <si>
    <t>1988-Q3</t>
  </si>
  <si>
    <t>1988-Q4</t>
  </si>
  <si>
    <t>1989-Q1</t>
  </si>
  <si>
    <t>1989-Q2</t>
  </si>
  <si>
    <t>1989-Q3</t>
  </si>
  <si>
    <t>1989-Q4</t>
  </si>
  <si>
    <t>1990-Q1</t>
  </si>
  <si>
    <t>1990-Q2</t>
  </si>
  <si>
    <t>1990-Q3</t>
  </si>
  <si>
    <t>1990-Q4</t>
  </si>
  <si>
    <t>1991-Q1</t>
  </si>
  <si>
    <t>1991-Q2</t>
  </si>
  <si>
    <t>1991-Q3</t>
  </si>
  <si>
    <t>1991-Q4</t>
  </si>
  <si>
    <t>1992-Q1</t>
  </si>
  <si>
    <t>1992-Q2</t>
  </si>
  <si>
    <t>1992-Q3</t>
  </si>
  <si>
    <t>1992-Q4</t>
  </si>
  <si>
    <t>1993-Q1</t>
  </si>
  <si>
    <t>1993-Q2</t>
  </si>
  <si>
    <t>1993-Q3</t>
  </si>
  <si>
    <t>1993-Q4</t>
  </si>
  <si>
    <t>1994-Q1</t>
  </si>
  <si>
    <t>1994-Q2</t>
  </si>
  <si>
    <t>1994-Q3</t>
  </si>
  <si>
    <t>1994-Q4</t>
  </si>
  <si>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</si>
  <si>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</si>
  <si>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</si>
  <si>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</si>
  <si>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</si>
  <si>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</si>
  <si>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</si>
  <si>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</si>
  <si>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</si>
  <si>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</si>
  <si>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</si>
  <si>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</si>
  <si>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</si>
  <si>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</si>
  <si>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</si>
  <si>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</si>
  <si>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</si>
  <si>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</si>
  <si>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</si>
  <si>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</si>
  <si>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</si>
  <si>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</si>
  <si>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</si>
  <si>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</si>
  <si>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</si>
  <si>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</si>
  <si>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</si>
  <si>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</si>
  <si>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</si>
  <si>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</si>
  <si>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</si>
  <si>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</si>
  <si>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</si>
  <si>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</si>
  <si>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</si>
  <si>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</si>
  <si>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</si>
  <si>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</si>
  <si>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</si>
  <si>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</si>
  <si>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</si>
  <si>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</si>
  <si>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</si>
  <si>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</si>
  <si>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</si>
  <si>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</si>
  <si>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</si>
  <si>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</si>
  <si>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</si>
  <si>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</si>
  <si>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</si>
  <si>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</si>
  <si>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</si>
  <si>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</si>
  <si>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</si>
  <si>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</si>
  <si>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</si>
  <si>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</si>
  <si>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</si>
  <si>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</si>
  <si>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</si>
  <si>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</si>
  <si>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</si>
  <si>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</si>
  <si>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</si>
  <si>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</si>
  <si>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</si>
  <si>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</si>
  <si>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</si>
  <si>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</si>
  <si>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</si>
  <si>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</si>
  <si>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</si>
  <si>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</si>
  <si>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</si>
  <si>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</si>
  <si>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2014-Q1</t>
  </si>
  <si>
    <t>2014-Q2</t>
  </si>
  <si>
    <t>2014-Q3</t>
  </si>
  <si>
    <t>2014-Q4</t>
  </si>
  <si>
    <t>2015-Q1</t>
  </si>
  <si>
    <t>2015-Q2</t>
  </si>
  <si>
    <t>2015-Q3</t>
  </si>
  <si>
    <t>2015-Q4</t>
  </si>
  <si>
    <t>2016-Q1</t>
  </si>
  <si>
    <t>2016-Q2</t>
  </si>
  <si>
    <t>2016-Q3</t>
  </si>
  <si>
    <t>2016-Q4</t>
  </si>
  <si>
    <t>2017-Q1</t>
  </si>
  <si>
    <t>2017-Q2</t>
  </si>
  <si>
    <t>2017-Q3</t>
  </si>
  <si>
    <t>2017-Q4</t>
  </si>
  <si>
    <t>2018-Q1</t>
  </si>
  <si>
    <t>2018-Q2</t>
  </si>
  <si>
    <t>2018-Q3</t>
  </si>
  <si>
    <t>2018-Q4</t>
  </si>
  <si>
    <t>2019-Q1</t>
  </si>
  <si>
    <t>2019-Q2</t>
  </si>
  <si>
    <t>2019-Q3</t>
  </si>
  <si>
    <t>Last month</t>
  </si>
  <si>
    <t>modify max/min/avg</t>
  </si>
  <si>
    <t>US</t>
  </si>
  <si>
    <t xml:space="preserve">China </t>
  </si>
  <si>
    <t>Eurozone</t>
  </si>
  <si>
    <t xml:space="preserve">Japan </t>
  </si>
  <si>
    <t>Germany</t>
  </si>
  <si>
    <t>France</t>
  </si>
  <si>
    <t>UK</t>
  </si>
  <si>
    <t xml:space="preserve">Italy </t>
  </si>
  <si>
    <t>Spain</t>
  </si>
  <si>
    <t>Sweden</t>
  </si>
  <si>
    <t>Mexico</t>
  </si>
  <si>
    <t>Russia</t>
  </si>
  <si>
    <t>India</t>
  </si>
  <si>
    <t>Canada</t>
  </si>
  <si>
    <t>Australia</t>
  </si>
  <si>
    <t>Switzerland</t>
  </si>
  <si>
    <t xml:space="preserve">S Korea </t>
  </si>
  <si>
    <t>Brazil</t>
  </si>
  <si>
    <t>Greece</t>
  </si>
  <si>
    <t>Ireland</t>
  </si>
  <si>
    <t>Turkey</t>
  </si>
  <si>
    <t xml:space="preserve">Czech </t>
  </si>
  <si>
    <t>Poland</t>
  </si>
  <si>
    <t>Argentina</t>
  </si>
  <si>
    <t>New Zealand</t>
  </si>
  <si>
    <t>Previous Quarter</t>
  </si>
  <si>
    <t>max 1y</t>
  </si>
  <si>
    <t>12 months</t>
  </si>
  <si>
    <t>min 1y</t>
  </si>
  <si>
    <t>SPREAD</t>
  </si>
  <si>
    <t>1y avg</t>
  </si>
  <si>
    <t>Country 1</t>
  </si>
  <si>
    <t>Last vs 12m avg</t>
  </si>
  <si>
    <t>Country 2</t>
  </si>
  <si>
    <t>Y/Y</t>
  </si>
  <si>
    <t>Q/Q</t>
  </si>
  <si>
    <t>To do List</t>
  </si>
  <si>
    <t>Modify max/min/avg + Modify AE1, AE2, AE3</t>
  </si>
  <si>
    <t>GDP</t>
  </si>
  <si>
    <t>GDP YoY</t>
  </si>
  <si>
    <t>GDP QoQ</t>
  </si>
  <si>
    <t>Interest rate</t>
  </si>
  <si>
    <t>Inflation rate</t>
  </si>
  <si>
    <t>Jobless rate</t>
  </si>
  <si>
    <t>Gov. Budget</t>
  </si>
  <si>
    <t>Debt/GDP</t>
  </si>
  <si>
    <t>Current Account</t>
  </si>
  <si>
    <t>Population</t>
  </si>
  <si>
    <t>United States</t>
  </si>
  <si>
    <t>Euro Area</t>
  </si>
  <si>
    <t>China</t>
  </si>
  <si>
    <t>Japan</t>
  </si>
  <si>
    <t>United Kingdom</t>
  </si>
  <si>
    <t>Italy</t>
  </si>
  <si>
    <t>South Korea</t>
  </si>
  <si>
    <t>Indonesia</t>
  </si>
  <si>
    <t>Netherlands</t>
  </si>
  <si>
    <t>Saudi Arabia</t>
  </si>
  <si>
    <t>Taiwan</t>
  </si>
  <si>
    <t>Belgium</t>
  </si>
  <si>
    <t>Thailand</t>
  </si>
  <si>
    <t>Venezuela</t>
  </si>
  <si>
    <t>Austria</t>
  </si>
  <si>
    <t>Iran</t>
  </si>
  <si>
    <t>Norway</t>
  </si>
  <si>
    <t>United Arab Emirates</t>
  </si>
  <si>
    <t>Nigeria</t>
  </si>
  <si>
    <t>Israel</t>
  </si>
  <si>
    <t>South Africa</t>
  </si>
  <si>
    <t>Singapore</t>
  </si>
  <si>
    <t>Hong Kong</t>
  </si>
  <si>
    <t>Malaysia</t>
  </si>
  <si>
    <t>Denmark</t>
  </si>
  <si>
    <t>Philippines</t>
  </si>
  <si>
    <t>Colombia</t>
  </si>
  <si>
    <t>Pakistan</t>
  </si>
  <si>
    <t>Chile</t>
  </si>
  <si>
    <t>Finland</t>
  </si>
  <si>
    <t>Bangladesh</t>
  </si>
  <si>
    <t>Egypt</t>
  </si>
  <si>
    <t>Vietnam</t>
  </si>
  <si>
    <t>Czech Republic</t>
  </si>
  <si>
    <t>Romania</t>
  </si>
  <si>
    <t>Portugal</t>
  </si>
  <si>
    <t>Iraq</t>
  </si>
  <si>
    <t>Peru</t>
  </si>
  <si>
    <t>Qatar</t>
  </si>
  <si>
    <t>Algeria</t>
  </si>
  <si>
    <t>Kazakhstan</t>
  </si>
  <si>
    <t>Hungary</t>
  </si>
  <si>
    <t>Kuwait</t>
  </si>
  <si>
    <t>Ukraine</t>
  </si>
  <si>
    <t>Morocco</t>
  </si>
  <si>
    <t>Ecuador</t>
  </si>
  <si>
    <t>Angola</t>
  </si>
  <si>
    <t>Slovakia</t>
  </si>
  <si>
    <t>Puerto Rico</t>
  </si>
  <si>
    <t>Cuba</t>
  </si>
  <si>
    <t>Sri Lanka</t>
  </si>
  <si>
    <t>Kenya</t>
  </si>
  <si>
    <t>Ethiopia</t>
  </si>
  <si>
    <t>Dominican Republic</t>
  </si>
  <si>
    <t>Oman</t>
  </si>
  <si>
    <t>Guatemala</t>
  </si>
  <si>
    <t>Syria</t>
  </si>
  <si>
    <t>Myanmar</t>
  </si>
  <si>
    <t>Luxembourg</t>
  </si>
  <si>
    <t>Ghana</t>
  </si>
  <si>
    <t>Bulgaria</t>
  </si>
  <si>
    <t>Panama</t>
  </si>
  <si>
    <t>Croatia</t>
  </si>
  <si>
    <t>Costa Rica</t>
  </si>
  <si>
    <t>Belarus</t>
  </si>
  <si>
    <t>Uruguay</t>
  </si>
  <si>
    <t>Tanzania</t>
  </si>
  <si>
    <t>Lebanon</t>
  </si>
  <si>
    <t>Macau</t>
  </si>
  <si>
    <t>Slovenia</t>
  </si>
  <si>
    <t>Lithuania</t>
  </si>
  <si>
    <t>Serbia</t>
  </si>
  <si>
    <t>Uzbekistan</t>
  </si>
  <si>
    <t>Libya</t>
  </si>
  <si>
    <t>Azerbaijan</t>
  </si>
  <si>
    <t>Congo</t>
  </si>
  <si>
    <t>Ivory Coast</t>
  </si>
  <si>
    <t>Jordan</t>
  </si>
  <si>
    <t>Paraguay</t>
  </si>
  <si>
    <t>Sudan</t>
  </si>
  <si>
    <t>Turkmenistan</t>
  </si>
  <si>
    <t>Tunisia</t>
  </si>
  <si>
    <t>Bolivia</t>
  </si>
  <si>
    <t>Cameroon</t>
  </si>
  <si>
    <t>Bahrain</t>
  </si>
  <si>
    <t>Latvia</t>
  </si>
  <si>
    <t>Zimbabwe</t>
  </si>
  <si>
    <t>Estonia</t>
  </si>
  <si>
    <t>Nepal</t>
  </si>
  <si>
    <t>Uganda</t>
  </si>
  <si>
    <t>Yemen</t>
  </si>
  <si>
    <t>Zambia</t>
  </si>
  <si>
    <t>El Salvador</t>
  </si>
  <si>
    <t>Iceland</t>
  </si>
  <si>
    <t>Cambodia</t>
  </si>
  <si>
    <t>Cyprus</t>
  </si>
  <si>
    <t>Senegal</t>
  </si>
  <si>
    <t>Honduras</t>
  </si>
  <si>
    <t>Papua New Guinea</t>
  </si>
  <si>
    <t>Trinidad and Tobago</t>
  </si>
  <si>
    <t>Bosnia and Herzegovina</t>
  </si>
  <si>
    <t>Botswana</t>
  </si>
  <si>
    <t>Afghanistan</t>
  </si>
  <si>
    <t>Laos</t>
  </si>
  <si>
    <t>Mali</t>
  </si>
  <si>
    <t>Gabon</t>
  </si>
  <si>
    <t>Georgia</t>
  </si>
  <si>
    <t>Jamaica</t>
  </si>
  <si>
    <t>Malta</t>
  </si>
  <si>
    <t>Namibia</t>
  </si>
  <si>
    <t>Palestine</t>
  </si>
  <si>
    <t>Albania</t>
  </si>
  <si>
    <t>Burkina Faso</t>
  </si>
  <si>
    <t>Brunei</t>
  </si>
  <si>
    <t>Mauritius</t>
  </si>
  <si>
    <t>Mozambique</t>
  </si>
  <si>
    <t>Mongolia</t>
  </si>
  <si>
    <t>Nicaragua</t>
  </si>
  <si>
    <t>Macedonia</t>
  </si>
  <si>
    <t>Equatorial Guinea</t>
  </si>
  <si>
    <t>Bahamas</t>
  </si>
  <si>
    <t>Armenia</t>
  </si>
  <si>
    <t>Madagascar</t>
  </si>
  <si>
    <t>Moldova</t>
  </si>
  <si>
    <t>Republic of the Congo</t>
  </si>
  <si>
    <t>Chad</t>
  </si>
  <si>
    <t>Guinea</t>
  </si>
  <si>
    <t>Haiti</t>
  </si>
  <si>
    <t>Benin</t>
  </si>
  <si>
    <t>Rwanda</t>
  </si>
  <si>
    <t>New Caledonia</t>
  </si>
  <si>
    <t>Niger</t>
  </si>
  <si>
    <t>Kyrgyzstan</t>
  </si>
  <si>
    <t>Kosovo</t>
  </si>
  <si>
    <t>Tajikistan</t>
  </si>
  <si>
    <t>Somalia</t>
  </si>
  <si>
    <t>Malawi</t>
  </si>
  <si>
    <t>Eritrea</t>
  </si>
  <si>
    <t>Liechtenstein</t>
  </si>
  <si>
    <t>Monaco</t>
  </si>
  <si>
    <t>Mauritania</t>
  </si>
  <si>
    <t>Maldives</t>
  </si>
  <si>
    <t>Montenegro</t>
  </si>
  <si>
    <t>Fiji</t>
  </si>
  <si>
    <t>Swaziland</t>
  </si>
  <si>
    <t>Togo</t>
  </si>
  <si>
    <t>Sierra Leone</t>
  </si>
  <si>
    <t>Guyana</t>
  </si>
  <si>
    <t>East Timor</t>
  </si>
  <si>
    <t>Bhutan</t>
  </si>
  <si>
    <t>Cayman Islands</t>
  </si>
  <si>
    <t>Burundi</t>
  </si>
  <si>
    <t>Lesotho</t>
  </si>
  <si>
    <t>Liberia</t>
  </si>
  <si>
    <t>South Sudan</t>
  </si>
  <si>
    <t>Suriname</t>
  </si>
  <si>
    <t>Seychelles</t>
  </si>
  <si>
    <t>Cape Verde</t>
  </si>
  <si>
    <t>Central African Republic</t>
  </si>
  <si>
    <t>Djibouti</t>
  </si>
  <si>
    <t>Gambia</t>
  </si>
  <si>
    <t>Guinea Bissau</t>
  </si>
  <si>
    <t>Comoros</t>
  </si>
  <si>
    <t>Sao Tome and Principe</t>
  </si>
  <si>
    <t>Country Name</t>
  </si>
  <si>
    <t>% World GDP</t>
  </si>
  <si>
    <t xml:space="preserve">GDP y/y </t>
  </si>
  <si>
    <t xml:space="preserve">GDP q/q </t>
  </si>
  <si>
    <t>World GDP</t>
  </si>
  <si>
    <t>Data</t>
  </si>
  <si>
    <t>Quarter Change</t>
  </si>
  <si>
    <t>Change Country in B2</t>
  </si>
  <si>
    <t>qoq annualized</t>
  </si>
  <si>
    <t>Definition</t>
  </si>
  <si>
    <t>Process / TO DO LIST</t>
  </si>
  <si>
    <t>Comments</t>
  </si>
  <si>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</si>
  <si>
    <t>Select Quarterly GDP</t>
  </si>
  <si>
    <t>Select Table</t>
  </si>
  <si>
    <t>Select Percentage change, previous period</t>
  </si>
  <si>
    <t>Select latest data available</t>
  </si>
  <si>
    <t>Data qoq</t>
  </si>
  <si>
    <t>To update manually or with macro</t>
  </si>
  <si>
    <t>Select Percentage change, previous year</t>
  </si>
  <si>
    <t>Data yoy</t>
  </si>
  <si>
    <t>In Data qoq tab</t>
  </si>
  <si>
    <t>In Data you tab</t>
  </si>
  <si>
    <t>https://tradingeconomics.com/</t>
  </si>
  <si>
    <t>Summary</t>
  </si>
  <si>
    <t>Last quarter</t>
  </si>
  <si>
    <t>Expand Table: + Button</t>
  </si>
  <si>
    <t>Copy And paste in B33 without hyperlinks</t>
  </si>
  <si>
    <t>2019-Q4</t>
  </si>
  <si>
    <t>2020-Q1</t>
  </si>
  <si>
    <t>2020-Q2</t>
  </si>
  <si>
    <t>2020-Q3</t>
  </si>
  <si>
    <t>2020-Q4</t>
  </si>
  <si>
    <t>2021-Q1</t>
  </si>
  <si>
    <t>2021-Q2</t>
  </si>
  <si>
    <t>QTR</t>
  </si>
  <si>
    <t>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</si>
</sst>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3" x14ac:knownFonts="1">
    <font>
      <sz val="11"/>
      <color theme="1"/>
      <name val="Calibri"/>
      <family val="2"/>
      <scheme val="minor"/>
    </font>
    <font>
      <b/>
      <sz val="11"/>
      <color theme="1"/>
      <name val="Calibri"/>
      <family val="2"/>
      <scheme val="minor"/>
    </font>
    <font>
      <sz val="11"/>
      <color theme="1"/>
      <name val="Calibri"/>
      <family val="2"/>
      <scheme val="minor"/>
    </font>
    <font>
      <b/>
      <sz val="11"/>
      <color theme="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8"/>
      <name val="Calibri"/>
      <family val="2"/>
      <scheme val="minor"/>
    </font>
    <font>
      <sz val="11"/>
      <color rgb="FFFFFFFF"/>
      <name val="Arial"/>
      <family val="2"/>
    </font>
    <font>
      <sz val="11"/>
      <color rgb="FF333333"/>
      <name val="Arial"/>
      <family val="2"/>
    </font>
    <font>
      <u/>
      <sz val="11"/>
      <color theme="10"/>
      <name val="Calibri"/>
      <family val="2"/>
      <scheme val="minor"/>
    </font>
    <font>
      <sz val="10"/>
      <color theme="1"/>
      <name val="Calibri"/>
      <family val="2"/>
      <scheme val="minor"/>
    </font>
    <font>
      <b/>
      <sz val="11"/>
      <color rgb="FF00B0F0"/>
      <name val="Calibri"/>
      <family val="2"/>
      <scheme val="minor"/>
    </font>
    <font>
      <sz val="11"/>
      <color rgb="FF00B0F0"/>
      <name val="Calibri"/>
      <family val="2"/>
      <scheme val="minor"/>
    </font>
    <font>
      <b/>
      <sz val="11"/>
      <color theme="0" tint="-4.9989318521683403E-2"/>
      <name val="Calibri"/>
      <family val="2"/>
      <scheme val="minor"/>
    </font>
    <font>
      <sz val="11"/>
      <color rgb="FF494444"/>
      <name val="Arial"/>
      <family val="2"/>
    </font>
    <font>
      <sz val="11"/>
      <color rgb="FF494444"/>
      <name val="Calibri"/>
      <family val="2"/>
      <scheme val="minor"/>
    </font>
    <font>
      <b/>
      <sz val="12"/>
      <color theme="1"/>
      <name val="Calibri"/>
      <family val="2"/>
      <scheme val="minor"/>
    </font>
    <font>
      <b/>
      <sz val="12"/>
      <color theme="1"/>
      <name val="Calibri"/>
      <family val="2"/>
    </font>
    <font>
      <sz val="9"/>
      <color rgb="FF00B0F0"/>
      <name val="Calibri"/>
      <family val="2"/>
      <scheme val="minor"/>
    </font>
    <font>
      <b/>
      <sz val="9"/>
      <color rgb="FF000000"/>
      <name val="Tahoma"/>
      <family val="2"/>
    </font>
    <font>
      <sz val="9"/>
      <color rgb="FF000000"/>
      <name val="Tahoma"/>
      <family val="2"/>
    </font>
  </fonts>
  <fills count="27">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2"/>
        <bgColor indexed="64"/>
      </patternFill>
    </fill>
    <fill>
      <patternFill patternType="solid">
        <fgColor rgb="FFFFFFFF"/>
        <bgColor indexed="64"/>
      </patternFill>
    </fill>
    <fill>
      <patternFill patternType="solid">
        <fgColor rgb="FFE4FFE4"/>
        <bgColor indexed="64"/>
      </patternFill>
    </fill>
    <fill>
      <patternFill patternType="solid">
        <fgColor rgb="FFFFE4E4"/>
        <bgColor indexed="64"/>
      </patternFill>
    </fill>
    <fill>
      <patternFill patternType="solid">
        <fgColor rgb="FF69FF69"/>
        <bgColor indexed="64"/>
      </patternFill>
    </fill>
    <fill>
      <patternFill patternType="solid">
        <fgColor rgb="FFFFECEC"/>
        <bgColor indexed="64"/>
      </patternFill>
    </fill>
    <fill>
      <patternFill patternType="solid">
        <fgColor rgb="FFFAFFFA"/>
        <bgColor indexed="64"/>
      </patternFill>
    </fill>
    <fill>
      <patternFill patternType="solid">
        <fgColor rgb="FFFFF5F5"/>
        <bgColor indexed="64"/>
      </patternFill>
    </fill>
    <fill>
      <patternFill patternType="solid">
        <fgColor rgb="FFEDFFED"/>
        <bgColor indexed="64"/>
      </patternFill>
    </fill>
    <fill>
      <patternFill patternType="solid">
        <fgColor rgb="FF9FFF9F"/>
        <bgColor indexed="64"/>
      </patternFill>
    </fill>
    <fill>
      <patternFill patternType="solid">
        <fgColor rgb="FFFFF3F3"/>
        <bgColor indexed="64"/>
      </patternFill>
    </fill>
    <fill>
      <patternFill patternType="solid">
        <fgColor rgb="FFFFF4F4"/>
        <bgColor indexed="64"/>
      </patternFill>
    </fill>
    <fill>
      <patternFill patternType="solid">
        <fgColor rgb="FFFFF8F8"/>
        <bgColor indexed="64"/>
      </patternFill>
    </fill>
    <fill>
      <patternFill patternType="solid">
        <fgColor rgb="FFD0FFD0"/>
        <bgColor indexed="64"/>
      </patternFill>
    </fill>
    <fill>
      <patternFill patternType="solid">
        <fgColor rgb="FFCCFFCC"/>
        <bgColor indexed="64"/>
      </patternFill>
    </fill>
    <fill>
      <patternFill patternType="solid">
        <fgColor rgb="FFD1FFD1"/>
        <bgColor indexed="64"/>
      </patternFill>
    </fill>
  </fills>
  <borders count="25">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rgb="FFDDDDDD"/>
      </top>
      <bottom/>
      <diagonal/>
    </border>
    <border>
      <left/>
      <right/>
      <top/>
      <bottom style="medium">
        <color rgb="FFDDDDDD"/>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9" fontId="2" fillId="0" borderId="0" applyFont="0" applyFill="0" applyBorder="0" applyAlignment="0" applyProtection="0"/>
    <xf numFmtId="0" fontId="11" fillId="0" borderId="0" applyNumberFormat="0" applyFill="0" applyBorder="0" applyAlignment="0" applyProtection="0"/>
  </cellStyleXfs>
  <cellXfs count="125">
    <xf numFmtId="0" fontId="0" fillId="0" borderId="0" xfId="0"/>
    <xf numFmtId="0" fontId="0" fillId="2" borderId="0" xfId="0" applyFill="1"/>
    <xf numFmtId="0" fontId="1" fillId="2" borderId="0" xfId="0" applyFont="1" applyFill="1"/>
    <xf numFmtId="2" fontId="0" fillId="0" borderId="0" xfId="0" applyNumberFormat="1"/>
    <xf numFmtId="17" fontId="0" fillId="0" borderId="0" xfId="0" applyNumberFormat="1"/>
    <xf numFmtId="17" fontId="4" fillId="3" borderId="2" xfId="0" applyNumberFormat="1" applyFont="1" applyFill="1" applyBorder="1" applyAlignment="1">
      <alignment horizontal="left" vertical="top" wrapText="1"/>
    </xf>
    <xf numFmtId="0" fontId="5" fillId="0" borderId="3" xfId="0" applyFont="1" applyBorder="1"/>
    <xf numFmtId="0" fontId="6" fillId="4" borderId="3" xfId="0" applyFont="1" applyFill="1" applyBorder="1" applyAlignment="1">
      <alignment horizontal="center" textRotation="90"/>
    </xf>
    <xf numFmtId="0" fontId="6" fillId="5" borderId="3" xfId="0" applyFont="1" applyFill="1" applyBorder="1" applyAlignment="1">
      <alignment horizontal="center" textRotation="90"/>
    </xf>
    <xf numFmtId="0" fontId="6" fillId="6" borderId="3" xfId="0" applyFont="1" applyFill="1" applyBorder="1" applyAlignment="1">
      <alignment horizontal="center" textRotation="90"/>
    </xf>
    <xf numFmtId="0" fontId="6" fillId="7" borderId="3" xfId="0" applyFont="1" applyFill="1" applyBorder="1" applyAlignment="1">
      <alignment horizontal="center" textRotation="90"/>
    </xf>
    <xf numFmtId="0" fontId="6" fillId="8" borderId="3" xfId="0" applyFont="1" applyFill="1" applyBorder="1" applyAlignment="1">
      <alignment horizontal="center" textRotation="90"/>
    </xf>
    <xf numFmtId="0" fontId="6" fillId="8" borderId="3" xfId="0" applyFont="1" applyFill="1" applyBorder="1" applyAlignment="1">
      <alignment horizontal="left" textRotation="90"/>
    </xf>
    <xf numFmtId="0" fontId="0" fillId="2" borderId="4" xfId="0" applyFill="1" applyBorder="1"/>
    <xf numFmtId="14" fontId="0" fillId="3" borderId="5" xfId="0" applyNumberFormat="1" applyFill="1" applyBorder="1"/>
    <xf numFmtId="2" fontId="7" fillId="8" borderId="3" xfId="0" applyNumberFormat="1" applyFont="1" applyFill="1" applyBorder="1" applyAlignment="1">
      <alignment horizontal="center" vertical="center"/>
    </xf>
    <xf numFmtId="0" fontId="0" fillId="2" borderId="6" xfId="0" applyFill="1" applyBorder="1"/>
    <xf numFmtId="14" fontId="0" fillId="3" borderId="7" xfId="0" applyNumberFormat="1" applyFill="1" applyBorder="1"/>
    <xf numFmtId="0" fontId="0" fillId="9" borderId="8" xfId="0" applyFill="1" applyBorder="1"/>
    <xf numFmtId="0" fontId="0" fillId="2" borderId="9"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7" fillId="8" borderId="3" xfId="0" applyFont="1" applyFill="1" applyBorder="1" applyAlignment="1">
      <alignment horizontal="center" vertical="center"/>
    </xf>
    <xf numFmtId="0" fontId="7" fillId="8" borderId="3" xfId="0" applyFont="1" applyFill="1" applyBorder="1" applyAlignment="1">
      <alignment horizontal="left" vertical="center"/>
    </xf>
    <xf numFmtId="17" fontId="4" fillId="8" borderId="3" xfId="0" applyNumberFormat="1" applyFont="1" applyFill="1" applyBorder="1" applyAlignment="1">
      <alignment horizontal="left" vertical="top" wrapText="1"/>
    </xf>
    <xf numFmtId="2" fontId="5" fillId="0" borderId="3" xfId="0" applyNumberFormat="1" applyFont="1" applyBorder="1" applyAlignment="1">
      <alignment horizontal="center" vertical="center"/>
    </xf>
    <xf numFmtId="17" fontId="0" fillId="2" borderId="0" xfId="0" applyNumberFormat="1" applyFill="1"/>
    <xf numFmtId="2" fontId="0" fillId="2" borderId="0" xfId="0" applyNumberFormat="1" applyFill="1"/>
    <xf numFmtId="10" fontId="7" fillId="8" borderId="3" xfId="0" applyNumberFormat="1" applyFont="1" applyFill="1" applyBorder="1" applyAlignment="1">
      <alignment horizontal="center" vertical="center"/>
    </xf>
    <xf numFmtId="10" fontId="7" fillId="8" borderId="3" xfId="1" applyNumberFormat="1" applyFont="1" applyFill="1" applyBorder="1" applyAlignment="1">
      <alignment horizontal="center" vertical="center"/>
    </xf>
    <xf numFmtId="14" fontId="0" fillId="2" borderId="0" xfId="0" applyNumberFormat="1" applyFill="1"/>
    <xf numFmtId="10" fontId="0" fillId="2" borderId="0" xfId="1" applyNumberFormat="1" applyFont="1" applyFill="1"/>
    <xf numFmtId="10" fontId="5" fillId="0" borderId="3" xfId="1" applyNumberFormat="1" applyFont="1" applyBorder="1" applyAlignment="1">
      <alignment horizontal="center" vertical="center"/>
    </xf>
    <xf numFmtId="164" fontId="12" fillId="2" borderId="18" xfId="0" applyNumberFormat="1" applyFont="1" applyFill="1" applyBorder="1" applyAlignment="1">
      <alignment horizontal="center"/>
    </xf>
    <xf numFmtId="164" fontId="12" fillId="2" borderId="17" xfId="0" applyNumberFormat="1" applyFont="1" applyFill="1" applyBorder="1" applyAlignment="1">
      <alignment horizontal="center"/>
    </xf>
    <xf numFmtId="164" fontId="12" fillId="2" borderId="9" xfId="0" applyNumberFormat="1" applyFont="1" applyFill="1" applyBorder="1" applyAlignment="1">
      <alignment horizontal="center"/>
    </xf>
    <xf numFmtId="164" fontId="12" fillId="2" borderId="19" xfId="0" applyNumberFormat="1" applyFont="1" applyFill="1" applyBorder="1" applyAlignment="1">
      <alignment horizontal="center"/>
    </xf>
    <xf numFmtId="164" fontId="12" fillId="2" borderId="13" xfId="0" applyNumberFormat="1" applyFont="1" applyFill="1" applyBorder="1" applyAlignment="1">
      <alignment horizontal="center"/>
    </xf>
    <xf numFmtId="0" fontId="0" fillId="2" borderId="0" xfId="0" applyFill="1"/>
    <xf numFmtId="0" fontId="0" fillId="0" borderId="0" xfId="0" applyAlignment="1">
      <alignment horizontal="center"/>
    </xf>
    <xf numFmtId="17" fontId="0" fillId="0" borderId="0" xfId="0" applyNumberFormat="1" applyAlignment="1">
      <alignment horizontal="center"/>
    </xf>
    <xf numFmtId="10" fontId="0" fillId="0" borderId="0" xfId="0" applyNumberFormat="1" applyAlignment="1">
      <alignment horizontal="center"/>
    </xf>
    <xf numFmtId="17" fontId="1" fillId="0" borderId="0" xfId="0" applyNumberFormat="1" applyFont="1" applyAlignment="1">
      <alignment horizontal="center"/>
    </xf>
    <xf numFmtId="17" fontId="3" fillId="10" borderId="0" xfId="2" applyNumberFormat="1" applyFont="1" applyFill="1" applyAlignment="1">
      <alignment horizontal="center" wrapText="1"/>
    </xf>
    <xf numFmtId="10" fontId="1" fillId="10" borderId="0" xfId="0" applyNumberFormat="1" applyFont="1" applyFill="1" applyAlignment="1">
      <alignment horizontal="center" wrapText="1"/>
    </xf>
    <xf numFmtId="10" fontId="0" fillId="2" borderId="0" xfId="0" applyNumberFormat="1" applyFill="1" applyAlignment="1">
      <alignment horizontal="center"/>
    </xf>
    <xf numFmtId="17" fontId="0" fillId="2" borderId="3" xfId="0" applyNumberFormat="1" applyFill="1" applyBorder="1" applyAlignment="1">
      <alignment horizontal="center"/>
    </xf>
    <xf numFmtId="2" fontId="0" fillId="2" borderId="3" xfId="0" applyNumberFormat="1" applyFill="1" applyBorder="1" applyAlignment="1">
      <alignment horizontal="center"/>
    </xf>
    <xf numFmtId="10" fontId="0" fillId="2" borderId="3" xfId="0" applyNumberFormat="1" applyFill="1" applyBorder="1" applyAlignment="1">
      <alignment horizontal="center"/>
    </xf>
    <xf numFmtId="0" fontId="14" fillId="10" borderId="0" xfId="0" applyFont="1" applyFill="1" applyAlignment="1">
      <alignment horizontal="center" wrapText="1"/>
    </xf>
    <xf numFmtId="10" fontId="1" fillId="2" borderId="0" xfId="0" applyNumberFormat="1" applyFont="1" applyFill="1"/>
    <xf numFmtId="10" fontId="13" fillId="2" borderId="0" xfId="0" applyNumberFormat="1" applyFont="1" applyFill="1"/>
    <xf numFmtId="10" fontId="0" fillId="2" borderId="0" xfId="0" applyNumberFormat="1" applyFill="1"/>
    <xf numFmtId="17" fontId="1" fillId="2" borderId="0" xfId="0" applyNumberFormat="1" applyFont="1" applyFill="1" applyAlignment="1">
      <alignment horizontal="center"/>
    </xf>
    <xf numFmtId="0" fontId="0" fillId="2" borderId="0" xfId="0" applyFill="1" applyAlignment="1">
      <alignment horizontal="center"/>
    </xf>
    <xf numFmtId="17" fontId="15" fillId="10" borderId="0" xfId="2" applyNumberFormat="1" applyFont="1" applyFill="1" applyAlignment="1">
      <alignment horizontal="center" wrapText="1"/>
    </xf>
    <xf numFmtId="10" fontId="15" fillId="10" borderId="0" xfId="0" applyNumberFormat="1" applyFont="1" applyFill="1" applyAlignment="1">
      <alignment horizontal="center" wrapText="1"/>
    </xf>
    <xf numFmtId="164" fontId="15" fillId="10" borderId="0" xfId="1" applyNumberFormat="1" applyFont="1" applyFill="1" applyAlignment="1">
      <alignment horizontal="center" wrapText="1"/>
    </xf>
    <xf numFmtId="164" fontId="1" fillId="2" borderId="3" xfId="1" applyNumberFormat="1" applyFont="1" applyFill="1" applyBorder="1" applyAlignment="1">
      <alignment horizontal="center"/>
    </xf>
    <xf numFmtId="164" fontId="0" fillId="2" borderId="3" xfId="1" applyNumberFormat="1" applyFont="1" applyFill="1" applyBorder="1" applyAlignment="1">
      <alignment horizontal="center"/>
    </xf>
    <xf numFmtId="164" fontId="0" fillId="2" borderId="0" xfId="1" applyNumberFormat="1" applyFont="1" applyFill="1"/>
    <xf numFmtId="0" fontId="0" fillId="2" borderId="0" xfId="0" applyFill="1"/>
    <xf numFmtId="0" fontId="0" fillId="2" borderId="0" xfId="0" applyFill="1" applyAlignment="1">
      <alignment vertical="center"/>
    </xf>
    <xf numFmtId="0" fontId="0" fillId="0" borderId="0" xfId="0" applyAlignment="1">
      <alignment vertical="center"/>
    </xf>
    <xf numFmtId="0" fontId="16" fillId="0" borderId="0" xfId="0" applyFont="1"/>
    <xf numFmtId="0" fontId="18" fillId="11" borderId="1" xfId="0" applyFont="1" applyFill="1" applyBorder="1" applyAlignment="1">
      <alignment horizontal="center" vertical="center"/>
    </xf>
    <xf numFmtId="0" fontId="18" fillId="11" borderId="1" xfId="0" applyFont="1" applyFill="1" applyBorder="1" applyAlignment="1">
      <alignment vertical="center"/>
    </xf>
    <xf numFmtId="0" fontId="18" fillId="11" borderId="16" xfId="0" applyFont="1" applyFill="1" applyBorder="1" applyAlignment="1">
      <alignment horizontal="center" vertical="center"/>
    </xf>
    <xf numFmtId="0" fontId="19" fillId="11" borderId="17" xfId="0" applyFont="1" applyFill="1" applyBorder="1"/>
    <xf numFmtId="0" fontId="19" fillId="11" borderId="19" xfId="0" applyFont="1" applyFill="1" applyBorder="1"/>
    <xf numFmtId="0" fontId="11" fillId="0" borderId="0" xfId="2"/>
    <xf numFmtId="0" fontId="0" fillId="2" borderId="0" xfId="0" applyFill="1"/>
    <xf numFmtId="17" fontId="20" fillId="3" borderId="2" xfId="0" applyNumberFormat="1" applyFont="1" applyFill="1" applyBorder="1" applyAlignment="1">
      <alignment horizontal="left" vertical="top" wrapText="1"/>
    </xf>
    <xf numFmtId="14" fontId="14" fillId="3" borderId="5" xfId="0" applyNumberFormat="1" applyFont="1" applyFill="1" applyBorder="1"/>
    <xf numFmtId="14" fontId="14" fillId="3" borderId="7" xfId="0" applyNumberFormat="1" applyFont="1" applyFill="1" applyBorder="1"/>
    <xf numFmtId="0" fontId="14" fillId="2" borderId="0" xfId="0" applyFont="1" applyFill="1"/>
    <xf numFmtId="0" fontId="10" fillId="12" borderId="14" xfId="0" applyFont="1" applyFill="1" applyBorder="1" applyAlignment="1">
      <alignment horizontal="center" vertical="top" wrapText="1"/>
    </xf>
    <xf numFmtId="10" fontId="10" fillId="13" borderId="14" xfId="0" applyNumberFormat="1" applyFont="1" applyFill="1" applyBorder="1" applyAlignment="1">
      <alignment horizontal="center" vertical="top" wrapText="1"/>
    </xf>
    <xf numFmtId="0" fontId="0" fillId="0" borderId="0" xfId="0" applyFill="1"/>
    <xf numFmtId="0" fontId="0" fillId="0" borderId="0" xfId="0"/>
    <xf numFmtId="0" fontId="0" fillId="2" borderId="0" xfId="0" applyFill="1"/>
    <xf numFmtId="0" fontId="0" fillId="0" borderId="0" xfId="0"/>
    <xf numFmtId="10" fontId="10" fillId="14" borderId="14" xfId="0" applyNumberFormat="1" applyFont="1" applyFill="1" applyBorder="1" applyAlignment="1">
      <alignment horizontal="center" vertical="top" wrapText="1"/>
    </xf>
    <xf numFmtId="0" fontId="0" fillId="2" borderId="0" xfId="0" applyFill="1"/>
    <xf numFmtId="0" fontId="0" fillId="0" borderId="0" xfId="0"/>
    <xf numFmtId="0" fontId="0" fillId="2" borderId="0" xfId="0" applyFill="1"/>
    <xf numFmtId="0" fontId="0" fillId="0" borderId="0" xfId="0"/>
    <xf numFmtId="10" fontId="10" fillId="15" borderId="14" xfId="0" applyNumberFormat="1" applyFont="1" applyFill="1" applyBorder="1" applyAlignment="1">
      <alignment horizontal="center" vertical="top" wrapText="1"/>
    </xf>
    <xf numFmtId="10" fontId="10" fillId="16" borderId="14" xfId="0" applyNumberFormat="1" applyFont="1" applyFill="1" applyBorder="1" applyAlignment="1">
      <alignment horizontal="center" vertical="top" wrapText="1"/>
    </xf>
    <xf numFmtId="10" fontId="10" fillId="17" borderId="14" xfId="0" applyNumberFormat="1" applyFont="1" applyFill="1" applyBorder="1" applyAlignment="1">
      <alignment horizontal="center" vertical="top" wrapText="1"/>
    </xf>
    <xf numFmtId="10" fontId="10" fillId="18" borderId="14" xfId="0" applyNumberFormat="1" applyFont="1" applyFill="1" applyBorder="1" applyAlignment="1">
      <alignment horizontal="center" vertical="top" wrapText="1"/>
    </xf>
    <xf numFmtId="10" fontId="10" fillId="20" borderId="14" xfId="0" applyNumberFormat="1" applyFont="1" applyFill="1" applyBorder="1" applyAlignment="1">
      <alignment horizontal="center" vertical="top" wrapText="1"/>
    </xf>
    <xf numFmtId="10" fontId="10" fillId="21" borderId="14" xfId="0" applyNumberFormat="1" applyFont="1" applyFill="1" applyBorder="1" applyAlignment="1">
      <alignment horizontal="center" vertical="top" wrapText="1"/>
    </xf>
    <xf numFmtId="10" fontId="10" fillId="19" borderId="14" xfId="0" applyNumberFormat="1" applyFont="1" applyFill="1" applyBorder="1" applyAlignment="1">
      <alignment horizontal="center" vertical="top" wrapText="1"/>
    </xf>
    <xf numFmtId="10" fontId="10" fillId="22" borderId="14" xfId="0" applyNumberFormat="1" applyFont="1" applyFill="1" applyBorder="1" applyAlignment="1">
      <alignment horizontal="center" vertical="top" wrapText="1"/>
    </xf>
    <xf numFmtId="10" fontId="10" fillId="23" borderId="14" xfId="0" applyNumberFormat="1" applyFont="1" applyFill="1" applyBorder="1" applyAlignment="1">
      <alignment horizontal="center" vertical="top" wrapText="1"/>
    </xf>
    <xf numFmtId="10" fontId="10" fillId="24" borderId="14" xfId="0" applyNumberFormat="1" applyFont="1" applyFill="1" applyBorder="1" applyAlignment="1">
      <alignment horizontal="center" vertical="top" wrapText="1"/>
    </xf>
    <xf numFmtId="10" fontId="10" fillId="25" borderId="14" xfId="0" applyNumberFormat="1" applyFont="1" applyFill="1" applyBorder="1" applyAlignment="1">
      <alignment horizontal="center" vertical="top" wrapText="1"/>
    </xf>
    <xf numFmtId="10" fontId="10" fillId="26" borderId="14" xfId="0" applyNumberFormat="1" applyFont="1" applyFill="1" applyBorder="1" applyAlignment="1">
      <alignment horizontal="center" vertical="top" wrapText="1"/>
    </xf>
    <xf numFmtId="15" fontId="0" fillId="0" borderId="0" xfId="0" applyNumberFormat="1"/>
    <xf numFmtId="0" fontId="0" fillId="2" borderId="0" xfId="0" applyFill="1" applyAlignment="1"/>
    <xf numFmtId="0" fontId="0" fillId="0" borderId="0" xfId="0" applyAlignment="1"/>
    <xf numFmtId="0" fontId="1" fillId="11" borderId="22" xfId="0" applyFont="1" applyFill="1" applyBorder="1" applyAlignment="1">
      <alignment horizontal="center"/>
    </xf>
    <xf numFmtId="0" fontId="1" fillId="11" borderId="23" xfId="0" applyFont="1" applyFill="1" applyBorder="1" applyAlignment="1">
      <alignment horizontal="center"/>
    </xf>
    <xf numFmtId="0" fontId="1" fillId="11" borderId="24" xfId="0" applyFont="1" applyFill="1" applyBorder="1" applyAlignment="1">
      <alignment horizontal="center"/>
    </xf>
    <xf numFmtId="0" fontId="0" fillId="2" borderId="0" xfId="0" applyFill="1" applyAlignment="1">
      <alignment wrapText="1"/>
    </xf>
    <xf numFmtId="0" fontId="0" fillId="0" borderId="0" xfId="0" applyAlignment="1">
      <alignment wrapText="1"/>
    </xf>
    <xf numFmtId="0" fontId="11" fillId="2" borderId="0" xfId="2" applyFill="1" applyAlignment="1"/>
    <xf numFmtId="0" fontId="0" fillId="2" borderId="0" xfId="0" applyFill="1"/>
    <xf numFmtId="0" fontId="0" fillId="0" borderId="0" xfId="0"/>
    <xf numFmtId="0" fontId="1" fillId="2" borderId="0" xfId="0" applyFont="1" applyFill="1" applyAlignment="1">
      <alignment horizontal="center" vertical="center"/>
    </xf>
    <xf numFmtId="0" fontId="1" fillId="2" borderId="12" xfId="0" applyFont="1" applyFill="1" applyBorder="1" applyAlignment="1">
      <alignment horizontal="center" vertical="center"/>
    </xf>
    <xf numFmtId="0" fontId="3" fillId="10" borderId="20" xfId="0" applyFont="1" applyFill="1" applyBorder="1" applyAlignment="1">
      <alignment horizontal="center"/>
    </xf>
    <xf numFmtId="0" fontId="0" fillId="0" borderId="21" xfId="0" applyBorder="1" applyAlignment="1">
      <alignment horizontal="center"/>
    </xf>
    <xf numFmtId="0" fontId="0" fillId="0" borderId="16"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11" borderId="23" xfId="0" applyFill="1" applyBorder="1" applyAlignment="1">
      <alignment horizontal="center"/>
    </xf>
    <xf numFmtId="0" fontId="0" fillId="11" borderId="24" xfId="0" applyFill="1" applyBorder="1" applyAlignment="1">
      <alignment horizontal="center"/>
    </xf>
    <xf numFmtId="0" fontId="17" fillId="2" borderId="0" xfId="0" applyFont="1" applyFill="1" applyAlignment="1">
      <alignment wrapText="1"/>
    </xf>
    <xf numFmtId="0" fontId="0" fillId="2" borderId="0" xfId="0" applyFont="1" applyFill="1" applyAlignment="1">
      <alignment wrapText="1"/>
    </xf>
    <xf numFmtId="0" fontId="9" fillId="2" borderId="0" xfId="0" applyFont="1" applyFill="1" applyAlignment="1">
      <alignment horizontal="left" vertical="center"/>
    </xf>
    <xf numFmtId="0" fontId="9" fillId="2" borderId="15" xfId="0" applyFont="1" applyFill="1" applyBorder="1" applyAlignment="1">
      <alignment horizontal="left" vertical="center"/>
    </xf>
  </cellXfs>
  <cellStyles count="3">
    <cellStyle name="Hyperlink" xfId="2" builtinId="8"/>
    <cellStyle name="Normal" xfId="0" builtinId="0"/>
    <cellStyle name="Per cent" xfId="1" builtinId="5"/>
  </cellStyles>
  <dxfs count="11">
    <dxf>
      <numFmt numFmtId="164" formatCode="0.0%"/>
      <fill>
        <patternFill>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numFmt numFmtId="22" formatCode="mmm\-yy"/>
      <fill>
        <patternFill>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textRotation="0" wrapText="0" indent="0" justifyLastLine="0" shrinkToFit="0" readingOrder="0"/>
    </dxf>
    <dxf>
      <font>
        <strike val="0"/>
        <outline val="0"/>
        <shadow val="0"/>
        <u val="none"/>
        <vertAlign val="baseline"/>
        <sz val="11"/>
        <color theme="0" tint="-4.9989318521683403E-2"/>
        <name val="Calibri"/>
        <family val="2"/>
        <scheme val="minor"/>
      </font>
      <fill>
        <patternFill patternType="solid">
          <fgColor indexed="64"/>
          <bgColor rgb="FF00B050"/>
        </patternFill>
      </fill>
      <alignment horizontal="center" vertical="bottom" textRotation="0" wrapText="1" indent="0" justifyLastLine="0" shrinkToFit="0" readingOrder="0"/>
    </dxf>
    <dxf>
      <numFmt numFmtId="14" formatCode="0.0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numFmt numFmtId="22" formatCode="mmm\-yy"/>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textRotation="0" wrapText="0" indent="0" justifyLastLine="0" shrinkToFit="0" readingOrder="0"/>
    </dxf>
    <dxf>
      <fill>
        <patternFill patternType="solid">
          <fgColor indexed="64"/>
          <bgColor rgb="FF00B050"/>
        </patternFill>
      </fill>
      <alignment horizontal="center"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'Global View qoq'!$J$2</c:f>
              <c:strCache>
                <c:ptCount val="1"/>
                <c:pt idx="0">
                  <c:v>USA GDP % qoq annualized</c:v>
                </c:pt>
              </c:strCache>
            </c:strRef>
          </c:tx>
          <c:spPr>
            <a:solidFill>
              <a:schemeClr val="accent1">
                <a:lumMod val="75000"/>
              </a:schemeClr>
            </a:solidFill>
            <a:ln w="41275">
              <a:solidFill>
                <a:schemeClr val="accent1"/>
              </a:solidFill>
            </a:ln>
            <a:effectLst/>
          </c:spPr>
          <c:invertIfNegative val="0"/>
          <c:cat>
            <c:numRef>
              <c:f>'Global View qoq'!$A$240:$A$300</c:f>
              <c:numCache>
                <c:formatCode>mmm\-yy</c:formatCode>
                <c:ptCount val="61"/>
                <c:pt idx="0">
                  <c:v>39083</c:v>
                </c:pt>
                <c:pt idx="1">
                  <c:v>39173</c:v>
                </c:pt>
                <c:pt idx="2">
                  <c:v>39264</c:v>
                </c:pt>
                <c:pt idx="3">
                  <c:v>39356</c:v>
                </c:pt>
                <c:pt idx="4">
                  <c:v>39448</c:v>
                </c:pt>
                <c:pt idx="5">
                  <c:v>39539</c:v>
                </c:pt>
                <c:pt idx="6">
                  <c:v>39630</c:v>
                </c:pt>
                <c:pt idx="7">
                  <c:v>39722</c:v>
                </c:pt>
                <c:pt idx="8">
                  <c:v>39814</c:v>
                </c:pt>
                <c:pt idx="9">
                  <c:v>39904</c:v>
                </c:pt>
                <c:pt idx="10">
                  <c:v>39995</c:v>
                </c:pt>
                <c:pt idx="11">
                  <c:v>40087</c:v>
                </c:pt>
                <c:pt idx="12">
                  <c:v>40179</c:v>
                </c:pt>
                <c:pt idx="13">
                  <c:v>40269</c:v>
                </c:pt>
                <c:pt idx="14">
                  <c:v>40360</c:v>
                </c:pt>
                <c:pt idx="15">
                  <c:v>40452</c:v>
                </c:pt>
                <c:pt idx="16">
                  <c:v>40544</c:v>
                </c:pt>
                <c:pt idx="17">
                  <c:v>40634</c:v>
                </c:pt>
                <c:pt idx="18">
                  <c:v>40725</c:v>
                </c:pt>
                <c:pt idx="19">
                  <c:v>40817</c:v>
                </c:pt>
                <c:pt idx="20">
                  <c:v>40909</c:v>
                </c:pt>
                <c:pt idx="21">
                  <c:v>41000</c:v>
                </c:pt>
                <c:pt idx="22">
                  <c:v>41091</c:v>
                </c:pt>
                <c:pt idx="23">
                  <c:v>41183</c:v>
                </c:pt>
                <c:pt idx="24">
                  <c:v>41275</c:v>
                </c:pt>
                <c:pt idx="25">
                  <c:v>41365</c:v>
                </c:pt>
                <c:pt idx="26">
                  <c:v>41456</c:v>
                </c:pt>
                <c:pt idx="27">
                  <c:v>41548</c:v>
                </c:pt>
                <c:pt idx="28">
                  <c:v>41640</c:v>
                </c:pt>
                <c:pt idx="29">
                  <c:v>41730</c:v>
                </c:pt>
                <c:pt idx="30">
                  <c:v>41821</c:v>
                </c:pt>
                <c:pt idx="31">
                  <c:v>41913</c:v>
                </c:pt>
                <c:pt idx="32">
                  <c:v>42005</c:v>
                </c:pt>
                <c:pt idx="33">
                  <c:v>42095</c:v>
                </c:pt>
                <c:pt idx="34">
                  <c:v>42186</c:v>
                </c:pt>
                <c:pt idx="35">
                  <c:v>42278</c:v>
                </c:pt>
                <c:pt idx="36">
                  <c:v>42370</c:v>
                </c:pt>
                <c:pt idx="37">
                  <c:v>42461</c:v>
                </c:pt>
                <c:pt idx="38">
                  <c:v>42552</c:v>
                </c:pt>
                <c:pt idx="39">
                  <c:v>42644</c:v>
                </c:pt>
                <c:pt idx="40">
                  <c:v>42736</c:v>
                </c:pt>
                <c:pt idx="41">
                  <c:v>42826</c:v>
                </c:pt>
                <c:pt idx="42">
                  <c:v>42917</c:v>
                </c:pt>
                <c:pt idx="43">
                  <c:v>43009</c:v>
                </c:pt>
                <c:pt idx="44">
                  <c:v>43101</c:v>
                </c:pt>
                <c:pt idx="45">
                  <c:v>43191</c:v>
                </c:pt>
                <c:pt idx="46">
                  <c:v>43282</c:v>
                </c:pt>
                <c:pt idx="47">
                  <c:v>43374</c:v>
                </c:pt>
                <c:pt idx="48">
                  <c:v>43466</c:v>
                </c:pt>
                <c:pt idx="49">
                  <c:v>43556</c:v>
                </c:pt>
                <c:pt idx="50">
                  <c:v>43647</c:v>
                </c:pt>
                <c:pt idx="51">
                  <c:v>43739</c:v>
                </c:pt>
                <c:pt idx="52">
                  <c:v>43831</c:v>
                </c:pt>
                <c:pt idx="53">
                  <c:v>43922</c:v>
                </c:pt>
                <c:pt idx="54">
                  <c:v>44013</c:v>
                </c:pt>
                <c:pt idx="55">
                  <c:v>44105</c:v>
                </c:pt>
                <c:pt idx="56">
                  <c:v>44197</c:v>
                </c:pt>
                <c:pt idx="57">
                  <c:v>44287</c:v>
                </c:pt>
                <c:pt idx="58">
                  <c:v>44378</c:v>
                </c:pt>
              </c:numCache>
            </c:numRef>
          </c:cat>
          <c:val>
            <c:numRef>
              <c:f>'Global View qoq'!$D$240:$D$300</c:f>
              <c:numCache>
                <c:formatCode>0.0%</c:formatCode>
                <c:ptCount val="61"/>
                <c:pt idx="0">
                  <c:v>3.4177984945622075E-2</c:v>
                </c:pt>
                <c:pt idx="1">
                  <c:v>1.1795775922242457E-2</c:v>
                </c:pt>
                <c:pt idx="2">
                  <c:v>2.5782982951032762E-2</c:v>
                </c:pt>
                <c:pt idx="3">
                  <c:v>2.4310805584600859E-2</c:v>
                </c:pt>
                <c:pt idx="4">
                  <c:v>2.4609667322921247E-2</c:v>
                </c:pt>
                <c:pt idx="5">
                  <c:v>-1.6197849949850074E-2</c:v>
                </c:pt>
                <c:pt idx="6">
                  <c:v>2.3089077807028735E-2</c:v>
                </c:pt>
                <c:pt idx="7">
                  <c:v>-2.0909730727059928E-2</c:v>
                </c:pt>
                <c:pt idx="8">
                  <c:v>-8.4505728691842252E-2</c:v>
                </c:pt>
                <c:pt idx="9">
                  <c:v>-4.5819873805539646E-2</c:v>
                </c:pt>
                <c:pt idx="10">
                  <c:v>-6.7523600121504046E-3</c:v>
                </c:pt>
                <c:pt idx="11">
                  <c:v>1.455598544426584E-2</c:v>
                </c:pt>
                <c:pt idx="12">
                  <c:v>4.3407688869303573E-2</c:v>
                </c:pt>
                <c:pt idx="13">
                  <c:v>2.0152672116043657E-2</c:v>
                </c:pt>
                <c:pt idx="14">
                  <c:v>3.9273690527251048E-2</c:v>
                </c:pt>
                <c:pt idx="15">
                  <c:v>3.1286269292547075E-2</c:v>
                </c:pt>
                <c:pt idx="16">
                  <c:v>2.0946355685835361E-2</c:v>
                </c:pt>
                <c:pt idx="17">
                  <c:v>-9.6018742868266838E-3</c:v>
                </c:pt>
                <c:pt idx="18">
                  <c:v>2.7399130789267812E-2</c:v>
                </c:pt>
                <c:pt idx="19">
                  <c:v>-1.5497850172727645E-3</c:v>
                </c:pt>
                <c:pt idx="20">
                  <c:v>4.5627685328668566E-2</c:v>
                </c:pt>
                <c:pt idx="21">
                  <c:v>3.3120505698075231E-2</c:v>
                </c:pt>
                <c:pt idx="22">
                  <c:v>1.8359463834497713E-2</c:v>
                </c:pt>
                <c:pt idx="23">
                  <c:v>7.0136909574731732E-3</c:v>
                </c:pt>
                <c:pt idx="24">
                  <c:v>4.4007666225549524E-3</c:v>
                </c:pt>
                <c:pt idx="25">
                  <c:v>3.5166036796619116E-2</c:v>
                </c:pt>
                <c:pt idx="26">
                  <c:v>5.5870765795456023E-3</c:v>
                </c:pt>
                <c:pt idx="27">
                  <c:v>3.2044154006267478E-2</c:v>
                </c:pt>
                <c:pt idx="28">
                  <c:v>2.8751739893740247E-2</c:v>
                </c:pt>
                <c:pt idx="29">
                  <c:v>-1.3931014894348004E-2</c:v>
                </c:pt>
                <c:pt idx="30">
                  <c:v>5.2363045749210579E-2</c:v>
                </c:pt>
                <c:pt idx="31">
                  <c:v>4.7419089601193898E-2</c:v>
                </c:pt>
                <c:pt idx="32">
                  <c:v>1.8081055590863704E-2</c:v>
                </c:pt>
                <c:pt idx="33">
                  <c:v>3.2931588807799894E-2</c:v>
                </c:pt>
                <c:pt idx="34">
                  <c:v>2.3402679862115416E-2</c:v>
                </c:pt>
                <c:pt idx="35">
                  <c:v>1.2997784220908359E-2</c:v>
                </c:pt>
                <c:pt idx="36">
                  <c:v>5.8622170837032694E-3</c:v>
                </c:pt>
                <c:pt idx="37">
                  <c:v>2.3776293810742199E-2</c:v>
                </c:pt>
                <c:pt idx="38">
                  <c:v>1.2150526358479352E-2</c:v>
                </c:pt>
                <c:pt idx="39">
                  <c:v>2.4262289112386481E-2</c:v>
                </c:pt>
                <c:pt idx="40">
                  <c:v>2.0024182259288148E-2</c:v>
                </c:pt>
                <c:pt idx="41">
                  <c:v>1.9011293952945207E-2</c:v>
                </c:pt>
                <c:pt idx="42">
                  <c:v>2.257929747539289E-2</c:v>
                </c:pt>
                <c:pt idx="43">
                  <c:v>2.9077796050954952E-2</c:v>
                </c:pt>
                <c:pt idx="44">
                  <c:v>3.8149939031334457E-2</c:v>
                </c:pt>
                <c:pt idx="45">
                  <c:v>3.0865108355034421E-2</c:v>
                </c:pt>
                <c:pt idx="46">
                  <c:v>3.3776005269686493E-2</c:v>
                </c:pt>
                <c:pt idx="47">
                  <c:v>1.9417917649433347E-2</c:v>
                </c:pt>
                <c:pt idx="48">
                  <c:v>8.9555932348708289E-3</c:v>
                </c:pt>
                <c:pt idx="49">
                  <c:v>2.4126879304670057E-2</c:v>
                </c:pt>
                <c:pt idx="50">
                  <c:v>3.2096211881735615E-2</c:v>
                </c:pt>
                <c:pt idx="51">
                  <c:v>2.7703187490706105E-2</c:v>
                </c:pt>
                <c:pt idx="52">
                  <c:v>1.8896349653914735E-2</c:v>
                </c:pt>
                <c:pt idx="53">
                  <c:v>-5.1132545035958321E-2</c:v>
                </c:pt>
                <c:pt idx="54">
                  <c:v>-0.31235698460598726</c:v>
                </c:pt>
                <c:pt idx="55">
                  <c:v>0.33783279298685187</c:v>
                </c:pt>
                <c:pt idx="56">
                  <c:v>4.5362940383817607E-2</c:v>
                </c:pt>
                <c:pt idx="57">
                  <c:v>6.2781766718929433E-2</c:v>
                </c:pt>
                <c:pt idx="58">
                  <c:v>6.5564452112124139E-2</c:v>
                </c:pt>
              </c:numCache>
            </c:numRef>
          </c:val>
          <c:extLst>
            <c:ext xmlns:c16="http://schemas.microsoft.com/office/drawing/2014/chart" uri="{C3380CC4-5D6E-409C-BE32-E72D297353CC}">
              <c16:uniqueId val="{00000000-6061-4277-91C9-3A225A2EA3EE}"/>
            </c:ext>
          </c:extLst>
        </c:ser>
        <c:dLbls>
          <c:showLegendKey val="0"/>
          <c:showVal val="0"/>
          <c:showCatName val="0"/>
          <c:showSerName val="0"/>
          <c:showPercent val="0"/>
          <c:showBubbleSize val="0"/>
        </c:dLbls>
        <c:gapWidth val="208"/>
        <c:axId val="92978823"/>
        <c:axId val="92978495"/>
      </c:barChart>
      <c:dateAx>
        <c:axId val="92978823"/>
        <c:scaling>
          <c:orientation val="minMax"/>
          <c:min val="38991"/>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978495"/>
        <c:crosses val="autoZero"/>
        <c:auto val="1"/>
        <c:lblOffset val="100"/>
        <c:baseTimeUnit val="months"/>
        <c:majorUnit val="6"/>
        <c:majorTimeUnit val="months"/>
      </c:dateAx>
      <c:valAx>
        <c:axId val="92978495"/>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i="0" baseline="0">
                <a:effectLst/>
              </a:rPr>
              <a:t>United-States GDP qoq annualized</a:t>
            </a:r>
            <a:endParaRPr lang="en-GB" b="1">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w="60325">
              <a:solidFill>
                <a:srgbClr val="00B050"/>
              </a:solidFill>
            </a:ln>
            <a:effectLst/>
          </c:spPr>
          <c:invertIfNegative val="0"/>
          <c:dPt>
            <c:idx val="4"/>
            <c:invertIfNegative val="0"/>
            <c:bubble3D val="0"/>
            <c:spPr>
              <a:solidFill>
                <a:srgbClr val="FF0000"/>
              </a:solidFill>
              <a:ln w="60325">
                <a:solidFill>
                  <a:srgbClr val="FF0000"/>
                </a:solidFill>
              </a:ln>
              <a:effectLst/>
            </c:spPr>
            <c:extLst>
              <c:ext xmlns:c16="http://schemas.microsoft.com/office/drawing/2014/chart" uri="{C3380CC4-5D6E-409C-BE32-E72D297353CC}">
                <c16:uniqueId val="{00000001-1135-40BA-8841-939C015076AB}"/>
              </c:ext>
            </c:extLst>
          </c:dPt>
          <c:dPt>
            <c:idx val="6"/>
            <c:invertIfNegative val="0"/>
            <c:bubble3D val="0"/>
            <c:spPr>
              <a:solidFill>
                <a:schemeClr val="accent1"/>
              </a:solidFill>
              <a:ln w="60325">
                <a:solidFill>
                  <a:srgbClr val="FF0000"/>
                </a:solidFill>
              </a:ln>
              <a:effectLst/>
            </c:spPr>
            <c:extLst>
              <c:ext xmlns:c16="http://schemas.microsoft.com/office/drawing/2014/chart" uri="{C3380CC4-5D6E-409C-BE32-E72D297353CC}">
                <c16:uniqueId val="{00000003-1135-40BA-8841-939C015076AB}"/>
              </c:ext>
            </c:extLst>
          </c:dPt>
          <c:dPt>
            <c:idx val="7"/>
            <c:invertIfNegative val="0"/>
            <c:bubble3D val="0"/>
            <c:spPr>
              <a:solidFill>
                <a:schemeClr val="accent1"/>
              </a:solidFill>
              <a:ln w="60325">
                <a:solidFill>
                  <a:srgbClr val="FF0000"/>
                </a:solidFill>
              </a:ln>
              <a:effectLst/>
            </c:spPr>
            <c:extLst>
              <c:ext xmlns:c16="http://schemas.microsoft.com/office/drawing/2014/chart" uri="{C3380CC4-5D6E-409C-BE32-E72D297353CC}">
                <c16:uniqueId val="{00000005-1135-40BA-8841-939C015076AB}"/>
              </c:ext>
            </c:extLst>
          </c:dPt>
          <c:dPt>
            <c:idx val="8"/>
            <c:invertIfNegative val="0"/>
            <c:bubble3D val="0"/>
            <c:spPr>
              <a:solidFill>
                <a:schemeClr val="accent1"/>
              </a:solidFill>
              <a:ln w="60325">
                <a:solidFill>
                  <a:srgbClr val="FF0000"/>
                </a:solidFill>
              </a:ln>
              <a:effectLst/>
            </c:spPr>
            <c:extLst>
              <c:ext xmlns:c16="http://schemas.microsoft.com/office/drawing/2014/chart" uri="{C3380CC4-5D6E-409C-BE32-E72D297353CC}">
                <c16:uniqueId val="{00000007-1135-40BA-8841-939C015076AB}"/>
              </c:ext>
            </c:extLst>
          </c:dPt>
          <c:dPt>
            <c:idx val="9"/>
            <c:invertIfNegative val="0"/>
            <c:bubble3D val="0"/>
            <c:spPr>
              <a:solidFill>
                <a:schemeClr val="accent1"/>
              </a:solidFill>
              <a:ln w="60325">
                <a:solidFill>
                  <a:srgbClr val="FF0000"/>
                </a:solidFill>
              </a:ln>
              <a:effectLst/>
            </c:spPr>
            <c:extLst>
              <c:ext xmlns:c16="http://schemas.microsoft.com/office/drawing/2014/chart" uri="{C3380CC4-5D6E-409C-BE32-E72D297353CC}">
                <c16:uniqueId val="{00000009-1135-40BA-8841-939C015076AB}"/>
              </c:ext>
            </c:extLst>
          </c:dPt>
          <c:dPt>
            <c:idx val="16"/>
            <c:invertIfNegative val="0"/>
            <c:bubble3D val="0"/>
            <c:spPr>
              <a:solidFill>
                <a:schemeClr val="accent1"/>
              </a:solidFill>
              <a:ln w="60325">
                <a:solidFill>
                  <a:srgbClr val="FF0000"/>
                </a:solidFill>
              </a:ln>
              <a:effectLst/>
            </c:spPr>
            <c:extLst>
              <c:ext xmlns:c16="http://schemas.microsoft.com/office/drawing/2014/chart" uri="{C3380CC4-5D6E-409C-BE32-E72D297353CC}">
                <c16:uniqueId val="{0000000B-1135-40BA-8841-939C015076AB}"/>
              </c:ext>
            </c:extLst>
          </c:dPt>
          <c:dPt>
            <c:idx val="18"/>
            <c:invertIfNegative val="0"/>
            <c:bubble3D val="0"/>
            <c:spPr>
              <a:solidFill>
                <a:schemeClr val="accent1"/>
              </a:solidFill>
              <a:ln w="60325">
                <a:solidFill>
                  <a:srgbClr val="FF0000"/>
                </a:solidFill>
              </a:ln>
              <a:effectLst/>
            </c:spPr>
            <c:extLst>
              <c:ext xmlns:c16="http://schemas.microsoft.com/office/drawing/2014/chart" uri="{C3380CC4-5D6E-409C-BE32-E72D297353CC}">
                <c16:uniqueId val="{0000000D-1135-40BA-8841-939C015076AB}"/>
              </c:ext>
            </c:extLst>
          </c:dPt>
          <c:dPt>
            <c:idx val="28"/>
            <c:invertIfNegative val="0"/>
            <c:bubble3D val="0"/>
            <c:spPr>
              <a:solidFill>
                <a:schemeClr val="accent1"/>
              </a:solidFill>
              <a:ln w="60325">
                <a:solidFill>
                  <a:srgbClr val="FF0000"/>
                </a:solidFill>
              </a:ln>
              <a:effectLst/>
            </c:spPr>
            <c:extLst>
              <c:ext xmlns:c16="http://schemas.microsoft.com/office/drawing/2014/chart" uri="{C3380CC4-5D6E-409C-BE32-E72D297353CC}">
                <c16:uniqueId val="{0000000F-1135-40BA-8841-939C015076A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49"/>
              <c:pt idx="0">
                <c:v>39142</c:v>
              </c:pt>
              <c:pt idx="1">
                <c:v>39234</c:v>
              </c:pt>
              <c:pt idx="2">
                <c:v>39326</c:v>
              </c:pt>
              <c:pt idx="3">
                <c:v>39417</c:v>
              </c:pt>
              <c:pt idx="4">
                <c:v>39508</c:v>
              </c:pt>
              <c:pt idx="5">
                <c:v>39600</c:v>
              </c:pt>
              <c:pt idx="6">
                <c:v>39692</c:v>
              </c:pt>
              <c:pt idx="7">
                <c:v>39783</c:v>
              </c:pt>
              <c:pt idx="8">
                <c:v>39873</c:v>
              </c:pt>
              <c:pt idx="9">
                <c:v>39965</c:v>
              </c:pt>
              <c:pt idx="10">
                <c:v>40057</c:v>
              </c:pt>
              <c:pt idx="11">
                <c:v>40148</c:v>
              </c:pt>
              <c:pt idx="12">
                <c:v>40238</c:v>
              </c:pt>
              <c:pt idx="13">
                <c:v>40330</c:v>
              </c:pt>
              <c:pt idx="14">
                <c:v>40422</c:v>
              </c:pt>
              <c:pt idx="15">
                <c:v>40513</c:v>
              </c:pt>
              <c:pt idx="16">
                <c:v>40603</c:v>
              </c:pt>
              <c:pt idx="17">
                <c:v>40695</c:v>
              </c:pt>
              <c:pt idx="18">
                <c:v>40787</c:v>
              </c:pt>
              <c:pt idx="19">
                <c:v>40878</c:v>
              </c:pt>
              <c:pt idx="20">
                <c:v>40969</c:v>
              </c:pt>
              <c:pt idx="21">
                <c:v>41061</c:v>
              </c:pt>
              <c:pt idx="22">
                <c:v>41153</c:v>
              </c:pt>
              <c:pt idx="23">
                <c:v>41244</c:v>
              </c:pt>
              <c:pt idx="24">
                <c:v>41334</c:v>
              </c:pt>
              <c:pt idx="25">
                <c:v>41426</c:v>
              </c:pt>
              <c:pt idx="26">
                <c:v>41518</c:v>
              </c:pt>
              <c:pt idx="27">
                <c:v>41609</c:v>
              </c:pt>
              <c:pt idx="28">
                <c:v>41699</c:v>
              </c:pt>
              <c:pt idx="29">
                <c:v>41791</c:v>
              </c:pt>
              <c:pt idx="30">
                <c:v>41883</c:v>
              </c:pt>
              <c:pt idx="31">
                <c:v>41974</c:v>
              </c:pt>
              <c:pt idx="32">
                <c:v>42064</c:v>
              </c:pt>
              <c:pt idx="33">
                <c:v>42156</c:v>
              </c:pt>
              <c:pt idx="34">
                <c:v>42248</c:v>
              </c:pt>
              <c:pt idx="35">
                <c:v>42339</c:v>
              </c:pt>
              <c:pt idx="36">
                <c:v>42430</c:v>
              </c:pt>
              <c:pt idx="37">
                <c:v>42522</c:v>
              </c:pt>
              <c:pt idx="38">
                <c:v>42614</c:v>
              </c:pt>
              <c:pt idx="39">
                <c:v>42705</c:v>
              </c:pt>
              <c:pt idx="40">
                <c:v>42795</c:v>
              </c:pt>
              <c:pt idx="41">
                <c:v>42887</c:v>
              </c:pt>
              <c:pt idx="42">
                <c:v>42979</c:v>
              </c:pt>
              <c:pt idx="43">
                <c:v>43070</c:v>
              </c:pt>
              <c:pt idx="44">
                <c:v>43160</c:v>
              </c:pt>
              <c:pt idx="45">
                <c:v>43252</c:v>
              </c:pt>
              <c:pt idx="46">
                <c:v>43344</c:v>
              </c:pt>
              <c:pt idx="47">
                <c:v>43435</c:v>
              </c:pt>
              <c:pt idx="48">
                <c:v>43525</c:v>
              </c:pt>
            </c:numLit>
          </c:cat>
          <c:val>
            <c:numLit>
              <c:formatCode>General</c:formatCode>
              <c:ptCount val="49"/>
              <c:pt idx="0">
                <c:v>9.453046441481705E-3</c:v>
              </c:pt>
              <c:pt idx="1">
                <c:v>2.3112542499934108E-2</c:v>
              </c:pt>
              <c:pt idx="2">
                <c:v>2.1908568270116335E-2</c:v>
              </c:pt>
              <c:pt idx="3">
                <c:v>2.4536262825419985E-2</c:v>
              </c:pt>
              <c:pt idx="4">
                <c:v>-2.2790590103021424E-2</c:v>
              </c:pt>
              <c:pt idx="5">
                <c:v>2.0816024821117995E-2</c:v>
              </c:pt>
              <c:pt idx="6">
                <c:v>-2.1479033962719996E-2</c:v>
              </c:pt>
              <c:pt idx="7">
                <c:v>-8.3783498483114949E-2</c:v>
              </c:pt>
              <c:pt idx="8">
                <c:v>-4.4157178051981827E-2</c:v>
              </c:pt>
              <c:pt idx="9">
                <c:v>-5.7471720650894564E-3</c:v>
              </c:pt>
              <c:pt idx="10">
                <c:v>1.4644179358673348E-2</c:v>
              </c:pt>
              <c:pt idx="11">
                <c:v>4.4664543572161541E-2</c:v>
              </c:pt>
              <c:pt idx="12">
                <c:v>1.5480261483654001E-2</c:v>
              </c:pt>
              <c:pt idx="13">
                <c:v>3.73943440024056E-2</c:v>
              </c:pt>
              <c:pt idx="14">
                <c:v>2.9816133626727748E-2</c:v>
              </c:pt>
              <c:pt idx="15">
                <c:v>2.0227770338170581E-2</c:v>
              </c:pt>
              <c:pt idx="16">
                <c:v>-9.583008443268981E-3</c:v>
              </c:pt>
              <c:pt idx="17">
                <c:v>2.8907096385422104E-2</c:v>
              </c:pt>
              <c:pt idx="18">
                <c:v>-1.1106970820348172E-3</c:v>
              </c:pt>
              <c:pt idx="19">
                <c:v>4.7184015134394963E-2</c:v>
              </c:pt>
              <c:pt idx="20">
                <c:v>3.1689490724725378E-2</c:v>
              </c:pt>
              <c:pt idx="21">
                <c:v>1.731944307541311E-2</c:v>
              </c:pt>
              <c:pt idx="22">
                <c:v>5.408856411071028E-3</c:v>
              </c:pt>
              <c:pt idx="23">
                <c:v>4.5627061441515515E-3</c:v>
              </c:pt>
              <c:pt idx="24">
                <c:v>3.5900437241988215E-2</c:v>
              </c:pt>
              <c:pt idx="25">
                <c:v>4.9449834616006605E-3</c:v>
              </c:pt>
              <c:pt idx="26">
                <c:v>3.1706770453641564E-2</c:v>
              </c:pt>
              <c:pt idx="27">
                <c:v>3.2314319521590029E-2</c:v>
              </c:pt>
              <c:pt idx="28">
                <c:v>-1.1260337043438207E-2</c:v>
              </c:pt>
              <c:pt idx="29">
                <c:v>5.525666715184463E-2</c:v>
              </c:pt>
              <c:pt idx="30">
                <c:v>4.9738987241277677E-2</c:v>
              </c:pt>
              <c:pt idx="31">
                <c:v>2.2702516286013275E-2</c:v>
              </c:pt>
              <c:pt idx="32">
                <c:v>3.1764302869049965E-2</c:v>
              </c:pt>
              <c:pt idx="33">
                <c:v>2.9985801659789368E-2</c:v>
              </c:pt>
              <c:pt idx="34">
                <c:v>1.3292025158806675E-2</c:v>
              </c:pt>
              <c:pt idx="35">
                <c:v>1.3016348630154884E-3</c:v>
              </c:pt>
              <c:pt idx="36">
                <c:v>2.0288232990721911E-2</c:v>
              </c:pt>
              <c:pt idx="37">
                <c:v>1.8947032482163007E-2</c:v>
              </c:pt>
              <c:pt idx="38">
                <c:v>2.186872648876359E-2</c:v>
              </c:pt>
              <c:pt idx="39">
                <c:v>2.026078285702515E-2</c:v>
              </c:pt>
              <c:pt idx="40">
                <c:v>2.2864876481645036E-2</c:v>
              </c:pt>
              <c:pt idx="41">
                <c:v>2.1547839360435139E-2</c:v>
              </c:pt>
              <c:pt idx="42">
                <c:v>3.2009118935272474E-2</c:v>
              </c:pt>
              <c:pt idx="43">
                <c:v>3.5456394389370427E-2</c:v>
              </c:pt>
              <c:pt idx="44">
                <c:v>2.551887215950277E-2</c:v>
              </c:pt>
              <c:pt idx="45">
                <c:v>3.513838765180477E-2</c:v>
              </c:pt>
              <c:pt idx="46">
                <c:v>2.9261638399660228E-2</c:v>
              </c:pt>
              <c:pt idx="47">
                <c:v>1.0897572916209741E-2</c:v>
              </c:pt>
              <c:pt idx="48">
                <c:v>3.0961400722893107E-2</c:v>
              </c:pt>
            </c:numLit>
          </c:val>
          <c:extLst>
            <c:ext xmlns:c16="http://schemas.microsoft.com/office/drawing/2014/chart" uri="{C3380CC4-5D6E-409C-BE32-E72D297353CC}">
              <c16:uniqueId val="{00000010-1135-40BA-8841-939C015076AB}"/>
            </c:ext>
          </c:extLst>
        </c:ser>
        <c:dLbls>
          <c:dLblPos val="outEnd"/>
          <c:showLegendKey val="0"/>
          <c:showVal val="1"/>
          <c:showCatName val="0"/>
          <c:showSerName val="0"/>
          <c:showPercent val="0"/>
          <c:showBubbleSize val="0"/>
        </c:dLbls>
        <c:gapWidth val="150"/>
        <c:axId val="1502413880"/>
        <c:axId val="1502413224"/>
      </c:barChart>
      <c:catAx>
        <c:axId val="1502413880"/>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2413224"/>
        <c:crosses val="autoZero"/>
        <c:auto val="1"/>
        <c:lblAlgn val="ctr"/>
        <c:lblOffset val="100"/>
        <c:tickLblSkip val="3"/>
        <c:noMultiLvlLbl val="1"/>
      </c:catAx>
      <c:valAx>
        <c:axId val="1502413224"/>
        <c:scaling>
          <c:orientation val="minMax"/>
          <c:max val="6.0000000000000012E-2"/>
          <c:min val="-0.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502413880"/>
        <c:crosses val="autoZero"/>
        <c:crossBetween val="between"/>
      </c:valAx>
      <c:spPr>
        <a:noFill/>
        <a:ln>
          <a:noFill/>
        </a:ln>
        <a:effectLst/>
      </c:spPr>
    </c:plotArea>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'Global View yoy'!$J$1</c:f>
              <c:strCache>
                <c:ptCount val="1"/>
                <c:pt idx="0">
                  <c:v>USA GDP % yoy</c:v>
                </c:pt>
              </c:strCache>
            </c:strRef>
          </c:tx>
          <c:spPr>
            <a:ln w="28575" cap="rnd">
              <a:solidFill>
                <a:schemeClr val="accent1"/>
              </a:solidFill>
              <a:round/>
            </a:ln>
            <a:effectLst/>
          </c:spPr>
          <c:marker>
            <c:symbol val="none"/>
          </c:marker>
          <c:cat>
            <c:numRef>
              <c:f>'Global View yoy'!$A$100:$A$300</c:f>
              <c:numCache>
                <c:formatCode>mmm\-yy</c:formatCode>
                <c:ptCount val="201"/>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numCache>
            </c:numRef>
          </c:cat>
          <c:val>
            <c:numRef>
              <c:f>'Global View yoy'!$B$100:$B$300</c:f>
              <c:numCache>
                <c:formatCode>0.00</c:formatCode>
                <c:ptCount val="201"/>
                <c:pt idx="0">
                  <c:v>4.3672048009999997</c:v>
                </c:pt>
                <c:pt idx="1">
                  <c:v>3.4760721280000002</c:v>
                </c:pt>
                <c:pt idx="2">
                  <c:v>5.2551864569999998</c:v>
                </c:pt>
                <c:pt idx="3">
                  <c:v>5.3819387049999996</c:v>
                </c:pt>
                <c:pt idx="4">
                  <c:v>6.8944758869999996</c:v>
                </c:pt>
                <c:pt idx="5">
                  <c:v>7.5618882919999999</c:v>
                </c:pt>
                <c:pt idx="6">
                  <c:v>6.3196600160000003</c:v>
                </c:pt>
                <c:pt idx="7">
                  <c:v>4.7710873080000002</c:v>
                </c:pt>
                <c:pt idx="8">
                  <c:v>4.0237563989999998</c:v>
                </c:pt>
                <c:pt idx="9">
                  <c:v>0.63877387699999999</c:v>
                </c:pt>
                <c:pt idx="10">
                  <c:v>-0.208418196</c:v>
                </c:pt>
                <c:pt idx="11">
                  <c:v>-0.62900049300000005</c:v>
                </c:pt>
                <c:pt idx="12">
                  <c:v>-1.9454493939999999</c:v>
                </c:pt>
                <c:pt idx="13">
                  <c:v>-2.2990475950000002</c:v>
                </c:pt>
                <c:pt idx="14">
                  <c:v>-1.8342624000000001</c:v>
                </c:pt>
                <c:pt idx="15">
                  <c:v>0.79868486900000002</c:v>
                </c:pt>
                <c:pt idx="16">
                  <c:v>2.554017472</c:v>
                </c:pt>
                <c:pt idx="17">
                  <c:v>6.1523893620000001</c:v>
                </c:pt>
                <c:pt idx="18">
                  <c:v>6.1725884579999999</c:v>
                </c:pt>
                <c:pt idx="19">
                  <c:v>4.9586369960000001</c:v>
                </c:pt>
                <c:pt idx="20">
                  <c:v>4.3148066380000003</c:v>
                </c:pt>
                <c:pt idx="21">
                  <c:v>3.2259646420000001</c:v>
                </c:pt>
                <c:pt idx="22">
                  <c:v>4.4663240980000003</c:v>
                </c:pt>
                <c:pt idx="23">
                  <c:v>5.770897368</c:v>
                </c:pt>
                <c:pt idx="24">
                  <c:v>5.0120285630000003</c:v>
                </c:pt>
                <c:pt idx="25">
                  <c:v>4.1170623419999997</c:v>
                </c:pt>
                <c:pt idx="26">
                  <c:v>6.0781477989999999</c:v>
                </c:pt>
                <c:pt idx="27">
                  <c:v>5.2457734220000001</c:v>
                </c:pt>
                <c:pt idx="28">
                  <c:v>6.6580958829999997</c:v>
                </c:pt>
                <c:pt idx="29">
                  <c:v>6.5099130890000003</c:v>
                </c:pt>
                <c:pt idx="30">
                  <c:v>2.6568550630000001</c:v>
                </c:pt>
                <c:pt idx="31">
                  <c:v>2.3899154130000002</c:v>
                </c:pt>
                <c:pt idx="32">
                  <c:v>1.284557672</c:v>
                </c:pt>
                <c:pt idx="33">
                  <c:v>1.4207752659999999</c:v>
                </c:pt>
                <c:pt idx="34">
                  <c:v>-0.77506271299999996</c:v>
                </c:pt>
                <c:pt idx="35">
                  <c:v>-1.6237974310000001</c:v>
                </c:pt>
                <c:pt idx="36">
                  <c:v>-3.9131615000000002E-2</c:v>
                </c:pt>
                <c:pt idx="37">
                  <c:v>1.599979772</c:v>
                </c:pt>
                <c:pt idx="38">
                  <c:v>2.968700707</c:v>
                </c:pt>
                <c:pt idx="39">
                  <c:v>4.3257650209999996</c:v>
                </c:pt>
                <c:pt idx="40">
                  <c:v>1.2999011570000001</c:v>
                </c:pt>
                <c:pt idx="41">
                  <c:v>-2.1903489820000002</c:v>
                </c:pt>
                <c:pt idx="42">
                  <c:v>-1.0105681470000001</c:v>
                </c:pt>
                <c:pt idx="43">
                  <c:v>-2.555921433</c:v>
                </c:pt>
                <c:pt idx="44">
                  <c:v>-1.443156179</c:v>
                </c:pt>
                <c:pt idx="45">
                  <c:v>1.4314555769999999</c:v>
                </c:pt>
                <c:pt idx="46">
                  <c:v>3.2685328839999999</c:v>
                </c:pt>
                <c:pt idx="47">
                  <c:v>5.7371696849999996</c:v>
                </c:pt>
                <c:pt idx="48">
                  <c:v>7.8999749809999997</c:v>
                </c:pt>
                <c:pt idx="49">
                  <c:v>8.5782754620000006</c:v>
                </c:pt>
                <c:pt idx="50">
                  <c:v>7.9966966749999999</c:v>
                </c:pt>
                <c:pt idx="51">
                  <c:v>6.9008370829999999</c:v>
                </c:pt>
                <c:pt idx="52">
                  <c:v>5.575799462</c:v>
                </c:pt>
                <c:pt idx="53">
                  <c:v>4.5550933889999996</c:v>
                </c:pt>
                <c:pt idx="54">
                  <c:v>3.6842175049999999</c:v>
                </c:pt>
                <c:pt idx="55">
                  <c:v>4.2624449269999998</c:v>
                </c:pt>
                <c:pt idx="56">
                  <c:v>4.182268594</c:v>
                </c:pt>
                <c:pt idx="57">
                  <c:v>4.145589749</c:v>
                </c:pt>
                <c:pt idx="58">
                  <c:v>3.7015803869999999</c:v>
                </c:pt>
                <c:pt idx="59">
                  <c:v>3.1192412740000002</c:v>
                </c:pt>
                <c:pt idx="60">
                  <c:v>2.908033321</c:v>
                </c:pt>
                <c:pt idx="61">
                  <c:v>2.7158406190000002</c:v>
                </c:pt>
                <c:pt idx="62">
                  <c:v>3.3584793799999999</c:v>
                </c:pt>
                <c:pt idx="63">
                  <c:v>3.2669261519999999</c:v>
                </c:pt>
                <c:pt idx="64">
                  <c:v>4.479019138</c:v>
                </c:pt>
                <c:pt idx="65">
                  <c:v>4.2421895689999998</c:v>
                </c:pt>
                <c:pt idx="66">
                  <c:v>4.4846042170000002</c:v>
                </c:pt>
                <c:pt idx="67">
                  <c:v>4.1928663229999996</c:v>
                </c:pt>
                <c:pt idx="68">
                  <c:v>3.798971044</c:v>
                </c:pt>
                <c:pt idx="69">
                  <c:v>4.3152399350000001</c:v>
                </c:pt>
                <c:pt idx="70">
                  <c:v>3.7482928750000002</c:v>
                </c:pt>
                <c:pt idx="71">
                  <c:v>3.9081130530000001</c:v>
                </c:pt>
                <c:pt idx="72">
                  <c:v>2.743803255</c:v>
                </c:pt>
                <c:pt idx="73">
                  <c:v>2.821303844</c:v>
                </c:pt>
                <c:pt idx="74">
                  <c:v>2.4127729549999999</c:v>
                </c:pt>
                <c:pt idx="75">
                  <c:v>1.7272166369999999</c:v>
                </c:pt>
                <c:pt idx="76">
                  <c:v>0.60285869599999997</c:v>
                </c:pt>
                <c:pt idx="77">
                  <c:v>-0.95024069700000002</c:v>
                </c:pt>
                <c:pt idx="78">
                  <c:v>-0.53888796000000005</c:v>
                </c:pt>
                <c:pt idx="79">
                  <c:v>-0.10271685</c:v>
                </c:pt>
                <c:pt idx="80">
                  <c:v>1.1665033419999999</c:v>
                </c:pt>
                <c:pt idx="81">
                  <c:v>2.8588691050000001</c:v>
                </c:pt>
                <c:pt idx="82">
                  <c:v>3.1697558209999999</c:v>
                </c:pt>
                <c:pt idx="83">
                  <c:v>3.6653228790000001</c:v>
                </c:pt>
                <c:pt idx="84">
                  <c:v>4.382587644</c:v>
                </c:pt>
                <c:pt idx="85">
                  <c:v>3.319981753</c:v>
                </c:pt>
                <c:pt idx="86">
                  <c:v>2.8066673899999999</c:v>
                </c:pt>
                <c:pt idx="87">
                  <c:v>2.286515761</c:v>
                </c:pt>
                <c:pt idx="88">
                  <c:v>2.607615494</c:v>
                </c:pt>
                <c:pt idx="89">
                  <c:v>3.4305230139999998</c:v>
                </c:pt>
                <c:pt idx="90">
                  <c:v>4.2253997019999998</c:v>
                </c:pt>
                <c:pt idx="91">
                  <c:v>4.3367848599999999</c:v>
                </c:pt>
                <c:pt idx="92">
                  <c:v>4.115926516</c:v>
                </c:pt>
                <c:pt idx="93">
                  <c:v>3.481130297</c:v>
                </c:pt>
                <c:pt idx="94">
                  <c:v>2.402168869</c:v>
                </c:pt>
                <c:pt idx="95">
                  <c:v>2.673106856</c:v>
                </c:pt>
                <c:pt idx="96">
                  <c:v>2.1995799090000001</c:v>
                </c:pt>
                <c:pt idx="97">
                  <c:v>2.6011039930000002</c:v>
                </c:pt>
                <c:pt idx="98">
                  <c:v>4.0021270639999997</c:v>
                </c:pt>
                <c:pt idx="99">
                  <c:v>4.0499213899999997</c:v>
                </c:pt>
                <c:pt idx="100">
                  <c:v>4.4213144519999998</c:v>
                </c:pt>
                <c:pt idx="101">
                  <c:v>4.3141345409999996</c:v>
                </c:pt>
                <c:pt idx="102">
                  <c:v>4.3080749789999997</c:v>
                </c:pt>
                <c:pt idx="103">
                  <c:v>4.6738025749999998</c:v>
                </c:pt>
                <c:pt idx="104">
                  <c:v>4.4876844580000004</c:v>
                </c:pt>
                <c:pt idx="105">
                  <c:v>4.8550058829999996</c:v>
                </c:pt>
                <c:pt idx="106">
                  <c:v>4.0957268410000003</c:v>
                </c:pt>
                <c:pt idx="107">
                  <c:v>4.0977686230000003</c:v>
                </c:pt>
                <c:pt idx="108">
                  <c:v>4.8795407759999998</c:v>
                </c:pt>
                <c:pt idx="109">
                  <c:v>4.8218579320000003</c:v>
                </c:pt>
                <c:pt idx="110">
                  <c:v>4.7275315129999997</c:v>
                </c:pt>
                <c:pt idx="111">
                  <c:v>4.8002052370000001</c:v>
                </c:pt>
                <c:pt idx="112">
                  <c:v>4.82762665</c:v>
                </c:pt>
                <c:pt idx="113">
                  <c:v>4.2259558589999999</c:v>
                </c:pt>
                <c:pt idx="114">
                  <c:v>5.2446827689999997</c:v>
                </c:pt>
                <c:pt idx="115">
                  <c:v>3.9740844960000001</c:v>
                </c:pt>
                <c:pt idx="116">
                  <c:v>2.9016204719999998</c:v>
                </c:pt>
                <c:pt idx="117">
                  <c:v>2.195542847</c:v>
                </c:pt>
                <c:pt idx="118">
                  <c:v>0.99193295699999995</c:v>
                </c:pt>
                <c:pt idx="119">
                  <c:v>0.48735236700000001</c:v>
                </c:pt>
                <c:pt idx="120">
                  <c:v>0.170642236</c:v>
                </c:pt>
                <c:pt idx="121">
                  <c:v>1.3288120480000001</c:v>
                </c:pt>
                <c:pt idx="122">
                  <c:v>1.3228839020000001</c:v>
                </c:pt>
                <c:pt idx="123">
                  <c:v>2.1406699900000001</c:v>
                </c:pt>
                <c:pt idx="124">
                  <c:v>1.9912861850000001</c:v>
                </c:pt>
                <c:pt idx="125">
                  <c:v>1.6761889400000001</c:v>
                </c:pt>
                <c:pt idx="126">
                  <c:v>1.956993642</c:v>
                </c:pt>
                <c:pt idx="127">
                  <c:v>3.2399083019999999</c:v>
                </c:pt>
                <c:pt idx="128">
                  <c:v>4.2950765200000003</c:v>
                </c:pt>
                <c:pt idx="129">
                  <c:v>4.3533820859999999</c:v>
                </c:pt>
                <c:pt idx="130">
                  <c:v>4.2348116490000001</c:v>
                </c:pt>
                <c:pt idx="131">
                  <c:v>3.4908340689999999</c:v>
                </c:pt>
                <c:pt idx="132">
                  <c:v>3.3557659160000002</c:v>
                </c:pt>
                <c:pt idx="133">
                  <c:v>3.9086174410000001</c:v>
                </c:pt>
                <c:pt idx="134">
                  <c:v>3.6074103659999999</c:v>
                </c:pt>
                <c:pt idx="135">
                  <c:v>3.447674589</c:v>
                </c:pt>
                <c:pt idx="136">
                  <c:v>2.9826720510000002</c:v>
                </c:pt>
                <c:pt idx="137">
                  <c:v>3.2248575719999999</c:v>
                </c:pt>
                <c:pt idx="138">
                  <c:v>2.9772690260000001</c:v>
                </c:pt>
                <c:pt idx="139">
                  <c:v>2.3282911519999998</c:v>
                </c:pt>
                <c:pt idx="140">
                  <c:v>2.6089019840000001</c:v>
                </c:pt>
                <c:pt idx="141">
                  <c:v>1.5407153250000001</c:v>
                </c:pt>
                <c:pt idx="142">
                  <c:v>1.938641595</c:v>
                </c:pt>
                <c:pt idx="143">
                  <c:v>2.3985598499999998</c:v>
                </c:pt>
                <c:pt idx="144">
                  <c:v>2.160883208</c:v>
                </c:pt>
                <c:pt idx="145">
                  <c:v>1.4468030009999999</c:v>
                </c:pt>
                <c:pt idx="146">
                  <c:v>1.380132559</c:v>
                </c:pt>
                <c:pt idx="147">
                  <c:v>0.242202378</c:v>
                </c:pt>
                <c:pt idx="148">
                  <c:v>-2.5403392600000001</c:v>
                </c:pt>
                <c:pt idx="149">
                  <c:v>-3.2823924440000001</c:v>
                </c:pt>
                <c:pt idx="150">
                  <c:v>-3.995504779</c:v>
                </c:pt>
                <c:pt idx="151">
                  <c:v>-3.137675003</c:v>
                </c:pt>
                <c:pt idx="152">
                  <c:v>8.1657584000000005E-2</c:v>
                </c:pt>
                <c:pt idx="153">
                  <c:v>1.768457232</c:v>
                </c:pt>
                <c:pt idx="154">
                  <c:v>2.9274678449999998</c:v>
                </c:pt>
                <c:pt idx="155">
                  <c:v>3.3491938139999999</c:v>
                </c:pt>
                <c:pt idx="156">
                  <c:v>2.7884496909999998</c:v>
                </c:pt>
                <c:pt idx="157">
                  <c:v>2.0306081909999998</c:v>
                </c:pt>
                <c:pt idx="158">
                  <c:v>1.737905069</c:v>
                </c:pt>
                <c:pt idx="159">
                  <c:v>0.91822084800000003</c:v>
                </c:pt>
                <c:pt idx="160">
                  <c:v>1.5226915240000001</c:v>
                </c:pt>
                <c:pt idx="161">
                  <c:v>2.600249298</c:v>
                </c:pt>
                <c:pt idx="162">
                  <c:v>2.3738163499999998</c:v>
                </c:pt>
                <c:pt idx="163">
                  <c:v>2.592622977</c:v>
                </c:pt>
                <c:pt idx="164">
                  <c:v>1.5660643460000001</c:v>
                </c:pt>
                <c:pt idx="165">
                  <c:v>1.6163010950000001</c:v>
                </c:pt>
                <c:pt idx="166">
                  <c:v>1.29617049</c:v>
                </c:pt>
                <c:pt idx="167">
                  <c:v>1.9198446199999999</c:v>
                </c:pt>
                <c:pt idx="168">
                  <c:v>2.5320497780000002</c:v>
                </c:pt>
                <c:pt idx="169">
                  <c:v>1.294055859</c:v>
                </c:pt>
                <c:pt idx="170">
                  <c:v>2.451999168</c:v>
                </c:pt>
                <c:pt idx="171">
                  <c:v>2.831456926</c:v>
                </c:pt>
                <c:pt idx="172">
                  <c:v>2.5637596660000002</c:v>
                </c:pt>
                <c:pt idx="173">
                  <c:v>3.7612027729999999</c:v>
                </c:pt>
                <c:pt idx="174">
                  <c:v>3.039854675</c:v>
                </c:pt>
                <c:pt idx="175">
                  <c:v>2.1826685110000001</c:v>
                </c:pt>
                <c:pt idx="176">
                  <c:v>1.874684059</c:v>
                </c:pt>
                <c:pt idx="177">
                  <c:v>1.648190603</c:v>
                </c:pt>
                <c:pt idx="178">
                  <c:v>1.36762965</c:v>
                </c:pt>
                <c:pt idx="179">
                  <c:v>1.648263356</c:v>
                </c:pt>
                <c:pt idx="180">
                  <c:v>2.0041770460000001</c:v>
                </c:pt>
                <c:pt idx="181">
                  <c:v>1.8852788700000001</c:v>
                </c:pt>
                <c:pt idx="182">
                  <c:v>2.1467165829999999</c:v>
                </c:pt>
                <c:pt idx="183">
                  <c:v>2.2665646380000002</c:v>
                </c:pt>
                <c:pt idx="184">
                  <c:v>2.7178855820000001</c:v>
                </c:pt>
                <c:pt idx="185">
                  <c:v>3.0153118829999999</c:v>
                </c:pt>
                <c:pt idx="186">
                  <c:v>3.2961522830000001</c:v>
                </c:pt>
                <c:pt idx="187">
                  <c:v>3.0528859119999998</c:v>
                </c:pt>
                <c:pt idx="188">
                  <c:v>2.3206170949999998</c:v>
                </c:pt>
                <c:pt idx="189">
                  <c:v>2.1530015140000001</c:v>
                </c:pt>
                <c:pt idx="190">
                  <c:v>2.1114788359999999</c:v>
                </c:pt>
                <c:pt idx="191">
                  <c:v>2.3183259980000002</c:v>
                </c:pt>
                <c:pt idx="192">
                  <c:v>2.5694235349999999</c:v>
                </c:pt>
                <c:pt idx="193">
                  <c:v>0.63078516399999995</c:v>
                </c:pt>
                <c:pt idx="194">
                  <c:v>-9.0837374240000006</c:v>
                </c:pt>
                <c:pt idx="195">
                  <c:v>-2.8875059890000001</c:v>
                </c:pt>
                <c:pt idx="196">
                  <c:v>-2.2629152430000001</c:v>
                </c:pt>
                <c:pt idx="197">
                  <c:v>0.54697680299999996</c:v>
                </c:pt>
                <c:pt idx="198">
                  <c:v>12.182002705</c:v>
                </c:pt>
              </c:numCache>
            </c:numRef>
          </c:val>
          <c:smooth val="0"/>
          <c:extLst>
            <c:ext xmlns:c16="http://schemas.microsoft.com/office/drawing/2014/chart" uri="{C3380CC4-5D6E-409C-BE32-E72D297353CC}">
              <c16:uniqueId val="{00000000-68D2-4D14-BB58-DB02AC8565E7}"/>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978495"/>
        <c:crosses val="autoZero"/>
        <c:auto val="1"/>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'Global View qoq'!$J$1</c:f>
              <c:strCache>
                <c:ptCount val="1"/>
                <c:pt idx="0">
                  <c:v>USA GDP % qoq</c:v>
                </c:pt>
              </c:strCache>
            </c:strRef>
          </c:tx>
          <c:spPr>
            <a:ln w="28575" cap="rnd">
              <a:solidFill>
                <a:schemeClr val="accent1"/>
              </a:solidFill>
              <a:round/>
            </a:ln>
            <a:effectLst/>
          </c:spPr>
          <c:marker>
            <c:symbol val="none"/>
          </c:marker>
          <c:cat>
            <c:numRef>
              <c:f>'Global View qoq'!$A$100:$A$300</c:f>
              <c:numCache>
                <c:formatCode>mmm\-yy</c:formatCode>
                <c:ptCount val="201"/>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numCache>
            </c:numRef>
          </c:cat>
          <c:val>
            <c:numRef>
              <c:f>'Global View qoq'!$B$100:$B$300</c:f>
              <c:numCache>
                <c:formatCode>0.00</c:formatCode>
                <c:ptCount val="201"/>
                <c:pt idx="0">
                  <c:v>0.235783839</c:v>
                </c:pt>
                <c:pt idx="1">
                  <c:v>1.838958884</c:v>
                </c:pt>
                <c:pt idx="2">
                  <c:v>2.2697723540000001</c:v>
                </c:pt>
                <c:pt idx="3">
                  <c:v>0.944381888</c:v>
                </c:pt>
                <c:pt idx="4">
                  <c:v>1.674458738</c:v>
                </c:pt>
                <c:pt idx="5">
                  <c:v>2.4748063770000002</c:v>
                </c:pt>
                <c:pt idx="6">
                  <c:v>1.0886625299999999</c:v>
                </c:pt>
                <c:pt idx="7">
                  <c:v>-0.52589853600000003</c:v>
                </c:pt>
                <c:pt idx="8">
                  <c:v>0.94921604299999995</c:v>
                </c:pt>
                <c:pt idx="9">
                  <c:v>-0.85977257399999996</c:v>
                </c:pt>
                <c:pt idx="10">
                  <c:v>0.237683227</c:v>
                </c:pt>
                <c:pt idx="11">
                  <c:v>-0.94514277800000002</c:v>
                </c:pt>
                <c:pt idx="12">
                  <c:v>-0.38814078299999999</c:v>
                </c:pt>
                <c:pt idx="13">
                  <c:v>-1.217285876</c:v>
                </c:pt>
                <c:pt idx="14">
                  <c:v>0.71453621599999995</c:v>
                </c:pt>
                <c:pt idx="15">
                  <c:v>1.7116519670000001</c:v>
                </c:pt>
                <c:pt idx="16">
                  <c:v>1.346524152</c:v>
                </c:pt>
                <c:pt idx="17">
                  <c:v>2.2487601210000001</c:v>
                </c:pt>
                <c:pt idx="18">
                  <c:v>0.73370057700000002</c:v>
                </c:pt>
                <c:pt idx="19">
                  <c:v>0.54870576400000004</c:v>
                </c:pt>
                <c:pt idx="20">
                  <c:v>0.72485097799999998</c:v>
                </c:pt>
                <c:pt idx="21">
                  <c:v>1.181483598</c:v>
                </c:pt>
                <c:pt idx="22">
                  <c:v>1.944113078</c:v>
                </c:pt>
                <c:pt idx="23">
                  <c:v>1.8043558989999999</c:v>
                </c:pt>
                <c:pt idx="24">
                  <c:v>2.1857719999999999E-3</c:v>
                </c:pt>
                <c:pt idx="25">
                  <c:v>0.31916324099999999</c:v>
                </c:pt>
                <c:pt idx="26">
                  <c:v>3.8642701879999999</c:v>
                </c:pt>
                <c:pt idx="27">
                  <c:v>1.0055171270000001</c:v>
                </c:pt>
                <c:pt idx="28">
                  <c:v>1.3441430640000001</c:v>
                </c:pt>
                <c:pt idx="29">
                  <c:v>0.17978728799999999</c:v>
                </c:pt>
                <c:pt idx="30">
                  <c:v>0.10691983100000001</c:v>
                </c:pt>
                <c:pt idx="31">
                  <c:v>0.74287146800000003</c:v>
                </c:pt>
                <c:pt idx="32">
                  <c:v>0.25007503399999997</c:v>
                </c:pt>
                <c:pt idx="33">
                  <c:v>0.31451907600000001</c:v>
                </c:pt>
                <c:pt idx="34">
                  <c:v>-2.0604721640000001</c:v>
                </c:pt>
                <c:pt idx="35">
                  <c:v>-0.118847117</c:v>
                </c:pt>
                <c:pt idx="36">
                  <c:v>1.864925605</c:v>
                </c:pt>
                <c:pt idx="37">
                  <c:v>1.959429461</c:v>
                </c:pt>
                <c:pt idx="38">
                  <c:v>-0.74106361300000001</c:v>
                </c:pt>
                <c:pt idx="39">
                  <c:v>1.19752521</c:v>
                </c:pt>
                <c:pt idx="40">
                  <c:v>-1.0895640870000001</c:v>
                </c:pt>
                <c:pt idx="41">
                  <c:v>-1.5535444789999999</c:v>
                </c:pt>
                <c:pt idx="42">
                  <c:v>0.45619851500000003</c:v>
                </c:pt>
                <c:pt idx="43">
                  <c:v>-0.38229927400000002</c:v>
                </c:pt>
                <c:pt idx="44">
                  <c:v>3.9946273999999997E-2</c:v>
                </c:pt>
                <c:pt idx="45">
                  <c:v>1.3178475759999999</c:v>
                </c:pt>
                <c:pt idx="46">
                  <c:v>2.2756124390000001</c:v>
                </c:pt>
                <c:pt idx="47">
                  <c:v>1.9990642940000001</c:v>
                </c:pt>
                <c:pt idx="48">
                  <c:v>2.0862174790000001</c:v>
                </c:pt>
                <c:pt idx="49">
                  <c:v>1.954770289</c:v>
                </c:pt>
                <c:pt idx="50">
                  <c:v>1.727792663</c:v>
                </c:pt>
                <c:pt idx="51">
                  <c:v>0.96406362800000001</c:v>
                </c:pt>
                <c:pt idx="52">
                  <c:v>0.82085714600000004</c:v>
                </c:pt>
                <c:pt idx="53">
                  <c:v>0.96907230099999997</c:v>
                </c:pt>
                <c:pt idx="54">
                  <c:v>0.88046635299999998</c:v>
                </c:pt>
                <c:pt idx="55">
                  <c:v>1.527121263</c:v>
                </c:pt>
                <c:pt idx="56">
                  <c:v>0.743327344</c:v>
                </c:pt>
                <c:pt idx="57">
                  <c:v>0.93352470799999998</c:v>
                </c:pt>
                <c:pt idx="58">
                  <c:v>0.45037736299999998</c:v>
                </c:pt>
                <c:pt idx="59">
                  <c:v>0.95699288599999999</c:v>
                </c:pt>
                <c:pt idx="60">
                  <c:v>0.53698571799999995</c:v>
                </c:pt>
                <c:pt idx="61">
                  <c:v>0.74501963000000004</c:v>
                </c:pt>
                <c:pt idx="62">
                  <c:v>1.078842316</c:v>
                </c:pt>
                <c:pt idx="63">
                  <c:v>0.86756685600000005</c:v>
                </c:pt>
                <c:pt idx="64">
                  <c:v>1.717036096</c:v>
                </c:pt>
                <c:pt idx="65">
                  <c:v>0.516654167</c:v>
                </c:pt>
                <c:pt idx="66">
                  <c:v>1.313900617</c:v>
                </c:pt>
                <c:pt idx="67">
                  <c:v>0.58592831400000001</c:v>
                </c:pt>
                <c:pt idx="68">
                  <c:v>1.332500553</c:v>
                </c:pt>
                <c:pt idx="69">
                  <c:v>1.016597674</c:v>
                </c:pt>
                <c:pt idx="70">
                  <c:v>0.76326565700000004</c:v>
                </c:pt>
                <c:pt idx="71">
                  <c:v>0.74087699399999996</c:v>
                </c:pt>
                <c:pt idx="72">
                  <c:v>0.19705097399999999</c:v>
                </c:pt>
                <c:pt idx="73">
                  <c:v>1.092795416</c:v>
                </c:pt>
                <c:pt idx="74">
                  <c:v>0.36291179000000001</c:v>
                </c:pt>
                <c:pt idx="75">
                  <c:v>6.6512431999999996E-2</c:v>
                </c:pt>
                <c:pt idx="76">
                  <c:v>-0.91039454099999995</c:v>
                </c:pt>
                <c:pt idx="77">
                  <c:v>-0.467867584</c:v>
                </c:pt>
                <c:pt idx="78">
                  <c:v>0.77971803799999995</c:v>
                </c:pt>
                <c:pt idx="79">
                  <c:v>0.50533843099999998</c:v>
                </c:pt>
                <c:pt idx="80">
                  <c:v>0.34856390199999998</c:v>
                </c:pt>
                <c:pt idx="81">
                  <c:v>1.197157574</c:v>
                </c:pt>
                <c:pt idx="82">
                  <c:v>1.084320604</c:v>
                </c:pt>
                <c:pt idx="83">
                  <c:v>0.98810718900000005</c:v>
                </c:pt>
                <c:pt idx="84">
                  <c:v>1.042879871</c:v>
                </c:pt>
                <c:pt idx="85">
                  <c:v>0.166979092</c:v>
                </c:pt>
                <c:pt idx="86">
                  <c:v>0.58211345299999995</c:v>
                </c:pt>
                <c:pt idx="87">
                  <c:v>0.47715658700000002</c:v>
                </c:pt>
                <c:pt idx="88">
                  <c:v>1.3600755600000001</c:v>
                </c:pt>
                <c:pt idx="89">
                  <c:v>0.97031283999999995</c:v>
                </c:pt>
                <c:pt idx="90">
                  <c:v>1.3550997520000001</c:v>
                </c:pt>
                <c:pt idx="91">
                  <c:v>0.58453601600000005</c:v>
                </c:pt>
                <c:pt idx="92">
                  <c:v>1.145518265</c:v>
                </c:pt>
                <c:pt idx="93">
                  <c:v>0.35469547000000001</c:v>
                </c:pt>
                <c:pt idx="94">
                  <c:v>0.29830569899999998</c:v>
                </c:pt>
                <c:pt idx="95">
                  <c:v>0.85066486799999996</c:v>
                </c:pt>
                <c:pt idx="96">
                  <c:v>0.67903653600000002</c:v>
                </c:pt>
                <c:pt idx="97">
                  <c:v>0.74897132899999996</c:v>
                </c:pt>
                <c:pt idx="98">
                  <c:v>1.667883947</c:v>
                </c:pt>
                <c:pt idx="99">
                  <c:v>0.89701093600000004</c:v>
                </c:pt>
                <c:pt idx="100">
                  <c:v>1.038397649</c:v>
                </c:pt>
                <c:pt idx="101">
                  <c:v>0.64556077700000003</c:v>
                </c:pt>
                <c:pt idx="102">
                  <c:v>1.661978105</c:v>
                </c:pt>
                <c:pt idx="103">
                  <c:v>1.2507785730000001</c:v>
                </c:pt>
                <c:pt idx="104">
                  <c:v>0.85874356299999999</c:v>
                </c:pt>
                <c:pt idx="105">
                  <c:v>0.999375401</c:v>
                </c:pt>
                <c:pt idx="106">
                  <c:v>0.92582050699999996</c:v>
                </c:pt>
                <c:pt idx="107">
                  <c:v>1.252764553</c:v>
                </c:pt>
                <c:pt idx="108">
                  <c:v>1.6161907019999999</c:v>
                </c:pt>
                <c:pt idx="109">
                  <c:v>0.94382661499999998</c:v>
                </c:pt>
                <c:pt idx="110">
                  <c:v>0.83500003</c:v>
                </c:pt>
                <c:pt idx="111">
                  <c:v>1.3230270260000001</c:v>
                </c:pt>
                <c:pt idx="112">
                  <c:v>1.642779005</c:v>
                </c:pt>
                <c:pt idx="113">
                  <c:v>0.36444736100000003</c:v>
                </c:pt>
                <c:pt idx="114">
                  <c:v>1.8205830080000001</c:v>
                </c:pt>
                <c:pt idx="115">
                  <c:v>9.9774128000000004E-2</c:v>
                </c:pt>
                <c:pt idx="116">
                  <c:v>0.59436175499999999</c:v>
                </c:pt>
                <c:pt idx="117">
                  <c:v>-0.32422100300000001</c:v>
                </c:pt>
                <c:pt idx="118">
                  <c:v>0.62138921499999999</c:v>
                </c:pt>
                <c:pt idx="119">
                  <c:v>-0.400349016</c:v>
                </c:pt>
                <c:pt idx="120">
                  <c:v>0.27731435799999998</c:v>
                </c:pt>
                <c:pt idx="121">
                  <c:v>0.82822721600000004</c:v>
                </c:pt>
                <c:pt idx="122">
                  <c:v>0.61550245599999998</c:v>
                </c:pt>
                <c:pt idx="123">
                  <c:v>0.40352870400000002</c:v>
                </c:pt>
                <c:pt idx="124">
                  <c:v>0.13065576700000001</c:v>
                </c:pt>
                <c:pt idx="125">
                  <c:v>0.51672318699999997</c:v>
                </c:pt>
                <c:pt idx="126">
                  <c:v>0.89337780099999997</c:v>
                </c:pt>
                <c:pt idx="127">
                  <c:v>1.6668962700000001</c:v>
                </c:pt>
                <c:pt idx="128">
                  <c:v>1.154045728</c:v>
                </c:pt>
                <c:pt idx="129">
                  <c:v>0.572916486</c:v>
                </c:pt>
                <c:pt idx="130">
                  <c:v>0.77873875800000003</c:v>
                </c:pt>
                <c:pt idx="131">
                  <c:v>0.94124722500000002</c:v>
                </c:pt>
                <c:pt idx="132">
                  <c:v>1.0220273689999999</c:v>
                </c:pt>
                <c:pt idx="133">
                  <c:v>1.110882508</c:v>
                </c:pt>
                <c:pt idx="134">
                  <c:v>0.48660447800000001</c:v>
                </c:pt>
                <c:pt idx="135">
                  <c:v>0.78562198000000005</c:v>
                </c:pt>
                <c:pt idx="136">
                  <c:v>0.56792823800000003</c:v>
                </c:pt>
                <c:pt idx="137">
                  <c:v>1.3486661200000001</c:v>
                </c:pt>
                <c:pt idx="138">
                  <c:v>0.245583731</c:v>
                </c:pt>
                <c:pt idx="139">
                  <c:v>0.15045618799999999</c:v>
                </c:pt>
                <c:pt idx="140">
                  <c:v>0.84371169599999996</c:v>
                </c:pt>
                <c:pt idx="141">
                  <c:v>0.29359886099999999</c:v>
                </c:pt>
                <c:pt idx="142">
                  <c:v>0.63843452999999994</c:v>
                </c:pt>
                <c:pt idx="143">
                  <c:v>0.60230665699999997</c:v>
                </c:pt>
                <c:pt idx="144">
                  <c:v>0.60964400299999999</c:v>
                </c:pt>
                <c:pt idx="145">
                  <c:v>-0.40742947400000001</c:v>
                </c:pt>
                <c:pt idx="146">
                  <c:v>0.57229534500000001</c:v>
                </c:pt>
                <c:pt idx="147">
                  <c:v>-0.52689290200000005</c:v>
                </c:pt>
                <c:pt idx="148">
                  <c:v>-2.1830971479999999</c:v>
                </c:pt>
                <c:pt idx="149">
                  <c:v>-1.1657225309999999</c:v>
                </c:pt>
                <c:pt idx="150">
                  <c:v>-0.16923813900000001</c:v>
                </c:pt>
                <c:pt idx="151">
                  <c:v>0.36192999100000001</c:v>
                </c:pt>
                <c:pt idx="152">
                  <c:v>1.0679619499999999</c:v>
                </c:pt>
                <c:pt idx="153">
                  <c:v>0.50005348100000002</c:v>
                </c:pt>
                <c:pt idx="154">
                  <c:v>0.96770463900000003</c:v>
                </c:pt>
                <c:pt idx="155">
                  <c:v>0.77314415000000003</c:v>
                </c:pt>
                <c:pt idx="156">
                  <c:v>0.51959515899999997</c:v>
                </c:pt>
                <c:pt idx="157">
                  <c:v>-0.24091606800000001</c:v>
                </c:pt>
                <c:pt idx="158">
                  <c:v>0.67805075100000001</c:v>
                </c:pt>
                <c:pt idx="159">
                  <c:v>-3.8767163E-2</c:v>
                </c:pt>
                <c:pt idx="160">
                  <c:v>1.121678183</c:v>
                </c:pt>
                <c:pt idx="161">
                  <c:v>0.81792284500000001</c:v>
                </c:pt>
                <c:pt idx="162">
                  <c:v>0.45585998700000002</c:v>
                </c:pt>
                <c:pt idx="163">
                  <c:v>0.17488297799999999</c:v>
                </c:pt>
                <c:pt idx="164">
                  <c:v>0.109838067</c:v>
                </c:pt>
                <c:pt idx="165">
                  <c:v>0.86778954799999997</c:v>
                </c:pt>
                <c:pt idx="166">
                  <c:v>0.13938522</c:v>
                </c:pt>
                <c:pt idx="167">
                  <c:v>0.79165341099999997</c:v>
                </c:pt>
                <c:pt idx="168">
                  <c:v>0.71117100200000005</c:v>
                </c:pt>
                <c:pt idx="169">
                  <c:v>-0.35010973699999998</c:v>
                </c:pt>
                <c:pt idx="170">
                  <c:v>1.2841289069999999</c:v>
                </c:pt>
                <c:pt idx="171">
                  <c:v>1.1649616439999999</c:v>
                </c:pt>
                <c:pt idx="172">
                  <c:v>0.44899340199999999</c:v>
                </c:pt>
                <c:pt idx="173">
                  <c:v>0.81331362600000001</c:v>
                </c:pt>
                <c:pt idx="174">
                  <c:v>0.58000143199999998</c:v>
                </c:pt>
                <c:pt idx="175">
                  <c:v>0.323372673</c:v>
                </c:pt>
                <c:pt idx="176">
                  <c:v>0.14623434699999999</c:v>
                </c:pt>
                <c:pt idx="177">
                  <c:v>0.58917986899999997</c:v>
                </c:pt>
                <c:pt idx="178">
                  <c:v>0.30238880699999998</c:v>
                </c:pt>
                <c:pt idx="179">
                  <c:v>0.60111537900000001</c:v>
                </c:pt>
                <c:pt idx="180">
                  <c:v>0.49688879600000002</c:v>
                </c:pt>
                <c:pt idx="181">
                  <c:v>0.47193104200000002</c:v>
                </c:pt>
                <c:pt idx="182">
                  <c:v>0.55976482299999997</c:v>
                </c:pt>
                <c:pt idx="183">
                  <c:v>0.71914999099999999</c:v>
                </c:pt>
                <c:pt idx="184">
                  <c:v>0.94039983800000004</c:v>
                </c:pt>
                <c:pt idx="185">
                  <c:v>0.76285403600000001</c:v>
                </c:pt>
                <c:pt idx="186">
                  <c:v>0.83391090899999998</c:v>
                </c:pt>
                <c:pt idx="187">
                  <c:v>0.481952559</c:v>
                </c:pt>
                <c:pt idx="188">
                  <c:v>0.22314183500000001</c:v>
                </c:pt>
                <c:pt idx="189">
                  <c:v>0.59779028999999995</c:v>
                </c:pt>
                <c:pt idx="190">
                  <c:v>0.79292440799999997</c:v>
                </c:pt>
                <c:pt idx="191">
                  <c:v>0.685498791</c:v>
                </c:pt>
                <c:pt idx="192">
                  <c:v>0.46909761799999999</c:v>
                </c:pt>
                <c:pt idx="193">
                  <c:v>-1.303582746</c:v>
                </c:pt>
                <c:pt idx="194">
                  <c:v>-8.9372505009999994</c:v>
                </c:pt>
                <c:pt idx="195">
                  <c:v>7.547534636</c:v>
                </c:pt>
                <c:pt idx="196">
                  <c:v>1.115276766</c:v>
                </c:pt>
                <c:pt idx="197">
                  <c:v>1.533889627</c:v>
                </c:pt>
                <c:pt idx="198">
                  <c:v>1.600286109</c:v>
                </c:pt>
              </c:numCache>
            </c:numRef>
          </c:val>
          <c:smooth val="0"/>
          <c:extLst>
            <c:ext xmlns:c16="http://schemas.microsoft.com/office/drawing/2014/chart" uri="{C3380CC4-5D6E-409C-BE32-E72D297353CC}">
              <c16:uniqueId val="{00000000-CE1E-4CCD-A82E-C512D860E472}"/>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978495"/>
        <c:crosses val="autoZero"/>
        <c:auto val="1"/>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'Global View qoq'!$J$2</c:f>
              <c:strCache>
                <c:ptCount val="1"/>
                <c:pt idx="0">
                  <c:v>USA GDP % qoq annualized</c:v>
                </c:pt>
              </c:strCache>
            </c:strRef>
          </c:tx>
          <c:spPr>
            <a:solidFill>
              <a:schemeClr val="accent1">
                <a:lumMod val="75000"/>
              </a:schemeClr>
            </a:solidFill>
            <a:ln w="41275">
              <a:solidFill>
                <a:schemeClr val="accent1"/>
              </a:solidFill>
            </a:ln>
            <a:effectLst/>
          </c:spPr>
          <c:invertIfNegative val="0"/>
          <c:cat>
            <c:numRef>
              <c:f>'Global View qoq'!$A$240:$A$300</c:f>
              <c:numCache>
                <c:formatCode>mmm\-yy</c:formatCode>
                <c:ptCount val="61"/>
                <c:pt idx="0">
                  <c:v>39083</c:v>
                </c:pt>
                <c:pt idx="1">
                  <c:v>39173</c:v>
                </c:pt>
                <c:pt idx="2">
                  <c:v>39264</c:v>
                </c:pt>
                <c:pt idx="3">
                  <c:v>39356</c:v>
                </c:pt>
                <c:pt idx="4">
                  <c:v>39448</c:v>
                </c:pt>
                <c:pt idx="5">
                  <c:v>39539</c:v>
                </c:pt>
                <c:pt idx="6">
                  <c:v>39630</c:v>
                </c:pt>
                <c:pt idx="7">
                  <c:v>39722</c:v>
                </c:pt>
                <c:pt idx="8">
                  <c:v>39814</c:v>
                </c:pt>
                <c:pt idx="9">
                  <c:v>39904</c:v>
                </c:pt>
                <c:pt idx="10">
                  <c:v>39995</c:v>
                </c:pt>
                <c:pt idx="11">
                  <c:v>40087</c:v>
                </c:pt>
                <c:pt idx="12">
                  <c:v>40179</c:v>
                </c:pt>
                <c:pt idx="13">
                  <c:v>40269</c:v>
                </c:pt>
                <c:pt idx="14">
                  <c:v>40360</c:v>
                </c:pt>
                <c:pt idx="15">
                  <c:v>40452</c:v>
                </c:pt>
                <c:pt idx="16">
                  <c:v>40544</c:v>
                </c:pt>
                <c:pt idx="17">
                  <c:v>40634</c:v>
                </c:pt>
                <c:pt idx="18">
                  <c:v>40725</c:v>
                </c:pt>
                <c:pt idx="19">
                  <c:v>40817</c:v>
                </c:pt>
                <c:pt idx="20">
                  <c:v>40909</c:v>
                </c:pt>
                <c:pt idx="21">
                  <c:v>41000</c:v>
                </c:pt>
                <c:pt idx="22">
                  <c:v>41091</c:v>
                </c:pt>
                <c:pt idx="23">
                  <c:v>41183</c:v>
                </c:pt>
                <c:pt idx="24">
                  <c:v>41275</c:v>
                </c:pt>
                <c:pt idx="25">
                  <c:v>41365</c:v>
                </c:pt>
                <c:pt idx="26">
                  <c:v>41456</c:v>
                </c:pt>
                <c:pt idx="27">
                  <c:v>41548</c:v>
                </c:pt>
                <c:pt idx="28">
                  <c:v>41640</c:v>
                </c:pt>
                <c:pt idx="29">
                  <c:v>41730</c:v>
                </c:pt>
                <c:pt idx="30">
                  <c:v>41821</c:v>
                </c:pt>
                <c:pt idx="31">
                  <c:v>41913</c:v>
                </c:pt>
                <c:pt idx="32">
                  <c:v>42005</c:v>
                </c:pt>
                <c:pt idx="33">
                  <c:v>42095</c:v>
                </c:pt>
                <c:pt idx="34">
                  <c:v>42186</c:v>
                </c:pt>
                <c:pt idx="35">
                  <c:v>42278</c:v>
                </c:pt>
                <c:pt idx="36">
                  <c:v>42370</c:v>
                </c:pt>
                <c:pt idx="37">
                  <c:v>42461</c:v>
                </c:pt>
                <c:pt idx="38">
                  <c:v>42552</c:v>
                </c:pt>
                <c:pt idx="39">
                  <c:v>42644</c:v>
                </c:pt>
                <c:pt idx="40">
                  <c:v>42736</c:v>
                </c:pt>
                <c:pt idx="41">
                  <c:v>42826</c:v>
                </c:pt>
                <c:pt idx="42">
                  <c:v>42917</c:v>
                </c:pt>
                <c:pt idx="43">
                  <c:v>43009</c:v>
                </c:pt>
                <c:pt idx="44">
                  <c:v>43101</c:v>
                </c:pt>
                <c:pt idx="45">
                  <c:v>43191</c:v>
                </c:pt>
                <c:pt idx="46">
                  <c:v>43282</c:v>
                </c:pt>
                <c:pt idx="47">
                  <c:v>43374</c:v>
                </c:pt>
                <c:pt idx="48">
                  <c:v>43466</c:v>
                </c:pt>
                <c:pt idx="49">
                  <c:v>43556</c:v>
                </c:pt>
                <c:pt idx="50">
                  <c:v>43647</c:v>
                </c:pt>
                <c:pt idx="51">
                  <c:v>43739</c:v>
                </c:pt>
                <c:pt idx="52">
                  <c:v>43831</c:v>
                </c:pt>
                <c:pt idx="53">
                  <c:v>43922</c:v>
                </c:pt>
                <c:pt idx="54">
                  <c:v>44013</c:v>
                </c:pt>
                <c:pt idx="55">
                  <c:v>44105</c:v>
                </c:pt>
                <c:pt idx="56">
                  <c:v>44197</c:v>
                </c:pt>
                <c:pt idx="57">
                  <c:v>44287</c:v>
                </c:pt>
                <c:pt idx="58">
                  <c:v>44378</c:v>
                </c:pt>
              </c:numCache>
            </c:numRef>
          </c:cat>
          <c:val>
            <c:numRef>
              <c:f>'Global View qoq'!$D$240:$D$300</c:f>
              <c:numCache>
                <c:formatCode>0.0%</c:formatCode>
                <c:ptCount val="61"/>
                <c:pt idx="0">
                  <c:v>3.4177984945622075E-2</c:v>
                </c:pt>
                <c:pt idx="1">
                  <c:v>1.1795775922242457E-2</c:v>
                </c:pt>
                <c:pt idx="2">
                  <c:v>2.5782982951032762E-2</c:v>
                </c:pt>
                <c:pt idx="3">
                  <c:v>2.4310805584600859E-2</c:v>
                </c:pt>
                <c:pt idx="4">
                  <c:v>2.4609667322921247E-2</c:v>
                </c:pt>
                <c:pt idx="5">
                  <c:v>-1.6197849949850074E-2</c:v>
                </c:pt>
                <c:pt idx="6">
                  <c:v>2.3089077807028735E-2</c:v>
                </c:pt>
                <c:pt idx="7">
                  <c:v>-2.0909730727059928E-2</c:v>
                </c:pt>
                <c:pt idx="8">
                  <c:v>-8.4505728691842252E-2</c:v>
                </c:pt>
                <c:pt idx="9">
                  <c:v>-4.5819873805539646E-2</c:v>
                </c:pt>
                <c:pt idx="10">
                  <c:v>-6.7523600121504046E-3</c:v>
                </c:pt>
                <c:pt idx="11">
                  <c:v>1.455598544426584E-2</c:v>
                </c:pt>
                <c:pt idx="12">
                  <c:v>4.3407688869303573E-2</c:v>
                </c:pt>
                <c:pt idx="13">
                  <c:v>2.0152672116043657E-2</c:v>
                </c:pt>
                <c:pt idx="14">
                  <c:v>3.9273690527251048E-2</c:v>
                </c:pt>
                <c:pt idx="15">
                  <c:v>3.1286269292547075E-2</c:v>
                </c:pt>
                <c:pt idx="16">
                  <c:v>2.0946355685835361E-2</c:v>
                </c:pt>
                <c:pt idx="17">
                  <c:v>-9.6018742868266838E-3</c:v>
                </c:pt>
                <c:pt idx="18">
                  <c:v>2.7399130789267812E-2</c:v>
                </c:pt>
                <c:pt idx="19">
                  <c:v>-1.5497850172727645E-3</c:v>
                </c:pt>
                <c:pt idx="20">
                  <c:v>4.5627685328668566E-2</c:v>
                </c:pt>
                <c:pt idx="21">
                  <c:v>3.3120505698075231E-2</c:v>
                </c:pt>
                <c:pt idx="22">
                  <c:v>1.8359463834497713E-2</c:v>
                </c:pt>
                <c:pt idx="23">
                  <c:v>7.0136909574731732E-3</c:v>
                </c:pt>
                <c:pt idx="24">
                  <c:v>4.4007666225549524E-3</c:v>
                </c:pt>
                <c:pt idx="25">
                  <c:v>3.5166036796619116E-2</c:v>
                </c:pt>
                <c:pt idx="26">
                  <c:v>5.5870765795456023E-3</c:v>
                </c:pt>
                <c:pt idx="27">
                  <c:v>3.2044154006267478E-2</c:v>
                </c:pt>
                <c:pt idx="28">
                  <c:v>2.8751739893740247E-2</c:v>
                </c:pt>
                <c:pt idx="29">
                  <c:v>-1.3931014894348004E-2</c:v>
                </c:pt>
                <c:pt idx="30">
                  <c:v>5.2363045749210579E-2</c:v>
                </c:pt>
                <c:pt idx="31">
                  <c:v>4.7419089601193898E-2</c:v>
                </c:pt>
                <c:pt idx="32">
                  <c:v>1.8081055590863704E-2</c:v>
                </c:pt>
                <c:pt idx="33">
                  <c:v>3.2931588807799894E-2</c:v>
                </c:pt>
                <c:pt idx="34">
                  <c:v>2.3402679862115416E-2</c:v>
                </c:pt>
                <c:pt idx="35">
                  <c:v>1.2997784220908359E-2</c:v>
                </c:pt>
                <c:pt idx="36">
                  <c:v>5.8622170837032694E-3</c:v>
                </c:pt>
                <c:pt idx="37">
                  <c:v>2.3776293810742199E-2</c:v>
                </c:pt>
                <c:pt idx="38">
                  <c:v>1.2150526358479352E-2</c:v>
                </c:pt>
                <c:pt idx="39">
                  <c:v>2.4262289112386481E-2</c:v>
                </c:pt>
                <c:pt idx="40">
                  <c:v>2.0024182259288148E-2</c:v>
                </c:pt>
                <c:pt idx="41">
                  <c:v>1.9011293952945207E-2</c:v>
                </c:pt>
                <c:pt idx="42">
                  <c:v>2.257929747539289E-2</c:v>
                </c:pt>
                <c:pt idx="43">
                  <c:v>2.9077796050954952E-2</c:v>
                </c:pt>
                <c:pt idx="44">
                  <c:v>3.8149939031334457E-2</c:v>
                </c:pt>
                <c:pt idx="45">
                  <c:v>3.0865108355034421E-2</c:v>
                </c:pt>
                <c:pt idx="46">
                  <c:v>3.3776005269686493E-2</c:v>
                </c:pt>
                <c:pt idx="47">
                  <c:v>1.9417917649433347E-2</c:v>
                </c:pt>
                <c:pt idx="48">
                  <c:v>8.9555932348708289E-3</c:v>
                </c:pt>
                <c:pt idx="49">
                  <c:v>2.4126879304670057E-2</c:v>
                </c:pt>
                <c:pt idx="50">
                  <c:v>3.2096211881735615E-2</c:v>
                </c:pt>
                <c:pt idx="51">
                  <c:v>2.7703187490706105E-2</c:v>
                </c:pt>
                <c:pt idx="52">
                  <c:v>1.8896349653914735E-2</c:v>
                </c:pt>
                <c:pt idx="53">
                  <c:v>-5.1132545035958321E-2</c:v>
                </c:pt>
                <c:pt idx="54">
                  <c:v>-0.31235698460598726</c:v>
                </c:pt>
                <c:pt idx="55">
                  <c:v>0.33783279298685187</c:v>
                </c:pt>
                <c:pt idx="56">
                  <c:v>4.5362940383817607E-2</c:v>
                </c:pt>
                <c:pt idx="57">
                  <c:v>6.2781766718929433E-2</c:v>
                </c:pt>
                <c:pt idx="58">
                  <c:v>6.5564452112124139E-2</c:v>
                </c:pt>
              </c:numCache>
            </c:numRef>
          </c:val>
          <c:extLst>
            <c:ext xmlns:c16="http://schemas.microsoft.com/office/drawing/2014/chart" uri="{C3380CC4-5D6E-409C-BE32-E72D297353CC}">
              <c16:uniqueId val="{00000000-2147-4B64-8F02-743E271B9B67}"/>
            </c:ext>
          </c:extLst>
        </c:ser>
        <c:dLbls>
          <c:showLegendKey val="0"/>
          <c:showVal val="0"/>
          <c:showCatName val="0"/>
          <c:showSerName val="0"/>
          <c:showPercent val="0"/>
          <c:showBubbleSize val="0"/>
        </c:dLbls>
        <c:gapWidth val="208"/>
        <c:axId val="92978823"/>
        <c:axId val="92978495"/>
      </c:bar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978495"/>
        <c:crosses val="autoZero"/>
        <c:auto val="1"/>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12</xdr:col>
      <xdr:colOff>9525</xdr:colOff>
      <xdr:row>1</xdr:row>
      <xdr:rowOff>142875</xdr:rowOff>
    </xdr:from>
    <xdr:to>
      <xdr:col>16</xdr:col>
      <xdr:colOff>0</xdr:colOff>
      <xdr:row>7</xdr:row>
      <xdr:rowOff>28575</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285750</xdr:colOff>
      <xdr:row>110</xdr:row>
      <xdr:rowOff>152400</xdr:rowOff>
    </xdr:from>
    <xdr:to>
      <xdr:col>26</xdr:col>
      <xdr:colOff>171449</xdr:colOff>
      <xdr:row>135</xdr:row>
      <xdr:rowOff>95250</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31</xdr:row>
      <xdr:rowOff>0</xdr:rowOff>
    </xdr:from>
    <xdr:to>
      <xdr:col>1</xdr:col>
      <xdr:colOff>1028700</xdr:colOff>
      <xdr:row>32</xdr:row>
      <xdr:rowOff>38100</xdr:rowOff>
    </xdr:to>
    <xdr:sp macro="" textlink="">
      <xdr:nvSpPr>
        <xdr:cNvPr id="7169" name="Control 1" hidden="1">
          <a:extLst>
            <a:ext uri="{63B3BB69-23CF-44E3-9099-C40C66FF867C}">
              <a14:compatExt xmlns:a14="http://schemas.microsoft.com/office/drawing/2010/main"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9524</xdr:colOff>
      <xdr:row>270</xdr:row>
      <xdr:rowOff>9525</xdr:rowOff>
    </xdr:from>
    <xdr:to>
      <xdr:col>11</xdr:col>
      <xdr:colOff>609599</xdr:colOff>
      <xdr:row>289</xdr:row>
      <xdr:rowOff>180975</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476249</xdr:colOff>
      <xdr:row>253</xdr:row>
      <xdr:rowOff>57150</xdr:rowOff>
    </xdr:from>
    <xdr:to>
      <xdr:col>13</xdr:col>
      <xdr:colOff>466724</xdr:colOff>
      <xdr:row>273</xdr:row>
      <xdr:rowOff>38100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400050</xdr:colOff>
      <xdr:row>274</xdr:row>
      <xdr:rowOff>0</xdr:rowOff>
    </xdr:from>
    <xdr:to>
      <xdr:col>13</xdr:col>
      <xdr:colOff>390525</xdr:colOff>
      <xdr:row>293</xdr:row>
      <xdr:rowOff>171450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D67ECE1-048B-47D5-8EBC-17852A221333}" name="Table13456789101112131415161734" displayName="Table13456789101112131415161734" ref="A1:C298" totalsRowShown="0" headerRowDxfId="10" dataDxfId="9">
  <autoFilter ref="A1:C298" xr:uid="{86791A04-2619-4DF7-8263-F2E3A92E359D}"/>
  <tableColumns count="3">
    <tableColumn id="1" xr3:uid="{CD1F86B7-E804-4737-93AB-C65710CD71CC}" name="Data" dataDxfId="8"/>
    <tableColumn id="2" xr3:uid="{FC71B70A-7A64-4AEE-88D8-C11833BD5E70}" name="USA" dataDxfId="7">
      <calculatedColumnFormula>VLOOKUP(A2,'Data yoy'!$B:$AT,MATCH($B$1,'Data yoy'!$B$1:$AT$1,0),FALSE)</calculatedColumnFormula>
    </tableColumn>
    <tableColumn id="3" xr3:uid="{253DD7FF-46F9-4259-8127-A0A1052E48C7}"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9C735C-D1FD-4C6C-A4A9-A32C6636EAEC}" name="Table134567891011121314151617343" displayName="Table134567891011121314151617343" ref="A1:D298" totalsRowShown="0" headerRowDxfId="5" dataDxfId="4">
  <autoFilter ref="A1:D298" xr:uid="{A8A44CDE-7BE2-4F22-BC3A-C26F17BD7459}"/>
  <tableColumns count="4">
    <tableColumn id="1" xr3:uid="{2E3C351A-E3A0-4A3D-A52A-D1A38B10F71E}" name="Data" dataDxfId="3"/>
    <tableColumn id="2" xr3:uid="{7CA9F97C-8C13-4F54-A76D-B27821163512}" name="USA" dataDxfId="2">
      <calculatedColumnFormula>VLOOKUP(A2,'Data qoq'!$B:$AT,MATCH($B$1,'Data qoq'!$B$1:$AT$1,0),FALSE)</calculatedColumnFormula>
    </tableColumn>
    <tableColumn id="3" xr3:uid="{83E09EFB-A8E8-49C1-8757-4B1E38045EA3}" name="Quarter Change" dataDxfId="1">
      <calculatedColumnFormula>(B2/B1)-1</calculatedColumnFormula>
    </tableColumn>
    <tableColumn id="4" xr3:uid="{BC74739A-F41A-4394-BEE1-4F436870D93D}"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data.oecd.org/gdp/quarterly-gdp.htm" TargetMode="External"/><Relationship Id="rId2" Type="http://schemas.openxmlformats.org/officeDocument/2006/relationships/hyperlink" Target="https://data.oecd.org/gdp/quarterly-gdp.htm" TargetMode="External"/><Relationship Id="rId1" Type="http://schemas.openxmlformats.org/officeDocument/2006/relationships/hyperlink" Target="https://tradingeconomics.com/"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openxmlformats.org/officeDocument/2006/relationships/hyperlink" Target="https://tradingeconomics.com/"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07343-866D-48F4-A536-53AC5F19D5D7}">
  <sheetPr codeName="Sheet2">
    <tabColor rgb="FFFFFF00"/>
  </sheetPr>
  <dimension ref="B1:P40"/>
  <sheetViews>
    <sheetView zoomScale="130" zoomScaleNormal="130" workbookViewId="0">
      <selection activeCell="B13" sqref="B13:F13"/>
    </sheetView>
  </sheetViews>
  <sheetFormatPr baseColWidth="10" defaultColWidth="9.1640625" defaultRowHeight="15" x14ac:dyDescent="0.2"/>
  <cols>
    <col min="1" max="1" width="5.1640625" style="63" customWidth="1"/>
    <col min="2" max="10" width="12.83203125" style="63" customWidth="1"/>
    <col min="11" max="12" width="6.6640625" style="63" customWidth="1"/>
    <col min="13" max="16" width="18" style="63" customWidth="1"/>
    <col min="17" max="16384" width="9.1640625" style="63"/>
  </cols>
  <sheetData>
    <row r="1" spans="2:16" x14ac:dyDescent="0.2">
      <c r="B1" s="112"/>
      <c r="C1" s="112"/>
      <c r="D1" s="112"/>
      <c r="E1" s="112"/>
      <c r="F1" s="112"/>
      <c r="G1" s="112"/>
      <c r="H1" s="112"/>
      <c r="I1" s="112"/>
      <c r="J1" s="112"/>
    </row>
    <row r="2" spans="2:16" ht="16" thickBot="1" x14ac:dyDescent="0.25">
      <c r="B2" s="113"/>
      <c r="C2" s="113"/>
      <c r="D2" s="113"/>
      <c r="E2" s="113"/>
      <c r="F2" s="113"/>
      <c r="G2" s="113"/>
      <c r="H2" s="113"/>
      <c r="I2" s="113"/>
      <c r="J2" s="113"/>
    </row>
    <row r="3" spans="2:16" ht="16" thickBot="1" x14ac:dyDescent="0.25">
      <c r="B3" s="114" t="s">
        <v>557</v>
      </c>
      <c r="C3" s="115"/>
      <c r="D3" s="115"/>
      <c r="E3" s="115"/>
      <c r="F3" s="115"/>
      <c r="G3" s="115"/>
      <c r="H3" s="115"/>
      <c r="I3" s="115"/>
      <c r="J3" s="116"/>
    </row>
    <row r="5" spans="2:16" x14ac:dyDescent="0.2">
      <c r="B5" s="104" t="s">
        <v>562</v>
      </c>
      <c r="C5" s="117"/>
      <c r="D5" s="117"/>
      <c r="E5" s="117"/>
      <c r="F5" s="117"/>
      <c r="G5" s="117"/>
      <c r="H5" s="117"/>
      <c r="I5" s="117"/>
      <c r="J5" s="118"/>
    </row>
    <row r="7" spans="2:16" ht="132" customHeight="1" x14ac:dyDescent="0.2">
      <c r="B7" s="121" t="s">
        <v>565</v>
      </c>
      <c r="C7" s="122"/>
      <c r="D7" s="122"/>
      <c r="E7" s="122"/>
      <c r="F7" s="122"/>
      <c r="G7" s="122"/>
      <c r="H7" s="122"/>
      <c r="I7" s="122"/>
      <c r="J7" s="122"/>
    </row>
    <row r="8" spans="2:16" x14ac:dyDescent="0.2">
      <c r="B8" s="66"/>
      <c r="C8" s="64"/>
      <c r="D8" s="64"/>
      <c r="E8" s="64"/>
    </row>
    <row r="9" spans="2:16" x14ac:dyDescent="0.2">
      <c r="B9" s="104" t="s">
        <v>563</v>
      </c>
      <c r="C9" s="119"/>
      <c r="D9" s="119"/>
      <c r="E9" s="119"/>
      <c r="F9" s="119"/>
      <c r="G9" s="119"/>
      <c r="H9" s="119"/>
      <c r="I9" s="119"/>
      <c r="J9" s="120"/>
      <c r="M9" s="104" t="s">
        <v>577</v>
      </c>
      <c r="N9" s="105"/>
      <c r="O9" s="105"/>
      <c r="P9" s="106"/>
    </row>
    <row r="10" spans="2:16" ht="16" thickBot="1" x14ac:dyDescent="0.25"/>
    <row r="11" spans="2:16" ht="17" thickBot="1" x14ac:dyDescent="0.25">
      <c r="B11" s="104" t="s">
        <v>45</v>
      </c>
      <c r="C11" s="105"/>
      <c r="D11" s="105"/>
      <c r="E11" s="105"/>
      <c r="F11" s="106"/>
      <c r="G11" s="104" t="s">
        <v>564</v>
      </c>
      <c r="H11" s="105"/>
      <c r="I11" s="105"/>
      <c r="J11" s="106"/>
      <c r="M11" s="67" t="s">
        <v>553</v>
      </c>
      <c r="N11" s="68" t="s">
        <v>554</v>
      </c>
      <c r="O11" s="67" t="s">
        <v>555</v>
      </c>
      <c r="P11" s="69" t="s">
        <v>556</v>
      </c>
    </row>
    <row r="12" spans="2:16" ht="16" x14ac:dyDescent="0.2">
      <c r="M12" s="70" t="s">
        <v>389</v>
      </c>
      <c r="N12" s="35">
        <v>0.2472163512061494</v>
      </c>
      <c r="O12" s="36">
        <v>0.122</v>
      </c>
      <c r="P12" s="37">
        <v>6.6000000000000003E-2</v>
      </c>
    </row>
    <row r="13" spans="2:16" ht="16" x14ac:dyDescent="0.2">
      <c r="B13" s="109" t="s">
        <v>0</v>
      </c>
      <c r="C13" s="103"/>
      <c r="D13" s="103"/>
      <c r="E13" s="103"/>
      <c r="F13" s="103"/>
      <c r="G13" s="110" t="s">
        <v>570</v>
      </c>
      <c r="H13" s="111"/>
      <c r="I13" s="111"/>
      <c r="J13" s="111"/>
      <c r="M13" s="70" t="s">
        <v>391</v>
      </c>
      <c r="N13" s="36">
        <v>0.17384373782338147</v>
      </c>
      <c r="O13" s="36">
        <v>7.9000000000000001E-2</v>
      </c>
      <c r="P13" s="37">
        <v>1.2999999999999999E-2</v>
      </c>
    </row>
    <row r="14" spans="2:16" ht="16" x14ac:dyDescent="0.2">
      <c r="B14" s="102" t="s">
        <v>566</v>
      </c>
      <c r="C14" s="103"/>
      <c r="D14" s="103"/>
      <c r="E14" s="103"/>
      <c r="F14" s="103"/>
      <c r="G14" s="110" t="s">
        <v>571</v>
      </c>
      <c r="H14" s="111"/>
      <c r="I14" s="111"/>
      <c r="J14" s="111"/>
      <c r="M14" s="70" t="s">
        <v>390</v>
      </c>
      <c r="N14" s="36">
        <v>0.15270807996127098</v>
      </c>
      <c r="O14" s="36">
        <v>0.14299999999999999</v>
      </c>
      <c r="P14" s="37">
        <v>2.1999999999999999E-2</v>
      </c>
    </row>
    <row r="15" spans="2:16" ht="16" x14ac:dyDescent="0.2">
      <c r="B15" s="102" t="s">
        <v>567</v>
      </c>
      <c r="C15" s="103"/>
      <c r="D15" s="103"/>
      <c r="E15" s="103"/>
      <c r="F15" s="103"/>
      <c r="G15" s="110" t="s">
        <v>574</v>
      </c>
      <c r="H15" s="111"/>
      <c r="I15" s="111"/>
      <c r="J15" s="111"/>
      <c r="M15" s="70" t="s">
        <v>392</v>
      </c>
      <c r="N15" s="36">
        <v>5.9805646408709306E-2</v>
      </c>
      <c r="O15" s="36">
        <v>7.5999999999999998E-2</v>
      </c>
      <c r="P15" s="37">
        <v>5.0000000000000001E-3</v>
      </c>
    </row>
    <row r="16" spans="2:16" ht="16" x14ac:dyDescent="0.2">
      <c r="B16" s="102" t="s">
        <v>568</v>
      </c>
      <c r="C16" s="103"/>
      <c r="D16" s="103"/>
      <c r="E16" s="103"/>
      <c r="F16" s="103"/>
      <c r="M16" s="70" t="s">
        <v>345</v>
      </c>
      <c r="N16" s="36">
        <v>4.4939840124688574E-2</v>
      </c>
      <c r="O16" s="36">
        <v>9.4E-2</v>
      </c>
      <c r="P16" s="37">
        <v>1.6E-2</v>
      </c>
    </row>
    <row r="17" spans="2:16" ht="16" x14ac:dyDescent="0.2">
      <c r="B17" s="102" t="s">
        <v>569</v>
      </c>
      <c r="C17" s="103"/>
      <c r="D17" s="103"/>
      <c r="E17" s="103"/>
      <c r="F17" s="103"/>
      <c r="M17" s="70" t="s">
        <v>393</v>
      </c>
      <c r="N17" s="36">
        <v>3.1975062285248726E-2</v>
      </c>
      <c r="O17" s="36">
        <v>0.222</v>
      </c>
      <c r="P17" s="37">
        <v>4.8000000000000001E-2</v>
      </c>
    </row>
    <row r="18" spans="2:16" ht="16" x14ac:dyDescent="0.2">
      <c r="M18" s="70" t="s">
        <v>353</v>
      </c>
      <c r="N18" s="36">
        <v>3.0971413727550742E-2</v>
      </c>
      <c r="O18" s="36">
        <v>0.20100000000000001</v>
      </c>
      <c r="P18" s="37">
        <v>2.1000000000000001E-2</v>
      </c>
    </row>
    <row r="19" spans="2:16" ht="16" x14ac:dyDescent="0.2">
      <c r="B19" s="109" t="s">
        <v>0</v>
      </c>
      <c r="C19" s="103"/>
      <c r="D19" s="103"/>
      <c r="E19" s="103"/>
      <c r="F19" s="103"/>
      <c r="G19" s="110" t="s">
        <v>573</v>
      </c>
      <c r="H19" s="111"/>
      <c r="I19" s="111"/>
      <c r="J19" s="111"/>
      <c r="M19" s="70" t="s">
        <v>346</v>
      </c>
      <c r="N19" s="36">
        <v>3.0735261125739453E-2</v>
      </c>
      <c r="O19" s="36">
        <v>0.187</v>
      </c>
      <c r="P19" s="37">
        <v>1.0999999999999999E-2</v>
      </c>
    </row>
    <row r="20" spans="2:16" ht="16" x14ac:dyDescent="0.2">
      <c r="B20" s="102" t="s">
        <v>566</v>
      </c>
      <c r="C20" s="103"/>
      <c r="D20" s="103"/>
      <c r="E20" s="103"/>
      <c r="F20" s="103"/>
      <c r="G20" s="110" t="s">
        <v>571</v>
      </c>
      <c r="H20" s="111"/>
      <c r="I20" s="111"/>
      <c r="J20" s="111"/>
      <c r="M20" s="70" t="s">
        <v>358</v>
      </c>
      <c r="N20" s="36">
        <v>1.7062025480865734E-2</v>
      </c>
      <c r="O20" s="36">
        <v>0.124</v>
      </c>
      <c r="P20" s="37">
        <v>-1E-3</v>
      </c>
    </row>
    <row r="21" spans="2:16" ht="16" x14ac:dyDescent="0.2">
      <c r="B21" s="102" t="s">
        <v>567</v>
      </c>
      <c r="C21" s="103"/>
      <c r="D21" s="103"/>
      <c r="E21" s="103"/>
      <c r="F21" s="103"/>
      <c r="G21" s="110" t="s">
        <v>575</v>
      </c>
      <c r="H21" s="111"/>
      <c r="I21" s="111"/>
      <c r="J21" s="111"/>
      <c r="M21" s="70" t="s">
        <v>394</v>
      </c>
      <c r="N21" s="36">
        <v>2.2269190350804689E-2</v>
      </c>
      <c r="O21" s="36">
        <v>0.17299999999999999</v>
      </c>
      <c r="P21" s="37">
        <v>2.7E-2</v>
      </c>
    </row>
    <row r="22" spans="2:16" ht="16" x14ac:dyDescent="0.2">
      <c r="B22" s="102" t="s">
        <v>572</v>
      </c>
      <c r="C22" s="103"/>
      <c r="D22" s="103"/>
      <c r="E22" s="103"/>
      <c r="F22" s="103"/>
      <c r="M22" s="70" t="s">
        <v>354</v>
      </c>
      <c r="N22" s="36">
        <v>1.9399936238797513E-2</v>
      </c>
      <c r="O22" s="36">
        <v>0.127</v>
      </c>
      <c r="P22" s="37">
        <v>-3.0000000000000001E-3</v>
      </c>
    </row>
    <row r="23" spans="2:16" ht="16" x14ac:dyDescent="0.2">
      <c r="B23" s="102" t="s">
        <v>569</v>
      </c>
      <c r="C23" s="103"/>
      <c r="D23" s="103"/>
      <c r="E23" s="103"/>
      <c r="F23" s="103"/>
      <c r="M23" s="70" t="s">
        <v>352</v>
      </c>
      <c r="N23" s="36">
        <v>1.7522523054397752E-2</v>
      </c>
      <c r="O23" s="36">
        <v>0.105</v>
      </c>
      <c r="P23" s="37">
        <v>0</v>
      </c>
    </row>
    <row r="24" spans="2:16" ht="16" x14ac:dyDescent="0.2">
      <c r="M24" s="70" t="s">
        <v>395</v>
      </c>
      <c r="N24" s="36">
        <v>1.9258244677710736E-2</v>
      </c>
      <c r="O24" s="36">
        <v>0.06</v>
      </c>
      <c r="P24" s="37">
        <v>8.0000000000000002E-3</v>
      </c>
    </row>
    <row r="25" spans="2:16" ht="16" x14ac:dyDescent="0.2">
      <c r="B25" s="63" t="s">
        <v>1</v>
      </c>
      <c r="M25" s="70" t="s">
        <v>355</v>
      </c>
      <c r="N25" s="36">
        <v>1.5715955650541381E-2</v>
      </c>
      <c r="O25" s="36">
        <v>9.6000000000000002E-2</v>
      </c>
      <c r="P25" s="37">
        <v>7.0000000000000001E-3</v>
      </c>
    </row>
    <row r="26" spans="2:16" ht="16" x14ac:dyDescent="0.2">
      <c r="M26" s="70" t="s">
        <v>349</v>
      </c>
      <c r="N26" s="36">
        <v>1.5125574146013154E-2</v>
      </c>
      <c r="O26" s="36">
        <v>0.17499999999999999</v>
      </c>
      <c r="P26" s="37">
        <v>1.0999999999999999E-2</v>
      </c>
    </row>
    <row r="27" spans="2:16" ht="16" x14ac:dyDescent="0.2">
      <c r="B27" s="63" t="s">
        <v>557</v>
      </c>
      <c r="G27" s="72" t="s">
        <v>576</v>
      </c>
      <c r="M27" s="70" t="s">
        <v>351</v>
      </c>
      <c r="N27" s="36">
        <v>1.2705009977447427E-2</v>
      </c>
      <c r="O27" s="36">
        <v>0.19600000000000001</v>
      </c>
      <c r="P27" s="37">
        <v>1.4999999999999999E-2</v>
      </c>
    </row>
    <row r="28" spans="2:16" ht="16" x14ac:dyDescent="0.2">
      <c r="M28" s="70" t="s">
        <v>396</v>
      </c>
      <c r="N28" s="36">
        <v>1.2492472635817264E-2</v>
      </c>
      <c r="O28" s="36">
        <v>7.0699999999999999E-2</v>
      </c>
      <c r="P28" s="37">
        <v>3.3099999999999997E-2</v>
      </c>
    </row>
    <row r="29" spans="2:16" ht="16" x14ac:dyDescent="0.2">
      <c r="M29" s="70" t="s">
        <v>361</v>
      </c>
      <c r="N29" s="36">
        <v>8.5014936652064565E-3</v>
      </c>
      <c r="O29" s="36">
        <v>0.217</v>
      </c>
      <c r="P29" s="37">
        <v>8.9999999999999993E-3</v>
      </c>
    </row>
    <row r="30" spans="2:16" ht="30" customHeight="1" x14ac:dyDescent="0.2">
      <c r="M30" s="70" t="s">
        <v>399</v>
      </c>
      <c r="N30" s="36">
        <v>7.2144619853349232E-3</v>
      </c>
      <c r="O30" s="36">
        <v>7.4300000000000005E-2</v>
      </c>
      <c r="P30" s="37">
        <v>-1.0699999999999999E-2</v>
      </c>
    </row>
    <row r="31" spans="2:16" ht="16" x14ac:dyDescent="0.2">
      <c r="M31" s="70" t="s">
        <v>363</v>
      </c>
      <c r="N31" s="36">
        <v>7.0137322737953266E-3</v>
      </c>
      <c r="O31" s="36">
        <v>0.111</v>
      </c>
      <c r="P31" s="37">
        <v>2.1000000000000001E-2</v>
      </c>
    </row>
    <row r="32" spans="2:16" ht="16" x14ac:dyDescent="0.2">
      <c r="M32" s="70" t="s">
        <v>360</v>
      </c>
      <c r="N32" s="36">
        <v>4.947397007946535E-3</v>
      </c>
      <c r="O32" s="36">
        <v>0.216</v>
      </c>
      <c r="P32" s="37">
        <v>6.3E-2</v>
      </c>
    </row>
    <row r="33" spans="2:16" ht="16" x14ac:dyDescent="0.2">
      <c r="M33" s="70" t="s">
        <v>413</v>
      </c>
      <c r="N33" s="36">
        <v>4.1562857918787119E-3</v>
      </c>
      <c r="O33" s="36">
        <v>8.5000000000000006E-2</v>
      </c>
      <c r="P33" s="37">
        <v>2.3E-2</v>
      </c>
    </row>
    <row r="34" spans="2:16" ht="16" x14ac:dyDescent="0.2">
      <c r="M34" s="70" t="s">
        <v>422</v>
      </c>
      <c r="N34" s="36">
        <v>2.8810617420977434E-3</v>
      </c>
      <c r="O34" s="36">
        <v>8.2000000000000003E-2</v>
      </c>
      <c r="P34" s="37">
        <v>0.01</v>
      </c>
    </row>
    <row r="35" spans="2:16" ht="16" x14ac:dyDescent="0.2">
      <c r="M35" s="70" t="s">
        <v>365</v>
      </c>
      <c r="N35" s="36">
        <v>2.503217579199679E-3</v>
      </c>
      <c r="O35" s="36">
        <v>0.17399999999999999</v>
      </c>
      <c r="P35" s="37">
        <v>2.8000000000000001E-2</v>
      </c>
    </row>
    <row r="36" spans="2:16" ht="17" thickBot="1" x14ac:dyDescent="0.25">
      <c r="M36" s="71" t="s">
        <v>359</v>
      </c>
      <c r="N36" s="38">
        <v>2.2316420871166948E-3</v>
      </c>
      <c r="O36" s="38">
        <v>0.16200000000000001</v>
      </c>
      <c r="P36" s="39">
        <v>3.4000000000000002E-2</v>
      </c>
    </row>
    <row r="38" spans="2:16" x14ac:dyDescent="0.2">
      <c r="B38" s="2"/>
    </row>
    <row r="39" spans="2:16" x14ac:dyDescent="0.2">
      <c r="B39" s="107"/>
      <c r="C39" s="108"/>
      <c r="D39" s="108"/>
      <c r="E39" s="108"/>
      <c r="F39" s="108"/>
      <c r="G39" s="108"/>
      <c r="H39" s="108"/>
      <c r="I39" s="108"/>
      <c r="J39" s="108"/>
    </row>
    <row r="40" spans="2:16" x14ac:dyDescent="0.2">
      <c r="B40" s="65"/>
    </row>
  </sheetData>
  <mergeCells count="25">
    <mergeCell ref="B1:J2"/>
    <mergeCell ref="B3:J3"/>
    <mergeCell ref="B5:J5"/>
    <mergeCell ref="G11:J11"/>
    <mergeCell ref="G20:J20"/>
    <mergeCell ref="B9:J9"/>
    <mergeCell ref="B11:F11"/>
    <mergeCell ref="B7:J7"/>
    <mergeCell ref="B20:F20"/>
    <mergeCell ref="B21:F21"/>
    <mergeCell ref="M9:P9"/>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s>
  <conditionalFormatting sqref="O12:O36">
    <cfRule type="colorScale" priority="3">
      <colorScale>
        <cfvo type="min"/>
        <cfvo type="percentile" val="50"/>
        <cfvo type="max"/>
        <color rgb="FFF8696B"/>
        <color rgb="FFFFEB84"/>
        <color rgb="FF63BE7B"/>
      </colorScale>
    </cfRule>
  </conditionalFormatting>
  <conditionalFormatting sqref="P12:P36">
    <cfRule type="colorScale" priority="2">
      <colorScale>
        <cfvo type="min"/>
        <cfvo type="percentile" val="50"/>
        <cfvo type="max"/>
        <color rgb="FFF8696B"/>
        <color rgb="FFFFEB84"/>
        <color rgb="FF63BE7B"/>
      </colorScale>
    </cfRule>
  </conditionalFormatting>
  <conditionalFormatting sqref="N12:N36">
    <cfRule type="dataBar" priority="1">
      <dataBar>
        <cfvo type="min"/>
        <cfvo type="max"/>
        <color rgb="FF638EC6"/>
      </dataBar>
      <extLst>
        <ext xmlns:x14="http://schemas.microsoft.com/office/spreadsheetml/2009/9/main" uri="{B025F937-C7B1-47D3-B67F-A62EFF666E3E}">
          <x14:id>{3267E457-4B7B-44CC-A1D0-C94BADAD3A74}</x14:id>
        </ext>
      </extLst>
    </cfRule>
  </conditionalFormatting>
  <hyperlinks>
    <hyperlink ref="G27" r:id="rId1" xr:uid="{CBA1977E-2ED9-4456-AD0A-749E33188B88}"/>
    <hyperlink ref="B13" r:id="rId2" location="indicator-chart" xr:uid="{5E34FB78-8AD2-405A-A84D-76E3726A06F8}"/>
    <hyperlink ref="B19" r:id="rId3" location="indicator-chart" xr:uid="{0DA4DED2-6C3D-444E-BD23-56BFA4654B4E}"/>
  </hyperlinks>
  <pageMargins left="0.7" right="0.7" top="0.75" bottom="0.75" header="0.3" footer="0.3"/>
  <drawing r:id="rId4"/>
  <extLst>
    <ext xmlns:x14="http://schemas.microsoft.com/office/spreadsheetml/2009/9/main" uri="{78C0D931-6437-407d-A8EE-F0AAD7539E65}">
      <x14:conditionalFormattings>
        <x14:conditionalFormatting xmlns:xm="http://schemas.microsoft.com/office/excel/2006/main">
          <x14:cfRule type="dataBar" id="{3267E457-4B7B-44CC-A1D0-C94BADAD3A74}">
            <x14:dataBar minLength="0" maxLength="100" border="1" negativeBarBorderColorSameAsPositive="0">
              <x14:cfvo type="autoMin"/>
              <x14:cfvo type="autoMax"/>
              <x14:borderColor rgb="FF638EC6"/>
              <x14:negativeFillColor rgb="FFFF0000"/>
              <x14:negativeBorderColor rgb="FFFF0000"/>
              <x14:axisColor rgb="FF000000"/>
            </x14:dataBar>
          </x14:cfRule>
          <xm:sqref>N12:N36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64B04-5B5D-45F1-B0DA-314405DE0702}">
  <sheetPr codeName="Sheet3">
    <tabColor theme="6"/>
  </sheetPr>
  <dimension ref="A1:BG298"/>
  <sheetViews>
    <sheetView tabSelected="1" workbookViewId="0">
      <pane ySplit="1" topLeftCell="A263" activePane="bottomLeft" state="frozen"/>
      <selection pane="bottomLeft" activeCell="I306" sqref="I306"/>
    </sheetView>
  </sheetViews>
  <sheetFormatPr baseColWidth="10" defaultColWidth="9.1640625" defaultRowHeight="15" x14ac:dyDescent="0.2"/>
  <cols>
    <col min="1" max="1" width="9.1640625" style="81"/>
    <col min="2" max="2" width="11.1640625" style="81" customWidth="1"/>
    <col min="3" max="5" width="9.1640625" style="3"/>
    <col min="6" max="6" width="10.6640625" style="3" bestFit="1" customWidth="1"/>
    <col min="7" max="7" width="10.6640625" style="3" customWidth="1"/>
    <col min="8" max="46" width="9.1640625" style="3"/>
    <col min="47" max="16384" width="9.1640625" style="81"/>
  </cols>
  <sheetData>
    <row r="1" spans="1:59" x14ac:dyDescent="0.2">
      <c r="A1" s="86" t="s">
        <v>588</v>
      </c>
      <c r="B1" s="86" t="s">
        <v>589</v>
      </c>
      <c r="C1" s="3" t="s">
        <v>2</v>
      </c>
      <c r="D1" s="3" t="s">
        <v>3</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c r="U1" s="3" t="s">
        <v>20</v>
      </c>
      <c r="V1" s="3" t="s">
        <v>21</v>
      </c>
      <c r="W1" s="3" t="s">
        <v>22</v>
      </c>
      <c r="X1" s="3" t="s">
        <v>23</v>
      </c>
      <c r="Y1" s="3" t="s">
        <v>24</v>
      </c>
      <c r="Z1" s="3" t="s">
        <v>25</v>
      </c>
      <c r="AA1" s="3" t="s">
        <v>26</v>
      </c>
      <c r="AB1" s="3" t="s">
        <v>27</v>
      </c>
      <c r="AC1" s="3" t="s">
        <v>28</v>
      </c>
      <c r="AD1" s="3" t="s">
        <v>29</v>
      </c>
      <c r="AE1" s="3" t="s">
        <v>30</v>
      </c>
      <c r="AF1" s="3" t="s">
        <v>31</v>
      </c>
      <c r="AG1" s="3" t="s">
        <v>32</v>
      </c>
      <c r="AH1" s="3" t="s">
        <v>33</v>
      </c>
      <c r="AI1" s="3" t="s">
        <v>46</v>
      </c>
      <c r="AJ1" s="3" t="s">
        <v>34</v>
      </c>
      <c r="AK1" s="3" t="s">
        <v>35</v>
      </c>
      <c r="AL1" s="3" t="s">
        <v>36</v>
      </c>
      <c r="AM1" s="3" t="s">
        <v>37</v>
      </c>
      <c r="AN1" s="3" t="s">
        <v>38</v>
      </c>
      <c r="AO1" s="3" t="s">
        <v>39</v>
      </c>
      <c r="AP1" s="3" t="s">
        <v>40</v>
      </c>
      <c r="AQ1" s="3" t="s">
        <v>41</v>
      </c>
      <c r="AR1" s="3" t="s">
        <v>42</v>
      </c>
      <c r="AS1" s="3" t="s">
        <v>43</v>
      </c>
      <c r="AT1" s="3" t="s">
        <v>44</v>
      </c>
      <c r="AU1" s="3" t="s">
        <v>48</v>
      </c>
      <c r="AV1" s="86"/>
      <c r="AW1" s="86"/>
      <c r="AX1" s="86"/>
      <c r="AY1" s="86"/>
      <c r="AZ1" s="86"/>
      <c r="BA1" s="86"/>
      <c r="BB1" s="83"/>
      <c r="BC1" s="83"/>
      <c r="BD1" s="83"/>
      <c r="BE1" s="83"/>
      <c r="BF1" s="83"/>
      <c r="BG1" s="83"/>
    </row>
    <row r="2" spans="1:59" x14ac:dyDescent="0.2">
      <c r="A2" s="86" t="s">
        <v>49</v>
      </c>
      <c r="B2" s="101">
        <v>17349</v>
      </c>
      <c r="AJ2" s="3">
        <v>-0.26670598899999998</v>
      </c>
      <c r="AU2" s="86"/>
      <c r="AV2" s="86"/>
      <c r="AW2" s="86"/>
      <c r="AX2" s="86"/>
      <c r="AY2" s="86"/>
      <c r="AZ2" s="86"/>
      <c r="BA2" s="86"/>
      <c r="BB2" s="83"/>
      <c r="BC2" s="83"/>
      <c r="BD2" s="83"/>
      <c r="BE2" s="83"/>
      <c r="BF2" s="83"/>
      <c r="BG2" s="83"/>
    </row>
    <row r="3" spans="1:59" x14ac:dyDescent="0.2">
      <c r="A3" s="86" t="s">
        <v>50</v>
      </c>
      <c r="B3" s="101">
        <v>17441</v>
      </c>
      <c r="AJ3" s="3">
        <v>-0.20650322500000001</v>
      </c>
      <c r="AU3" s="86"/>
      <c r="AV3" s="86"/>
      <c r="AW3" s="86"/>
      <c r="AX3" s="86"/>
      <c r="AY3" s="86"/>
      <c r="AZ3" s="86"/>
      <c r="BA3" s="86"/>
      <c r="BB3" s="83"/>
      <c r="BC3" s="83"/>
      <c r="BD3" s="83"/>
      <c r="BE3" s="83"/>
      <c r="BF3" s="83"/>
      <c r="BG3" s="83"/>
    </row>
    <row r="4" spans="1:59" x14ac:dyDescent="0.2">
      <c r="A4" s="86" t="s">
        <v>51</v>
      </c>
      <c r="B4" s="101">
        <v>17533</v>
      </c>
      <c r="AJ4" s="3">
        <v>1.5642763799999999</v>
      </c>
      <c r="AU4" s="86"/>
      <c r="AV4" s="86"/>
      <c r="AW4" s="86"/>
      <c r="AX4" s="86"/>
      <c r="AY4" s="86"/>
      <c r="AZ4" s="86"/>
      <c r="BA4" s="86"/>
      <c r="BB4" s="83"/>
      <c r="BC4" s="83"/>
      <c r="BD4" s="83"/>
      <c r="BE4" s="83"/>
      <c r="BF4" s="83"/>
      <c r="BG4" s="83"/>
    </row>
    <row r="5" spans="1:59" x14ac:dyDescent="0.2">
      <c r="A5" s="86" t="s">
        <v>52</v>
      </c>
      <c r="B5" s="101">
        <v>17624</v>
      </c>
      <c r="AJ5" s="3">
        <v>1.5042003239999999</v>
      </c>
      <c r="AU5" s="86"/>
      <c r="AV5" s="86"/>
      <c r="AW5" s="86"/>
      <c r="AX5" s="86"/>
      <c r="AY5" s="86"/>
      <c r="AZ5" s="86"/>
      <c r="BA5" s="86"/>
      <c r="BB5" s="83"/>
      <c r="BC5" s="83"/>
      <c r="BD5" s="83"/>
      <c r="BE5" s="83"/>
      <c r="BF5" s="83"/>
      <c r="BG5" s="83"/>
    </row>
    <row r="6" spans="1:59" x14ac:dyDescent="0.2">
      <c r="A6" s="86" t="s">
        <v>53</v>
      </c>
      <c r="B6" s="101">
        <v>17715</v>
      </c>
      <c r="AJ6" s="3">
        <v>1.650680594</v>
      </c>
      <c r="AU6" s="86"/>
      <c r="AV6" s="86"/>
      <c r="AW6" s="86"/>
      <c r="AX6" s="86"/>
      <c r="AY6" s="86"/>
      <c r="AZ6" s="86"/>
      <c r="BA6" s="86"/>
      <c r="BB6" s="83"/>
      <c r="BC6" s="83"/>
      <c r="BD6" s="83"/>
      <c r="BE6" s="83"/>
      <c r="BF6" s="83"/>
      <c r="BG6" s="83"/>
    </row>
    <row r="7" spans="1:59" x14ac:dyDescent="0.2">
      <c r="A7" s="86" t="s">
        <v>54</v>
      </c>
      <c r="B7" s="101">
        <v>17807</v>
      </c>
      <c r="AJ7" s="3">
        <v>0.57293019099999998</v>
      </c>
      <c r="AU7" s="86"/>
      <c r="AV7" s="86"/>
      <c r="AW7" s="86"/>
      <c r="AX7" s="86"/>
      <c r="AY7" s="86"/>
      <c r="AZ7" s="86"/>
      <c r="BA7" s="86"/>
      <c r="BB7" s="83"/>
      <c r="BC7" s="83"/>
      <c r="BD7" s="83"/>
      <c r="BE7" s="83"/>
      <c r="BF7" s="83"/>
      <c r="BG7" s="83"/>
    </row>
    <row r="8" spans="1:59" x14ac:dyDescent="0.2">
      <c r="A8" s="86" t="s">
        <v>55</v>
      </c>
      <c r="B8" s="101">
        <v>17899</v>
      </c>
      <c r="AJ8" s="3">
        <v>0.11171215800000001</v>
      </c>
      <c r="AU8" s="86"/>
      <c r="AV8" s="86"/>
      <c r="AW8" s="86"/>
      <c r="AX8" s="86"/>
      <c r="AY8" s="86"/>
      <c r="AZ8" s="86"/>
      <c r="BA8" s="86"/>
      <c r="BB8" s="83"/>
      <c r="BC8" s="83"/>
      <c r="BD8" s="83"/>
      <c r="BE8" s="83"/>
      <c r="BF8" s="83"/>
      <c r="BG8" s="83"/>
    </row>
    <row r="9" spans="1:59" x14ac:dyDescent="0.2">
      <c r="A9" s="86" t="s">
        <v>56</v>
      </c>
      <c r="B9" s="101">
        <v>17989</v>
      </c>
      <c r="AJ9" s="3">
        <v>-1.37794649</v>
      </c>
      <c r="AU9" s="86"/>
      <c r="AV9" s="86"/>
      <c r="AW9" s="86"/>
      <c r="AX9" s="86"/>
      <c r="AY9" s="86"/>
      <c r="AZ9" s="86"/>
      <c r="BA9" s="86"/>
      <c r="BB9" s="83"/>
      <c r="BC9" s="83"/>
      <c r="BD9" s="83"/>
      <c r="BE9" s="83"/>
      <c r="BF9" s="83"/>
      <c r="BG9" s="83"/>
    </row>
    <row r="10" spans="1:59" x14ac:dyDescent="0.2">
      <c r="A10" s="86" t="s">
        <v>57</v>
      </c>
      <c r="B10" s="101">
        <v>18080</v>
      </c>
      <c r="AJ10" s="3">
        <v>-0.34110093000000002</v>
      </c>
      <c r="AU10" s="86"/>
      <c r="AV10" s="86"/>
      <c r="AW10" s="86"/>
      <c r="AX10" s="86"/>
      <c r="AY10" s="86"/>
      <c r="AZ10" s="86"/>
      <c r="BA10" s="86"/>
      <c r="BB10" s="83"/>
      <c r="BC10" s="83"/>
      <c r="BD10" s="83"/>
      <c r="BE10" s="83"/>
      <c r="BF10" s="83"/>
      <c r="BG10" s="83"/>
    </row>
    <row r="11" spans="1:59" x14ac:dyDescent="0.2">
      <c r="A11" s="86" t="s">
        <v>58</v>
      </c>
      <c r="B11" s="101">
        <v>18172</v>
      </c>
      <c r="AJ11" s="3">
        <v>1.0324247769999999</v>
      </c>
      <c r="AU11" s="86"/>
      <c r="AV11" s="86"/>
      <c r="AW11" s="86"/>
      <c r="AX11" s="86"/>
      <c r="AY11" s="86"/>
      <c r="AZ11" s="86"/>
      <c r="BA11" s="86"/>
      <c r="BB11" s="83"/>
      <c r="BC11" s="83"/>
      <c r="BD11" s="83"/>
      <c r="BE11" s="83"/>
      <c r="BF11" s="83"/>
      <c r="BG11" s="83"/>
    </row>
    <row r="12" spans="1:59" x14ac:dyDescent="0.2">
      <c r="A12" s="86" t="s">
        <v>59</v>
      </c>
      <c r="B12" s="101">
        <v>18264</v>
      </c>
      <c r="AJ12" s="3">
        <v>-0.83926743999999998</v>
      </c>
      <c r="AU12" s="86"/>
      <c r="AV12" s="86"/>
      <c r="AW12" s="86"/>
      <c r="AX12" s="86"/>
      <c r="AY12" s="86"/>
      <c r="AZ12" s="86"/>
      <c r="BA12" s="86"/>
      <c r="BB12" s="83"/>
      <c r="BC12" s="83"/>
      <c r="BD12" s="83"/>
      <c r="BE12" s="83"/>
      <c r="BF12" s="83"/>
      <c r="BG12" s="83"/>
    </row>
    <row r="13" spans="1:59" x14ac:dyDescent="0.2">
      <c r="A13" s="86" t="s">
        <v>60</v>
      </c>
      <c r="B13" s="101">
        <v>18354</v>
      </c>
      <c r="AJ13" s="3">
        <v>3.930097999</v>
      </c>
      <c r="AU13" s="86"/>
      <c r="AV13" s="86"/>
      <c r="AW13" s="86"/>
      <c r="AX13" s="86"/>
      <c r="AY13" s="86"/>
      <c r="AZ13" s="86"/>
      <c r="BA13" s="86"/>
      <c r="BB13" s="83"/>
      <c r="BC13" s="83"/>
      <c r="BD13" s="83"/>
      <c r="BE13" s="83"/>
      <c r="BF13" s="83"/>
      <c r="BG13" s="83"/>
    </row>
    <row r="14" spans="1:59" x14ac:dyDescent="0.2">
      <c r="A14" s="86" t="s">
        <v>61</v>
      </c>
      <c r="B14" s="101">
        <v>18445</v>
      </c>
      <c r="AJ14" s="3">
        <v>3.0498109879999999</v>
      </c>
      <c r="AU14" s="86"/>
      <c r="AV14" s="86"/>
      <c r="AW14" s="86"/>
      <c r="AX14" s="86"/>
      <c r="AY14" s="86"/>
      <c r="AZ14" s="86"/>
      <c r="BA14" s="86"/>
      <c r="BB14" s="83"/>
      <c r="BC14" s="83"/>
      <c r="BD14" s="83"/>
      <c r="BE14" s="83"/>
      <c r="BF14" s="83"/>
      <c r="BG14" s="83"/>
    </row>
    <row r="15" spans="1:59" x14ac:dyDescent="0.2">
      <c r="A15" s="86" t="s">
        <v>62</v>
      </c>
      <c r="B15" s="101">
        <v>18537</v>
      </c>
      <c r="AJ15" s="3">
        <v>3.8644146030000002</v>
      </c>
      <c r="AU15" s="86"/>
      <c r="AV15" s="86"/>
      <c r="AW15" s="86"/>
      <c r="AX15" s="86"/>
      <c r="AY15" s="86"/>
      <c r="AZ15" s="86"/>
      <c r="BA15" s="86"/>
      <c r="BB15" s="83"/>
      <c r="BC15" s="83"/>
      <c r="BD15" s="83"/>
      <c r="BE15" s="83"/>
      <c r="BF15" s="83"/>
      <c r="BG15" s="83"/>
    </row>
    <row r="16" spans="1:59" x14ac:dyDescent="0.2">
      <c r="A16" s="86" t="s">
        <v>63</v>
      </c>
      <c r="B16" s="101">
        <v>18629</v>
      </c>
      <c r="AJ16" s="3">
        <v>1.9147801470000001</v>
      </c>
      <c r="AU16" s="86"/>
      <c r="AV16" s="86"/>
      <c r="AW16" s="86"/>
      <c r="AX16" s="86"/>
      <c r="AY16" s="86"/>
      <c r="AZ16" s="86"/>
      <c r="BA16" s="86"/>
      <c r="BB16" s="83"/>
      <c r="BC16" s="83"/>
      <c r="BD16" s="83"/>
      <c r="BE16" s="83"/>
      <c r="BF16" s="83"/>
      <c r="BG16" s="83"/>
    </row>
    <row r="17" spans="1:59" x14ac:dyDescent="0.2">
      <c r="A17" s="86" t="s">
        <v>64</v>
      </c>
      <c r="B17" s="101">
        <v>18719</v>
      </c>
      <c r="AJ17" s="3">
        <v>1.3581587639999999</v>
      </c>
      <c r="AU17" s="86"/>
      <c r="AV17" s="86"/>
      <c r="AW17" s="86"/>
      <c r="AX17" s="86"/>
      <c r="AY17" s="86"/>
      <c r="AZ17" s="86"/>
      <c r="BA17" s="86"/>
      <c r="BB17" s="83"/>
      <c r="BC17" s="83"/>
      <c r="BD17" s="83"/>
      <c r="BE17" s="83"/>
      <c r="BF17" s="83"/>
      <c r="BG17" s="83"/>
    </row>
    <row r="18" spans="1:59" x14ac:dyDescent="0.2">
      <c r="A18" s="86" t="s">
        <v>65</v>
      </c>
      <c r="B18" s="101">
        <v>18810</v>
      </c>
      <c r="AJ18" s="3">
        <v>1.7327104369999999</v>
      </c>
      <c r="AU18" s="86"/>
      <c r="AV18" s="86"/>
      <c r="AW18" s="86"/>
      <c r="AX18" s="86"/>
      <c r="AY18" s="86"/>
      <c r="AZ18" s="86"/>
      <c r="BA18" s="86"/>
      <c r="BB18" s="83"/>
      <c r="BC18" s="83"/>
      <c r="BD18" s="83"/>
      <c r="BE18" s="83"/>
      <c r="BF18" s="83"/>
      <c r="BG18" s="83"/>
    </row>
    <row r="19" spans="1:59" x14ac:dyDescent="0.2">
      <c r="A19" s="86" t="s">
        <v>66</v>
      </c>
      <c r="B19" s="101">
        <v>18902</v>
      </c>
      <c r="AJ19" s="3">
        <v>2.060998798</v>
      </c>
      <c r="AU19" s="86"/>
      <c r="AV19" s="86"/>
      <c r="AW19" s="86"/>
      <c r="AX19" s="86"/>
      <c r="AY19" s="86"/>
      <c r="AZ19" s="86"/>
      <c r="BA19" s="86"/>
      <c r="BB19" s="83"/>
      <c r="BC19" s="83"/>
      <c r="BD19" s="83"/>
      <c r="BE19" s="83"/>
      <c r="BF19" s="83"/>
      <c r="BG19" s="83"/>
    </row>
    <row r="20" spans="1:59" x14ac:dyDescent="0.2">
      <c r="A20" s="86" t="s">
        <v>67</v>
      </c>
      <c r="B20" s="101">
        <v>18994</v>
      </c>
      <c r="AJ20" s="3">
        <v>0.220249574</v>
      </c>
      <c r="AU20" s="86"/>
      <c r="AV20" s="86"/>
      <c r="AW20" s="86"/>
      <c r="AX20" s="86"/>
      <c r="AY20" s="86"/>
      <c r="AZ20" s="86"/>
      <c r="BA20" s="86"/>
      <c r="BB20" s="83"/>
      <c r="BC20" s="83"/>
      <c r="BD20" s="83"/>
      <c r="BE20" s="83"/>
      <c r="BF20" s="83"/>
      <c r="BG20" s="83"/>
    </row>
    <row r="21" spans="1:59" x14ac:dyDescent="0.2">
      <c r="A21" s="86" t="s">
        <v>68</v>
      </c>
      <c r="B21" s="101">
        <v>19085</v>
      </c>
      <c r="AJ21" s="3">
        <v>1.068534409</v>
      </c>
      <c r="AU21" s="86"/>
      <c r="AV21" s="86"/>
      <c r="AW21" s="86"/>
      <c r="AX21" s="86"/>
      <c r="AY21" s="86"/>
      <c r="AZ21" s="86"/>
      <c r="BA21" s="86"/>
      <c r="BB21" s="83"/>
      <c r="BC21" s="83"/>
      <c r="BD21" s="83"/>
      <c r="BE21" s="83"/>
      <c r="BF21" s="83"/>
      <c r="BG21" s="83"/>
    </row>
    <row r="22" spans="1:59" x14ac:dyDescent="0.2">
      <c r="A22" s="86" t="s">
        <v>69</v>
      </c>
      <c r="B22" s="101">
        <v>19176</v>
      </c>
      <c r="AJ22" s="3">
        <v>0.215396694</v>
      </c>
      <c r="AU22" s="86"/>
      <c r="AV22" s="86"/>
      <c r="AW22" s="86"/>
      <c r="AX22" s="86"/>
      <c r="AY22" s="86"/>
      <c r="AZ22" s="86"/>
      <c r="BA22" s="86"/>
      <c r="BB22" s="83"/>
      <c r="BC22" s="83"/>
      <c r="BD22" s="83"/>
      <c r="BE22" s="83"/>
      <c r="BF22" s="83"/>
      <c r="BG22" s="83"/>
    </row>
    <row r="23" spans="1:59" x14ac:dyDescent="0.2">
      <c r="A23" s="86" t="s">
        <v>70</v>
      </c>
      <c r="B23" s="101">
        <v>19268</v>
      </c>
      <c r="AJ23" s="3">
        <v>0.72184921499999999</v>
      </c>
      <c r="AU23" s="86"/>
      <c r="AV23" s="86"/>
      <c r="AW23" s="86"/>
      <c r="AX23" s="86"/>
      <c r="AY23" s="86"/>
      <c r="AZ23" s="86"/>
      <c r="BA23" s="86"/>
      <c r="BB23" s="83"/>
      <c r="BC23" s="83"/>
      <c r="BD23" s="83"/>
      <c r="BE23" s="83"/>
      <c r="BF23" s="83"/>
      <c r="BG23" s="83"/>
    </row>
    <row r="24" spans="1:59" x14ac:dyDescent="0.2">
      <c r="A24" s="86" t="s">
        <v>71</v>
      </c>
      <c r="B24" s="101">
        <v>19360</v>
      </c>
      <c r="AJ24" s="3">
        <v>3.2842157109999999</v>
      </c>
      <c r="AU24" s="86"/>
      <c r="AV24" s="86"/>
      <c r="AW24" s="86"/>
      <c r="AX24" s="86"/>
      <c r="AY24" s="86"/>
      <c r="AZ24" s="86"/>
      <c r="BA24" s="86"/>
      <c r="BB24" s="83"/>
      <c r="BC24" s="83"/>
      <c r="BD24" s="83"/>
      <c r="BE24" s="83"/>
      <c r="BF24" s="83"/>
      <c r="BG24" s="83"/>
    </row>
    <row r="25" spans="1:59" x14ac:dyDescent="0.2">
      <c r="A25" s="86" t="s">
        <v>72</v>
      </c>
      <c r="B25" s="101">
        <v>19450</v>
      </c>
      <c r="AJ25" s="3">
        <v>1.858867482</v>
      </c>
      <c r="AU25" s="86"/>
      <c r="AV25" s="86"/>
      <c r="AW25" s="86"/>
      <c r="AX25" s="86"/>
      <c r="AY25" s="86"/>
      <c r="AZ25" s="86"/>
      <c r="BA25" s="86"/>
      <c r="BB25" s="83"/>
      <c r="BC25" s="83"/>
      <c r="BD25" s="83"/>
      <c r="BE25" s="83"/>
      <c r="BF25" s="83"/>
      <c r="BG25" s="83"/>
    </row>
    <row r="26" spans="1:59" x14ac:dyDescent="0.2">
      <c r="A26" s="86" t="s">
        <v>73</v>
      </c>
      <c r="B26" s="101">
        <v>19541</v>
      </c>
      <c r="AJ26" s="3">
        <v>0.77293802</v>
      </c>
      <c r="AU26" s="86"/>
      <c r="AV26" s="86"/>
      <c r="AW26" s="86"/>
      <c r="AX26" s="86"/>
      <c r="AY26" s="86"/>
      <c r="AZ26" s="86"/>
      <c r="BA26" s="86"/>
      <c r="BB26" s="83"/>
      <c r="BC26" s="83"/>
      <c r="BD26" s="83"/>
      <c r="BE26" s="83"/>
      <c r="BF26" s="83"/>
      <c r="BG26" s="83"/>
    </row>
    <row r="27" spans="1:59" x14ac:dyDescent="0.2">
      <c r="A27" s="86" t="s">
        <v>74</v>
      </c>
      <c r="B27" s="101">
        <v>19633</v>
      </c>
      <c r="AJ27" s="3">
        <v>-0.56267703099999999</v>
      </c>
      <c r="AU27" s="86"/>
      <c r="AV27" s="86"/>
      <c r="AW27" s="86"/>
      <c r="AX27" s="86"/>
      <c r="AY27" s="86"/>
      <c r="AZ27" s="86"/>
      <c r="BA27" s="86"/>
      <c r="BB27" s="83"/>
      <c r="BC27" s="83"/>
      <c r="BD27" s="83"/>
      <c r="BE27" s="83"/>
      <c r="BF27" s="83"/>
      <c r="BG27" s="83"/>
    </row>
    <row r="28" spans="1:59" x14ac:dyDescent="0.2">
      <c r="A28" s="86" t="s">
        <v>75</v>
      </c>
      <c r="B28" s="101">
        <v>19725</v>
      </c>
      <c r="AJ28" s="3">
        <v>-1.51394063</v>
      </c>
      <c r="AU28" s="86"/>
      <c r="AV28" s="86"/>
      <c r="AW28" s="86"/>
      <c r="AX28" s="86"/>
      <c r="AY28" s="86"/>
      <c r="AZ28" s="86"/>
      <c r="BA28" s="86"/>
      <c r="BB28" s="83"/>
      <c r="BC28" s="83"/>
      <c r="BD28" s="83"/>
      <c r="BE28" s="83"/>
      <c r="BF28" s="83"/>
      <c r="BG28" s="83"/>
    </row>
    <row r="29" spans="1:59" x14ac:dyDescent="0.2">
      <c r="A29" s="86" t="s">
        <v>76</v>
      </c>
      <c r="B29" s="101">
        <v>19815</v>
      </c>
      <c r="AJ29" s="3">
        <v>-0.47802388800000001</v>
      </c>
      <c r="AU29" s="86"/>
      <c r="AV29" s="86"/>
      <c r="AW29" s="86"/>
      <c r="AX29" s="86"/>
      <c r="AY29" s="86"/>
      <c r="AZ29" s="86"/>
      <c r="BA29" s="86"/>
      <c r="BB29" s="83"/>
      <c r="BC29" s="83"/>
      <c r="BD29" s="83"/>
      <c r="BE29" s="83"/>
      <c r="BF29" s="83"/>
      <c r="BG29" s="83"/>
    </row>
    <row r="30" spans="1:59" x14ac:dyDescent="0.2">
      <c r="A30" s="86" t="s">
        <v>77</v>
      </c>
      <c r="B30" s="101">
        <v>19906</v>
      </c>
      <c r="AJ30" s="3">
        <v>0.108992196</v>
      </c>
      <c r="AU30" s="86"/>
      <c r="AV30" s="86"/>
      <c r="AW30" s="86"/>
      <c r="AX30" s="86"/>
      <c r="AY30" s="86"/>
      <c r="AZ30" s="86"/>
      <c r="BA30" s="86"/>
      <c r="BB30" s="83"/>
      <c r="BC30" s="83"/>
      <c r="BD30" s="83"/>
      <c r="BE30" s="83"/>
      <c r="BF30" s="83"/>
      <c r="BG30" s="83"/>
    </row>
    <row r="31" spans="1:59" x14ac:dyDescent="0.2">
      <c r="A31" s="86" t="s">
        <v>78</v>
      </c>
      <c r="B31" s="101">
        <v>19998</v>
      </c>
      <c r="AJ31" s="3">
        <v>1.129346277</v>
      </c>
      <c r="AU31" s="86"/>
      <c r="AV31" s="86"/>
      <c r="AW31" s="86"/>
      <c r="AX31" s="86"/>
      <c r="AY31" s="86"/>
      <c r="AZ31" s="86"/>
      <c r="BA31" s="86"/>
      <c r="BB31" s="83"/>
      <c r="BC31" s="83"/>
      <c r="BD31" s="83"/>
      <c r="BE31" s="83"/>
      <c r="BF31" s="83"/>
      <c r="BG31" s="83"/>
    </row>
    <row r="32" spans="1:59" x14ac:dyDescent="0.2">
      <c r="A32" s="86" t="s">
        <v>79</v>
      </c>
      <c r="B32" s="101">
        <v>20090</v>
      </c>
      <c r="AJ32" s="3">
        <v>1.9566880769999999</v>
      </c>
      <c r="AU32" s="86"/>
      <c r="AV32" s="86"/>
      <c r="AW32" s="86"/>
      <c r="AX32" s="86"/>
      <c r="AY32" s="86"/>
      <c r="AZ32" s="86"/>
      <c r="BA32" s="86"/>
      <c r="BB32" s="83"/>
      <c r="BC32" s="83"/>
      <c r="BD32" s="83"/>
      <c r="BE32" s="83"/>
      <c r="BF32" s="83"/>
      <c r="BG32" s="83"/>
    </row>
    <row r="33" spans="1:59" x14ac:dyDescent="0.2">
      <c r="A33" s="86" t="s">
        <v>80</v>
      </c>
      <c r="B33" s="101">
        <v>20180</v>
      </c>
      <c r="AJ33" s="3">
        <v>2.8562346550000002</v>
      </c>
      <c r="AU33" s="86"/>
      <c r="AV33" s="86"/>
      <c r="AW33" s="86"/>
      <c r="AX33" s="86"/>
      <c r="AY33" s="86"/>
      <c r="AZ33" s="86"/>
      <c r="BA33" s="86"/>
      <c r="BB33" s="83"/>
      <c r="BC33" s="83"/>
      <c r="BD33" s="83"/>
      <c r="BE33" s="83"/>
      <c r="BF33" s="83"/>
      <c r="BG33" s="83"/>
    </row>
    <row r="34" spans="1:59" x14ac:dyDescent="0.2">
      <c r="A34" s="86" t="s">
        <v>81</v>
      </c>
      <c r="B34" s="101">
        <v>20271</v>
      </c>
      <c r="O34" s="3">
        <v>9.0104006E-2</v>
      </c>
      <c r="AJ34" s="3">
        <v>1.627204957</v>
      </c>
      <c r="AU34" s="86"/>
      <c r="AV34" s="86"/>
      <c r="AW34" s="86"/>
      <c r="AX34" s="86"/>
      <c r="AY34" s="86"/>
      <c r="AZ34" s="86"/>
      <c r="BA34" s="86"/>
      <c r="BB34" s="83"/>
      <c r="BC34" s="83"/>
      <c r="BD34" s="83"/>
      <c r="BE34" s="83"/>
      <c r="BF34" s="83"/>
      <c r="BG34" s="83"/>
    </row>
    <row r="35" spans="1:59" x14ac:dyDescent="0.2">
      <c r="A35" s="86" t="s">
        <v>82</v>
      </c>
      <c r="B35" s="101">
        <v>20363</v>
      </c>
      <c r="O35" s="3">
        <v>2.0233716570000002</v>
      </c>
      <c r="AJ35" s="3">
        <v>1.350464288</v>
      </c>
      <c r="AU35" s="86"/>
      <c r="AV35" s="86"/>
      <c r="AW35" s="86"/>
      <c r="AX35" s="86"/>
      <c r="AY35" s="86"/>
      <c r="AZ35" s="86"/>
      <c r="BA35" s="86"/>
      <c r="BB35" s="83"/>
      <c r="BC35" s="83"/>
      <c r="BD35" s="83"/>
      <c r="BE35" s="83"/>
      <c r="BF35" s="83"/>
      <c r="BG35" s="83"/>
    </row>
    <row r="36" spans="1:59" x14ac:dyDescent="0.2">
      <c r="A36" s="86" t="s">
        <v>83</v>
      </c>
      <c r="B36" s="101">
        <v>20455</v>
      </c>
      <c r="O36" s="3">
        <v>-0.54287082900000005</v>
      </c>
      <c r="AJ36" s="3">
        <v>0.600328737</v>
      </c>
      <c r="AU36" s="86"/>
      <c r="AV36" s="86"/>
      <c r="AW36" s="86"/>
      <c r="AX36" s="86"/>
      <c r="AY36" s="86"/>
      <c r="AZ36" s="86"/>
      <c r="BA36" s="86"/>
      <c r="BB36" s="83"/>
      <c r="BC36" s="83"/>
      <c r="BD36" s="83"/>
      <c r="BE36" s="83"/>
      <c r="BF36" s="83"/>
      <c r="BG36" s="83"/>
    </row>
    <row r="37" spans="1:59" x14ac:dyDescent="0.2">
      <c r="A37" s="86" t="s">
        <v>84</v>
      </c>
      <c r="B37" s="101">
        <v>20546</v>
      </c>
      <c r="O37" s="3">
        <v>1.1694028780000001</v>
      </c>
      <c r="AJ37" s="3">
        <v>-0.38838046799999998</v>
      </c>
      <c r="AU37" s="86"/>
      <c r="AV37" s="86"/>
      <c r="AW37" s="86"/>
      <c r="AX37" s="86"/>
      <c r="AY37" s="86"/>
      <c r="AZ37" s="86"/>
      <c r="BA37" s="86"/>
      <c r="BB37" s="83"/>
      <c r="BC37" s="83"/>
      <c r="BD37" s="83"/>
      <c r="BE37" s="83"/>
      <c r="BF37" s="83"/>
      <c r="BG37" s="83"/>
    </row>
    <row r="38" spans="1:59" x14ac:dyDescent="0.2">
      <c r="A38" s="86" t="s">
        <v>85</v>
      </c>
      <c r="B38" s="101">
        <v>20637</v>
      </c>
      <c r="O38" s="3">
        <v>-0.21714619800000001</v>
      </c>
      <c r="AJ38" s="3">
        <v>0.82631942700000005</v>
      </c>
      <c r="AU38" s="86"/>
      <c r="AV38" s="86"/>
      <c r="AW38" s="86"/>
      <c r="AX38" s="86"/>
      <c r="AY38" s="86"/>
      <c r="AZ38" s="86"/>
      <c r="BA38" s="86"/>
      <c r="BB38" s="83"/>
      <c r="BC38" s="83"/>
      <c r="BD38" s="83"/>
      <c r="BE38" s="83"/>
      <c r="BF38" s="83"/>
      <c r="BG38" s="83"/>
    </row>
    <row r="39" spans="1:59" x14ac:dyDescent="0.2">
      <c r="A39" s="86" t="s">
        <v>86</v>
      </c>
      <c r="B39" s="101">
        <v>20729</v>
      </c>
      <c r="O39" s="3">
        <v>-9.8765432E-2</v>
      </c>
      <c r="AJ39" s="3">
        <v>-8.9839592999999995E-2</v>
      </c>
      <c r="AU39" s="86"/>
      <c r="AV39" s="86"/>
      <c r="AW39" s="86"/>
      <c r="AX39" s="86"/>
      <c r="AY39" s="86"/>
      <c r="AZ39" s="86"/>
      <c r="BA39" s="86"/>
      <c r="BB39" s="83"/>
      <c r="BC39" s="83"/>
      <c r="BD39" s="83"/>
      <c r="BE39" s="83"/>
      <c r="BF39" s="83"/>
      <c r="BG39" s="83"/>
    </row>
    <row r="40" spans="1:59" x14ac:dyDescent="0.2">
      <c r="A40" s="86" t="s">
        <v>87</v>
      </c>
      <c r="B40" s="101">
        <v>20821</v>
      </c>
      <c r="O40" s="3">
        <v>0.447397304</v>
      </c>
      <c r="AJ40" s="3">
        <v>1.645864038</v>
      </c>
      <c r="AU40" s="86"/>
      <c r="AV40" s="86"/>
      <c r="AW40" s="86"/>
      <c r="AX40" s="86"/>
      <c r="AY40" s="86"/>
      <c r="AZ40" s="86"/>
      <c r="BA40" s="86"/>
      <c r="BB40" s="83"/>
      <c r="BC40" s="83"/>
      <c r="BD40" s="83"/>
      <c r="BE40" s="83"/>
      <c r="BF40" s="83"/>
      <c r="BG40" s="83"/>
    </row>
    <row r="41" spans="1:59" x14ac:dyDescent="0.2">
      <c r="A41" s="86" t="s">
        <v>88</v>
      </c>
      <c r="B41" s="101">
        <v>20911</v>
      </c>
      <c r="O41" s="3">
        <v>2.000984227</v>
      </c>
      <c r="AJ41" s="3">
        <v>0.64029115299999995</v>
      </c>
      <c r="AU41" s="86"/>
      <c r="AV41" s="86"/>
      <c r="AW41" s="86"/>
      <c r="AX41" s="86"/>
      <c r="AY41" s="86"/>
      <c r="AZ41" s="86"/>
      <c r="BA41" s="86"/>
      <c r="BB41" s="83"/>
      <c r="BC41" s="83"/>
      <c r="BD41" s="83"/>
      <c r="BE41" s="83"/>
      <c r="BF41" s="83"/>
      <c r="BG41" s="83"/>
    </row>
    <row r="42" spans="1:59" x14ac:dyDescent="0.2">
      <c r="A42" s="86" t="s">
        <v>89</v>
      </c>
      <c r="B42" s="101">
        <v>21002</v>
      </c>
      <c r="O42" s="3">
        <v>1.0630469E-2</v>
      </c>
      <c r="AJ42" s="3">
        <v>-0.21908592399999999</v>
      </c>
      <c r="AU42" s="86"/>
      <c r="AV42" s="86"/>
      <c r="AW42" s="86"/>
      <c r="AX42" s="86"/>
      <c r="AY42" s="86"/>
      <c r="AZ42" s="86"/>
      <c r="BA42" s="86"/>
      <c r="BB42" s="83"/>
      <c r="BC42" s="83"/>
      <c r="BD42" s="83"/>
      <c r="BE42" s="83"/>
      <c r="BF42" s="83"/>
      <c r="BG42" s="83"/>
    </row>
    <row r="43" spans="1:59" x14ac:dyDescent="0.2">
      <c r="A43" s="86" t="s">
        <v>90</v>
      </c>
      <c r="B43" s="101">
        <v>21094</v>
      </c>
      <c r="O43" s="3">
        <v>-0.61323107399999999</v>
      </c>
      <c r="AJ43" s="3">
        <v>0.98001840200000001</v>
      </c>
      <c r="AU43" s="86"/>
      <c r="AV43" s="86"/>
      <c r="AW43" s="86"/>
      <c r="AX43" s="86"/>
      <c r="AY43" s="86"/>
      <c r="AZ43" s="86"/>
      <c r="BA43" s="86"/>
      <c r="BB43" s="83"/>
      <c r="BC43" s="83"/>
      <c r="BD43" s="83"/>
      <c r="BE43" s="83"/>
      <c r="BF43" s="83"/>
      <c r="BG43" s="83"/>
    </row>
    <row r="44" spans="1:59" x14ac:dyDescent="0.2">
      <c r="A44" s="86" t="s">
        <v>91</v>
      </c>
      <c r="B44" s="101">
        <v>21186</v>
      </c>
      <c r="O44" s="3">
        <v>0.181813694</v>
      </c>
      <c r="AJ44" s="3">
        <v>-1.034279655</v>
      </c>
      <c r="AU44" s="86"/>
      <c r="AV44" s="86"/>
      <c r="AW44" s="86"/>
      <c r="AX44" s="86"/>
      <c r="AY44" s="86"/>
      <c r="AZ44" s="86"/>
      <c r="BA44" s="86"/>
      <c r="BB44" s="83"/>
      <c r="BC44" s="83"/>
      <c r="BD44" s="83"/>
      <c r="BE44" s="83"/>
      <c r="BF44" s="83"/>
      <c r="BG44" s="83"/>
    </row>
    <row r="45" spans="1:59" x14ac:dyDescent="0.2">
      <c r="A45" s="86" t="s">
        <v>92</v>
      </c>
      <c r="B45" s="101">
        <v>21276</v>
      </c>
      <c r="O45" s="3">
        <v>2.1654868860000001</v>
      </c>
      <c r="AJ45" s="3">
        <v>-2.5954400450000001</v>
      </c>
      <c r="AU45" s="86"/>
      <c r="AV45" s="86"/>
      <c r="AW45" s="86"/>
      <c r="AX45" s="86"/>
      <c r="AY45" s="86"/>
      <c r="AZ45" s="86"/>
      <c r="BA45" s="86"/>
      <c r="BB45" s="83"/>
      <c r="BC45" s="83"/>
      <c r="BD45" s="83"/>
      <c r="BE45" s="83"/>
      <c r="BF45" s="83"/>
      <c r="BG45" s="83"/>
    </row>
    <row r="46" spans="1:59" x14ac:dyDescent="0.2">
      <c r="A46" s="86" t="s">
        <v>93</v>
      </c>
      <c r="B46" s="101">
        <v>21367</v>
      </c>
      <c r="O46" s="3">
        <v>-2.3237495080000001</v>
      </c>
      <c r="AJ46" s="3">
        <v>0.65722672599999998</v>
      </c>
      <c r="AU46" s="86"/>
      <c r="AV46" s="86"/>
      <c r="AW46" s="86"/>
      <c r="AX46" s="86"/>
      <c r="AY46" s="86"/>
      <c r="AZ46" s="86"/>
      <c r="BA46" s="86"/>
      <c r="BB46" s="83"/>
      <c r="BC46" s="83"/>
      <c r="BD46" s="83"/>
      <c r="BE46" s="83"/>
      <c r="BF46" s="83"/>
      <c r="BG46" s="83"/>
    </row>
    <row r="47" spans="1:59" x14ac:dyDescent="0.2">
      <c r="A47" s="86" t="s">
        <v>94</v>
      </c>
      <c r="B47" s="101">
        <v>21459</v>
      </c>
      <c r="O47" s="3">
        <v>2.2029295590000002</v>
      </c>
      <c r="AJ47" s="3">
        <v>2.3132170410000001</v>
      </c>
      <c r="AU47" s="86"/>
      <c r="AV47" s="86"/>
      <c r="AW47" s="86"/>
      <c r="AX47" s="86"/>
      <c r="AY47" s="86"/>
      <c r="AZ47" s="86"/>
      <c r="BA47" s="86"/>
      <c r="BB47" s="83"/>
      <c r="BC47" s="83"/>
      <c r="BD47" s="83"/>
      <c r="BE47" s="83"/>
      <c r="BF47" s="83"/>
      <c r="BG47" s="83"/>
    </row>
    <row r="48" spans="1:59" x14ac:dyDescent="0.2">
      <c r="A48" s="86" t="s">
        <v>95</v>
      </c>
      <c r="B48" s="101">
        <v>21551</v>
      </c>
      <c r="O48" s="3">
        <v>0.11594483</v>
      </c>
      <c r="AJ48" s="3">
        <v>2.3381095599999999</v>
      </c>
      <c r="AU48" s="86"/>
      <c r="AV48" s="86"/>
      <c r="AW48" s="86"/>
      <c r="AX48" s="86"/>
      <c r="AY48" s="86"/>
      <c r="AZ48" s="86"/>
      <c r="BA48" s="86"/>
      <c r="BB48" s="83"/>
      <c r="BC48" s="83"/>
      <c r="BD48" s="83"/>
      <c r="BE48" s="83"/>
      <c r="BF48" s="83"/>
      <c r="BG48" s="83"/>
    </row>
    <row r="49" spans="1:59" x14ac:dyDescent="0.2">
      <c r="A49" s="86" t="s">
        <v>96</v>
      </c>
      <c r="B49" s="101">
        <v>21641</v>
      </c>
      <c r="O49" s="3">
        <v>0.64500044199999995</v>
      </c>
      <c r="AJ49" s="3">
        <v>1.9195528040000001</v>
      </c>
      <c r="AU49" s="86"/>
      <c r="AV49" s="86"/>
      <c r="AW49" s="86"/>
      <c r="AX49" s="86"/>
      <c r="AY49" s="86"/>
      <c r="AZ49" s="86"/>
      <c r="BA49" s="86"/>
      <c r="BB49" s="83"/>
      <c r="BC49" s="83"/>
      <c r="BD49" s="83"/>
      <c r="BE49" s="83"/>
      <c r="BF49" s="83"/>
      <c r="BG49" s="83"/>
    </row>
    <row r="50" spans="1:59" x14ac:dyDescent="0.2">
      <c r="A50" s="86" t="s">
        <v>97</v>
      </c>
      <c r="B50" s="101">
        <v>21732</v>
      </c>
      <c r="O50" s="3">
        <v>1.65810313</v>
      </c>
      <c r="AJ50" s="3">
        <v>2.2551695309999999</v>
      </c>
      <c r="AU50" s="86"/>
      <c r="AV50" s="86"/>
      <c r="AW50" s="86"/>
      <c r="AX50" s="86"/>
      <c r="AY50" s="86"/>
      <c r="AZ50" s="86"/>
      <c r="BA50" s="86"/>
      <c r="BB50" s="83"/>
      <c r="BC50" s="83"/>
      <c r="BD50" s="83"/>
      <c r="BE50" s="83"/>
      <c r="BF50" s="83"/>
      <c r="BG50" s="83"/>
    </row>
    <row r="51" spans="1:59" x14ac:dyDescent="0.2">
      <c r="A51" s="86" t="s">
        <v>98</v>
      </c>
      <c r="B51" s="101">
        <v>21824</v>
      </c>
      <c r="O51" s="3">
        <v>2.1467087989999998</v>
      </c>
      <c r="AJ51" s="3">
        <v>7.0560340999999999E-2</v>
      </c>
      <c r="AU51" s="86"/>
      <c r="AV51" s="86"/>
      <c r="AW51" s="86"/>
      <c r="AX51" s="86"/>
      <c r="AY51" s="86"/>
      <c r="AZ51" s="86"/>
      <c r="BA51" s="86"/>
      <c r="BB51" s="83"/>
      <c r="BC51" s="83"/>
      <c r="BD51" s="83"/>
      <c r="BE51" s="83"/>
      <c r="BF51" s="83"/>
      <c r="BG51" s="83"/>
    </row>
    <row r="52" spans="1:59" x14ac:dyDescent="0.2">
      <c r="A52" s="86" t="s">
        <v>99</v>
      </c>
      <c r="B52" s="101">
        <v>21916</v>
      </c>
      <c r="O52" s="3">
        <v>2.561004702</v>
      </c>
      <c r="AJ52" s="3">
        <v>0.284889055</v>
      </c>
      <c r="AU52" s="86"/>
      <c r="AV52" s="86"/>
      <c r="AW52" s="86"/>
      <c r="AX52" s="86"/>
      <c r="AY52" s="86"/>
      <c r="AZ52" s="86"/>
      <c r="BA52" s="86"/>
      <c r="BB52" s="83"/>
      <c r="BC52" s="83"/>
      <c r="BD52" s="83"/>
      <c r="BE52" s="83"/>
      <c r="BF52" s="83"/>
      <c r="BG52" s="83"/>
    </row>
    <row r="53" spans="1:59" x14ac:dyDescent="0.2">
      <c r="A53" s="86" t="s">
        <v>100</v>
      </c>
      <c r="B53" s="101">
        <v>22007</v>
      </c>
      <c r="O53" s="3">
        <v>2.4925531040000002</v>
      </c>
      <c r="AJ53" s="3">
        <v>2.2477142919999999</v>
      </c>
      <c r="AU53" s="86"/>
      <c r="AV53" s="86"/>
      <c r="AW53" s="86"/>
      <c r="AX53" s="86"/>
      <c r="AY53" s="86"/>
      <c r="AZ53" s="86"/>
      <c r="BA53" s="86"/>
      <c r="BB53" s="83"/>
      <c r="BC53" s="83"/>
      <c r="BD53" s="83"/>
      <c r="BE53" s="83"/>
      <c r="BF53" s="83"/>
      <c r="BG53" s="83"/>
    </row>
    <row r="54" spans="1:59" x14ac:dyDescent="0.2">
      <c r="A54" s="86" t="s">
        <v>101</v>
      </c>
      <c r="B54" s="101">
        <v>22098</v>
      </c>
      <c r="C54" s="3">
        <v>2.761951759</v>
      </c>
      <c r="E54" s="3">
        <v>1.231744618</v>
      </c>
      <c r="I54" s="3">
        <v>1.7796541530000001</v>
      </c>
      <c r="J54" s="3">
        <v>0.622802525</v>
      </c>
      <c r="K54" s="3">
        <v>2.0558652409999998</v>
      </c>
      <c r="M54" s="3">
        <v>2.2213819770000001</v>
      </c>
      <c r="N54" s="3">
        <v>0.375710027</v>
      </c>
      <c r="O54" s="3">
        <v>-0.76574499100000004</v>
      </c>
      <c r="P54" s="3">
        <v>3.4195593550000001</v>
      </c>
      <c r="R54" s="3">
        <v>1.359769408</v>
      </c>
      <c r="S54" s="3">
        <v>-0.35800593000000003</v>
      </c>
      <c r="U54" s="3">
        <v>1.4676028990000001</v>
      </c>
      <c r="V54" s="3">
        <v>0.18434399000000001</v>
      </c>
      <c r="W54" s="3">
        <v>4.4960054390000002</v>
      </c>
      <c r="X54" s="3">
        <v>1.082788292</v>
      </c>
      <c r="Z54" s="3">
        <v>0.99813487099999998</v>
      </c>
      <c r="AA54" s="3">
        <v>2.3347490880000001</v>
      </c>
      <c r="AB54" s="3">
        <v>0.76486017699999997</v>
      </c>
      <c r="AE54" s="3">
        <v>0.64696222800000003</v>
      </c>
      <c r="AH54" s="3">
        <v>1.3552575790000001</v>
      </c>
      <c r="AJ54" s="3">
        <v>-0.53907336100000003</v>
      </c>
      <c r="AN54" s="3">
        <v>2.0277667770000001</v>
      </c>
      <c r="AP54" s="3">
        <v>1.6307329530000001</v>
      </c>
      <c r="AU54" s="86"/>
      <c r="AV54" s="86"/>
      <c r="AW54" s="86"/>
      <c r="AX54" s="86"/>
      <c r="AY54" s="86"/>
      <c r="AZ54" s="86"/>
      <c r="BA54" s="86"/>
      <c r="BB54" s="83"/>
      <c r="BC54" s="83"/>
      <c r="BD54" s="83"/>
      <c r="BE54" s="83"/>
      <c r="BF54" s="83"/>
      <c r="BG54" s="83"/>
    </row>
    <row r="55" spans="1:59" x14ac:dyDescent="0.2">
      <c r="A55" s="86" t="s">
        <v>102</v>
      </c>
      <c r="B55" s="101">
        <v>22190</v>
      </c>
      <c r="C55" s="3">
        <v>0.22555296899999999</v>
      </c>
      <c r="E55" s="3">
        <v>1.2234427560000001</v>
      </c>
      <c r="I55" s="3">
        <v>3.4566864750000001</v>
      </c>
      <c r="J55" s="3">
        <v>1.0204435700000001</v>
      </c>
      <c r="K55" s="3">
        <v>2.797368605</v>
      </c>
      <c r="M55" s="3">
        <v>1.115973755</v>
      </c>
      <c r="N55" s="3">
        <v>0.74856096900000002</v>
      </c>
      <c r="O55" s="3">
        <v>1.513061312</v>
      </c>
      <c r="P55" s="3">
        <v>3.32465944</v>
      </c>
      <c r="R55" s="3">
        <v>1.3488987560000001</v>
      </c>
      <c r="S55" s="3">
        <v>-0.36126635099999999</v>
      </c>
      <c r="U55" s="3">
        <v>1.4686347930000001</v>
      </c>
      <c r="V55" s="3">
        <v>3.4345168300000002</v>
      </c>
      <c r="W55" s="3">
        <v>-1.1115629659999999</v>
      </c>
      <c r="X55" s="3">
        <v>1.077075234</v>
      </c>
      <c r="Z55" s="3">
        <v>0.99370065600000002</v>
      </c>
      <c r="AA55" s="3">
        <v>-1.7105302870000001</v>
      </c>
      <c r="AB55" s="3">
        <v>1.22377303</v>
      </c>
      <c r="AE55" s="3">
        <v>0.927049024</v>
      </c>
      <c r="AH55" s="3">
        <v>1.6261552340000001</v>
      </c>
      <c r="AJ55" s="3">
        <v>0.48942128000000001</v>
      </c>
      <c r="AN55" s="3">
        <v>3.6659318060000001</v>
      </c>
      <c r="AP55" s="3">
        <v>1.8425970220000001</v>
      </c>
      <c r="AU55" s="86"/>
      <c r="AV55" s="86"/>
      <c r="AW55" s="86"/>
      <c r="AX55" s="86"/>
      <c r="AY55" s="86"/>
      <c r="AZ55" s="86"/>
      <c r="BA55" s="86"/>
      <c r="BB55" s="83"/>
      <c r="BC55" s="83"/>
      <c r="BD55" s="83"/>
      <c r="BE55" s="83"/>
      <c r="BF55" s="83"/>
      <c r="BG55" s="83"/>
    </row>
    <row r="56" spans="1:59" x14ac:dyDescent="0.2">
      <c r="A56" s="86" t="s">
        <v>103</v>
      </c>
      <c r="B56" s="101">
        <v>22282</v>
      </c>
      <c r="C56" s="3">
        <v>-0.19745916499999999</v>
      </c>
      <c r="E56" s="3">
        <v>1.2152602219999999</v>
      </c>
      <c r="I56" s="3">
        <v>1.022068212</v>
      </c>
      <c r="J56" s="3">
        <v>1.407604305</v>
      </c>
      <c r="K56" s="3">
        <v>2.0130189020000002</v>
      </c>
      <c r="M56" s="3">
        <v>1.944552909</v>
      </c>
      <c r="N56" s="3">
        <v>1.1852177269999999</v>
      </c>
      <c r="O56" s="3">
        <v>0.59736635599999999</v>
      </c>
      <c r="P56" s="3">
        <v>3.2352654209999998</v>
      </c>
      <c r="R56" s="3">
        <v>1.3382185740000001</v>
      </c>
      <c r="S56" s="3">
        <v>-0.36455750799999997</v>
      </c>
      <c r="U56" s="3">
        <v>7.6755078000000004E-2</v>
      </c>
      <c r="V56" s="3">
        <v>3.8434746409999998</v>
      </c>
      <c r="W56" s="3">
        <v>0.59629883500000003</v>
      </c>
      <c r="X56" s="3">
        <v>1.071420882</v>
      </c>
      <c r="Z56" s="3">
        <v>0.98930003300000002</v>
      </c>
      <c r="AA56" s="3">
        <v>1.1129322850000001</v>
      </c>
      <c r="AB56" s="3">
        <v>1.668120064</v>
      </c>
      <c r="AE56" s="3">
        <v>1.200127462</v>
      </c>
      <c r="AH56" s="3">
        <v>1.871301104</v>
      </c>
      <c r="AJ56" s="3">
        <v>-1.283403329</v>
      </c>
      <c r="AN56" s="3">
        <v>4.3890436999999997E-2</v>
      </c>
      <c r="AP56" s="3">
        <v>0.987063209</v>
      </c>
      <c r="AU56" s="86"/>
      <c r="AV56" s="86"/>
      <c r="AW56" s="86"/>
      <c r="AX56" s="86"/>
      <c r="AY56" s="86"/>
      <c r="AZ56" s="86"/>
      <c r="BA56" s="86"/>
      <c r="BB56" s="83"/>
      <c r="BC56" s="83"/>
      <c r="BD56" s="83"/>
      <c r="BE56" s="83"/>
      <c r="BF56" s="83"/>
      <c r="BG56" s="83"/>
    </row>
    <row r="57" spans="1:59" x14ac:dyDescent="0.2">
      <c r="A57" s="86" t="s">
        <v>104</v>
      </c>
      <c r="B57" s="101">
        <v>22372</v>
      </c>
      <c r="C57" s="3">
        <v>0.30113909100000003</v>
      </c>
      <c r="E57" s="3">
        <v>1.1934472309999999</v>
      </c>
      <c r="I57" s="3">
        <v>1.011727665</v>
      </c>
      <c r="J57" s="3">
        <v>1.77996132</v>
      </c>
      <c r="K57" s="3">
        <v>2.8583107980000002</v>
      </c>
      <c r="M57" s="3">
        <v>3.4837361520000001</v>
      </c>
      <c r="N57" s="3">
        <v>1.608373557</v>
      </c>
      <c r="O57" s="3">
        <v>1.644199789</v>
      </c>
      <c r="P57" s="3">
        <v>3.0977247939999999</v>
      </c>
      <c r="R57" s="3">
        <v>1.3088967899999999</v>
      </c>
      <c r="S57" s="3">
        <v>-0.35224061299999998</v>
      </c>
      <c r="U57" s="3">
        <v>3.5827782880000001</v>
      </c>
      <c r="V57" s="3">
        <v>3.0397622499999999</v>
      </c>
      <c r="W57" s="3">
        <v>3.2009266200000002</v>
      </c>
      <c r="X57" s="3">
        <v>1.04926086</v>
      </c>
      <c r="Z57" s="3">
        <v>0.97339478700000004</v>
      </c>
      <c r="AA57" s="3">
        <v>0.347489188</v>
      </c>
      <c r="AB57" s="3">
        <v>2.0923179040000002</v>
      </c>
      <c r="AE57" s="3">
        <v>1.464149497</v>
      </c>
      <c r="AH57" s="3">
        <v>1.9362949860000001</v>
      </c>
      <c r="AJ57" s="3">
        <v>0.67490454</v>
      </c>
      <c r="AN57" s="3">
        <v>3.4219457769999999</v>
      </c>
      <c r="AP57" s="3">
        <v>0.72531961099999998</v>
      </c>
      <c r="AU57" s="86"/>
      <c r="AV57" s="86"/>
      <c r="AW57" s="86"/>
      <c r="AX57" s="86"/>
      <c r="AY57" s="86"/>
      <c r="AZ57" s="86"/>
      <c r="BA57" s="86"/>
      <c r="BB57" s="83"/>
      <c r="BC57" s="83"/>
      <c r="BD57" s="83"/>
      <c r="BE57" s="83"/>
      <c r="BF57" s="83"/>
      <c r="BG57" s="83"/>
    </row>
    <row r="58" spans="1:59" x14ac:dyDescent="0.2">
      <c r="A58" s="86" t="s">
        <v>105</v>
      </c>
      <c r="B58" s="101">
        <v>22463</v>
      </c>
      <c r="C58" s="3">
        <v>-1.0965103119999999</v>
      </c>
      <c r="E58" s="3">
        <v>1.167163366</v>
      </c>
      <c r="F58" s="3">
        <v>2.5293170840000001</v>
      </c>
      <c r="I58" s="3">
        <v>-0.539334482</v>
      </c>
      <c r="J58" s="3">
        <v>1.8002908719999999</v>
      </c>
      <c r="K58" s="3">
        <v>4.4411301859999996</v>
      </c>
      <c r="M58" s="3">
        <v>0.73714313099999995</v>
      </c>
      <c r="N58" s="3">
        <v>1.600329267</v>
      </c>
      <c r="O58" s="3">
        <v>0.407243678</v>
      </c>
      <c r="P58" s="3">
        <v>2.990153668</v>
      </c>
      <c r="R58" s="3">
        <v>1.282233011</v>
      </c>
      <c r="S58" s="3">
        <v>-0.36119805799999999</v>
      </c>
      <c r="U58" s="3">
        <v>2.1154931079999999</v>
      </c>
      <c r="V58" s="3">
        <v>2.1313818250000001</v>
      </c>
      <c r="W58" s="3">
        <v>4.3164232709999997</v>
      </c>
      <c r="X58" s="3">
        <v>1.031951641</v>
      </c>
      <c r="Z58" s="3">
        <v>0.95434731399999995</v>
      </c>
      <c r="AA58" s="3">
        <v>-1.3930598789999999</v>
      </c>
      <c r="AB58" s="3">
        <v>1.6212750090000001</v>
      </c>
      <c r="AE58" s="3">
        <v>1.5322567469999999</v>
      </c>
      <c r="AH58" s="3">
        <v>0.36351188600000001</v>
      </c>
      <c r="AJ58" s="3">
        <v>1.6974342689999999</v>
      </c>
      <c r="AN58" s="3">
        <v>1.355571082</v>
      </c>
      <c r="AP58" s="3">
        <v>-0.43698658800000001</v>
      </c>
      <c r="AU58" s="86"/>
      <c r="AV58" s="86"/>
      <c r="AW58" s="86"/>
      <c r="AX58" s="86"/>
      <c r="AY58" s="86"/>
      <c r="AZ58" s="86"/>
      <c r="BA58" s="86"/>
      <c r="BB58" s="83"/>
      <c r="BC58" s="83"/>
      <c r="BD58" s="83"/>
      <c r="BE58" s="83"/>
      <c r="BF58" s="83"/>
      <c r="BG58" s="83"/>
    </row>
    <row r="59" spans="1:59" x14ac:dyDescent="0.2">
      <c r="A59" s="86" t="s">
        <v>106</v>
      </c>
      <c r="B59" s="101">
        <v>22555</v>
      </c>
      <c r="C59" s="3">
        <v>-0.71564745600000002</v>
      </c>
      <c r="E59" s="3">
        <v>1.275744177</v>
      </c>
      <c r="F59" s="3">
        <v>2.409293109</v>
      </c>
      <c r="I59" s="3">
        <v>2.0525131110000001</v>
      </c>
      <c r="J59" s="3">
        <v>1.819055683</v>
      </c>
      <c r="K59" s="3">
        <v>2.042474721</v>
      </c>
      <c r="M59" s="3">
        <v>0.514003459</v>
      </c>
      <c r="N59" s="3">
        <v>1.59221853</v>
      </c>
      <c r="O59" s="3">
        <v>-0.50964431099999996</v>
      </c>
      <c r="P59" s="3">
        <v>1.2603977230000001</v>
      </c>
      <c r="R59" s="3">
        <v>0.96754306700000003</v>
      </c>
      <c r="S59" s="3">
        <v>0.97925361300000002</v>
      </c>
      <c r="U59" s="3">
        <v>2.330642273</v>
      </c>
      <c r="V59" s="3">
        <v>1.9189085889999999</v>
      </c>
      <c r="W59" s="3">
        <v>-1.8252471429999999</v>
      </c>
      <c r="X59" s="3">
        <v>0.61060628900000002</v>
      </c>
      <c r="Z59" s="3">
        <v>1.007541979</v>
      </c>
      <c r="AA59" s="3">
        <v>0.117012238</v>
      </c>
      <c r="AB59" s="3">
        <v>1.174077826</v>
      </c>
      <c r="AE59" s="3">
        <v>1.596982283</v>
      </c>
      <c r="AH59" s="3">
        <v>1.386708171</v>
      </c>
      <c r="AJ59" s="3">
        <v>1.9195869990000001</v>
      </c>
      <c r="AN59" s="3">
        <v>1.242126259</v>
      </c>
      <c r="AP59" s="3">
        <v>2.2336249910000001</v>
      </c>
      <c r="AU59" s="86"/>
      <c r="AV59" s="86"/>
      <c r="AW59" s="86"/>
      <c r="AX59" s="86"/>
      <c r="AY59" s="86"/>
      <c r="AZ59" s="86"/>
      <c r="BA59" s="86"/>
      <c r="BB59" s="83"/>
      <c r="BC59" s="83"/>
      <c r="BD59" s="83"/>
      <c r="BE59" s="83"/>
      <c r="BF59" s="83"/>
      <c r="BG59" s="83"/>
    </row>
    <row r="60" spans="1:59" x14ac:dyDescent="0.2">
      <c r="A60" s="86" t="s">
        <v>107</v>
      </c>
      <c r="B60" s="101">
        <v>22647</v>
      </c>
      <c r="C60" s="3">
        <v>1.1373371539999999</v>
      </c>
      <c r="E60" s="3">
        <v>1.3810738570000001</v>
      </c>
      <c r="F60" s="3">
        <v>1.396819941</v>
      </c>
      <c r="I60" s="3">
        <v>0.45560454900000003</v>
      </c>
      <c r="J60" s="3">
        <v>1.836175694</v>
      </c>
      <c r="K60" s="3">
        <v>2.8217082009999999</v>
      </c>
      <c r="M60" s="3">
        <v>2.2613074989999999</v>
      </c>
      <c r="N60" s="3">
        <v>1.699021949</v>
      </c>
      <c r="O60" s="3">
        <v>-0.173597524</v>
      </c>
      <c r="P60" s="3">
        <v>-0.50374663900000005</v>
      </c>
      <c r="R60" s="3">
        <v>0.63514593100000005</v>
      </c>
      <c r="S60" s="3">
        <v>2.3892128069999998</v>
      </c>
      <c r="U60" s="3">
        <v>1.9131446969999999</v>
      </c>
      <c r="V60" s="3">
        <v>4.5879675019999997</v>
      </c>
      <c r="W60" s="3">
        <v>1.2970436169999999</v>
      </c>
      <c r="X60" s="3">
        <v>0.165050539</v>
      </c>
      <c r="Z60" s="3">
        <v>1.0573290440000001</v>
      </c>
      <c r="AA60" s="3">
        <v>1.6051986570000001</v>
      </c>
      <c r="AB60" s="3">
        <v>0.74397201400000001</v>
      </c>
      <c r="AE60" s="3">
        <v>1.6583867050000001</v>
      </c>
      <c r="AH60" s="3">
        <v>0.50326033299999995</v>
      </c>
      <c r="AJ60" s="3">
        <v>1.9610980629999999</v>
      </c>
      <c r="AN60" s="3">
        <v>1.9580442119999999</v>
      </c>
      <c r="AP60" s="3">
        <v>0.90900022899999999</v>
      </c>
      <c r="AU60" s="86"/>
      <c r="AV60" s="86"/>
      <c r="AW60" s="86"/>
      <c r="AX60" s="86"/>
      <c r="AY60" s="86"/>
      <c r="AZ60" s="86"/>
      <c r="BA60" s="86"/>
      <c r="BB60" s="83"/>
      <c r="BC60" s="83"/>
      <c r="BD60" s="83"/>
      <c r="BE60" s="83"/>
      <c r="BF60" s="83"/>
      <c r="BG60" s="83"/>
    </row>
    <row r="61" spans="1:59" x14ac:dyDescent="0.2">
      <c r="A61" s="86" t="s">
        <v>108</v>
      </c>
      <c r="B61" s="101">
        <v>22737</v>
      </c>
      <c r="C61" s="3">
        <v>2.8069867980000001</v>
      </c>
      <c r="E61" s="3">
        <v>1.3469420990000001</v>
      </c>
      <c r="F61" s="3">
        <v>2.6501761949999998</v>
      </c>
      <c r="I61" s="3">
        <v>1.47335232</v>
      </c>
      <c r="J61" s="3">
        <v>1.8518701870000001</v>
      </c>
      <c r="K61" s="3">
        <v>2.3655943979999998</v>
      </c>
      <c r="M61" s="3">
        <v>1.3468426120000001</v>
      </c>
      <c r="N61" s="3">
        <v>1.8002794660000001</v>
      </c>
      <c r="O61" s="3">
        <v>0.44900257300000002</v>
      </c>
      <c r="P61" s="3">
        <v>-0.50515676799999998</v>
      </c>
      <c r="R61" s="3">
        <v>0.623614891</v>
      </c>
      <c r="S61" s="3">
        <v>2.324874544</v>
      </c>
      <c r="U61" s="3">
        <v>1.479934673</v>
      </c>
      <c r="V61" s="3">
        <v>1.342397804</v>
      </c>
      <c r="W61" s="3">
        <v>1.991930454</v>
      </c>
      <c r="X61" s="3">
        <v>0.16031907200000001</v>
      </c>
      <c r="Z61" s="3">
        <v>1.0387474489999999</v>
      </c>
      <c r="AA61" s="3">
        <v>2.7209447940000002</v>
      </c>
      <c r="AB61" s="3">
        <v>0.325072378</v>
      </c>
      <c r="AE61" s="3">
        <v>1.716390751</v>
      </c>
      <c r="AH61" s="3">
        <v>0.27718980100000001</v>
      </c>
      <c r="AJ61" s="3">
        <v>1.7836488109999999</v>
      </c>
      <c r="AN61" s="3">
        <v>0.57539615700000002</v>
      </c>
      <c r="AP61" s="3">
        <v>2.5865813370000001</v>
      </c>
      <c r="AU61" s="86"/>
      <c r="AV61" s="86"/>
      <c r="AW61" s="86"/>
      <c r="AX61" s="86"/>
      <c r="AY61" s="86"/>
      <c r="AZ61" s="86"/>
      <c r="BA61" s="86"/>
      <c r="BB61" s="83"/>
      <c r="BC61" s="83"/>
      <c r="BD61" s="83"/>
      <c r="BE61" s="83"/>
      <c r="BF61" s="83"/>
      <c r="BG61" s="83"/>
    </row>
    <row r="62" spans="1:59" x14ac:dyDescent="0.2">
      <c r="A62" s="86" t="s">
        <v>109</v>
      </c>
      <c r="B62" s="101">
        <v>22828</v>
      </c>
      <c r="C62" s="3">
        <v>1.916356508</v>
      </c>
      <c r="E62" s="3">
        <v>1.322267863</v>
      </c>
      <c r="F62" s="3">
        <v>0.73585614200000005</v>
      </c>
      <c r="I62" s="3">
        <v>1.0423439720000001</v>
      </c>
      <c r="J62" s="3">
        <v>1.1233471610000001</v>
      </c>
      <c r="K62" s="3">
        <v>2.3261759519999998</v>
      </c>
      <c r="M62" s="3">
        <v>-2.5335643710000002</v>
      </c>
      <c r="N62" s="3">
        <v>1.615682117</v>
      </c>
      <c r="O62" s="3">
        <v>0.92591935599999997</v>
      </c>
      <c r="P62" s="3">
        <v>-0.50102248199999999</v>
      </c>
      <c r="R62" s="3">
        <v>0.61691672399999997</v>
      </c>
      <c r="S62" s="3">
        <v>2.243606588</v>
      </c>
      <c r="U62" s="3">
        <v>1.076640815</v>
      </c>
      <c r="V62" s="3">
        <v>1.398081898</v>
      </c>
      <c r="W62" s="3">
        <v>-1.868167524</v>
      </c>
      <c r="X62" s="3">
        <v>0.16171951100000001</v>
      </c>
      <c r="Z62" s="3">
        <v>1.0186404739999999</v>
      </c>
      <c r="AA62" s="3">
        <v>2.0879742120000002</v>
      </c>
      <c r="AB62" s="3">
        <v>0.49836220199999998</v>
      </c>
      <c r="AC62" s="3">
        <v>1.072655441</v>
      </c>
      <c r="AE62" s="3">
        <v>1.6258781019999999</v>
      </c>
      <c r="AH62" s="3">
        <v>1.761047311</v>
      </c>
      <c r="AJ62" s="3">
        <v>0.90366382300000003</v>
      </c>
      <c r="AN62" s="3">
        <v>1.155195043</v>
      </c>
      <c r="AP62" s="3">
        <v>0.64057107599999996</v>
      </c>
      <c r="AU62" s="86"/>
      <c r="AV62" s="86"/>
      <c r="AW62" s="86"/>
      <c r="AX62" s="86"/>
      <c r="AY62" s="86"/>
      <c r="AZ62" s="86"/>
      <c r="BA62" s="86"/>
      <c r="BB62" s="83"/>
      <c r="BC62" s="83"/>
      <c r="BD62" s="83"/>
      <c r="BE62" s="83"/>
      <c r="BF62" s="83"/>
      <c r="BG62" s="83"/>
    </row>
    <row r="63" spans="1:59" x14ac:dyDescent="0.2">
      <c r="A63" s="86" t="s">
        <v>110</v>
      </c>
      <c r="B63" s="101">
        <v>22920</v>
      </c>
      <c r="C63" s="3">
        <v>0.808441242</v>
      </c>
      <c r="E63" s="3">
        <v>1.1163253390000001</v>
      </c>
      <c r="F63" s="3">
        <v>1.3168748219999999</v>
      </c>
      <c r="I63" s="3">
        <v>2.395209581</v>
      </c>
      <c r="J63" s="3">
        <v>0.42381070900000001</v>
      </c>
      <c r="K63" s="3">
        <v>2.449012722</v>
      </c>
      <c r="M63" s="3">
        <v>1.952450944</v>
      </c>
      <c r="N63" s="3">
        <v>1.4397853279999999</v>
      </c>
      <c r="O63" s="3">
        <v>0.62637965200000001</v>
      </c>
      <c r="P63" s="3">
        <v>1.289493266</v>
      </c>
      <c r="R63" s="3">
        <v>0.96229381700000005</v>
      </c>
      <c r="S63" s="3">
        <v>2.414549729</v>
      </c>
      <c r="U63" s="3">
        <v>0.60037046400000005</v>
      </c>
      <c r="V63" s="3">
        <v>1.2218434069999999</v>
      </c>
      <c r="W63" s="3">
        <v>2.927449609</v>
      </c>
      <c r="X63" s="3">
        <v>0.42316473700000001</v>
      </c>
      <c r="Z63" s="3">
        <v>1.4024938979999999</v>
      </c>
      <c r="AA63" s="3">
        <v>3.147562475</v>
      </c>
      <c r="AB63" s="3">
        <v>0.66929200899999997</v>
      </c>
      <c r="AC63" s="3">
        <v>1.384628397</v>
      </c>
      <c r="AE63" s="3">
        <v>1.5393379</v>
      </c>
      <c r="AH63" s="3">
        <v>2.4472096310000002</v>
      </c>
      <c r="AJ63" s="3">
        <v>1.2285130479999999</v>
      </c>
      <c r="AN63" s="3">
        <v>1.3707409500000001</v>
      </c>
      <c r="AP63" s="3">
        <v>1.9520276400000001</v>
      </c>
      <c r="AU63" s="86"/>
      <c r="AV63" s="86"/>
      <c r="AW63" s="86"/>
      <c r="AX63" s="86"/>
      <c r="AY63" s="86"/>
      <c r="AZ63" s="86"/>
      <c r="BA63" s="86"/>
      <c r="BB63" s="83"/>
      <c r="BC63" s="83"/>
      <c r="BD63" s="83"/>
      <c r="BE63" s="83"/>
      <c r="BF63" s="83"/>
      <c r="BG63" s="83"/>
    </row>
    <row r="64" spans="1:59" x14ac:dyDescent="0.2">
      <c r="A64" s="86" t="s">
        <v>111</v>
      </c>
      <c r="B64" s="101">
        <v>23012</v>
      </c>
      <c r="C64" s="3">
        <v>1.7947264359999999</v>
      </c>
      <c r="E64" s="3">
        <v>0.89689485300000005</v>
      </c>
      <c r="F64" s="3">
        <v>2.037445365</v>
      </c>
      <c r="I64" s="3">
        <v>-0.216173587</v>
      </c>
      <c r="J64" s="3">
        <v>-0.26218625800000001</v>
      </c>
      <c r="K64" s="3">
        <v>0.26826245900000001</v>
      </c>
      <c r="M64" s="3">
        <v>1.7781521179999999</v>
      </c>
      <c r="N64" s="3">
        <v>1.2517969550000001</v>
      </c>
      <c r="O64" s="3">
        <v>-0.39402809900000002</v>
      </c>
      <c r="P64" s="3">
        <v>3.1642496050000002</v>
      </c>
      <c r="R64" s="3">
        <v>1.318174835</v>
      </c>
      <c r="S64" s="3">
        <v>2.5735073490000002</v>
      </c>
      <c r="U64" s="3">
        <v>1.501587062</v>
      </c>
      <c r="V64" s="3">
        <v>2.089625056</v>
      </c>
      <c r="W64" s="3">
        <v>2.8800177919999999</v>
      </c>
      <c r="X64" s="3">
        <v>0.69832777999999995</v>
      </c>
      <c r="Z64" s="3">
        <v>1.7914196680000001</v>
      </c>
      <c r="AA64" s="3">
        <v>-0.34193711100000002</v>
      </c>
      <c r="AB64" s="3">
        <v>0.83712902600000005</v>
      </c>
      <c r="AC64" s="3">
        <v>0.71286493500000003</v>
      </c>
      <c r="AE64" s="3">
        <v>1.4563907970000001</v>
      </c>
      <c r="AH64" s="3">
        <v>0.82405230500000004</v>
      </c>
      <c r="AJ64" s="3">
        <v>0.32890157599999997</v>
      </c>
      <c r="AN64" s="3">
        <v>0.64523920999999995</v>
      </c>
      <c r="AP64" s="3">
        <v>1.280861445</v>
      </c>
      <c r="AU64" s="86"/>
      <c r="AV64" s="86"/>
      <c r="AW64" s="86"/>
      <c r="AX64" s="86"/>
      <c r="AY64" s="86"/>
      <c r="AZ64" s="86"/>
      <c r="BA64" s="86"/>
      <c r="BB64" s="83"/>
      <c r="BC64" s="83"/>
      <c r="BD64" s="83"/>
      <c r="BE64" s="83"/>
      <c r="BF64" s="83"/>
      <c r="BG64" s="83"/>
    </row>
    <row r="65" spans="1:59" x14ac:dyDescent="0.2">
      <c r="A65" s="86" t="s">
        <v>112</v>
      </c>
      <c r="B65" s="101">
        <v>23102</v>
      </c>
      <c r="C65" s="3">
        <v>2.3104820639999999</v>
      </c>
      <c r="E65" s="3">
        <v>0.88189577699999999</v>
      </c>
      <c r="F65" s="3">
        <v>0.60710988600000004</v>
      </c>
      <c r="I65" s="3">
        <v>-3.4980258769999999</v>
      </c>
      <c r="J65" s="3">
        <v>-0.94888248900000005</v>
      </c>
      <c r="K65" s="3">
        <v>5.7529526219999996</v>
      </c>
      <c r="M65" s="3">
        <v>-0.93411480400000002</v>
      </c>
      <c r="N65" s="3">
        <v>-1.6657994190000001</v>
      </c>
      <c r="O65" s="3">
        <v>0.41943425499999998</v>
      </c>
      <c r="P65" s="3">
        <v>3.049262433</v>
      </c>
      <c r="R65" s="3">
        <v>1.2895564479999999</v>
      </c>
      <c r="S65" s="3">
        <v>2.4850889359999999</v>
      </c>
      <c r="U65" s="3">
        <v>0.66382776499999996</v>
      </c>
      <c r="V65" s="3">
        <v>1.3667004330000001</v>
      </c>
      <c r="W65" s="3">
        <v>5.8593937650000001</v>
      </c>
      <c r="X65" s="3">
        <v>0.69645625099999997</v>
      </c>
      <c r="Z65" s="3">
        <v>1.750783472</v>
      </c>
      <c r="AA65" s="3">
        <v>-6.2728582499999996</v>
      </c>
      <c r="AB65" s="3">
        <v>1.001035817</v>
      </c>
      <c r="AC65" s="3">
        <v>0.37574442699999999</v>
      </c>
      <c r="AE65" s="3">
        <v>1.3766938440000001</v>
      </c>
      <c r="AH65" s="3">
        <v>-1.027403198</v>
      </c>
      <c r="AJ65" s="3">
        <v>1.091574332</v>
      </c>
      <c r="AN65" s="3">
        <v>-0.90559911900000001</v>
      </c>
      <c r="AP65" s="3">
        <v>1.32273788</v>
      </c>
      <c r="AU65" s="86"/>
      <c r="AV65" s="86"/>
      <c r="AW65" s="86"/>
      <c r="AX65" s="86"/>
      <c r="AY65" s="86"/>
      <c r="AZ65" s="86"/>
      <c r="BA65" s="86"/>
      <c r="BB65" s="83"/>
      <c r="BC65" s="83"/>
      <c r="BD65" s="83"/>
      <c r="BE65" s="83"/>
      <c r="BF65" s="83"/>
      <c r="BG65" s="83"/>
    </row>
    <row r="66" spans="1:59" x14ac:dyDescent="0.2">
      <c r="A66" s="86" t="s">
        <v>113</v>
      </c>
      <c r="B66" s="101">
        <v>23193</v>
      </c>
      <c r="C66" s="3">
        <v>-1.302408327</v>
      </c>
      <c r="E66" s="3">
        <v>0.86673139399999999</v>
      </c>
      <c r="F66" s="3">
        <v>1.4623532370000001</v>
      </c>
      <c r="I66" s="3">
        <v>4.4844115059999998</v>
      </c>
      <c r="J66" s="3">
        <v>0.13876564399999999</v>
      </c>
      <c r="K66" s="3">
        <v>8.2890230999999995E-2</v>
      </c>
      <c r="M66" s="3">
        <v>1.9824565119999999</v>
      </c>
      <c r="N66" s="3">
        <v>4.4654754690000003</v>
      </c>
      <c r="O66" s="3">
        <v>4.3919508839999999</v>
      </c>
      <c r="P66" s="3">
        <v>2.9283590359999998</v>
      </c>
      <c r="R66" s="3">
        <v>1.263608195</v>
      </c>
      <c r="S66" s="3">
        <v>2.4082365609999998</v>
      </c>
      <c r="U66" s="3">
        <v>2.7413994759999998</v>
      </c>
      <c r="V66" s="3">
        <v>2.943448429</v>
      </c>
      <c r="W66" s="3">
        <v>-2.3585601330000001</v>
      </c>
      <c r="X66" s="3">
        <v>0.67752892899999995</v>
      </c>
      <c r="Z66" s="3">
        <v>1.701509231</v>
      </c>
      <c r="AA66" s="3">
        <v>8.9403641839999999</v>
      </c>
      <c r="AB66" s="3">
        <v>1.0574202930000001</v>
      </c>
      <c r="AC66" s="3">
        <v>2.3781093690000001</v>
      </c>
      <c r="AE66" s="3">
        <v>1.411943883</v>
      </c>
      <c r="AH66" s="3">
        <v>3.823815287</v>
      </c>
      <c r="AJ66" s="3">
        <v>1.1221214530000001</v>
      </c>
      <c r="AN66" s="3">
        <v>3.8353813880000001</v>
      </c>
      <c r="AP66" s="3">
        <v>2.6442269810000001</v>
      </c>
      <c r="AU66" s="86"/>
      <c r="AV66" s="86"/>
      <c r="AW66" s="86"/>
      <c r="AX66" s="86"/>
      <c r="AY66" s="86"/>
      <c r="AZ66" s="86"/>
      <c r="BA66" s="86"/>
      <c r="BB66" s="83"/>
      <c r="BC66" s="83"/>
      <c r="BD66" s="83"/>
      <c r="BE66" s="83"/>
      <c r="BF66" s="83"/>
      <c r="BG66" s="83"/>
    </row>
    <row r="67" spans="1:59" x14ac:dyDescent="0.2">
      <c r="A67" s="86" t="s">
        <v>114</v>
      </c>
      <c r="B67" s="101">
        <v>23285</v>
      </c>
      <c r="C67" s="3">
        <v>4.1040610160000002</v>
      </c>
      <c r="E67" s="3">
        <v>1.4497469430000001</v>
      </c>
      <c r="F67" s="3">
        <v>0.77788355499999995</v>
      </c>
      <c r="I67" s="3">
        <v>3.469247781</v>
      </c>
      <c r="J67" s="3">
        <v>1.2337917309999999</v>
      </c>
      <c r="K67" s="3">
        <v>2.1577354479999999</v>
      </c>
      <c r="M67" s="3">
        <v>1.0447611670000001</v>
      </c>
      <c r="N67" s="3">
        <v>3.2988024330000001</v>
      </c>
      <c r="O67" s="3">
        <v>0.48374470600000002</v>
      </c>
      <c r="P67" s="3">
        <v>2.3670852469999999</v>
      </c>
      <c r="R67" s="3">
        <v>1.1215336140000001</v>
      </c>
      <c r="S67" s="3">
        <v>2.5214776589999999</v>
      </c>
      <c r="U67" s="3">
        <v>1.6413048210000001</v>
      </c>
      <c r="V67" s="3">
        <v>2.9323895910000002</v>
      </c>
      <c r="W67" s="3">
        <v>3.2950690150000002</v>
      </c>
      <c r="X67" s="3">
        <v>1.569826892</v>
      </c>
      <c r="Z67" s="3">
        <v>2.3537284980000002</v>
      </c>
      <c r="AA67" s="3">
        <v>2.4025341650000001</v>
      </c>
      <c r="AB67" s="3">
        <v>1.11193064</v>
      </c>
      <c r="AC67" s="3">
        <v>2.2308949760000001</v>
      </c>
      <c r="AE67" s="3">
        <v>1.445410635</v>
      </c>
      <c r="AH67" s="3">
        <v>1.8545470420000001</v>
      </c>
      <c r="AJ67" s="3">
        <v>2.198434459</v>
      </c>
      <c r="AN67" s="3">
        <v>2.2287377739999998</v>
      </c>
      <c r="AP67" s="3">
        <v>2.639167193</v>
      </c>
      <c r="AU67" s="86"/>
      <c r="AV67" s="86"/>
      <c r="AW67" s="86"/>
      <c r="AX67" s="86"/>
      <c r="AY67" s="86"/>
      <c r="AZ67" s="86"/>
      <c r="BA67" s="86"/>
      <c r="BB67" s="83"/>
      <c r="BC67" s="83"/>
      <c r="BD67" s="83"/>
      <c r="BE67" s="83"/>
      <c r="BF67" s="83"/>
      <c r="BG67" s="83"/>
    </row>
    <row r="68" spans="1:59" x14ac:dyDescent="0.2">
      <c r="A68" s="86" t="s">
        <v>115</v>
      </c>
      <c r="B68" s="101">
        <v>23377</v>
      </c>
      <c r="C68" s="3">
        <v>2.1423402939999998</v>
      </c>
      <c r="E68" s="3">
        <v>2.0444995229999998</v>
      </c>
      <c r="F68" s="3">
        <v>3.138726959</v>
      </c>
      <c r="I68" s="3">
        <v>0.48396588200000001</v>
      </c>
      <c r="J68" s="3">
        <v>2.3006000329999998</v>
      </c>
      <c r="K68" s="3">
        <v>1.861635924</v>
      </c>
      <c r="M68" s="3">
        <v>2.1161555860000001</v>
      </c>
      <c r="N68" s="3">
        <v>0.311286644</v>
      </c>
      <c r="O68" s="3">
        <v>2.2672490710000002</v>
      </c>
      <c r="P68" s="3">
        <v>1.7969584359999999</v>
      </c>
      <c r="R68" s="3">
        <v>0.96814803699999996</v>
      </c>
      <c r="S68" s="3">
        <v>2.6218289440000002</v>
      </c>
      <c r="U68" s="3">
        <v>1.0284121740000001</v>
      </c>
      <c r="V68" s="3">
        <v>3.4455243690000001</v>
      </c>
      <c r="W68" s="3">
        <v>9.3359128999999999E-2</v>
      </c>
      <c r="X68" s="3">
        <v>2.4831959810000002</v>
      </c>
      <c r="Z68" s="3">
        <v>2.998675381</v>
      </c>
      <c r="AA68" s="3">
        <v>2.105748604</v>
      </c>
      <c r="AB68" s="3">
        <v>1.164630214</v>
      </c>
      <c r="AC68" s="3">
        <v>1.3035329120000001</v>
      </c>
      <c r="AE68" s="3">
        <v>1.4772527090000001</v>
      </c>
      <c r="AH68" s="3">
        <v>0.877163154</v>
      </c>
      <c r="AJ68" s="3">
        <v>0.65560243699999998</v>
      </c>
      <c r="AN68" s="3">
        <v>1.086477559</v>
      </c>
      <c r="AP68" s="3">
        <v>1.762170542</v>
      </c>
      <c r="AU68" s="86"/>
      <c r="AV68" s="86"/>
      <c r="AW68" s="86"/>
      <c r="AX68" s="86"/>
      <c r="AY68" s="86"/>
      <c r="AZ68" s="86"/>
      <c r="BA68" s="86"/>
      <c r="BB68" s="83"/>
      <c r="BC68" s="83"/>
      <c r="BD68" s="83"/>
      <c r="BE68" s="83"/>
      <c r="BF68" s="83"/>
      <c r="BG68" s="83"/>
    </row>
    <row r="69" spans="1:59" x14ac:dyDescent="0.2">
      <c r="A69" s="86" t="s">
        <v>116</v>
      </c>
      <c r="B69" s="101">
        <v>23468</v>
      </c>
      <c r="C69" s="3">
        <v>-0.16065781200000001</v>
      </c>
      <c r="E69" s="3">
        <v>1.987689142</v>
      </c>
      <c r="F69" s="3">
        <v>2.4806515450000002</v>
      </c>
      <c r="I69" s="3">
        <v>1.375907483</v>
      </c>
      <c r="J69" s="3">
        <v>3.3064032700000001</v>
      </c>
      <c r="K69" s="3">
        <v>0.56548538199999998</v>
      </c>
      <c r="M69" s="3">
        <v>1.2626088579999999</v>
      </c>
      <c r="N69" s="3">
        <v>1.882604425</v>
      </c>
      <c r="O69" s="3">
        <v>0.63351716000000002</v>
      </c>
      <c r="P69" s="3">
        <v>1.7454289940000001</v>
      </c>
      <c r="R69" s="3">
        <v>0.94694357200000001</v>
      </c>
      <c r="S69" s="3">
        <v>2.5296441889999999</v>
      </c>
      <c r="U69" s="3">
        <v>1.482283155</v>
      </c>
      <c r="V69" s="3">
        <v>3.1894142539999999</v>
      </c>
      <c r="W69" s="3">
        <v>5.970535022</v>
      </c>
      <c r="X69" s="3">
        <v>2.4038909460000002</v>
      </c>
      <c r="Z69" s="3">
        <v>2.8872354009999999</v>
      </c>
      <c r="AA69" s="3">
        <v>1.3373720259999999</v>
      </c>
      <c r="AB69" s="3">
        <v>1.2153297160000001</v>
      </c>
      <c r="AC69" s="3">
        <v>1.825168664</v>
      </c>
      <c r="AE69" s="3">
        <v>1.5074208140000001</v>
      </c>
      <c r="AH69" s="3">
        <v>2.477562222</v>
      </c>
      <c r="AJ69" s="3">
        <v>2.108252099</v>
      </c>
      <c r="AN69" s="3">
        <v>0.124762743</v>
      </c>
      <c r="AP69" s="3">
        <v>1.8730916129999999</v>
      </c>
      <c r="AU69" s="86"/>
      <c r="AV69" s="86"/>
      <c r="AW69" s="86"/>
      <c r="AX69" s="86"/>
      <c r="AY69" s="86"/>
      <c r="AZ69" s="86"/>
      <c r="BA69" s="86"/>
      <c r="BB69" s="83"/>
      <c r="BC69" s="83"/>
      <c r="BD69" s="83"/>
      <c r="BE69" s="83"/>
      <c r="BF69" s="83"/>
      <c r="BG69" s="83"/>
    </row>
    <row r="70" spans="1:59" x14ac:dyDescent="0.2">
      <c r="A70" s="86" t="s">
        <v>117</v>
      </c>
      <c r="B70" s="101">
        <v>23559</v>
      </c>
      <c r="C70" s="3">
        <v>2.4682285269999999</v>
      </c>
      <c r="E70" s="3">
        <v>1.9432856510000001</v>
      </c>
      <c r="F70" s="3">
        <v>0.36854719000000002</v>
      </c>
      <c r="I70" s="3">
        <v>1.2217754919999999</v>
      </c>
      <c r="J70" s="3">
        <v>2.6094881129999998</v>
      </c>
      <c r="K70" s="3">
        <v>1.648014179</v>
      </c>
      <c r="M70" s="3">
        <v>0.86741083799999996</v>
      </c>
      <c r="N70" s="3">
        <v>0.95892052900000002</v>
      </c>
      <c r="O70" s="3">
        <v>1.8381211180000001</v>
      </c>
      <c r="P70" s="3">
        <v>1.715966667</v>
      </c>
      <c r="R70" s="3">
        <v>0.93950846300000002</v>
      </c>
      <c r="S70" s="3">
        <v>2.4647626520000001</v>
      </c>
      <c r="U70" s="3">
        <v>-1.0118768389999999</v>
      </c>
      <c r="V70" s="3">
        <v>2.4124948389999998</v>
      </c>
      <c r="W70" s="3">
        <v>-2.8748674439999999</v>
      </c>
      <c r="X70" s="3">
        <v>2.34065558</v>
      </c>
      <c r="Z70" s="3">
        <v>2.7990820040000002</v>
      </c>
      <c r="AA70" s="3">
        <v>0.86434469899999999</v>
      </c>
      <c r="AB70" s="3">
        <v>1.2897698280000001</v>
      </c>
      <c r="AC70" s="3">
        <v>1.2393351990000001</v>
      </c>
      <c r="AE70" s="3">
        <v>1.692709544</v>
      </c>
      <c r="AH70" s="3">
        <v>0.54184420200000005</v>
      </c>
      <c r="AJ70" s="3">
        <v>1.08873369</v>
      </c>
      <c r="AN70" s="3">
        <v>3.5262488479999998</v>
      </c>
      <c r="AP70" s="3">
        <v>1.8098666830000001</v>
      </c>
      <c r="AU70" s="86"/>
      <c r="AV70" s="86"/>
      <c r="AW70" s="86"/>
      <c r="AX70" s="86"/>
      <c r="AY70" s="86"/>
      <c r="AZ70" s="86"/>
      <c r="BA70" s="86"/>
      <c r="BB70" s="83"/>
      <c r="BC70" s="83"/>
      <c r="BD70" s="83"/>
      <c r="BE70" s="83"/>
      <c r="BF70" s="83"/>
      <c r="BG70" s="83"/>
    </row>
    <row r="71" spans="1:59" x14ac:dyDescent="0.2">
      <c r="A71" s="86" t="s">
        <v>118</v>
      </c>
      <c r="B71" s="101">
        <v>23651</v>
      </c>
      <c r="C71" s="3">
        <v>0.61950513799999996</v>
      </c>
      <c r="E71" s="3">
        <v>1.3443383069999999</v>
      </c>
      <c r="F71" s="3">
        <v>1.0420620970000001</v>
      </c>
      <c r="I71" s="3">
        <v>1.039093942</v>
      </c>
      <c r="J71" s="3">
        <v>1.9670666409999999</v>
      </c>
      <c r="K71" s="3">
        <v>0.75129305000000002</v>
      </c>
      <c r="M71" s="3">
        <v>1.6049473320000001</v>
      </c>
      <c r="N71" s="3">
        <v>1.226254685</v>
      </c>
      <c r="O71" s="3">
        <v>0.39262774700000003</v>
      </c>
      <c r="P71" s="3">
        <v>2.1576177570000001</v>
      </c>
      <c r="R71" s="3">
        <v>0.72030603299999996</v>
      </c>
      <c r="S71" s="3">
        <v>1.990517774</v>
      </c>
      <c r="U71" s="3">
        <v>-0.16890409300000001</v>
      </c>
      <c r="V71" s="3">
        <v>1.5443613380000001</v>
      </c>
      <c r="W71" s="3">
        <v>6.8054023949999998</v>
      </c>
      <c r="X71" s="3">
        <v>1.266755839</v>
      </c>
      <c r="Z71" s="3">
        <v>2.1016299639999998</v>
      </c>
      <c r="AA71" s="3">
        <v>1.8894469149999999</v>
      </c>
      <c r="AB71" s="3">
        <v>1.361210281</v>
      </c>
      <c r="AC71" s="3">
        <v>1.21991805</v>
      </c>
      <c r="AE71" s="3">
        <v>1.868849429</v>
      </c>
      <c r="AH71" s="3">
        <v>1.9957499569999999</v>
      </c>
      <c r="AJ71" s="3">
        <v>1.5623006660000001</v>
      </c>
      <c r="AN71" s="3">
        <v>-0.54606104600000005</v>
      </c>
      <c r="AP71" s="3">
        <v>0.93956852700000004</v>
      </c>
      <c r="AU71" s="86"/>
      <c r="AV71" s="86"/>
      <c r="AW71" s="86"/>
      <c r="AX71" s="86"/>
      <c r="AY71" s="86"/>
      <c r="AZ71" s="86"/>
      <c r="BA71" s="86"/>
      <c r="BB71" s="83"/>
      <c r="BC71" s="83"/>
      <c r="BD71" s="83"/>
      <c r="BE71" s="83"/>
      <c r="BF71" s="83"/>
      <c r="BG71" s="83"/>
    </row>
    <row r="72" spans="1:59" x14ac:dyDescent="0.2">
      <c r="A72" s="86" t="s">
        <v>119</v>
      </c>
      <c r="B72" s="101">
        <v>23743</v>
      </c>
      <c r="C72" s="3">
        <v>2.8437300300000001</v>
      </c>
      <c r="E72" s="3">
        <v>0.74716173900000005</v>
      </c>
      <c r="F72" s="3">
        <v>0.53989243899999995</v>
      </c>
      <c r="I72" s="3">
        <v>1.360335531</v>
      </c>
      <c r="J72" s="3">
        <v>1.3641735260000001</v>
      </c>
      <c r="K72" s="3">
        <v>2.1741603089999999</v>
      </c>
      <c r="M72" s="3">
        <v>-0.64068973600000001</v>
      </c>
      <c r="N72" s="3">
        <v>0.90373870199999995</v>
      </c>
      <c r="O72" s="3">
        <v>1.5263987240000001</v>
      </c>
      <c r="P72" s="3">
        <v>2.5926128099999999</v>
      </c>
      <c r="R72" s="3">
        <v>0.49676823599999997</v>
      </c>
      <c r="S72" s="3">
        <v>1.5263081940000001</v>
      </c>
      <c r="U72" s="3">
        <v>-0.41848288900000002</v>
      </c>
      <c r="V72" s="3">
        <v>1.2506632950000001</v>
      </c>
      <c r="W72" s="3">
        <v>4.0195457049999996</v>
      </c>
      <c r="X72" s="3">
        <v>0.19834878</v>
      </c>
      <c r="Z72" s="3">
        <v>1.422456862</v>
      </c>
      <c r="AA72" s="3">
        <v>1.049790249</v>
      </c>
      <c r="AB72" s="3">
        <v>1.429613923</v>
      </c>
      <c r="AC72" s="3">
        <v>0.81131608399999999</v>
      </c>
      <c r="AE72" s="3">
        <v>2.0350353289999998</v>
      </c>
      <c r="AH72" s="3">
        <v>1.0701503729999999</v>
      </c>
      <c r="AJ72" s="3">
        <v>0.308871858</v>
      </c>
      <c r="AN72" s="3">
        <v>-0.61158205499999996</v>
      </c>
      <c r="AP72" s="3">
        <v>2.9242725599999999</v>
      </c>
      <c r="AU72" s="86"/>
      <c r="AV72" s="86"/>
      <c r="AW72" s="86"/>
      <c r="AX72" s="86"/>
      <c r="AY72" s="86"/>
      <c r="AZ72" s="86"/>
      <c r="BA72" s="86"/>
      <c r="BB72" s="83"/>
      <c r="BC72" s="83"/>
      <c r="BD72" s="83"/>
      <c r="BE72" s="83"/>
      <c r="BF72" s="83"/>
      <c r="BG72" s="83"/>
    </row>
    <row r="73" spans="1:59" x14ac:dyDescent="0.2">
      <c r="A73" s="86" t="s">
        <v>120</v>
      </c>
      <c r="B73" s="101">
        <v>23833</v>
      </c>
      <c r="C73" s="3">
        <v>0.83884998700000002</v>
      </c>
      <c r="E73" s="3">
        <v>0.73346515499999998</v>
      </c>
      <c r="F73" s="3">
        <v>3.1479153449999999</v>
      </c>
      <c r="I73" s="3">
        <v>1.63656424</v>
      </c>
      <c r="J73" s="3">
        <v>0.78847136100000004</v>
      </c>
      <c r="K73" s="3">
        <v>2.1281627489999999</v>
      </c>
      <c r="M73" s="3">
        <v>3.226251832</v>
      </c>
      <c r="N73" s="3">
        <v>0.22199487300000001</v>
      </c>
      <c r="O73" s="3">
        <v>-0.29670076200000001</v>
      </c>
      <c r="P73" s="3">
        <v>2.5082621280000001</v>
      </c>
      <c r="R73" s="3">
        <v>0.487566055</v>
      </c>
      <c r="S73" s="3">
        <v>1.4965125589999999</v>
      </c>
      <c r="U73" s="3">
        <v>1.350147107</v>
      </c>
      <c r="V73" s="3">
        <v>0.81316224500000001</v>
      </c>
      <c r="W73" s="3">
        <v>1.2785738149999999</v>
      </c>
      <c r="X73" s="3">
        <v>0.19147140800000001</v>
      </c>
      <c r="Z73" s="3">
        <v>1.3904935359999999</v>
      </c>
      <c r="AA73" s="3">
        <v>2.8875651979999999</v>
      </c>
      <c r="AB73" s="3">
        <v>1.4949259989999999</v>
      </c>
      <c r="AC73" s="3">
        <v>1.6224802039999999</v>
      </c>
      <c r="AE73" s="3">
        <v>2.1910147129999999</v>
      </c>
      <c r="AH73" s="3">
        <v>1.9709185090000001</v>
      </c>
      <c r="AJ73" s="3">
        <v>2.4197518790000001</v>
      </c>
      <c r="AN73" s="3">
        <v>2.4858689969999999</v>
      </c>
      <c r="AP73" s="3">
        <v>1.9239982840000001</v>
      </c>
      <c r="AU73" s="86"/>
      <c r="AV73" s="86"/>
      <c r="AW73" s="86"/>
      <c r="AX73" s="86"/>
      <c r="AY73" s="86"/>
      <c r="AZ73" s="86"/>
      <c r="BA73" s="86"/>
      <c r="BB73" s="83"/>
      <c r="BC73" s="83"/>
      <c r="BD73" s="83"/>
      <c r="BE73" s="83"/>
      <c r="BF73" s="83"/>
      <c r="BG73" s="83"/>
    </row>
    <row r="74" spans="1:59" x14ac:dyDescent="0.2">
      <c r="A74" s="86" t="s">
        <v>121</v>
      </c>
      <c r="B74" s="101">
        <v>23924</v>
      </c>
      <c r="C74" s="3">
        <v>1.5677584490000001</v>
      </c>
      <c r="E74" s="3">
        <v>0.72415100499999996</v>
      </c>
      <c r="F74" s="3">
        <v>0.95802062700000001</v>
      </c>
      <c r="I74" s="3">
        <v>1.5780708649999999</v>
      </c>
      <c r="J74" s="3">
        <v>0.73890616499999995</v>
      </c>
      <c r="K74" s="3">
        <v>0.42662027000000002</v>
      </c>
      <c r="M74" s="3">
        <v>1.382899031</v>
      </c>
      <c r="N74" s="3">
        <v>2.4880954179999999</v>
      </c>
      <c r="O74" s="3">
        <v>5.8766527999999998E-2</v>
      </c>
      <c r="P74" s="3">
        <v>2.425116397</v>
      </c>
      <c r="R74" s="3">
        <v>0.48386872399999997</v>
      </c>
      <c r="S74" s="3">
        <v>1.4569976389999999</v>
      </c>
      <c r="U74" s="3">
        <v>1.993828946</v>
      </c>
      <c r="V74" s="3">
        <v>1.2488478409999999</v>
      </c>
      <c r="W74" s="3">
        <v>0.22609286300000001</v>
      </c>
      <c r="X74" s="3">
        <v>0.19423575800000001</v>
      </c>
      <c r="Z74" s="3">
        <v>1.3606471579999999</v>
      </c>
      <c r="AA74" s="3">
        <v>-1.0220376090000001</v>
      </c>
      <c r="AB74" s="3">
        <v>1.2412288339999999</v>
      </c>
      <c r="AC74" s="3">
        <v>1.176188429</v>
      </c>
      <c r="AE74" s="3">
        <v>1.7505410589999999</v>
      </c>
      <c r="AH74" s="3">
        <v>-0.73941296000000001</v>
      </c>
      <c r="AJ74" s="3">
        <v>1.263298249</v>
      </c>
      <c r="AN74" s="3">
        <v>0.120876874</v>
      </c>
      <c r="AP74" s="3">
        <v>0.96739433699999999</v>
      </c>
      <c r="AU74" s="86"/>
      <c r="AV74" s="86"/>
      <c r="AW74" s="86"/>
      <c r="AX74" s="86"/>
      <c r="AY74" s="86"/>
      <c r="AZ74" s="86"/>
      <c r="BA74" s="86"/>
      <c r="BB74" s="83"/>
      <c r="BC74" s="83"/>
      <c r="BD74" s="83"/>
      <c r="BE74" s="83"/>
      <c r="BF74" s="83"/>
      <c r="BG74" s="83"/>
    </row>
    <row r="75" spans="1:59" x14ac:dyDescent="0.2">
      <c r="A75" s="86" t="s">
        <v>122</v>
      </c>
      <c r="B75" s="101">
        <v>24016</v>
      </c>
      <c r="C75" s="3">
        <v>-0.29167784800000002</v>
      </c>
      <c r="E75" s="3">
        <v>0.73643261500000001</v>
      </c>
      <c r="F75" s="3">
        <v>1.3618159910000001</v>
      </c>
      <c r="I75" s="3">
        <v>0.66587561900000003</v>
      </c>
      <c r="J75" s="3">
        <v>0.690385637</v>
      </c>
      <c r="K75" s="3">
        <v>1.018033046</v>
      </c>
      <c r="M75" s="3">
        <v>1.2227839659999999</v>
      </c>
      <c r="N75" s="3">
        <v>1.4450189659999999</v>
      </c>
      <c r="O75" s="3">
        <v>0.82224818600000005</v>
      </c>
      <c r="P75" s="3">
        <v>1.9178313039999999</v>
      </c>
      <c r="R75" s="3">
        <v>0.229256974</v>
      </c>
      <c r="S75" s="3">
        <v>2.1169845810000001</v>
      </c>
      <c r="U75" s="3">
        <v>1.3320580820000001</v>
      </c>
      <c r="V75" s="3">
        <v>2.2659720029999999</v>
      </c>
      <c r="W75" s="3">
        <v>-0.79099217700000002</v>
      </c>
      <c r="X75" s="3">
        <v>0.27560586599999998</v>
      </c>
      <c r="Z75" s="3">
        <v>1.475944033</v>
      </c>
      <c r="AA75" s="3">
        <v>0.89989921699999997</v>
      </c>
      <c r="AB75" s="3">
        <v>0.997207065</v>
      </c>
      <c r="AC75" s="3">
        <v>1.578038346</v>
      </c>
      <c r="AE75" s="3">
        <v>1.3337269089999999</v>
      </c>
      <c r="AH75" s="3">
        <v>-0.10296211700000001</v>
      </c>
      <c r="AJ75" s="3">
        <v>2.2232522819999998</v>
      </c>
      <c r="AN75" s="3">
        <v>1.0595628530000001</v>
      </c>
      <c r="AP75" s="3">
        <v>-0.315747202</v>
      </c>
      <c r="AU75" s="86"/>
      <c r="AV75" s="86"/>
      <c r="AW75" s="86"/>
      <c r="AX75" s="86"/>
      <c r="AY75" s="86"/>
      <c r="AZ75" s="86"/>
      <c r="BA75" s="86"/>
      <c r="BB75" s="83"/>
      <c r="BC75" s="83"/>
      <c r="BD75" s="83"/>
      <c r="BE75" s="83"/>
      <c r="BF75" s="83"/>
      <c r="BG75" s="83"/>
    </row>
    <row r="76" spans="1:59" x14ac:dyDescent="0.2">
      <c r="A76" s="86" t="s">
        <v>123</v>
      </c>
      <c r="B76" s="101">
        <v>24108</v>
      </c>
      <c r="C76" s="3">
        <v>0.243385872</v>
      </c>
      <c r="E76" s="3">
        <v>0.74509662099999996</v>
      </c>
      <c r="F76" s="3">
        <v>2.4595501789999998</v>
      </c>
      <c r="I76" s="3">
        <v>0.59845179100000001</v>
      </c>
      <c r="J76" s="3">
        <v>0.64286871400000001</v>
      </c>
      <c r="K76" s="3">
        <v>2.9893906939999999</v>
      </c>
      <c r="M76" s="3">
        <v>-0.70159602300000001</v>
      </c>
      <c r="N76" s="3">
        <v>1.3922143330000001</v>
      </c>
      <c r="O76" s="3">
        <v>0.61289622899999996</v>
      </c>
      <c r="P76" s="3">
        <v>1.396412929</v>
      </c>
      <c r="R76" s="3">
        <v>-4.2736612E-2</v>
      </c>
      <c r="S76" s="3">
        <v>2.7754784269999999</v>
      </c>
      <c r="U76" s="3">
        <v>1.5023453099999999</v>
      </c>
      <c r="V76" s="3">
        <v>1.5539096990000001</v>
      </c>
      <c r="W76" s="3">
        <v>2.3323672059999998</v>
      </c>
      <c r="X76" s="3">
        <v>0.36058719299999997</v>
      </c>
      <c r="Z76" s="3">
        <v>1.586576684</v>
      </c>
      <c r="AA76" s="3">
        <v>2.6730009520000002</v>
      </c>
      <c r="AB76" s="3">
        <v>0.76074920199999996</v>
      </c>
      <c r="AC76" s="3">
        <v>1.702426446</v>
      </c>
      <c r="AE76" s="3">
        <v>0.93459476500000005</v>
      </c>
      <c r="AH76" s="3">
        <v>1.9894289329999999</v>
      </c>
      <c r="AJ76" s="3">
        <v>2.304040466</v>
      </c>
      <c r="AN76" s="3">
        <v>-0.261583709</v>
      </c>
      <c r="AP76" s="3">
        <v>1.663322974</v>
      </c>
      <c r="AU76" s="86"/>
      <c r="AV76" s="86"/>
      <c r="AW76" s="86"/>
      <c r="AX76" s="86"/>
      <c r="AY76" s="86"/>
      <c r="AZ76" s="86"/>
      <c r="BA76" s="86"/>
      <c r="BB76" s="83"/>
      <c r="BC76" s="83"/>
      <c r="BD76" s="83"/>
      <c r="BE76" s="83"/>
      <c r="BF76" s="83"/>
      <c r="BG76" s="83"/>
    </row>
    <row r="77" spans="1:59" x14ac:dyDescent="0.2">
      <c r="A77" s="86" t="s">
        <v>124</v>
      </c>
      <c r="B77" s="101">
        <v>24198</v>
      </c>
      <c r="C77" s="3">
        <v>-0.28831899500000002</v>
      </c>
      <c r="E77" s="3">
        <v>0.73286567400000002</v>
      </c>
      <c r="F77" s="3">
        <v>1.9142215460000001</v>
      </c>
      <c r="I77" s="3">
        <v>1.81592055</v>
      </c>
      <c r="J77" s="3">
        <v>0.59623050399999999</v>
      </c>
      <c r="K77" s="3">
        <v>-0.68051761899999996</v>
      </c>
      <c r="M77" s="3">
        <v>-0.91294424500000004</v>
      </c>
      <c r="N77" s="3">
        <v>0.902205649</v>
      </c>
      <c r="O77" s="3">
        <v>0.15829606900000001</v>
      </c>
      <c r="P77" s="3">
        <v>1.35695634</v>
      </c>
      <c r="R77" s="3">
        <v>-3.8760612E-2</v>
      </c>
      <c r="S77" s="3">
        <v>2.665270118</v>
      </c>
      <c r="U77" s="3">
        <v>0.96711644500000005</v>
      </c>
      <c r="V77" s="3">
        <v>2.676417582</v>
      </c>
      <c r="W77" s="3">
        <v>6.1290660969999999</v>
      </c>
      <c r="X77" s="3">
        <v>0.354312876</v>
      </c>
      <c r="Z77" s="3">
        <v>1.5456949499999999</v>
      </c>
      <c r="AA77" s="3">
        <v>-2.7211587000000002</v>
      </c>
      <c r="AB77" s="3">
        <v>0.53017088999999995</v>
      </c>
      <c r="AC77" s="3">
        <v>1.660787636</v>
      </c>
      <c r="AE77" s="3">
        <v>0.547837083</v>
      </c>
      <c r="AH77" s="3">
        <v>1.383376129</v>
      </c>
      <c r="AJ77" s="3">
        <v>2.4342287589999998</v>
      </c>
      <c r="AN77" s="3">
        <v>-1.34631725</v>
      </c>
      <c r="AP77" s="3">
        <v>1.4043375380000001</v>
      </c>
      <c r="AU77" s="86"/>
      <c r="AV77" s="86"/>
      <c r="AW77" s="86"/>
      <c r="AX77" s="86"/>
      <c r="AY77" s="86"/>
      <c r="AZ77" s="86"/>
      <c r="BA77" s="86"/>
      <c r="BB77" s="83"/>
      <c r="BC77" s="83"/>
      <c r="BD77" s="83"/>
      <c r="BE77" s="83"/>
      <c r="BF77" s="83"/>
      <c r="BG77" s="83"/>
    </row>
    <row r="78" spans="1:59" x14ac:dyDescent="0.2">
      <c r="A78" s="86" t="s">
        <v>125</v>
      </c>
      <c r="B78" s="101">
        <v>24289</v>
      </c>
      <c r="C78" s="3">
        <v>1.3696705769999999</v>
      </c>
      <c r="E78" s="3">
        <v>0.72223703699999997</v>
      </c>
      <c r="F78" s="3">
        <v>2.1199830899999998</v>
      </c>
      <c r="I78" s="3">
        <v>0.30748494199999998</v>
      </c>
      <c r="J78" s="3">
        <v>0.68115885499999995</v>
      </c>
      <c r="K78" s="3">
        <v>5.1675256760000003</v>
      </c>
      <c r="M78" s="3">
        <v>2.0591017580000002</v>
      </c>
      <c r="N78" s="3">
        <v>1.5125215869999999</v>
      </c>
      <c r="O78" s="3">
        <v>0.59836050500000004</v>
      </c>
      <c r="P78" s="3">
        <v>1.336467965</v>
      </c>
      <c r="R78" s="3">
        <v>-4.2143613000000003E-2</v>
      </c>
      <c r="S78" s="3">
        <v>2.5876977069999998</v>
      </c>
      <c r="U78" s="3">
        <v>1.4242906019999999</v>
      </c>
      <c r="V78" s="3">
        <v>3.912582843</v>
      </c>
      <c r="W78" s="3">
        <v>6.1938394079999997</v>
      </c>
      <c r="X78" s="3">
        <v>0.35220707800000001</v>
      </c>
      <c r="Z78" s="3">
        <v>1.5129785689999999</v>
      </c>
      <c r="AA78" s="3">
        <v>2.9518388130000002</v>
      </c>
      <c r="AB78" s="3">
        <v>0.94599129800000004</v>
      </c>
      <c r="AC78" s="3">
        <v>1.27531339</v>
      </c>
      <c r="AE78" s="3">
        <v>0.89069494400000004</v>
      </c>
      <c r="AH78" s="3">
        <v>-0.65978203000000002</v>
      </c>
      <c r="AJ78" s="3">
        <v>0.34160196199999998</v>
      </c>
      <c r="AN78" s="3">
        <v>5.1304244859999999</v>
      </c>
      <c r="AP78" s="3">
        <v>1.0882422460000001</v>
      </c>
      <c r="AU78" s="86"/>
      <c r="AV78" s="86"/>
      <c r="AW78" s="86"/>
      <c r="AX78" s="86"/>
      <c r="AY78" s="86"/>
      <c r="AZ78" s="86"/>
      <c r="BA78" s="86"/>
      <c r="BB78" s="83"/>
      <c r="BC78" s="83"/>
      <c r="BD78" s="83"/>
      <c r="BE78" s="83"/>
      <c r="BF78" s="83"/>
      <c r="BG78" s="83"/>
    </row>
    <row r="79" spans="1:59" x14ac:dyDescent="0.2">
      <c r="A79" s="86" t="s">
        <v>126</v>
      </c>
      <c r="B79" s="101">
        <v>24381</v>
      </c>
      <c r="C79" s="3">
        <v>2.8258961569999999</v>
      </c>
      <c r="E79" s="3">
        <v>0.86768351200000005</v>
      </c>
      <c r="F79" s="3">
        <v>-2.3977179000000001E-2</v>
      </c>
      <c r="I79" s="3">
        <v>0.122676937</v>
      </c>
      <c r="J79" s="3">
        <v>0.76439263400000002</v>
      </c>
      <c r="K79" s="3">
        <v>1.98369138</v>
      </c>
      <c r="M79" s="3">
        <v>1.0738815850000001</v>
      </c>
      <c r="N79" s="3">
        <v>1.140425464</v>
      </c>
      <c r="O79" s="3">
        <v>0.31115512499999998</v>
      </c>
      <c r="P79" s="3">
        <v>1.3421553260000001</v>
      </c>
      <c r="R79" s="3">
        <v>0.73652449200000003</v>
      </c>
      <c r="S79" s="3">
        <v>1.046335853</v>
      </c>
      <c r="U79" s="3">
        <v>2.825008494</v>
      </c>
      <c r="V79" s="3">
        <v>2.4314418830000002</v>
      </c>
      <c r="W79" s="3">
        <v>-1.728704276</v>
      </c>
      <c r="X79" s="3">
        <v>0.11850458699999999</v>
      </c>
      <c r="Z79" s="3">
        <v>1.453550189</v>
      </c>
      <c r="AA79" s="3">
        <v>2.0516493379999998</v>
      </c>
      <c r="AB79" s="3">
        <v>1.3517869410000001</v>
      </c>
      <c r="AC79" s="3">
        <v>1.0253075899999999</v>
      </c>
      <c r="AE79" s="3">
        <v>1.2255920410000001</v>
      </c>
      <c r="AH79" s="3">
        <v>-2.5602851539999998</v>
      </c>
      <c r="AJ79" s="3">
        <v>0.84690505199999999</v>
      </c>
      <c r="AN79" s="3">
        <v>-1.256225564</v>
      </c>
      <c r="AP79" s="3">
        <v>1.473290107</v>
      </c>
      <c r="AU79" s="86"/>
      <c r="AV79" s="86"/>
      <c r="AW79" s="86"/>
      <c r="AX79" s="86"/>
      <c r="AY79" s="86"/>
      <c r="AZ79" s="86"/>
      <c r="BA79" s="86"/>
      <c r="BB79" s="83"/>
      <c r="BC79" s="83"/>
      <c r="BD79" s="83"/>
      <c r="BE79" s="83"/>
      <c r="BF79" s="83"/>
      <c r="BG79" s="83"/>
    </row>
    <row r="80" spans="1:59" x14ac:dyDescent="0.2">
      <c r="A80" s="86" t="s">
        <v>127</v>
      </c>
      <c r="B80" s="101">
        <v>24473</v>
      </c>
      <c r="C80" s="3">
        <v>0.65476925799999997</v>
      </c>
      <c r="E80" s="3">
        <v>1.015039977</v>
      </c>
      <c r="F80" s="3">
        <v>1.2233343649999999</v>
      </c>
      <c r="I80" s="3">
        <v>-1.56154042</v>
      </c>
      <c r="J80" s="3">
        <v>0.845812538</v>
      </c>
      <c r="K80" s="3">
        <v>0.27089692599999998</v>
      </c>
      <c r="M80" s="3">
        <v>3.0710270290000001</v>
      </c>
      <c r="N80" s="3">
        <v>0.54594664599999998</v>
      </c>
      <c r="O80" s="3">
        <v>-0.41866502500000002</v>
      </c>
      <c r="P80" s="3">
        <v>1.3407688440000001</v>
      </c>
      <c r="R80" s="3">
        <v>1.5558545669999999</v>
      </c>
      <c r="S80" s="3">
        <v>-0.53818143200000002</v>
      </c>
      <c r="U80" s="3">
        <v>0.47919188699999998</v>
      </c>
      <c r="V80" s="3">
        <v>1.9982771539999999</v>
      </c>
      <c r="W80" s="3">
        <v>1.331174981</v>
      </c>
      <c r="X80" s="3">
        <v>-0.13147919199999999</v>
      </c>
      <c r="Z80" s="3">
        <v>1.38475762</v>
      </c>
      <c r="AA80" s="3">
        <v>0.32850114200000002</v>
      </c>
      <c r="AB80" s="3">
        <v>1.742887589</v>
      </c>
      <c r="AC80" s="3">
        <v>0.62943079599999996</v>
      </c>
      <c r="AE80" s="3">
        <v>1.5493923650000001</v>
      </c>
      <c r="AH80" s="3">
        <v>5.0669721499999998</v>
      </c>
      <c r="AJ80" s="3">
        <v>0.82040710900000002</v>
      </c>
      <c r="AN80" s="3">
        <v>1.15061795</v>
      </c>
      <c r="AP80" s="3">
        <v>0.32904126500000003</v>
      </c>
      <c r="AU80" s="86"/>
      <c r="AV80" s="86"/>
      <c r="AW80" s="86"/>
      <c r="AX80" s="86"/>
      <c r="AY80" s="86"/>
      <c r="AZ80" s="86"/>
      <c r="BA80" s="86"/>
      <c r="BB80" s="83"/>
      <c r="BC80" s="83"/>
      <c r="BD80" s="83"/>
      <c r="BE80" s="83"/>
      <c r="BF80" s="83"/>
      <c r="BG80" s="83"/>
    </row>
    <row r="81" spans="1:59" x14ac:dyDescent="0.2">
      <c r="A81" s="86" t="s">
        <v>128</v>
      </c>
      <c r="B81" s="101">
        <v>24563</v>
      </c>
      <c r="C81" s="3">
        <v>3.903059517</v>
      </c>
      <c r="E81" s="3">
        <v>0.99532012599999997</v>
      </c>
      <c r="F81" s="3">
        <v>-0.21992041600000001</v>
      </c>
      <c r="I81" s="3">
        <v>-0.49772895</v>
      </c>
      <c r="J81" s="3">
        <v>0.92514199600000002</v>
      </c>
      <c r="K81" s="3">
        <v>0.27549265000000001</v>
      </c>
      <c r="M81" s="3">
        <v>-1.2988756779999999</v>
      </c>
      <c r="N81" s="3">
        <v>1.7136395639999999</v>
      </c>
      <c r="O81" s="3">
        <v>1.3451158459999999</v>
      </c>
      <c r="P81" s="3">
        <v>1.3098323949999999</v>
      </c>
      <c r="R81" s="3">
        <v>1.5274465589999999</v>
      </c>
      <c r="S81" s="3">
        <v>-0.557784155</v>
      </c>
      <c r="U81" s="3">
        <v>1.995070372</v>
      </c>
      <c r="V81" s="3">
        <v>2.6501783460000001</v>
      </c>
      <c r="W81" s="3">
        <v>3.3700418069999998</v>
      </c>
      <c r="X81" s="3">
        <v>-0.12891016</v>
      </c>
      <c r="Z81" s="3">
        <v>1.3531781140000001</v>
      </c>
      <c r="AA81" s="3">
        <v>1.3641188129999999</v>
      </c>
      <c r="AB81" s="3">
        <v>2.1151530549999999</v>
      </c>
      <c r="AC81" s="3">
        <v>1.1031693069999999</v>
      </c>
      <c r="AE81" s="3">
        <v>1.8592248950000001</v>
      </c>
      <c r="AH81" s="3">
        <v>1.0607375939999999</v>
      </c>
      <c r="AJ81" s="3">
        <v>0.88555258699999995</v>
      </c>
      <c r="AN81" s="3">
        <v>2.805190353</v>
      </c>
      <c r="AP81" s="3">
        <v>3.6355161690000002</v>
      </c>
      <c r="AU81" s="86"/>
      <c r="AV81" s="86"/>
      <c r="AW81" s="86"/>
      <c r="AX81" s="86"/>
      <c r="AY81" s="86"/>
      <c r="AZ81" s="86"/>
      <c r="BA81" s="86"/>
      <c r="BB81" s="83"/>
      <c r="BC81" s="83"/>
      <c r="BD81" s="83"/>
      <c r="BE81" s="83"/>
      <c r="BF81" s="83"/>
      <c r="BG81" s="83"/>
    </row>
    <row r="82" spans="1:59" x14ac:dyDescent="0.2">
      <c r="A82" s="86" t="s">
        <v>129</v>
      </c>
      <c r="B82" s="101">
        <v>24654</v>
      </c>
      <c r="C82" s="3">
        <v>-0.14067869399999999</v>
      </c>
      <c r="E82" s="3">
        <v>0.97875329499999997</v>
      </c>
      <c r="F82" s="3">
        <v>2.1041992660000002</v>
      </c>
      <c r="I82" s="3">
        <v>-0.31257932999999999</v>
      </c>
      <c r="J82" s="3">
        <v>0.87575680600000005</v>
      </c>
      <c r="K82" s="3">
        <v>1.201427228</v>
      </c>
      <c r="M82" s="3">
        <v>0.82948297500000001</v>
      </c>
      <c r="N82" s="3">
        <v>1.094577234</v>
      </c>
      <c r="O82" s="3">
        <v>1.4166324480000001</v>
      </c>
      <c r="P82" s="3">
        <v>1.284634665</v>
      </c>
      <c r="R82" s="3">
        <v>1.484569826</v>
      </c>
      <c r="S82" s="3">
        <v>-0.53566356100000001</v>
      </c>
      <c r="U82" s="3">
        <v>2.1508658789999999</v>
      </c>
      <c r="V82" s="3">
        <v>2.6901538999999999</v>
      </c>
      <c r="W82" s="3">
        <v>2.087957254</v>
      </c>
      <c r="X82" s="3">
        <v>-0.12973690399999999</v>
      </c>
      <c r="Z82" s="3">
        <v>1.325622743</v>
      </c>
      <c r="AA82" s="3">
        <v>1.0225791529999999</v>
      </c>
      <c r="AB82" s="3">
        <v>1.5486829959999999</v>
      </c>
      <c r="AC82" s="3">
        <v>0.76387244700000001</v>
      </c>
      <c r="AE82" s="3">
        <v>2.136933499</v>
      </c>
      <c r="AH82" s="3">
        <v>0.33586673299999997</v>
      </c>
      <c r="AJ82" s="3">
        <v>6.1297813E-2</v>
      </c>
      <c r="AN82" s="3">
        <v>-0.97919837700000001</v>
      </c>
      <c r="AP82" s="3">
        <v>0.15892629599999999</v>
      </c>
      <c r="AU82" s="86"/>
      <c r="AV82" s="86"/>
      <c r="AW82" s="86"/>
      <c r="AX82" s="86"/>
      <c r="AY82" s="86"/>
      <c r="AZ82" s="86"/>
      <c r="BA82" s="86"/>
      <c r="BB82" s="83"/>
      <c r="BC82" s="83"/>
      <c r="BD82" s="83"/>
      <c r="BE82" s="83"/>
      <c r="BF82" s="83"/>
      <c r="BG82" s="83"/>
    </row>
    <row r="83" spans="1:59" x14ac:dyDescent="0.2">
      <c r="A83" s="86" t="s">
        <v>130</v>
      </c>
      <c r="B83" s="101">
        <v>24746</v>
      </c>
      <c r="C83" s="3">
        <v>1.8797922330000001</v>
      </c>
      <c r="E83" s="3">
        <v>0.95427643699999998</v>
      </c>
      <c r="F83" s="3">
        <v>0.35778388700000002</v>
      </c>
      <c r="I83" s="3">
        <v>2.4145918659999999</v>
      </c>
      <c r="J83" s="3">
        <v>0.82758342200000001</v>
      </c>
      <c r="K83" s="3">
        <v>1.715238061</v>
      </c>
      <c r="M83" s="3">
        <v>-0.60382306299999999</v>
      </c>
      <c r="N83" s="3">
        <v>0.95619009700000002</v>
      </c>
      <c r="O83" s="3">
        <v>0.43763024699999997</v>
      </c>
      <c r="P83" s="3">
        <v>1.4088512989999999</v>
      </c>
      <c r="R83" s="3">
        <v>1.8583718380000001</v>
      </c>
      <c r="S83" s="3">
        <v>-1.180127919</v>
      </c>
      <c r="U83" s="3">
        <v>1.5410553360000001</v>
      </c>
      <c r="V83" s="3">
        <v>3.4676432130000001</v>
      </c>
      <c r="W83" s="3">
        <v>4.139624768</v>
      </c>
      <c r="X83" s="3">
        <v>0.35421015</v>
      </c>
      <c r="Z83" s="3">
        <v>1.646754016</v>
      </c>
      <c r="AA83" s="3">
        <v>1.662570181</v>
      </c>
      <c r="AB83" s="3">
        <v>1.010316344</v>
      </c>
      <c r="AC83" s="3">
        <v>1.3216639059999999</v>
      </c>
      <c r="AE83" s="3">
        <v>2.3974302669999998</v>
      </c>
      <c r="AH83" s="3">
        <v>-1.597445134</v>
      </c>
      <c r="AJ83" s="3">
        <v>0.94612091700000001</v>
      </c>
      <c r="AN83" s="3">
        <v>-1.163088589</v>
      </c>
      <c r="AP83" s="3">
        <v>5.0283374009999999</v>
      </c>
      <c r="AU83" s="86"/>
      <c r="AV83" s="86"/>
      <c r="AW83" s="86"/>
      <c r="AX83" s="86"/>
      <c r="AY83" s="86"/>
      <c r="AZ83" s="86"/>
      <c r="BA83" s="86"/>
      <c r="BB83" s="83"/>
      <c r="BC83" s="83"/>
      <c r="BD83" s="83"/>
      <c r="BE83" s="83"/>
      <c r="BF83" s="83"/>
      <c r="BG83" s="83"/>
    </row>
    <row r="84" spans="1:59" x14ac:dyDescent="0.2">
      <c r="A84" s="86" t="s">
        <v>131</v>
      </c>
      <c r="B84" s="101">
        <v>24838</v>
      </c>
      <c r="C84" s="3">
        <v>0.86766522099999999</v>
      </c>
      <c r="E84" s="3">
        <v>0.92340842899999998</v>
      </c>
      <c r="F84" s="3">
        <v>0.404636985</v>
      </c>
      <c r="I84" s="3">
        <v>1.285930408</v>
      </c>
      <c r="J84" s="3">
        <v>0.78055322500000002</v>
      </c>
      <c r="K84" s="3">
        <v>-0.71910330099999997</v>
      </c>
      <c r="M84" s="3">
        <v>-0.60775826399999999</v>
      </c>
      <c r="N84" s="3">
        <v>0.97472745699999996</v>
      </c>
      <c r="O84" s="3">
        <v>0.49856240899999998</v>
      </c>
      <c r="P84" s="3">
        <v>1.52923067</v>
      </c>
      <c r="R84" s="3">
        <v>2.2296288870000001</v>
      </c>
      <c r="S84" s="3">
        <v>-1.8832728439999999</v>
      </c>
      <c r="U84" s="3">
        <v>1.975952573</v>
      </c>
      <c r="V84" s="3">
        <v>1.9332497470000001</v>
      </c>
      <c r="W84" s="3">
        <v>0.66032119099999997</v>
      </c>
      <c r="X84" s="3">
        <v>0.86829248599999997</v>
      </c>
      <c r="Z84" s="3">
        <v>1.9671763920000001</v>
      </c>
      <c r="AA84" s="3">
        <v>0.91232187600000003</v>
      </c>
      <c r="AB84" s="3">
        <v>0.49064161699999997</v>
      </c>
      <c r="AC84" s="3">
        <v>1.036985375</v>
      </c>
      <c r="AE84" s="3">
        <v>2.6392798900000001</v>
      </c>
      <c r="AH84" s="3">
        <v>2.331611251</v>
      </c>
      <c r="AJ84" s="3">
        <v>0.75401712700000001</v>
      </c>
      <c r="AN84" s="3">
        <v>0.51321928500000003</v>
      </c>
      <c r="AP84" s="3">
        <v>-1.8157478659999999</v>
      </c>
      <c r="AU84" s="86"/>
      <c r="AV84" s="86"/>
      <c r="AW84" s="86"/>
      <c r="AX84" s="86"/>
      <c r="AY84" s="86"/>
      <c r="AZ84" s="86"/>
      <c r="BA84" s="86"/>
      <c r="BB84" s="83"/>
      <c r="BC84" s="83"/>
      <c r="BD84" s="83"/>
      <c r="BE84" s="83"/>
      <c r="BF84" s="83"/>
      <c r="BG84" s="83"/>
    </row>
    <row r="85" spans="1:59" x14ac:dyDescent="0.2">
      <c r="A85" s="86" t="s">
        <v>132</v>
      </c>
      <c r="B85" s="101">
        <v>24929</v>
      </c>
      <c r="C85" s="3">
        <v>-0.89054929400000005</v>
      </c>
      <c r="E85" s="3">
        <v>0.90842949399999995</v>
      </c>
      <c r="F85" s="3">
        <v>0.82909219999999995</v>
      </c>
      <c r="I85" s="3">
        <v>1.170303986</v>
      </c>
      <c r="J85" s="3">
        <v>0.73458195299999995</v>
      </c>
      <c r="K85" s="3">
        <v>2.1339450210000002</v>
      </c>
      <c r="M85" s="3">
        <v>1.016885402</v>
      </c>
      <c r="N85" s="3">
        <v>2.9096183990000002</v>
      </c>
      <c r="O85" s="3">
        <v>3.6666941940000002</v>
      </c>
      <c r="P85" s="3">
        <v>1.4969083560000001</v>
      </c>
      <c r="R85" s="3">
        <v>2.1629246809999998</v>
      </c>
      <c r="S85" s="3">
        <v>-1.901361332</v>
      </c>
      <c r="U85" s="3">
        <v>0.24312740599999999</v>
      </c>
      <c r="V85" s="3">
        <v>2.3859726060000002</v>
      </c>
      <c r="W85" s="3">
        <v>6.3632522949999997</v>
      </c>
      <c r="X85" s="3">
        <v>0.864826129</v>
      </c>
      <c r="Z85" s="3">
        <v>1.9129800340000001</v>
      </c>
      <c r="AA85" s="3">
        <v>3.305850221</v>
      </c>
      <c r="AB85" s="3">
        <v>-1.8835401000000002E-2</v>
      </c>
      <c r="AC85" s="3">
        <v>1.884122614</v>
      </c>
      <c r="AE85" s="3">
        <v>2.8617832430000001</v>
      </c>
      <c r="AH85" s="3">
        <v>-1.6841020170000001</v>
      </c>
      <c r="AJ85" s="3">
        <v>2.039507129</v>
      </c>
      <c r="AN85" s="3">
        <v>1.5885295779999999</v>
      </c>
      <c r="AP85" s="3">
        <v>1.641868589</v>
      </c>
      <c r="AU85" s="86"/>
      <c r="AV85" s="86"/>
      <c r="AW85" s="86"/>
      <c r="AX85" s="86"/>
      <c r="AY85" s="86"/>
      <c r="AZ85" s="86"/>
      <c r="BA85" s="86"/>
      <c r="BB85" s="83"/>
      <c r="BC85" s="83"/>
      <c r="BD85" s="83"/>
      <c r="BE85" s="83"/>
      <c r="BF85" s="83"/>
      <c r="BG85" s="83"/>
    </row>
    <row r="86" spans="1:59" x14ac:dyDescent="0.2">
      <c r="A86" s="86" t="s">
        <v>133</v>
      </c>
      <c r="B86" s="101">
        <v>25020</v>
      </c>
      <c r="C86" s="3">
        <v>3.849727584</v>
      </c>
      <c r="E86" s="3">
        <v>0.89686020499999997</v>
      </c>
      <c r="F86" s="3">
        <v>2.717634791</v>
      </c>
      <c r="I86" s="3">
        <v>0.77727952199999994</v>
      </c>
      <c r="J86" s="3">
        <v>1.0821751529999999</v>
      </c>
      <c r="K86" s="3">
        <v>3.034022523</v>
      </c>
      <c r="M86" s="3">
        <v>1.6238918440000001</v>
      </c>
      <c r="N86" s="3">
        <v>-7.5809563649999996</v>
      </c>
      <c r="O86" s="3">
        <v>-0.41424360700000001</v>
      </c>
      <c r="P86" s="3">
        <v>1.4678861990000001</v>
      </c>
      <c r="R86" s="3">
        <v>2.1117182560000001</v>
      </c>
      <c r="S86" s="3">
        <v>-1.935537198</v>
      </c>
      <c r="U86" s="3">
        <v>2.0946627599999998</v>
      </c>
      <c r="V86" s="3">
        <v>3.411931155</v>
      </c>
      <c r="W86" s="3">
        <v>1.471809575</v>
      </c>
      <c r="X86" s="3">
        <v>0.84429005000000001</v>
      </c>
      <c r="Z86" s="3">
        <v>1.8725193200000001</v>
      </c>
      <c r="AA86" s="3">
        <v>0.11042431599999999</v>
      </c>
      <c r="AB86" s="3">
        <v>0.39658094100000002</v>
      </c>
      <c r="AC86" s="3">
        <v>1.154920945</v>
      </c>
      <c r="AE86" s="3">
        <v>1.9413338280000001</v>
      </c>
      <c r="AH86" s="3">
        <v>5.4954567709999997</v>
      </c>
      <c r="AJ86" s="3">
        <v>1.6707995499999999</v>
      </c>
      <c r="AN86" s="3">
        <v>0.55338376499999997</v>
      </c>
      <c r="AP86" s="3">
        <v>0.44336943899999998</v>
      </c>
      <c r="AU86" s="86"/>
      <c r="AV86" s="86"/>
      <c r="AW86" s="86"/>
      <c r="AX86" s="86"/>
      <c r="AY86" s="86"/>
      <c r="AZ86" s="86"/>
      <c r="BA86" s="86"/>
      <c r="BB86" s="83"/>
      <c r="BC86" s="83"/>
      <c r="BD86" s="83"/>
      <c r="BE86" s="83"/>
      <c r="BF86" s="83"/>
      <c r="BG86" s="83"/>
    </row>
    <row r="87" spans="1:59" x14ac:dyDescent="0.2">
      <c r="A87" s="86" t="s">
        <v>134</v>
      </c>
      <c r="B87" s="101">
        <v>25112</v>
      </c>
      <c r="C87" s="3">
        <v>1.321756105</v>
      </c>
      <c r="E87" s="3">
        <v>1.3318043150000001</v>
      </c>
      <c r="F87" s="3">
        <v>1.3677209480000001</v>
      </c>
      <c r="I87" s="3">
        <v>2.1951943040000002</v>
      </c>
      <c r="J87" s="3">
        <v>1.419760811</v>
      </c>
      <c r="K87" s="3">
        <v>0.80629749299999998</v>
      </c>
      <c r="M87" s="3">
        <v>0.27727920099999998</v>
      </c>
      <c r="N87" s="3">
        <v>11.373243098</v>
      </c>
      <c r="O87" s="3">
        <v>1.973556401</v>
      </c>
      <c r="P87" s="3">
        <v>2.0898235189999999</v>
      </c>
      <c r="R87" s="3">
        <v>1.810612589</v>
      </c>
      <c r="S87" s="3">
        <v>-0.59385708999999998</v>
      </c>
      <c r="U87" s="3">
        <v>2.404436429</v>
      </c>
      <c r="V87" s="3">
        <v>2.2639714560000002</v>
      </c>
      <c r="W87" s="3">
        <v>5.1321286480000001</v>
      </c>
      <c r="X87" s="3">
        <v>2.024062829</v>
      </c>
      <c r="Z87" s="3">
        <v>1.584134361</v>
      </c>
      <c r="AA87" s="3">
        <v>0.59663222400000004</v>
      </c>
      <c r="AB87" s="3">
        <v>0.80876333600000005</v>
      </c>
      <c r="AC87" s="3">
        <v>2.0001503970000001</v>
      </c>
      <c r="AE87" s="3">
        <v>1.0794968970000001</v>
      </c>
      <c r="AH87" s="3">
        <v>0.72661108799999996</v>
      </c>
      <c r="AJ87" s="3">
        <v>0.77495566299999996</v>
      </c>
      <c r="AN87" s="3">
        <v>2.761789356</v>
      </c>
      <c r="AP87" s="3">
        <v>1.0793265299999999</v>
      </c>
      <c r="AU87" s="86"/>
      <c r="AV87" s="86"/>
      <c r="AW87" s="86"/>
      <c r="AX87" s="86"/>
      <c r="AY87" s="86"/>
      <c r="AZ87" s="86"/>
      <c r="BA87" s="86"/>
      <c r="BB87" s="83"/>
      <c r="BC87" s="83"/>
      <c r="BD87" s="83"/>
      <c r="BE87" s="83"/>
      <c r="BF87" s="83"/>
      <c r="BG87" s="83"/>
    </row>
    <row r="88" spans="1:59" x14ac:dyDescent="0.2">
      <c r="A88" s="86" t="s">
        <v>135</v>
      </c>
      <c r="B88" s="101">
        <v>25204</v>
      </c>
      <c r="C88" s="3">
        <v>3.727898529</v>
      </c>
      <c r="E88" s="3">
        <v>1.770448655</v>
      </c>
      <c r="F88" s="3">
        <v>1.3808329340000001</v>
      </c>
      <c r="I88" s="3">
        <v>1.5094339619999999</v>
      </c>
      <c r="J88" s="3">
        <v>1.744169093</v>
      </c>
      <c r="K88" s="3">
        <v>4.0534074799999997</v>
      </c>
      <c r="M88" s="3">
        <v>1.87516964</v>
      </c>
      <c r="N88" s="3">
        <v>1.0245901639999999</v>
      </c>
      <c r="O88" s="3">
        <v>0.387744582</v>
      </c>
      <c r="P88" s="3">
        <v>2.7044758940000002</v>
      </c>
      <c r="R88" s="3">
        <v>1.5139193099999999</v>
      </c>
      <c r="S88" s="3">
        <v>0.85238625199999996</v>
      </c>
      <c r="U88" s="3">
        <v>2.3409486190000002</v>
      </c>
      <c r="V88" s="3">
        <v>5.6975458200000002</v>
      </c>
      <c r="W88" s="3">
        <v>-1.7066302010000001</v>
      </c>
      <c r="X88" s="3">
        <v>3.1982784340000001</v>
      </c>
      <c r="Z88" s="3">
        <v>1.297967474</v>
      </c>
      <c r="AA88" s="3">
        <v>3.3444738979999999</v>
      </c>
      <c r="AB88" s="3">
        <v>1.2127638439999999</v>
      </c>
      <c r="AC88" s="3">
        <v>1.5639470129999999</v>
      </c>
      <c r="AE88" s="3">
        <v>0.25193510000000002</v>
      </c>
      <c r="AH88" s="3">
        <v>-0.54202259399999997</v>
      </c>
      <c r="AJ88" s="3">
        <v>0.39332004100000001</v>
      </c>
      <c r="AN88" s="3">
        <v>2.4320738959999999</v>
      </c>
      <c r="AP88" s="3">
        <v>1.890612969</v>
      </c>
      <c r="AU88" s="86"/>
      <c r="AV88" s="86"/>
      <c r="AW88" s="86"/>
      <c r="AX88" s="86"/>
      <c r="AY88" s="86"/>
      <c r="AZ88" s="86"/>
      <c r="BA88" s="86"/>
      <c r="BB88" s="83"/>
      <c r="BC88" s="83"/>
      <c r="BD88" s="83"/>
      <c r="BE88" s="83"/>
      <c r="BF88" s="83"/>
      <c r="BG88" s="83"/>
    </row>
    <row r="89" spans="1:59" x14ac:dyDescent="0.2">
      <c r="A89" s="86" t="s">
        <v>136</v>
      </c>
      <c r="B89" s="101">
        <v>25294</v>
      </c>
      <c r="C89" s="3">
        <v>-0.69266414499999995</v>
      </c>
      <c r="E89" s="3">
        <v>1.7302537920000001</v>
      </c>
      <c r="F89" s="3">
        <v>1.3080932009999999</v>
      </c>
      <c r="I89" s="3">
        <v>2.516442665</v>
      </c>
      <c r="J89" s="3">
        <v>2.0526702029999999</v>
      </c>
      <c r="K89" s="3">
        <v>3.548013804</v>
      </c>
      <c r="M89" s="3">
        <v>4.8897955770000001</v>
      </c>
      <c r="N89" s="3">
        <v>0.18374518300000001</v>
      </c>
      <c r="O89" s="3">
        <v>-0.23052020500000001</v>
      </c>
      <c r="P89" s="3">
        <v>2.6165887059999999</v>
      </c>
      <c r="R89" s="3">
        <v>1.4758805100000001</v>
      </c>
      <c r="S89" s="3">
        <v>0.85085722799999997</v>
      </c>
      <c r="U89" s="3">
        <v>1.566157064</v>
      </c>
      <c r="V89" s="3">
        <v>0.87946127299999999</v>
      </c>
      <c r="W89" s="3">
        <v>5.1109871419999999</v>
      </c>
      <c r="X89" s="3">
        <v>3.0719084240000001</v>
      </c>
      <c r="Z89" s="3">
        <v>1.2738353469999999</v>
      </c>
      <c r="AA89" s="3">
        <v>0.36541180699999998</v>
      </c>
      <c r="AB89" s="3">
        <v>1.603743763</v>
      </c>
      <c r="AC89" s="3">
        <v>1.3079639729999999</v>
      </c>
      <c r="AE89" s="3">
        <v>-0.59196282300000003</v>
      </c>
      <c r="AH89" s="3">
        <v>-0.43319199000000003</v>
      </c>
      <c r="AJ89" s="3">
        <v>1.565115509</v>
      </c>
      <c r="AN89" s="3">
        <v>-2.393514965</v>
      </c>
      <c r="AP89" s="3">
        <v>0.71868768900000002</v>
      </c>
      <c r="AU89" s="86"/>
      <c r="AV89" s="86"/>
      <c r="AW89" s="86"/>
      <c r="AX89" s="86"/>
      <c r="AY89" s="86"/>
      <c r="AZ89" s="86"/>
      <c r="BA89" s="86"/>
      <c r="BB89" s="83"/>
      <c r="BC89" s="83"/>
      <c r="BD89" s="83"/>
      <c r="BE89" s="83"/>
      <c r="BF89" s="83"/>
      <c r="BG89" s="83"/>
    </row>
    <row r="90" spans="1:59" x14ac:dyDescent="0.2">
      <c r="A90" s="86" t="s">
        <v>137</v>
      </c>
      <c r="B90" s="101">
        <v>25385</v>
      </c>
      <c r="C90" s="3">
        <v>1.9814325930000001</v>
      </c>
      <c r="E90" s="3">
        <v>1.682228847</v>
      </c>
      <c r="F90" s="3">
        <v>0.49284514699999998</v>
      </c>
      <c r="I90" s="3">
        <v>1.2830879049999999</v>
      </c>
      <c r="J90" s="3">
        <v>1.5477394959999999</v>
      </c>
      <c r="K90" s="3">
        <v>-0.33786048299999999</v>
      </c>
      <c r="M90" s="3">
        <v>0.94234938499999998</v>
      </c>
      <c r="N90" s="3">
        <v>2.4530371180000001</v>
      </c>
      <c r="O90" s="3">
        <v>0.76924367999999999</v>
      </c>
      <c r="P90" s="3">
        <v>2.524346623</v>
      </c>
      <c r="R90" s="3">
        <v>1.445659153</v>
      </c>
      <c r="S90" s="3">
        <v>0.82455092900000004</v>
      </c>
      <c r="U90" s="3">
        <v>1.8057513780000001</v>
      </c>
      <c r="V90" s="3">
        <v>2.9116577810000002</v>
      </c>
      <c r="W90" s="3">
        <v>3.4524105939999998</v>
      </c>
      <c r="X90" s="3">
        <v>2.9578984030000002</v>
      </c>
      <c r="Z90" s="3">
        <v>1.2445606600000001</v>
      </c>
      <c r="AA90" s="3">
        <v>1.565815092</v>
      </c>
      <c r="AB90" s="3">
        <v>1.2008893030000001</v>
      </c>
      <c r="AC90" s="3">
        <v>1.177049231</v>
      </c>
      <c r="AE90" s="3">
        <v>-0.183559099</v>
      </c>
      <c r="AH90" s="3">
        <v>2.6426031769999998</v>
      </c>
      <c r="AJ90" s="3">
        <v>0.30399532099999999</v>
      </c>
      <c r="AN90" s="3">
        <v>3.518600422</v>
      </c>
      <c r="AP90" s="3">
        <v>-8.4331489999999995E-2</v>
      </c>
      <c r="AU90" s="86"/>
      <c r="AV90" s="86"/>
      <c r="AW90" s="86"/>
      <c r="AX90" s="86"/>
      <c r="AY90" s="86"/>
      <c r="AZ90" s="86"/>
      <c r="BA90" s="86"/>
      <c r="BB90" s="83"/>
      <c r="BC90" s="83"/>
      <c r="BD90" s="83"/>
      <c r="BE90" s="83"/>
      <c r="BF90" s="83"/>
      <c r="BG90" s="83"/>
    </row>
    <row r="91" spans="1:59" x14ac:dyDescent="0.2">
      <c r="A91" s="86" t="s">
        <v>138</v>
      </c>
      <c r="B91" s="101">
        <v>25477</v>
      </c>
      <c r="C91" s="3">
        <v>1.6554108919999999</v>
      </c>
      <c r="E91" s="3">
        <v>1.6726515989999999</v>
      </c>
      <c r="F91" s="3">
        <v>1.0736989269999999</v>
      </c>
      <c r="I91" s="3">
        <v>2.148261051</v>
      </c>
      <c r="J91" s="3">
        <v>1.0675537960000001</v>
      </c>
      <c r="K91" s="3">
        <v>1.8654529500000001</v>
      </c>
      <c r="M91" s="3">
        <v>2.7720648959999998</v>
      </c>
      <c r="N91" s="3">
        <v>0.94538381999999999</v>
      </c>
      <c r="O91" s="3">
        <v>0.55351373000000004</v>
      </c>
      <c r="P91" s="3">
        <v>2.2347526850000001</v>
      </c>
      <c r="R91" s="3">
        <v>0.99369973899999997</v>
      </c>
      <c r="S91" s="3">
        <v>1.239112657</v>
      </c>
      <c r="U91" s="3">
        <v>0.23915920900000001</v>
      </c>
      <c r="V91" s="3">
        <v>2.3954156229999999</v>
      </c>
      <c r="W91" s="3">
        <v>8.0614616780000006</v>
      </c>
      <c r="X91" s="3">
        <v>1.4834811109999999</v>
      </c>
      <c r="Z91" s="3">
        <v>1.5542376469999999</v>
      </c>
      <c r="AA91" s="3">
        <v>2.3258327859999999</v>
      </c>
      <c r="AB91" s="3">
        <v>0.81360720600000003</v>
      </c>
      <c r="AC91" s="3">
        <v>1.3089127789999999</v>
      </c>
      <c r="AE91" s="3">
        <v>1.9477467129999999</v>
      </c>
      <c r="AH91" s="3">
        <v>3.838758903</v>
      </c>
      <c r="AJ91" s="3">
        <v>0.66051420500000002</v>
      </c>
      <c r="AN91" s="3">
        <v>4.1585568479999999</v>
      </c>
      <c r="AP91" s="3">
        <v>4.5667663090000001</v>
      </c>
      <c r="AU91" s="86"/>
      <c r="AV91" s="86"/>
      <c r="AW91" s="86"/>
      <c r="AX91" s="86"/>
      <c r="AY91" s="86"/>
      <c r="AZ91" s="86"/>
      <c r="BA91" s="86"/>
      <c r="BB91" s="83"/>
      <c r="BC91" s="83"/>
      <c r="BD91" s="83"/>
      <c r="BE91" s="83"/>
      <c r="BF91" s="83"/>
      <c r="BG91" s="83"/>
    </row>
    <row r="92" spans="1:59" x14ac:dyDescent="0.2">
      <c r="A92" s="86" t="s">
        <v>139</v>
      </c>
      <c r="B92" s="101">
        <v>25569</v>
      </c>
      <c r="C92" s="3">
        <v>2.3040781809999999</v>
      </c>
      <c r="E92" s="3">
        <v>1.6540957270000001</v>
      </c>
      <c r="F92" s="3">
        <v>1.431339988</v>
      </c>
      <c r="I92" s="3">
        <v>1.536742829</v>
      </c>
      <c r="J92" s="3">
        <v>0.60450455000000003</v>
      </c>
      <c r="K92" s="3">
        <v>1.1194782139999999</v>
      </c>
      <c r="M92" s="3">
        <v>1.4877672</v>
      </c>
      <c r="N92" s="3">
        <v>0.79025171500000002</v>
      </c>
      <c r="O92" s="3">
        <v>0.47648231299999999</v>
      </c>
      <c r="P92" s="3">
        <v>1.93354717</v>
      </c>
      <c r="R92" s="3">
        <v>0.51954076999999999</v>
      </c>
      <c r="S92" s="3">
        <v>1.662742073</v>
      </c>
      <c r="U92" s="3">
        <v>-2.021337956</v>
      </c>
      <c r="V92" s="3">
        <v>3.9030133199999999</v>
      </c>
      <c r="W92" s="3">
        <v>2.0109603489999999</v>
      </c>
      <c r="X92" s="3">
        <v>-1.620282E-2</v>
      </c>
      <c r="Z92" s="3">
        <v>1.8641786520000001</v>
      </c>
      <c r="AA92" s="3">
        <v>3.0026854850000002</v>
      </c>
      <c r="AB92" s="3">
        <v>0.436963025</v>
      </c>
      <c r="AC92" s="3">
        <v>0.69960051300000003</v>
      </c>
      <c r="AE92" s="3">
        <v>2.6376832270000001</v>
      </c>
      <c r="AH92" s="3">
        <v>0.71857372799999997</v>
      </c>
      <c r="AJ92" s="3">
        <v>-0.48769458799999998</v>
      </c>
      <c r="AN92" s="3">
        <v>-0.22332619300000001</v>
      </c>
      <c r="AP92" s="3">
        <v>-1.349816884</v>
      </c>
      <c r="AU92" s="86"/>
      <c r="AV92" s="86"/>
      <c r="AW92" s="86"/>
      <c r="AX92" s="86"/>
      <c r="AY92" s="86"/>
      <c r="AZ92" s="86"/>
      <c r="BA92" s="86"/>
      <c r="BB92" s="83"/>
      <c r="BC92" s="83"/>
      <c r="BD92" s="83"/>
      <c r="BE92" s="83"/>
      <c r="BF92" s="83"/>
      <c r="BG92" s="83"/>
    </row>
    <row r="93" spans="1:59" x14ac:dyDescent="0.2">
      <c r="A93" s="86" t="s">
        <v>140</v>
      </c>
      <c r="B93" s="101">
        <v>25659</v>
      </c>
      <c r="C93" s="3">
        <v>2.0776691899999999</v>
      </c>
      <c r="E93" s="3">
        <v>1.606117273</v>
      </c>
      <c r="F93" s="3">
        <v>0.64617400700000005</v>
      </c>
      <c r="I93" s="3">
        <v>-1.595662151</v>
      </c>
      <c r="J93" s="3">
        <v>0.151850918</v>
      </c>
      <c r="K93" s="3">
        <v>1.869665315</v>
      </c>
      <c r="M93" s="3">
        <v>0.86833875100000002</v>
      </c>
      <c r="N93" s="3">
        <v>1.9113744450000001</v>
      </c>
      <c r="O93" s="3">
        <v>-0.63467815500000002</v>
      </c>
      <c r="P93" s="3">
        <v>0.989272916</v>
      </c>
      <c r="R93" s="3">
        <v>1.7008977199999999</v>
      </c>
      <c r="S93" s="3">
        <v>-2.71169364</v>
      </c>
      <c r="U93" s="3">
        <v>5.9964582200000001</v>
      </c>
      <c r="V93" s="3">
        <v>3.0640741779999998</v>
      </c>
      <c r="W93" s="3">
        <v>-1.6943796470000001</v>
      </c>
      <c r="X93" s="3">
        <v>0.57022897900000002</v>
      </c>
      <c r="Z93" s="3">
        <v>1.809210142</v>
      </c>
      <c r="AA93" s="3">
        <v>-1.492127041</v>
      </c>
      <c r="AB93" s="3">
        <v>6.6650431999999996E-2</v>
      </c>
      <c r="AC93" s="3">
        <v>0.83597595099999999</v>
      </c>
      <c r="AE93" s="3">
        <v>2.917470963</v>
      </c>
      <c r="AH93" s="3">
        <v>1.3351543320000001</v>
      </c>
      <c r="AJ93" s="3">
        <v>-0.14847070100000001</v>
      </c>
      <c r="AN93" s="3">
        <v>1.9961423780000001</v>
      </c>
      <c r="AP93" s="3">
        <v>2.1524906399999999</v>
      </c>
      <c r="AU93" s="86"/>
      <c r="AV93" s="86"/>
      <c r="AW93" s="86"/>
      <c r="AX93" s="86"/>
      <c r="AY93" s="86"/>
      <c r="AZ93" s="86"/>
      <c r="BA93" s="86"/>
      <c r="BB93" s="83"/>
      <c r="BC93" s="83"/>
      <c r="BD93" s="83"/>
      <c r="BE93" s="83"/>
      <c r="BF93" s="83"/>
      <c r="BG93" s="83"/>
    </row>
    <row r="94" spans="1:59" x14ac:dyDescent="0.2">
      <c r="A94" s="86" t="s">
        <v>141</v>
      </c>
      <c r="B94" s="101">
        <v>25750</v>
      </c>
      <c r="C94" s="3">
        <v>2.0110857160000002</v>
      </c>
      <c r="E94" s="3">
        <v>1.575348532</v>
      </c>
      <c r="F94" s="3">
        <v>-4.0578690000000004E-3</v>
      </c>
      <c r="I94" s="3">
        <v>3.9758176989999998</v>
      </c>
      <c r="J94" s="3">
        <v>0.25888395199999997</v>
      </c>
      <c r="K94" s="3">
        <v>0.15886402399999999</v>
      </c>
      <c r="M94" s="3">
        <v>3.4618527710000002</v>
      </c>
      <c r="N94" s="3">
        <v>1.2620384549999999</v>
      </c>
      <c r="O94" s="3">
        <v>2.3597139810000001</v>
      </c>
      <c r="P94" s="3">
        <v>3.689916583</v>
      </c>
      <c r="R94" s="3">
        <v>-0.59019522199999996</v>
      </c>
      <c r="S94" s="3">
        <v>6.1509686549999998</v>
      </c>
      <c r="U94" s="3">
        <v>0.72998691199999999</v>
      </c>
      <c r="V94" s="3">
        <v>1.2126456969999999</v>
      </c>
      <c r="W94" s="3">
        <v>4.0211108319999997</v>
      </c>
      <c r="X94" s="3">
        <v>-0.50226312799999995</v>
      </c>
      <c r="Z94" s="3">
        <v>1.7683138570000001</v>
      </c>
      <c r="AA94" s="3">
        <v>2.729327461</v>
      </c>
      <c r="AB94" s="3">
        <v>0.382575838</v>
      </c>
      <c r="AC94" s="3">
        <v>1.1975465169999999</v>
      </c>
      <c r="AE94" s="3">
        <v>2.9933256770000001</v>
      </c>
      <c r="AG94" s="3">
        <v>0.21482213999999999</v>
      </c>
      <c r="AH94" s="3">
        <v>0.76995841300000001</v>
      </c>
      <c r="AJ94" s="3">
        <v>0.141930001</v>
      </c>
      <c r="AN94" s="3">
        <v>1.1864406780000001</v>
      </c>
      <c r="AP94" s="3">
        <v>2.0405876059999999</v>
      </c>
      <c r="AU94" s="86"/>
      <c r="AV94" s="86"/>
      <c r="AW94" s="86"/>
      <c r="AX94" s="86"/>
      <c r="AY94" s="86"/>
      <c r="AZ94" s="86"/>
      <c r="BA94" s="86"/>
      <c r="BB94" s="83"/>
      <c r="BC94" s="83"/>
      <c r="BD94" s="83"/>
      <c r="BE94" s="83"/>
      <c r="BF94" s="83"/>
      <c r="BG94" s="83"/>
    </row>
    <row r="95" spans="1:59" x14ac:dyDescent="0.2">
      <c r="A95" s="86" t="s">
        <v>142</v>
      </c>
      <c r="B95" s="101">
        <v>25842</v>
      </c>
      <c r="C95" s="3">
        <v>-0.20728770699999999</v>
      </c>
      <c r="E95" s="3">
        <v>1.176552013</v>
      </c>
      <c r="F95" s="3">
        <v>1.0325048480000001</v>
      </c>
      <c r="I95" s="3">
        <v>1.867836292</v>
      </c>
      <c r="J95" s="3">
        <v>0.36522020199999999</v>
      </c>
      <c r="K95" s="3">
        <v>0.51108326199999998</v>
      </c>
      <c r="M95" s="3">
        <v>1.8677330539999999</v>
      </c>
      <c r="N95" s="3">
        <v>1.3772386089999999</v>
      </c>
      <c r="O95" s="3">
        <v>0.99408949000000002</v>
      </c>
      <c r="P95" s="3">
        <v>1.8919839629999999</v>
      </c>
      <c r="R95" s="3">
        <v>1.9110094000000001E-2</v>
      </c>
      <c r="S95" s="3">
        <v>4.817922748</v>
      </c>
      <c r="U95" s="3">
        <v>2.0063378809999999</v>
      </c>
      <c r="V95" s="3">
        <v>2.6807970349999999</v>
      </c>
      <c r="W95" s="3">
        <v>0.61861926</v>
      </c>
      <c r="X95" s="3">
        <v>-5.7051894999999998E-2</v>
      </c>
      <c r="Z95" s="3">
        <v>1.2434092859999999</v>
      </c>
      <c r="AA95" s="3">
        <v>1.530088662</v>
      </c>
      <c r="AB95" s="3">
        <v>0.695855263</v>
      </c>
      <c r="AC95" s="3">
        <v>1.3593281580000001</v>
      </c>
      <c r="AE95" s="3">
        <v>0.64610706299999998</v>
      </c>
      <c r="AG95" s="3">
        <v>0.19942451899999999</v>
      </c>
      <c r="AH95" s="3">
        <v>2.9206831489999998</v>
      </c>
      <c r="AJ95" s="3">
        <v>0.92155083000000004</v>
      </c>
      <c r="AN95" s="3">
        <v>1.3967687900000001</v>
      </c>
      <c r="AP95" s="3">
        <v>-1.154461151</v>
      </c>
      <c r="AU95" s="86"/>
      <c r="AV95" s="86"/>
      <c r="AW95" s="86"/>
      <c r="AX95" s="86"/>
      <c r="AY95" s="86"/>
      <c r="AZ95" s="86"/>
      <c r="BA95" s="86"/>
      <c r="BB95" s="83"/>
      <c r="BC95" s="83"/>
      <c r="BD95" s="83"/>
      <c r="BE95" s="83"/>
      <c r="BF95" s="83"/>
      <c r="BG95" s="83"/>
    </row>
    <row r="96" spans="1:59" x14ac:dyDescent="0.2">
      <c r="A96" s="86" t="s">
        <v>143</v>
      </c>
      <c r="B96" s="101">
        <v>25934</v>
      </c>
      <c r="C96" s="3">
        <v>0.47819400000000001</v>
      </c>
      <c r="E96" s="3">
        <v>0.75863011000000002</v>
      </c>
      <c r="F96" s="3">
        <v>0.17830043500000001</v>
      </c>
      <c r="I96" s="3">
        <v>0.84760664399999996</v>
      </c>
      <c r="J96" s="3">
        <v>0.470506545</v>
      </c>
      <c r="K96" s="3">
        <v>0.789027645</v>
      </c>
      <c r="M96" s="3">
        <v>1.012939233</v>
      </c>
      <c r="N96" s="3">
        <v>1.570186063</v>
      </c>
      <c r="O96" s="3">
        <v>0.87250045499999995</v>
      </c>
      <c r="P96" s="3">
        <v>-0.56579996399999999</v>
      </c>
      <c r="R96" s="3">
        <v>0.552682428</v>
      </c>
      <c r="S96" s="3">
        <v>3.7561894809999998</v>
      </c>
      <c r="U96" s="3">
        <v>0.11182118000000001</v>
      </c>
      <c r="V96" s="3">
        <v>-0.32200836300000002</v>
      </c>
      <c r="W96" s="3">
        <v>7.7044639769999996</v>
      </c>
      <c r="X96" s="3">
        <v>0.35755892099999997</v>
      </c>
      <c r="Z96" s="3">
        <v>0.69678966799999997</v>
      </c>
      <c r="AA96" s="3">
        <v>2.0753175480000001</v>
      </c>
      <c r="AB96" s="3">
        <v>1.003664882</v>
      </c>
      <c r="AC96" s="3">
        <v>7.0134375999999998E-2</v>
      </c>
      <c r="AE96" s="3">
        <v>1.772498017</v>
      </c>
      <c r="AG96" s="3">
        <v>0.22913176199999999</v>
      </c>
      <c r="AH96" s="3">
        <v>0.46252098800000002</v>
      </c>
      <c r="AJ96" s="3">
        <v>-1.071638106</v>
      </c>
      <c r="AN96" s="3">
        <v>0.40499853499999999</v>
      </c>
      <c r="AP96" s="3">
        <v>3.5184989799999999</v>
      </c>
      <c r="AU96" s="86"/>
      <c r="AV96" s="86"/>
      <c r="AW96" s="86"/>
      <c r="AX96" s="86"/>
      <c r="AY96" s="86"/>
      <c r="AZ96" s="86"/>
      <c r="BA96" s="86"/>
      <c r="BB96" s="83"/>
      <c r="BC96" s="83"/>
      <c r="BD96" s="83"/>
      <c r="BE96" s="83"/>
      <c r="BF96" s="83"/>
      <c r="BG96" s="83"/>
    </row>
    <row r="97" spans="1:59" x14ac:dyDescent="0.2">
      <c r="A97" s="86" t="s">
        <v>144</v>
      </c>
      <c r="B97" s="101">
        <v>26024</v>
      </c>
      <c r="C97" s="3">
        <v>1.2087090389999999</v>
      </c>
      <c r="E97" s="3">
        <v>0.74286229299999995</v>
      </c>
      <c r="F97" s="3">
        <v>-0.57369476200000002</v>
      </c>
      <c r="I97" s="3">
        <v>-1.9211025230000001</v>
      </c>
      <c r="J97" s="3">
        <v>0.57441921200000001</v>
      </c>
      <c r="K97" s="3">
        <v>0.78091777200000001</v>
      </c>
      <c r="M97" s="3">
        <v>-4.6504485730000003</v>
      </c>
      <c r="N97" s="3">
        <v>0.12908329599999999</v>
      </c>
      <c r="O97" s="3">
        <v>-0.49319863200000003</v>
      </c>
      <c r="P97" s="3">
        <v>2.6174895899999999</v>
      </c>
      <c r="R97" s="3">
        <v>0.98966449499999998</v>
      </c>
      <c r="S97" s="3">
        <v>2.8625247030000001</v>
      </c>
      <c r="U97" s="3">
        <v>-0.52304092700000004</v>
      </c>
      <c r="V97" s="3">
        <v>0.91097191300000002</v>
      </c>
      <c r="W97" s="3">
        <v>0.56098509399999996</v>
      </c>
      <c r="X97" s="3">
        <v>0.72943004899999997</v>
      </c>
      <c r="Z97" s="3">
        <v>0.68551490400000004</v>
      </c>
      <c r="AA97" s="3">
        <v>0.48835563300000001</v>
      </c>
      <c r="AB97" s="3">
        <v>1.30320339</v>
      </c>
      <c r="AC97" s="3">
        <v>0.89779258900000003</v>
      </c>
      <c r="AE97" s="3">
        <v>-2.2926399E-2</v>
      </c>
      <c r="AG97" s="3">
        <v>0.68109572900000004</v>
      </c>
      <c r="AH97" s="3">
        <v>-1.089008897</v>
      </c>
      <c r="AJ97" s="3">
        <v>2.715992789</v>
      </c>
      <c r="AN97" s="3">
        <v>1.1145609430000001</v>
      </c>
      <c r="AP97" s="3">
        <v>1.4811279150000001</v>
      </c>
      <c r="AU97" s="86"/>
      <c r="AV97" s="86"/>
      <c r="AW97" s="86"/>
      <c r="AX97" s="86"/>
      <c r="AY97" s="86"/>
      <c r="AZ97" s="86"/>
      <c r="BA97" s="86"/>
      <c r="BB97" s="83"/>
      <c r="BC97" s="83"/>
      <c r="BD97" s="83"/>
      <c r="BE97" s="83"/>
      <c r="BF97" s="83"/>
      <c r="BG97" s="83"/>
    </row>
    <row r="98" spans="1:59" x14ac:dyDescent="0.2">
      <c r="A98" s="86" t="s">
        <v>145</v>
      </c>
      <c r="B98" s="101">
        <v>26115</v>
      </c>
      <c r="C98" s="3">
        <v>0.43198984800000001</v>
      </c>
      <c r="E98" s="3">
        <v>0.73507800599999995</v>
      </c>
      <c r="F98" s="3">
        <v>2.900629253</v>
      </c>
      <c r="I98" s="3">
        <v>2.0986408280000002</v>
      </c>
      <c r="J98" s="3">
        <v>0.816535071</v>
      </c>
      <c r="K98" s="3">
        <v>1.9505926579999999</v>
      </c>
      <c r="M98" s="3">
        <v>6.0944927499999997</v>
      </c>
      <c r="N98" s="3">
        <v>1.821986785</v>
      </c>
      <c r="O98" s="3">
        <v>1.7869800410000001</v>
      </c>
      <c r="P98" s="3">
        <v>2.3163201010000001</v>
      </c>
      <c r="R98" s="3">
        <v>1.292765027</v>
      </c>
      <c r="S98" s="3">
        <v>2.2600755010000002</v>
      </c>
      <c r="U98" s="3">
        <v>0.42199204499999998</v>
      </c>
      <c r="V98" s="3">
        <v>1.613126047</v>
      </c>
      <c r="W98" s="3">
        <v>3.2574230370000001</v>
      </c>
      <c r="X98" s="3">
        <v>1.022278013</v>
      </c>
      <c r="Z98" s="3">
        <v>0.67591642699999999</v>
      </c>
      <c r="AA98" s="3">
        <v>0.85825147999999996</v>
      </c>
      <c r="AB98" s="3">
        <v>1.3204923049999999</v>
      </c>
      <c r="AC98" s="3">
        <v>1.21794907</v>
      </c>
      <c r="AE98" s="3">
        <v>3.9647319780000001</v>
      </c>
      <c r="AG98" s="3">
        <v>1.1396419600000001</v>
      </c>
      <c r="AH98" s="3">
        <v>-1.1759942759999999</v>
      </c>
      <c r="AJ98" s="3">
        <v>0.54112008</v>
      </c>
      <c r="AN98" s="3">
        <v>1.5904259510000001</v>
      </c>
      <c r="AP98" s="3">
        <v>-0.81523000199999995</v>
      </c>
      <c r="AU98" s="86"/>
      <c r="AV98" s="86"/>
      <c r="AW98" s="86"/>
      <c r="AX98" s="86"/>
      <c r="AY98" s="86"/>
      <c r="AZ98" s="86"/>
      <c r="BA98" s="86"/>
      <c r="BB98" s="83"/>
      <c r="BC98" s="83"/>
      <c r="BD98" s="83"/>
      <c r="BE98" s="83"/>
      <c r="BF98" s="83"/>
      <c r="BG98" s="83"/>
    </row>
    <row r="99" spans="1:59" x14ac:dyDescent="0.2">
      <c r="A99" s="86" t="s">
        <v>146</v>
      </c>
      <c r="B99" s="101">
        <v>26207</v>
      </c>
      <c r="C99" s="3">
        <v>3.142471397</v>
      </c>
      <c r="E99" s="3">
        <v>1.0411394759999999</v>
      </c>
      <c r="F99" s="3">
        <v>2.780357231</v>
      </c>
      <c r="I99" s="3">
        <v>1.730037193</v>
      </c>
      <c r="J99" s="3">
        <v>1.0533128220000001</v>
      </c>
      <c r="K99" s="3">
        <v>1.839902173</v>
      </c>
      <c r="M99" s="3">
        <v>-2.5945737999999999E-2</v>
      </c>
      <c r="N99" s="3">
        <v>1.6306014069999999</v>
      </c>
      <c r="O99" s="3">
        <v>1.7828345240000001</v>
      </c>
      <c r="P99" s="3">
        <v>4.6607873079999997</v>
      </c>
      <c r="R99" s="3">
        <v>1.532577418</v>
      </c>
      <c r="S99" s="3">
        <v>1.8321686639999999</v>
      </c>
      <c r="U99" s="3">
        <v>1.464775733</v>
      </c>
      <c r="V99" s="3">
        <v>1.2184425969999999</v>
      </c>
      <c r="W99" s="3">
        <v>0.193234303</v>
      </c>
      <c r="X99" s="3">
        <v>1.295414973</v>
      </c>
      <c r="Z99" s="3">
        <v>1.492963048</v>
      </c>
      <c r="AA99" s="3">
        <v>0.67431344299999996</v>
      </c>
      <c r="AB99" s="3">
        <v>1.3369194769999999</v>
      </c>
      <c r="AC99" s="3">
        <v>1.3409737070000001</v>
      </c>
      <c r="AE99" s="3">
        <v>0.58097699899999999</v>
      </c>
      <c r="AG99" s="3">
        <v>1.304302592</v>
      </c>
      <c r="AH99" s="3">
        <v>1.8275422400000001</v>
      </c>
      <c r="AJ99" s="3">
        <v>0.82296708500000004</v>
      </c>
      <c r="AN99" s="3">
        <v>0.61742747099999995</v>
      </c>
      <c r="AP99" s="3">
        <v>1.3026591190000001</v>
      </c>
      <c r="AU99" s="86"/>
      <c r="AV99" s="86"/>
      <c r="AW99" s="86"/>
      <c r="AX99" s="86"/>
      <c r="AY99" s="86"/>
      <c r="AZ99" s="86"/>
      <c r="BA99" s="86"/>
      <c r="BB99" s="83"/>
      <c r="BC99" s="83"/>
      <c r="BD99" s="83"/>
      <c r="BE99" s="83"/>
      <c r="BF99" s="83"/>
      <c r="BG99" s="83"/>
    </row>
    <row r="100" spans="1:59" x14ac:dyDescent="0.2">
      <c r="A100" s="86" t="s">
        <v>147</v>
      </c>
      <c r="B100" s="101">
        <v>26299</v>
      </c>
      <c r="C100" s="3">
        <v>-0.32304891000000002</v>
      </c>
      <c r="E100" s="3">
        <v>1.354625558</v>
      </c>
      <c r="F100" s="3">
        <v>1.1057307359999999</v>
      </c>
      <c r="I100" s="3">
        <v>-8.4182123999999997E-2</v>
      </c>
      <c r="J100" s="3">
        <v>1.2832057189999999</v>
      </c>
      <c r="K100" s="3">
        <v>2.0135591970000002</v>
      </c>
      <c r="M100" s="3">
        <v>-0.61189449100000004</v>
      </c>
      <c r="N100" s="3">
        <v>0.85678106600000004</v>
      </c>
      <c r="O100" s="3">
        <v>0.38581636200000002</v>
      </c>
      <c r="P100" s="3">
        <v>-1.8123617190000001</v>
      </c>
      <c r="R100" s="3">
        <v>1.669549894</v>
      </c>
      <c r="S100" s="3">
        <v>1.5349073769999999</v>
      </c>
      <c r="U100" s="3">
        <v>0.56453476999999996</v>
      </c>
      <c r="V100" s="3">
        <v>0.91104969700000005</v>
      </c>
      <c r="W100" s="3">
        <v>0.75101414300000002</v>
      </c>
      <c r="X100" s="3">
        <v>1.515131032</v>
      </c>
      <c r="Z100" s="3">
        <v>2.3302501040000001</v>
      </c>
      <c r="AA100" s="3">
        <v>-1.1062275660000001</v>
      </c>
      <c r="AB100" s="3">
        <v>1.3524748950000001</v>
      </c>
      <c r="AC100" s="3">
        <v>0.52781018099999999</v>
      </c>
      <c r="AE100" s="3">
        <v>3.4214536610000001</v>
      </c>
      <c r="AG100" s="3">
        <v>1.742526225</v>
      </c>
      <c r="AH100" s="3">
        <v>-0.98052384699999995</v>
      </c>
      <c r="AJ100" s="3">
        <v>0.235783839</v>
      </c>
      <c r="AN100" s="3">
        <v>0.749717572</v>
      </c>
      <c r="AP100" s="3">
        <v>0.71876223699999997</v>
      </c>
      <c r="AU100" s="86"/>
      <c r="AV100" s="86"/>
      <c r="AW100" s="86"/>
      <c r="AX100" s="86"/>
      <c r="AY100" s="86"/>
      <c r="AZ100" s="86"/>
      <c r="BA100" s="86"/>
      <c r="BB100" s="83"/>
      <c r="BC100" s="83"/>
      <c r="BD100" s="83"/>
      <c r="BE100" s="83"/>
      <c r="BF100" s="83"/>
      <c r="BG100" s="83"/>
    </row>
    <row r="101" spans="1:59" x14ac:dyDescent="0.2">
      <c r="A101" s="86" t="s">
        <v>148</v>
      </c>
      <c r="B101" s="101">
        <v>26390</v>
      </c>
      <c r="C101" s="3">
        <v>-1.213044649</v>
      </c>
      <c r="E101" s="3">
        <v>1.328109516</v>
      </c>
      <c r="F101" s="3">
        <v>-0.34940669699999999</v>
      </c>
      <c r="I101" s="3">
        <v>0.101102707</v>
      </c>
      <c r="J101" s="3">
        <v>1.5047507689999999</v>
      </c>
      <c r="K101" s="3">
        <v>1.6225123589999999</v>
      </c>
      <c r="M101" s="3">
        <v>4.9092106759999998</v>
      </c>
      <c r="N101" s="3">
        <v>1.309796145</v>
      </c>
      <c r="O101" s="3">
        <v>0.11837473</v>
      </c>
      <c r="P101" s="3">
        <v>5.0628056380000004</v>
      </c>
      <c r="R101" s="3">
        <v>1.6876880059999999</v>
      </c>
      <c r="S101" s="3">
        <v>1.3481624489999999</v>
      </c>
      <c r="U101" s="3">
        <v>1.1048114659999999</v>
      </c>
      <c r="V101" s="3">
        <v>3.2580145570000001</v>
      </c>
      <c r="W101" s="3">
        <v>1.4374112750000001</v>
      </c>
      <c r="X101" s="3">
        <v>1.664932254</v>
      </c>
      <c r="Z101" s="3">
        <v>2.2647287970000001</v>
      </c>
      <c r="AA101" s="3">
        <v>2.850949081</v>
      </c>
      <c r="AB101" s="3">
        <v>1.3671773169999999</v>
      </c>
      <c r="AC101" s="3">
        <v>1.53577265</v>
      </c>
      <c r="AE101" s="3">
        <v>-5.2890599000000003E-2</v>
      </c>
      <c r="AG101" s="3">
        <v>0.52778868700000003</v>
      </c>
      <c r="AH101" s="3">
        <v>0.47354708299999998</v>
      </c>
      <c r="AJ101" s="3">
        <v>1.838958884</v>
      </c>
      <c r="AN101" s="3">
        <v>0.91743119299999998</v>
      </c>
      <c r="AP101" s="3">
        <v>-0.58951997499999997</v>
      </c>
      <c r="AU101" s="86"/>
      <c r="AV101" s="86"/>
      <c r="AW101" s="86"/>
      <c r="AX101" s="86"/>
      <c r="AY101" s="86"/>
      <c r="AZ101" s="86"/>
      <c r="BA101" s="86"/>
      <c r="BB101" s="83"/>
      <c r="BC101" s="83"/>
      <c r="BD101" s="83"/>
      <c r="BE101" s="83"/>
      <c r="BF101" s="83"/>
      <c r="BG101" s="83"/>
    </row>
    <row r="102" spans="1:59" x14ac:dyDescent="0.2">
      <c r="A102" s="86" t="s">
        <v>149</v>
      </c>
      <c r="B102" s="101">
        <v>26481</v>
      </c>
      <c r="C102" s="3">
        <v>2.2394355400000001</v>
      </c>
      <c r="E102" s="3">
        <v>1.304745354</v>
      </c>
      <c r="F102" s="3">
        <v>2.8300644990000001</v>
      </c>
      <c r="I102" s="3">
        <v>1.6329990889999999</v>
      </c>
      <c r="J102" s="3">
        <v>1.389444007</v>
      </c>
      <c r="K102" s="3">
        <v>2.362836116</v>
      </c>
      <c r="M102" s="3">
        <v>-3.9025583000000003E-2</v>
      </c>
      <c r="N102" s="3">
        <v>0.38417729</v>
      </c>
      <c r="O102" s="3">
        <v>2.6344344689999999</v>
      </c>
      <c r="P102" s="3">
        <v>2.984393538</v>
      </c>
      <c r="R102" s="3">
        <v>1.629577966</v>
      </c>
      <c r="S102" s="3">
        <v>1.31288888</v>
      </c>
      <c r="U102" s="3">
        <v>-4.5308383000000001E-2</v>
      </c>
      <c r="V102" s="3">
        <v>1.881993872</v>
      </c>
      <c r="W102" s="3">
        <v>2.9555040840000002</v>
      </c>
      <c r="X102" s="3">
        <v>1.7672068350000001</v>
      </c>
      <c r="Z102" s="3">
        <v>2.2027604200000002</v>
      </c>
      <c r="AA102" s="3">
        <v>0.46024549399999998</v>
      </c>
      <c r="AB102" s="3">
        <v>1.221700663</v>
      </c>
      <c r="AC102" s="3">
        <v>1.7976221830000001</v>
      </c>
      <c r="AE102" s="3">
        <v>1.9422763080000001</v>
      </c>
      <c r="AG102" s="3">
        <v>2.2748820080000001</v>
      </c>
      <c r="AH102" s="3">
        <v>0.18998918400000001</v>
      </c>
      <c r="AJ102" s="3">
        <v>2.2697723540000001</v>
      </c>
      <c r="AN102" s="3">
        <v>0.28535353600000002</v>
      </c>
      <c r="AP102" s="3">
        <v>1.046169957</v>
      </c>
      <c r="AU102" s="86"/>
      <c r="AV102" s="86"/>
      <c r="AW102" s="86"/>
      <c r="AX102" s="86"/>
      <c r="AY102" s="86"/>
      <c r="AZ102" s="86"/>
      <c r="BA102" s="86"/>
      <c r="BB102" s="83"/>
      <c r="BC102" s="83"/>
      <c r="BD102" s="83"/>
      <c r="BE102" s="83"/>
      <c r="BF102" s="83"/>
      <c r="BG102" s="83"/>
    </row>
    <row r="103" spans="1:59" x14ac:dyDescent="0.2">
      <c r="A103" s="86" t="s">
        <v>150</v>
      </c>
      <c r="B103" s="101">
        <v>26573</v>
      </c>
      <c r="C103" s="3">
        <v>-0.50758882800000005</v>
      </c>
      <c r="E103" s="3">
        <v>1.448760528</v>
      </c>
      <c r="F103" s="3">
        <v>0.27873783899999999</v>
      </c>
      <c r="I103" s="3">
        <v>2.335604225</v>
      </c>
      <c r="J103" s="3">
        <v>1.2786778160000001</v>
      </c>
      <c r="K103" s="3">
        <v>2.1968839760000001</v>
      </c>
      <c r="M103" s="3">
        <v>2.143043783</v>
      </c>
      <c r="N103" s="3">
        <v>0.88796016099999997</v>
      </c>
      <c r="O103" s="3">
        <v>0.26879977700000002</v>
      </c>
      <c r="P103" s="3">
        <v>-0.62256292099999999</v>
      </c>
      <c r="R103" s="3">
        <v>1.5041280189999999</v>
      </c>
      <c r="S103" s="3">
        <v>1.3981442550000001</v>
      </c>
      <c r="U103" s="3">
        <v>1.348168499</v>
      </c>
      <c r="V103" s="3">
        <v>2.1345283199999998</v>
      </c>
      <c r="W103" s="3">
        <v>1.6482267349999999</v>
      </c>
      <c r="X103" s="3">
        <v>1.8437681210000001</v>
      </c>
      <c r="Z103" s="3">
        <v>2.189293583</v>
      </c>
      <c r="AA103" s="3">
        <v>0.15199937199999999</v>
      </c>
      <c r="AB103" s="3">
        <v>1.0814004740000001</v>
      </c>
      <c r="AC103" s="3">
        <v>1.2807786130000001</v>
      </c>
      <c r="AE103" s="3">
        <v>4.9003837710000004</v>
      </c>
      <c r="AG103" s="3">
        <v>0.878947327</v>
      </c>
      <c r="AH103" s="3">
        <v>2.848964976</v>
      </c>
      <c r="AJ103" s="3">
        <v>0.944381888</v>
      </c>
      <c r="AN103" s="3">
        <v>0.841034422</v>
      </c>
      <c r="AP103" s="3">
        <v>6.1773481999999998E-2</v>
      </c>
      <c r="AU103" s="86"/>
      <c r="AV103" s="86"/>
      <c r="AW103" s="86"/>
      <c r="AX103" s="86"/>
      <c r="AY103" s="86"/>
      <c r="AZ103" s="86"/>
      <c r="BA103" s="86"/>
      <c r="BB103" s="83"/>
      <c r="BC103" s="83"/>
      <c r="BD103" s="83"/>
      <c r="BE103" s="83"/>
      <c r="BF103" s="83"/>
      <c r="BG103" s="83"/>
    </row>
    <row r="104" spans="1:59" x14ac:dyDescent="0.2">
      <c r="A104" s="86" t="s">
        <v>151</v>
      </c>
      <c r="B104" s="101">
        <v>26665</v>
      </c>
      <c r="C104" s="3">
        <v>1.0538661309999999</v>
      </c>
      <c r="E104" s="3">
        <v>1.593273827</v>
      </c>
      <c r="F104" s="3">
        <v>2.3693876829999998</v>
      </c>
      <c r="I104" s="3">
        <v>1.5538962949999999</v>
      </c>
      <c r="J104" s="3">
        <v>1.171983819</v>
      </c>
      <c r="K104" s="3">
        <v>1.981024409</v>
      </c>
      <c r="M104" s="3">
        <v>2.0660122049999998</v>
      </c>
      <c r="N104" s="3">
        <v>1.6602363849999999</v>
      </c>
      <c r="O104" s="3">
        <v>1.5642096889999999</v>
      </c>
      <c r="P104" s="3">
        <v>5.5868910940000003</v>
      </c>
      <c r="R104" s="3">
        <v>1.3380814089999999</v>
      </c>
      <c r="S104" s="3">
        <v>1.542472372</v>
      </c>
      <c r="U104" s="3">
        <v>0.47525332399999998</v>
      </c>
      <c r="V104" s="3">
        <v>2.5156796269999999</v>
      </c>
      <c r="W104" s="3">
        <v>4.2513139750000004</v>
      </c>
      <c r="X104" s="3">
        <v>1.917260019</v>
      </c>
      <c r="Z104" s="3">
        <v>2.1766267899999998</v>
      </c>
      <c r="AA104" s="3">
        <v>1.2433918319999999</v>
      </c>
      <c r="AB104" s="3">
        <v>0.94567025199999999</v>
      </c>
      <c r="AC104" s="3">
        <v>1.75655282</v>
      </c>
      <c r="AE104" s="3">
        <v>0.54074560800000004</v>
      </c>
      <c r="AG104" s="3">
        <v>0.38341998500000002</v>
      </c>
      <c r="AH104" s="3">
        <v>1.704581047</v>
      </c>
      <c r="AJ104" s="3">
        <v>1.674458738</v>
      </c>
      <c r="AN104" s="3">
        <v>1.765425625</v>
      </c>
      <c r="AP104" s="3">
        <v>1.770998777</v>
      </c>
      <c r="AU104" s="86"/>
      <c r="AV104" s="86"/>
      <c r="AW104" s="86"/>
      <c r="AX104" s="86"/>
      <c r="AY104" s="86"/>
      <c r="AZ104" s="86"/>
      <c r="BA104" s="86"/>
      <c r="BB104" s="83"/>
      <c r="BC104" s="83"/>
      <c r="BD104" s="83"/>
      <c r="BE104" s="83"/>
      <c r="BF104" s="83"/>
      <c r="BG104" s="83"/>
    </row>
    <row r="105" spans="1:59" x14ac:dyDescent="0.2">
      <c r="A105" s="86" t="s">
        <v>152</v>
      </c>
      <c r="B105" s="101">
        <v>26755</v>
      </c>
      <c r="C105" s="3">
        <v>2.5823191959999998</v>
      </c>
      <c r="E105" s="3">
        <v>1.5577433709999999</v>
      </c>
      <c r="F105" s="3">
        <v>2.6113278599999998</v>
      </c>
      <c r="I105" s="3">
        <v>1.3827236789999999</v>
      </c>
      <c r="J105" s="3">
        <v>1.0688894609999999</v>
      </c>
      <c r="K105" s="3">
        <v>1.8406547520000001</v>
      </c>
      <c r="M105" s="3">
        <v>3.574796133</v>
      </c>
      <c r="N105" s="3">
        <v>1.99228223</v>
      </c>
      <c r="O105" s="3">
        <v>4.959721848</v>
      </c>
      <c r="P105" s="3">
        <v>0.35683368199999999</v>
      </c>
      <c r="R105" s="3">
        <v>1.151515719</v>
      </c>
      <c r="S105" s="3">
        <v>1.671396055</v>
      </c>
      <c r="U105" s="3">
        <v>0.90149631699999999</v>
      </c>
      <c r="V105" s="3">
        <v>3.344675477</v>
      </c>
      <c r="W105" s="3">
        <v>3.307410387</v>
      </c>
      <c r="X105" s="3">
        <v>2.00175876</v>
      </c>
      <c r="Z105" s="3">
        <v>2.1134774780000001</v>
      </c>
      <c r="AA105" s="3">
        <v>3.158903435</v>
      </c>
      <c r="AB105" s="3">
        <v>0.81376315300000002</v>
      </c>
      <c r="AC105" s="3">
        <v>2.3284956760000002</v>
      </c>
      <c r="AE105" s="3">
        <v>3.9965673129999999</v>
      </c>
      <c r="AG105" s="3">
        <v>0.62878970099999998</v>
      </c>
      <c r="AH105" s="3">
        <v>0.66499909599999996</v>
      </c>
      <c r="AJ105" s="3">
        <v>2.4748063770000002</v>
      </c>
      <c r="AN105" s="3">
        <v>0.49811061499999998</v>
      </c>
      <c r="AP105" s="3">
        <v>1.289677636</v>
      </c>
      <c r="AU105" s="86"/>
      <c r="AV105" s="86"/>
      <c r="AW105" s="86"/>
      <c r="AX105" s="86"/>
      <c r="AY105" s="86"/>
      <c r="AZ105" s="86"/>
      <c r="BA105" s="86"/>
      <c r="BB105" s="83"/>
      <c r="BC105" s="83"/>
      <c r="BD105" s="83"/>
      <c r="BE105" s="83"/>
      <c r="BF105" s="83"/>
      <c r="BG105" s="83"/>
    </row>
    <row r="106" spans="1:59" x14ac:dyDescent="0.2">
      <c r="A106" s="86" t="s">
        <v>153</v>
      </c>
      <c r="B106" s="101">
        <v>26846</v>
      </c>
      <c r="C106" s="3">
        <v>0.192334112</v>
      </c>
      <c r="E106" s="3">
        <v>1.5190713199999999</v>
      </c>
      <c r="F106" s="3">
        <v>1.084605289</v>
      </c>
      <c r="I106" s="3">
        <v>0.73887746200000004</v>
      </c>
      <c r="J106" s="3">
        <v>0.68814978699999996</v>
      </c>
      <c r="K106" s="3">
        <v>1.782785541</v>
      </c>
      <c r="M106" s="3">
        <v>-3.086633172</v>
      </c>
      <c r="N106" s="3">
        <v>1.0803821689999999</v>
      </c>
      <c r="O106" s="3">
        <v>0.13763629499999999</v>
      </c>
      <c r="P106" s="3">
        <v>3.4630759520000001</v>
      </c>
      <c r="R106" s="3">
        <v>0.976855111</v>
      </c>
      <c r="S106" s="3">
        <v>1.7819591720000001</v>
      </c>
      <c r="U106" s="3">
        <v>2.996680537</v>
      </c>
      <c r="V106" s="3">
        <v>0.91447626999999998</v>
      </c>
      <c r="W106" s="3">
        <v>4.2022151079999999</v>
      </c>
      <c r="X106" s="3">
        <v>2.1062094409999998</v>
      </c>
      <c r="Z106" s="3">
        <v>2.0521571600000001</v>
      </c>
      <c r="AA106" s="3">
        <v>-0.32880694399999999</v>
      </c>
      <c r="AB106" s="3">
        <v>0.99967208799999996</v>
      </c>
      <c r="AC106" s="3">
        <v>1.1015509299999999</v>
      </c>
      <c r="AE106" s="3">
        <v>2.1144615230000001</v>
      </c>
      <c r="AG106" s="3">
        <v>0.69744898200000005</v>
      </c>
      <c r="AH106" s="3">
        <v>3.6354188000000003E-2</v>
      </c>
      <c r="AJ106" s="3">
        <v>1.0886625299999999</v>
      </c>
      <c r="AN106" s="3">
        <v>-8.7897062999999998E-2</v>
      </c>
      <c r="AP106" s="3">
        <v>-0.44474834099999999</v>
      </c>
      <c r="AU106" s="86"/>
      <c r="AV106" s="86"/>
      <c r="AW106" s="86"/>
      <c r="AX106" s="86"/>
      <c r="AY106" s="86"/>
      <c r="AZ106" s="86"/>
      <c r="BA106" s="86"/>
      <c r="BB106" s="83"/>
      <c r="BC106" s="83"/>
      <c r="BD106" s="83"/>
      <c r="BE106" s="83"/>
      <c r="BF106" s="83"/>
      <c r="BG106" s="83"/>
    </row>
    <row r="107" spans="1:59" x14ac:dyDescent="0.2">
      <c r="A107" s="86" t="s">
        <v>154</v>
      </c>
      <c r="B107" s="101">
        <v>26938</v>
      </c>
      <c r="C107" s="3">
        <v>1.0041861249999999</v>
      </c>
      <c r="E107" s="3">
        <v>1.4269494060000001</v>
      </c>
      <c r="F107" s="3">
        <v>0.36201393399999998</v>
      </c>
      <c r="I107" s="3">
        <v>0.327712697</v>
      </c>
      <c r="J107" s="3">
        <v>0.31651987599999998</v>
      </c>
      <c r="K107" s="3">
        <v>1.6516540710000001</v>
      </c>
      <c r="M107" s="3">
        <v>4.4375183189999996</v>
      </c>
      <c r="N107" s="3">
        <v>0.85884514300000003</v>
      </c>
      <c r="O107" s="3">
        <v>-0.951879531</v>
      </c>
      <c r="P107" s="3">
        <v>0.59378558599999998</v>
      </c>
      <c r="R107" s="3">
        <v>0.82658747200000005</v>
      </c>
      <c r="S107" s="3">
        <v>1.918032306</v>
      </c>
      <c r="U107" s="3">
        <v>3.1817829899999999</v>
      </c>
      <c r="V107" s="3">
        <v>0.291681205</v>
      </c>
      <c r="W107" s="3">
        <v>5.0902417660000001</v>
      </c>
      <c r="X107" s="3">
        <v>2.2646566789999998</v>
      </c>
      <c r="Z107" s="3">
        <v>1.753957612</v>
      </c>
      <c r="AA107" s="3">
        <v>-0.72573153000000001</v>
      </c>
      <c r="AB107" s="3">
        <v>1.18030089</v>
      </c>
      <c r="AC107" s="3">
        <v>0.36545699100000001</v>
      </c>
      <c r="AE107" s="3">
        <v>2.9849937820000001</v>
      </c>
      <c r="AG107" s="3">
        <v>0.87936353700000003</v>
      </c>
      <c r="AH107" s="3">
        <v>0.78153996599999997</v>
      </c>
      <c r="AJ107" s="3">
        <v>-0.52589853600000003</v>
      </c>
      <c r="AN107" s="3">
        <v>0.92373109200000003</v>
      </c>
      <c r="AP107" s="3">
        <v>2.892126309</v>
      </c>
      <c r="AU107" s="86"/>
      <c r="AV107" s="86"/>
      <c r="AW107" s="86"/>
      <c r="AX107" s="86"/>
      <c r="AY107" s="86"/>
      <c r="AZ107" s="86"/>
      <c r="BA107" s="86"/>
      <c r="BB107" s="83"/>
      <c r="BC107" s="83"/>
      <c r="BD107" s="83"/>
      <c r="BE107" s="83"/>
      <c r="BF107" s="83"/>
      <c r="BG107" s="83"/>
    </row>
    <row r="108" spans="1:59" x14ac:dyDescent="0.2">
      <c r="A108" s="86" t="s">
        <v>155</v>
      </c>
      <c r="B108" s="101">
        <v>27030</v>
      </c>
      <c r="C108" s="3">
        <v>2.4946896010000001</v>
      </c>
      <c r="E108" s="3">
        <v>1.324668226</v>
      </c>
      <c r="F108" s="3">
        <v>1.8688244270000001</v>
      </c>
      <c r="I108" s="3">
        <v>0.24886881999999999</v>
      </c>
      <c r="J108" s="3">
        <v>-5.0231497E-2</v>
      </c>
      <c r="K108" s="3">
        <v>1.6454251470000001</v>
      </c>
      <c r="M108" s="3">
        <v>1.8793849579999999</v>
      </c>
      <c r="N108" s="3">
        <v>1.2783191350000001</v>
      </c>
      <c r="O108" s="3">
        <v>-0.43276806899999998</v>
      </c>
      <c r="P108" s="3">
        <v>0.40025875300000002</v>
      </c>
      <c r="R108" s="3">
        <v>0.76077082799999995</v>
      </c>
      <c r="S108" s="3">
        <v>1.9165332340000001</v>
      </c>
      <c r="U108" s="3">
        <v>2.4426163760000001</v>
      </c>
      <c r="V108" s="3">
        <v>1.235735789</v>
      </c>
      <c r="W108" s="3">
        <v>1.4471797179999999</v>
      </c>
      <c r="X108" s="3">
        <v>2.1674292749999999</v>
      </c>
      <c r="Z108" s="3">
        <v>1.4420380189999999</v>
      </c>
      <c r="AA108" s="3">
        <v>3.9031240230000002</v>
      </c>
      <c r="AB108" s="3">
        <v>1.3548331149999999</v>
      </c>
      <c r="AC108" s="3">
        <v>1.135113313</v>
      </c>
      <c r="AE108" s="3">
        <v>1.5937907609999999</v>
      </c>
      <c r="AG108" s="3">
        <v>0.76578902999999998</v>
      </c>
      <c r="AH108" s="3">
        <v>1.3654840109999999</v>
      </c>
      <c r="AJ108" s="3">
        <v>0.94921604299999995</v>
      </c>
      <c r="AN108" s="3">
        <v>1.762754546</v>
      </c>
      <c r="AP108" s="3">
        <v>1.9262149900000001</v>
      </c>
      <c r="AU108" s="86"/>
      <c r="AV108" s="86"/>
      <c r="AW108" s="86"/>
      <c r="AX108" s="86"/>
      <c r="AY108" s="86"/>
      <c r="AZ108" s="86"/>
      <c r="BA108" s="86"/>
      <c r="BB108" s="83"/>
      <c r="BC108" s="83"/>
      <c r="BD108" s="83"/>
      <c r="BE108" s="83"/>
      <c r="BF108" s="83"/>
      <c r="BG108" s="83"/>
    </row>
    <row r="109" spans="1:59" x14ac:dyDescent="0.2">
      <c r="A109" s="86" t="s">
        <v>156</v>
      </c>
      <c r="B109" s="101">
        <v>27120</v>
      </c>
      <c r="C109" s="3">
        <v>1.9477990000000001E-2</v>
      </c>
      <c r="E109" s="3">
        <v>1.282729029</v>
      </c>
      <c r="F109" s="3">
        <v>0.74140054700000002</v>
      </c>
      <c r="I109" s="3">
        <v>0.84569031900000002</v>
      </c>
      <c r="J109" s="3">
        <v>-0.41619324200000002</v>
      </c>
      <c r="K109" s="3">
        <v>1.6983250679999999</v>
      </c>
      <c r="M109" s="3">
        <v>-0.58189758300000005</v>
      </c>
      <c r="N109" s="3">
        <v>0.95928703100000001</v>
      </c>
      <c r="O109" s="3">
        <v>-2.747738171</v>
      </c>
      <c r="P109" s="3">
        <v>-2.0134498449999998</v>
      </c>
      <c r="R109" s="3">
        <v>0.86161405499999999</v>
      </c>
      <c r="S109" s="3">
        <v>1.640139287</v>
      </c>
      <c r="U109" s="3">
        <v>0.81099587399999995</v>
      </c>
      <c r="V109" s="3">
        <v>-3.435981747</v>
      </c>
      <c r="W109" s="3">
        <v>4.1752344460000002</v>
      </c>
      <c r="X109" s="3">
        <v>1.538048882</v>
      </c>
      <c r="Z109" s="3">
        <v>1.4033450489999999</v>
      </c>
      <c r="AA109" s="3">
        <v>0.57500450199999997</v>
      </c>
      <c r="AB109" s="3">
        <v>1.5225304740000001</v>
      </c>
      <c r="AC109" s="3">
        <v>-0.43545414100000002</v>
      </c>
      <c r="AE109" s="3">
        <v>0.54724524399999996</v>
      </c>
      <c r="AG109" s="3">
        <v>1.635369761</v>
      </c>
      <c r="AH109" s="3">
        <v>-0.53207444400000004</v>
      </c>
      <c r="AJ109" s="3">
        <v>-0.85977257399999996</v>
      </c>
      <c r="AN109" s="3">
        <v>1.4609655699999999</v>
      </c>
      <c r="AP109" s="3">
        <v>1.868574967</v>
      </c>
      <c r="AU109" s="86"/>
      <c r="AV109" s="86"/>
      <c r="AW109" s="86"/>
      <c r="AX109" s="86"/>
      <c r="AY109" s="86"/>
      <c r="AZ109" s="86"/>
      <c r="BA109" s="86"/>
      <c r="BB109" s="83"/>
      <c r="BC109" s="83"/>
      <c r="BD109" s="83"/>
      <c r="BE109" s="83"/>
      <c r="BF109" s="83"/>
      <c r="BG109" s="83"/>
    </row>
    <row r="110" spans="1:59" x14ac:dyDescent="0.2">
      <c r="A110" s="86" t="s">
        <v>157</v>
      </c>
      <c r="B110" s="101">
        <v>27211</v>
      </c>
      <c r="C110" s="3">
        <v>-2.017526777</v>
      </c>
      <c r="E110" s="3">
        <v>1.2697249559999999</v>
      </c>
      <c r="F110" s="3">
        <v>1.094286656</v>
      </c>
      <c r="I110" s="3">
        <v>-7.6938461999999999E-2</v>
      </c>
      <c r="J110" s="3">
        <v>-0.49019003700000002</v>
      </c>
      <c r="K110" s="3">
        <v>1.263590499</v>
      </c>
      <c r="M110" s="3">
        <v>0.30861959500000002</v>
      </c>
      <c r="N110" s="3">
        <v>0.50064266099999999</v>
      </c>
      <c r="O110" s="3">
        <v>1.4374614400000001</v>
      </c>
      <c r="P110" s="3">
        <v>-5.2644556769999999</v>
      </c>
      <c r="R110" s="3">
        <v>1.1269144120000001</v>
      </c>
      <c r="S110" s="3">
        <v>1.1772784380000001</v>
      </c>
      <c r="U110" s="3">
        <v>0.95506381399999996</v>
      </c>
      <c r="V110" s="3">
        <v>0.720303476</v>
      </c>
      <c r="W110" s="3">
        <v>-0.26355435799999999</v>
      </c>
      <c r="X110" s="3">
        <v>0.52656429199999999</v>
      </c>
      <c r="Z110" s="3">
        <v>1.378937292</v>
      </c>
      <c r="AA110" s="3">
        <v>1.146852459</v>
      </c>
      <c r="AB110" s="3">
        <v>1.292526514</v>
      </c>
      <c r="AC110" s="3">
        <v>0.46367186300000002</v>
      </c>
      <c r="AE110" s="3">
        <v>-2.0335644780000002</v>
      </c>
      <c r="AG110" s="3">
        <v>4.2710652009999999</v>
      </c>
      <c r="AH110" s="3">
        <v>1.7026330110000001</v>
      </c>
      <c r="AJ110" s="3">
        <v>0.237683227</v>
      </c>
      <c r="AN110" s="3">
        <v>0.30252573900000002</v>
      </c>
      <c r="AP110" s="3">
        <v>1.3744174680000001</v>
      </c>
      <c r="AU110" s="86"/>
      <c r="AV110" s="86"/>
      <c r="AW110" s="86"/>
      <c r="AX110" s="86"/>
      <c r="AY110" s="86"/>
      <c r="AZ110" s="86"/>
      <c r="BA110" s="86"/>
      <c r="BB110" s="83"/>
      <c r="BC110" s="83"/>
      <c r="BD110" s="83"/>
      <c r="BE110" s="83"/>
      <c r="BF110" s="83"/>
      <c r="BG110" s="83"/>
    </row>
    <row r="111" spans="1:59" x14ac:dyDescent="0.2">
      <c r="A111" s="86" t="s">
        <v>158</v>
      </c>
      <c r="B111" s="101">
        <v>27303</v>
      </c>
      <c r="C111" s="3">
        <v>1.2004611039999999</v>
      </c>
      <c r="E111" s="3">
        <v>0.16584997200000001</v>
      </c>
      <c r="F111" s="3">
        <v>-8.7894261000000001E-2</v>
      </c>
      <c r="I111" s="3">
        <v>4.3499999999999999E-6</v>
      </c>
      <c r="J111" s="3">
        <v>-0.56518503799999997</v>
      </c>
      <c r="K111" s="3">
        <v>0.705686378</v>
      </c>
      <c r="M111" s="3">
        <v>1.2354481930000001</v>
      </c>
      <c r="N111" s="3">
        <v>0.94345092600000002</v>
      </c>
      <c r="O111" s="3">
        <v>0.63215968700000003</v>
      </c>
      <c r="P111" s="3">
        <v>-6.5113656080000002</v>
      </c>
      <c r="R111" s="3">
        <v>1.562881945</v>
      </c>
      <c r="S111" s="3">
        <v>0.52671488300000002</v>
      </c>
      <c r="U111" s="3">
        <v>0.16671243999999999</v>
      </c>
      <c r="V111" s="3">
        <v>1.2796601569999999</v>
      </c>
      <c r="W111" s="3">
        <v>1.5607664400000001</v>
      </c>
      <c r="X111" s="3">
        <v>-0.91741686600000005</v>
      </c>
      <c r="Z111" s="3">
        <v>1.420328024</v>
      </c>
      <c r="AA111" s="3">
        <v>0.78797859999999997</v>
      </c>
      <c r="AB111" s="3">
        <v>1.071506394</v>
      </c>
      <c r="AC111" s="3">
        <v>1.7469637E-2</v>
      </c>
      <c r="AE111" s="3">
        <v>-1.6588354460000001</v>
      </c>
      <c r="AG111" s="3">
        <v>-2.582354831</v>
      </c>
      <c r="AH111" s="3">
        <v>1.4086702120000001</v>
      </c>
      <c r="AJ111" s="3">
        <v>-0.94514277800000002</v>
      </c>
      <c r="AN111" s="3">
        <v>-2.4245966800000001</v>
      </c>
      <c r="AP111" s="3">
        <v>1.1325671960000001</v>
      </c>
      <c r="AU111" s="86"/>
      <c r="AV111" s="86"/>
      <c r="AW111" s="86"/>
      <c r="AX111" s="86"/>
      <c r="AY111" s="86"/>
      <c r="AZ111" s="86"/>
      <c r="BA111" s="86"/>
      <c r="BB111" s="83"/>
      <c r="BC111" s="83"/>
      <c r="BD111" s="83"/>
      <c r="BE111" s="83"/>
      <c r="BF111" s="83"/>
      <c r="BG111" s="83"/>
    </row>
    <row r="112" spans="1:59" x14ac:dyDescent="0.2">
      <c r="A112" s="86" t="s">
        <v>159</v>
      </c>
      <c r="B112" s="101">
        <v>27395</v>
      </c>
      <c r="C112" s="3">
        <v>9.5054793999999998E-2</v>
      </c>
      <c r="E112" s="3">
        <v>-1.000723354</v>
      </c>
      <c r="F112" s="3">
        <v>-0.46383703399999998</v>
      </c>
      <c r="I112" s="3">
        <v>-1.262707459</v>
      </c>
      <c r="J112" s="3">
        <v>-0.64142359800000004</v>
      </c>
      <c r="K112" s="3">
        <v>6.6164419000000002E-2</v>
      </c>
      <c r="M112" s="3">
        <v>2.3032177000000001E-2</v>
      </c>
      <c r="N112" s="3">
        <v>-1.510183316</v>
      </c>
      <c r="O112" s="3">
        <v>-1.470532247</v>
      </c>
      <c r="P112" s="3">
        <v>5.2340958659999997</v>
      </c>
      <c r="R112" s="3">
        <v>1.877960383</v>
      </c>
      <c r="S112" s="3">
        <v>-5.5508008999999997E-2</v>
      </c>
      <c r="U112" s="3">
        <v>-2.0903746179999998</v>
      </c>
      <c r="V112" s="3">
        <v>-0.54234890400000002</v>
      </c>
      <c r="W112" s="3">
        <v>-0.34101477699999999</v>
      </c>
      <c r="X112" s="3">
        <v>-2.215836913</v>
      </c>
      <c r="Z112" s="3">
        <v>1.4552936320000001</v>
      </c>
      <c r="AA112" s="3">
        <v>-1.3853995160000001</v>
      </c>
      <c r="AB112" s="3">
        <v>0.85781114999999997</v>
      </c>
      <c r="AC112" s="3">
        <v>-0.61267782599999998</v>
      </c>
      <c r="AE112" s="3">
        <v>-0.77274609400000005</v>
      </c>
      <c r="AG112" s="3">
        <v>1.758231294</v>
      </c>
      <c r="AH112" s="3">
        <v>1.3609915239999999</v>
      </c>
      <c r="AJ112" s="3">
        <v>-0.38814078299999999</v>
      </c>
      <c r="AN112" s="3">
        <v>-3.5727122420000001</v>
      </c>
      <c r="AP112" s="3">
        <v>-0.943914052</v>
      </c>
      <c r="AU112" s="86"/>
      <c r="AV112" s="86"/>
      <c r="AW112" s="86"/>
      <c r="AX112" s="86"/>
      <c r="AY112" s="86"/>
      <c r="AZ112" s="86"/>
      <c r="BA112" s="86"/>
      <c r="BB112" s="83"/>
      <c r="BC112" s="83"/>
      <c r="BD112" s="83"/>
      <c r="BE112" s="83"/>
      <c r="BF112" s="83"/>
      <c r="BG112" s="83"/>
    </row>
    <row r="113" spans="1:59" x14ac:dyDescent="0.2">
      <c r="A113" s="86" t="s">
        <v>160</v>
      </c>
      <c r="B113" s="101">
        <v>27485</v>
      </c>
      <c r="C113" s="3">
        <v>0.39555471800000003</v>
      </c>
      <c r="E113" s="3">
        <v>-1.0001485539999999</v>
      </c>
      <c r="F113" s="3">
        <v>-0.628394126</v>
      </c>
      <c r="I113" s="3">
        <v>-0.57700535100000006</v>
      </c>
      <c r="J113" s="3">
        <v>-0.71904517800000001</v>
      </c>
      <c r="K113" s="3">
        <v>-0.501915997</v>
      </c>
      <c r="M113" s="3">
        <v>1.603501804</v>
      </c>
      <c r="N113" s="3">
        <v>-0.44990402000000002</v>
      </c>
      <c r="O113" s="3">
        <v>5.6994367999999997E-2</v>
      </c>
      <c r="P113" s="3">
        <v>7.9434719339999997</v>
      </c>
      <c r="R113" s="3">
        <v>1.782215968</v>
      </c>
      <c r="S113" s="3">
        <v>-0.27449628500000001</v>
      </c>
      <c r="U113" s="3">
        <v>-1.739606011</v>
      </c>
      <c r="V113" s="3">
        <v>0.13085250800000001</v>
      </c>
      <c r="W113" s="3">
        <v>1.414647153</v>
      </c>
      <c r="X113" s="3">
        <v>-2.6900110069999998</v>
      </c>
      <c r="Z113" s="3">
        <v>1.4180858199999999</v>
      </c>
      <c r="AA113" s="3">
        <v>-1.96350355</v>
      </c>
      <c r="AB113" s="3">
        <v>0.64987766499999999</v>
      </c>
      <c r="AC113" s="3">
        <v>-0.52138051299999999</v>
      </c>
      <c r="AE113" s="3">
        <v>-1.987540613</v>
      </c>
      <c r="AG113" s="3">
        <v>1.0550306229999999</v>
      </c>
      <c r="AH113" s="3">
        <v>0.63873113599999998</v>
      </c>
      <c r="AJ113" s="3">
        <v>-1.217285876</v>
      </c>
      <c r="AN113" s="3">
        <v>-2.1271308580000001</v>
      </c>
      <c r="AP113" s="3">
        <v>-0.40046615200000002</v>
      </c>
      <c r="AU113" s="86"/>
      <c r="AV113" s="86"/>
      <c r="AW113" s="86"/>
      <c r="AX113" s="86"/>
      <c r="AY113" s="86"/>
      <c r="AZ113" s="86"/>
      <c r="BA113" s="86"/>
      <c r="BB113" s="83"/>
      <c r="BC113" s="83"/>
      <c r="BD113" s="83"/>
      <c r="BE113" s="83"/>
      <c r="BF113" s="83"/>
      <c r="BG113" s="83"/>
    </row>
    <row r="114" spans="1:59" x14ac:dyDescent="0.2">
      <c r="A114" s="86" t="s">
        <v>161</v>
      </c>
      <c r="B114" s="101">
        <v>27576</v>
      </c>
      <c r="C114" s="3">
        <v>3.1574421510000001</v>
      </c>
      <c r="E114" s="3">
        <v>-1.0047068079999999</v>
      </c>
      <c r="F114" s="3">
        <v>1.299640149</v>
      </c>
      <c r="I114" s="3">
        <v>-0.50195451499999999</v>
      </c>
      <c r="J114" s="3">
        <v>9.2145803999999998E-2</v>
      </c>
      <c r="K114" s="3">
        <v>-8.3067768E-2</v>
      </c>
      <c r="M114" s="3">
        <v>-0.71006589399999998</v>
      </c>
      <c r="N114" s="3">
        <v>0.25275012200000002</v>
      </c>
      <c r="O114" s="3">
        <v>-1.6417579019999999</v>
      </c>
      <c r="P114" s="3">
        <v>-1.0089663200000001</v>
      </c>
      <c r="R114" s="3">
        <v>1.347474683</v>
      </c>
      <c r="S114" s="3">
        <v>-0.105422218</v>
      </c>
      <c r="U114" s="3">
        <v>-5.1609536999999997E-2</v>
      </c>
      <c r="V114" s="3">
        <v>2.220142359</v>
      </c>
      <c r="W114" s="3">
        <v>4.7080174689999996</v>
      </c>
      <c r="X114" s="3">
        <v>-2.268514261</v>
      </c>
      <c r="Z114" s="3">
        <v>1.3913132020000001</v>
      </c>
      <c r="AA114" s="3">
        <v>1.3709934159999999</v>
      </c>
      <c r="AB114" s="3">
        <v>1.0451836240000001</v>
      </c>
      <c r="AC114" s="3">
        <v>0.531144218</v>
      </c>
      <c r="AE114" s="3">
        <v>-1.4921001439999999</v>
      </c>
      <c r="AG114" s="3">
        <v>1.404302564</v>
      </c>
      <c r="AH114" s="3">
        <v>-1.1544527529999999</v>
      </c>
      <c r="AJ114" s="3">
        <v>0.71453621599999995</v>
      </c>
      <c r="AN114" s="3">
        <v>-1.071446707</v>
      </c>
      <c r="AP114" s="3">
        <v>1.723782844</v>
      </c>
      <c r="AU114" s="86"/>
      <c r="AV114" s="86"/>
      <c r="AW114" s="86"/>
      <c r="AX114" s="86"/>
      <c r="AY114" s="86"/>
      <c r="AZ114" s="86"/>
      <c r="BA114" s="86"/>
      <c r="BB114" s="83"/>
      <c r="BC114" s="83"/>
      <c r="BD114" s="83"/>
      <c r="BE114" s="83"/>
      <c r="BF114" s="83"/>
      <c r="BG114" s="83"/>
    </row>
    <row r="115" spans="1:59" x14ac:dyDescent="0.2">
      <c r="A115" s="86" t="s">
        <v>162</v>
      </c>
      <c r="B115" s="101">
        <v>27668</v>
      </c>
      <c r="C115" s="3">
        <v>-1.0957949060000001</v>
      </c>
      <c r="E115" s="3">
        <v>0.50786645900000005</v>
      </c>
      <c r="F115" s="3">
        <v>1.877954578</v>
      </c>
      <c r="I115" s="3">
        <v>1.087808729</v>
      </c>
      <c r="J115" s="3">
        <v>0.90769125399999995</v>
      </c>
      <c r="K115" s="3">
        <v>0.436846242</v>
      </c>
      <c r="M115" s="3">
        <v>-0.91538417500000002</v>
      </c>
      <c r="N115" s="3">
        <v>0.38735227999999999</v>
      </c>
      <c r="O115" s="3">
        <v>-0.34109592399999999</v>
      </c>
      <c r="P115" s="3">
        <v>-1.8156683929999999</v>
      </c>
      <c r="R115" s="3">
        <v>0.61294417700000003</v>
      </c>
      <c r="S115" s="3">
        <v>0.42664986799999999</v>
      </c>
      <c r="U115" s="3">
        <v>1.421426377</v>
      </c>
      <c r="V115" s="3">
        <v>1.138138264</v>
      </c>
      <c r="W115" s="3">
        <v>2.857939982</v>
      </c>
      <c r="X115" s="3">
        <v>-0.96029051899999995</v>
      </c>
      <c r="Z115" s="3">
        <v>1.242050696</v>
      </c>
      <c r="AA115" s="3">
        <v>0.56985548500000005</v>
      </c>
      <c r="AB115" s="3">
        <v>1.42976477</v>
      </c>
      <c r="AC115" s="3">
        <v>1.0976057079999999</v>
      </c>
      <c r="AE115" s="3">
        <v>0.10498070700000001</v>
      </c>
      <c r="AG115" s="3">
        <v>1.16378023</v>
      </c>
      <c r="AH115" s="3">
        <v>0.91162099699999999</v>
      </c>
      <c r="AJ115" s="3">
        <v>1.7116519670000001</v>
      </c>
      <c r="AN115" s="3">
        <v>-1.1369469249999999</v>
      </c>
      <c r="AP115" s="3">
        <v>0.80066534599999994</v>
      </c>
      <c r="AU115" s="86"/>
      <c r="AV115" s="86"/>
      <c r="AW115" s="86"/>
      <c r="AX115" s="86"/>
      <c r="AY115" s="86"/>
      <c r="AZ115" s="86"/>
      <c r="BA115" s="86"/>
      <c r="BB115" s="83"/>
      <c r="BC115" s="83"/>
      <c r="BD115" s="83"/>
      <c r="BE115" s="83"/>
      <c r="BF115" s="83"/>
      <c r="BG115" s="83"/>
    </row>
    <row r="116" spans="1:59" x14ac:dyDescent="0.2">
      <c r="A116" s="86" t="s">
        <v>163</v>
      </c>
      <c r="B116" s="101">
        <v>27760</v>
      </c>
      <c r="C116" s="3">
        <v>-1.5147916299999999</v>
      </c>
      <c r="E116" s="3">
        <v>2.127560608</v>
      </c>
      <c r="F116" s="3">
        <v>1.1664848240000001</v>
      </c>
      <c r="I116" s="3">
        <v>1.965054968</v>
      </c>
      <c r="J116" s="3">
        <v>1.707836474</v>
      </c>
      <c r="K116" s="3">
        <v>0.70283693300000005</v>
      </c>
      <c r="M116" s="3">
        <v>-0.97003291199999997</v>
      </c>
      <c r="N116" s="3">
        <v>1.350335463</v>
      </c>
      <c r="O116" s="3">
        <v>1.1474441049999999</v>
      </c>
      <c r="P116" s="3">
        <v>4.8269485359999997</v>
      </c>
      <c r="R116" s="3">
        <v>-5.1897777999999999E-2</v>
      </c>
      <c r="S116" s="3">
        <v>1.094263387</v>
      </c>
      <c r="U116" s="3">
        <v>1.120331647</v>
      </c>
      <c r="V116" s="3">
        <v>1.051509853</v>
      </c>
      <c r="W116" s="3">
        <v>3.0857123479999999</v>
      </c>
      <c r="X116" s="3">
        <v>0.57246304599999998</v>
      </c>
      <c r="Z116" s="3">
        <v>1.081194488</v>
      </c>
      <c r="AA116" s="3">
        <v>3.8134115400000002</v>
      </c>
      <c r="AB116" s="3">
        <v>1.7994072379999999</v>
      </c>
      <c r="AC116" s="3">
        <v>1.3712792629999999</v>
      </c>
      <c r="AE116" s="3">
        <v>2.344304561</v>
      </c>
      <c r="AG116" s="3">
        <v>0.68062533999999997</v>
      </c>
      <c r="AH116" s="3">
        <v>1.2766893070000001</v>
      </c>
      <c r="AJ116" s="3">
        <v>1.346524152</v>
      </c>
      <c r="AN116" s="3">
        <v>-0.71389631600000003</v>
      </c>
      <c r="AP116" s="3">
        <v>0.82446640900000001</v>
      </c>
      <c r="AU116" s="86"/>
      <c r="AV116" s="86"/>
      <c r="AW116" s="86"/>
      <c r="AX116" s="86"/>
      <c r="AY116" s="86"/>
      <c r="AZ116" s="86"/>
      <c r="BA116" s="86"/>
      <c r="BB116" s="83"/>
      <c r="BC116" s="83"/>
      <c r="BD116" s="83"/>
      <c r="BE116" s="83"/>
      <c r="BF116" s="83"/>
      <c r="BG116" s="83"/>
    </row>
    <row r="117" spans="1:59" x14ac:dyDescent="0.2">
      <c r="A117" s="86" t="s">
        <v>164</v>
      </c>
      <c r="B117" s="101">
        <v>27851</v>
      </c>
      <c r="C117" s="3">
        <v>4.4228854169999998</v>
      </c>
      <c r="E117" s="3">
        <v>2.0742985489999999</v>
      </c>
      <c r="F117" s="3">
        <v>1.7328394620000001</v>
      </c>
      <c r="I117" s="3">
        <v>0.89850334099999996</v>
      </c>
      <c r="J117" s="3">
        <v>2.4738965089999998</v>
      </c>
      <c r="K117" s="3">
        <v>0.99384265900000002</v>
      </c>
      <c r="M117" s="3">
        <v>0.373156084</v>
      </c>
      <c r="N117" s="3">
        <v>1.467728516</v>
      </c>
      <c r="O117" s="3">
        <v>1.6563610689999999</v>
      </c>
      <c r="P117" s="3">
        <v>3.279608692</v>
      </c>
      <c r="R117" s="3">
        <v>-0.23143725300000001</v>
      </c>
      <c r="S117" s="3">
        <v>1.6284248459999999</v>
      </c>
      <c r="U117" s="3">
        <v>1.761832697</v>
      </c>
      <c r="V117" s="3">
        <v>0.84732458499999996</v>
      </c>
      <c r="W117" s="3">
        <v>2.8887551349999998</v>
      </c>
      <c r="X117" s="3">
        <v>1.449331581</v>
      </c>
      <c r="Z117" s="3">
        <v>1.056566621</v>
      </c>
      <c r="AA117" s="3">
        <v>0.18883012099999999</v>
      </c>
      <c r="AB117" s="3">
        <v>2.1505292069999999</v>
      </c>
      <c r="AC117" s="3">
        <v>1.639641747</v>
      </c>
      <c r="AE117" s="3">
        <v>2.4043695430000001</v>
      </c>
      <c r="AG117" s="3">
        <v>1.2616088670000001</v>
      </c>
      <c r="AH117" s="3">
        <v>-1.6661947100000001</v>
      </c>
      <c r="AJ117" s="3">
        <v>2.2487601210000001</v>
      </c>
      <c r="AN117" s="3">
        <v>-8.8898186000000004E-2</v>
      </c>
      <c r="AP117" s="3">
        <v>1.314343738</v>
      </c>
      <c r="AU117" s="86"/>
      <c r="AV117" s="86"/>
      <c r="AW117" s="86"/>
      <c r="AX117" s="86"/>
      <c r="AY117" s="86"/>
      <c r="AZ117" s="86"/>
      <c r="BA117" s="86"/>
      <c r="BB117" s="83"/>
      <c r="BC117" s="83"/>
      <c r="BD117" s="83"/>
      <c r="BE117" s="83"/>
      <c r="BF117" s="83"/>
      <c r="BG117" s="83"/>
    </row>
    <row r="118" spans="1:59" x14ac:dyDescent="0.2">
      <c r="A118" s="86" t="s">
        <v>165</v>
      </c>
      <c r="B118" s="101">
        <v>27942</v>
      </c>
      <c r="C118" s="3">
        <v>0.30844651699999998</v>
      </c>
      <c r="E118" s="3">
        <v>2.0191180989999999</v>
      </c>
      <c r="F118" s="3">
        <v>2.1638039610000002</v>
      </c>
      <c r="I118" s="3">
        <v>1.4855149990000001</v>
      </c>
      <c r="J118" s="3">
        <v>1.8102854150000001</v>
      </c>
      <c r="K118" s="3">
        <v>1.154238868</v>
      </c>
      <c r="M118" s="3">
        <v>0.53441765900000004</v>
      </c>
      <c r="N118" s="3">
        <v>1.192260978</v>
      </c>
      <c r="O118" s="3">
        <v>-0.14080999299999999</v>
      </c>
      <c r="P118" s="3">
        <v>0.51436335399999999</v>
      </c>
      <c r="R118" s="3">
        <v>0.112618598</v>
      </c>
      <c r="S118" s="3">
        <v>1.9835666709999999</v>
      </c>
      <c r="U118" s="3">
        <v>1.8074503630000001</v>
      </c>
      <c r="V118" s="3">
        <v>0.59080049899999998</v>
      </c>
      <c r="W118" s="3">
        <v>4.8071759199999997</v>
      </c>
      <c r="X118" s="3">
        <v>1.5317387309999999</v>
      </c>
      <c r="Z118" s="3">
        <v>1.0469034779999999</v>
      </c>
      <c r="AA118" s="3">
        <v>9.9520107999999996E-2</v>
      </c>
      <c r="AB118" s="3">
        <v>1.7181762920000001</v>
      </c>
      <c r="AC118" s="3">
        <v>1.0247390810000001</v>
      </c>
      <c r="AE118" s="3">
        <v>2.4879701220000001</v>
      </c>
      <c r="AG118" s="3">
        <v>0.27029298499999999</v>
      </c>
      <c r="AH118" s="3">
        <v>1.766900116</v>
      </c>
      <c r="AJ118" s="3">
        <v>0.73370057700000002</v>
      </c>
      <c r="AN118" s="3">
        <v>0.512927876</v>
      </c>
      <c r="AP118" s="3">
        <v>-1.995152109</v>
      </c>
      <c r="AU118" s="86"/>
      <c r="AV118" s="86"/>
      <c r="AW118" s="86"/>
      <c r="AX118" s="86"/>
      <c r="AY118" s="86"/>
      <c r="AZ118" s="86"/>
      <c r="BA118" s="86"/>
      <c r="BB118" s="83"/>
      <c r="BC118" s="83"/>
      <c r="BD118" s="83"/>
      <c r="BE118" s="83"/>
      <c r="BF118" s="83"/>
      <c r="BG118" s="83"/>
    </row>
    <row r="119" spans="1:59" x14ac:dyDescent="0.2">
      <c r="A119" s="86" t="s">
        <v>166</v>
      </c>
      <c r="B119" s="101">
        <v>28034</v>
      </c>
      <c r="C119" s="3">
        <v>0.81033906499999997</v>
      </c>
      <c r="E119" s="3">
        <v>0.87367084800000006</v>
      </c>
      <c r="F119" s="3">
        <v>0.44534407500000001</v>
      </c>
      <c r="I119" s="3">
        <v>2.9868819000000001E-2</v>
      </c>
      <c r="J119" s="3">
        <v>1.184947516</v>
      </c>
      <c r="K119" s="3">
        <v>0.96990798300000003</v>
      </c>
      <c r="M119" s="3">
        <v>1.1151557169999999</v>
      </c>
      <c r="N119" s="3">
        <v>0.472915631</v>
      </c>
      <c r="O119" s="3">
        <v>1.2700361630000001</v>
      </c>
      <c r="P119" s="3">
        <v>-2.4872067200000001</v>
      </c>
      <c r="R119" s="3">
        <v>0.941474492</v>
      </c>
      <c r="S119" s="3">
        <v>2.2183612269999999</v>
      </c>
      <c r="U119" s="3">
        <v>2.5414590420000001</v>
      </c>
      <c r="V119" s="3">
        <v>1.406011224</v>
      </c>
      <c r="W119" s="3">
        <v>1.9401455489999999</v>
      </c>
      <c r="X119" s="3">
        <v>0.97423965700000004</v>
      </c>
      <c r="Z119" s="3">
        <v>0.82082492600000001</v>
      </c>
      <c r="AA119" s="3">
        <v>3.5330034430000001</v>
      </c>
      <c r="AB119" s="3">
        <v>1.308634174</v>
      </c>
      <c r="AC119" s="3">
        <v>0.88464399100000002</v>
      </c>
      <c r="AE119" s="3">
        <v>0.46368765099999998</v>
      </c>
      <c r="AG119" s="3">
        <v>0.59479352799999996</v>
      </c>
      <c r="AH119" s="3">
        <v>-0.54132572499999998</v>
      </c>
      <c r="AJ119" s="3">
        <v>0.54870576400000004</v>
      </c>
      <c r="AN119" s="3">
        <v>1.6585086440000001</v>
      </c>
      <c r="AP119" s="3">
        <v>2.3792481489999999</v>
      </c>
      <c r="AU119" s="86"/>
      <c r="AV119" s="86"/>
      <c r="AW119" s="86"/>
      <c r="AX119" s="86"/>
      <c r="AY119" s="86"/>
      <c r="AZ119" s="86"/>
      <c r="BA119" s="86"/>
      <c r="BB119" s="83"/>
      <c r="BC119" s="83"/>
      <c r="BD119" s="83"/>
      <c r="BE119" s="83"/>
      <c r="BF119" s="83"/>
      <c r="BG119" s="83"/>
    </row>
    <row r="120" spans="1:59" x14ac:dyDescent="0.2">
      <c r="A120" s="86" t="s">
        <v>167</v>
      </c>
      <c r="B120" s="101">
        <v>28126</v>
      </c>
      <c r="C120" s="3">
        <v>0.872345755</v>
      </c>
      <c r="E120" s="3">
        <v>-0.27858655399999999</v>
      </c>
      <c r="F120" s="3">
        <v>0.206075061</v>
      </c>
      <c r="I120" s="3">
        <v>1.8515795900000001</v>
      </c>
      <c r="J120" s="3">
        <v>0.58488339099999997</v>
      </c>
      <c r="K120" s="3">
        <v>0.76789336399999997</v>
      </c>
      <c r="M120" s="3">
        <v>0.83428571399999996</v>
      </c>
      <c r="N120" s="3">
        <v>1.2458403060000001</v>
      </c>
      <c r="O120" s="3">
        <v>2.117492162</v>
      </c>
      <c r="P120" s="3">
        <v>7.8262074970000004</v>
      </c>
      <c r="R120" s="3">
        <v>1.8532831890000001</v>
      </c>
      <c r="S120" s="3">
        <v>2.3187486389999998</v>
      </c>
      <c r="U120" s="3">
        <v>1.7346695059999999</v>
      </c>
      <c r="V120" s="3">
        <v>0.11891404899999999</v>
      </c>
      <c r="W120" s="3">
        <v>1.1246981810000001</v>
      </c>
      <c r="X120" s="3">
        <v>0.27567750600000002</v>
      </c>
      <c r="Z120" s="3">
        <v>0.59100412899999999</v>
      </c>
      <c r="AA120" s="3">
        <v>-1.692871864</v>
      </c>
      <c r="AB120" s="3">
        <v>0.91612595500000005</v>
      </c>
      <c r="AC120" s="3">
        <v>0.95236923900000003</v>
      </c>
      <c r="AE120" s="3">
        <v>3.207685852</v>
      </c>
      <c r="AG120" s="3">
        <v>0.97710217899999996</v>
      </c>
      <c r="AH120" s="3">
        <v>-0.46299633200000001</v>
      </c>
      <c r="AJ120" s="3">
        <v>0.72485097799999998</v>
      </c>
      <c r="AN120" s="3">
        <v>1.1192214110000001</v>
      </c>
      <c r="AP120" s="3">
        <v>-0.73083682400000005</v>
      </c>
      <c r="AU120" s="86"/>
      <c r="AV120" s="86"/>
      <c r="AW120" s="86"/>
      <c r="AX120" s="86"/>
      <c r="AY120" s="86"/>
      <c r="AZ120" s="86"/>
      <c r="BA120" s="86"/>
      <c r="BB120" s="83"/>
      <c r="BC120" s="83"/>
      <c r="BD120" s="83"/>
      <c r="BE120" s="83"/>
      <c r="BF120" s="83"/>
      <c r="BG120" s="83"/>
    </row>
    <row r="121" spans="1:59" x14ac:dyDescent="0.2">
      <c r="A121" s="86" t="s">
        <v>168</v>
      </c>
      <c r="B121" s="101">
        <v>28216</v>
      </c>
      <c r="C121" s="3">
        <v>-0.54488349999999997</v>
      </c>
      <c r="E121" s="3">
        <v>-0.27887515099999999</v>
      </c>
      <c r="F121" s="3">
        <v>1.4220423929999999</v>
      </c>
      <c r="I121" s="3">
        <v>0.85394357700000001</v>
      </c>
      <c r="J121" s="3">
        <v>-1.198126636</v>
      </c>
      <c r="K121" s="3">
        <v>0.79223580199999999</v>
      </c>
      <c r="M121" s="3">
        <v>-0.86138501599999995</v>
      </c>
      <c r="N121" s="3">
        <v>1.1054480550000001</v>
      </c>
      <c r="O121" s="3">
        <v>2.3189266E-2</v>
      </c>
      <c r="P121" s="3">
        <v>-0.46649157899999999</v>
      </c>
      <c r="R121" s="3">
        <v>2.4002623010000002</v>
      </c>
      <c r="S121" s="3">
        <v>2.2671055359999999</v>
      </c>
      <c r="U121" s="3">
        <v>3.9609618999999999E-2</v>
      </c>
      <c r="V121" s="3">
        <v>2.187257002</v>
      </c>
      <c r="W121" s="3">
        <v>1.0009408790000001</v>
      </c>
      <c r="X121" s="3">
        <v>-5.0324567000000001E-2</v>
      </c>
      <c r="Z121" s="3">
        <v>0.58921872600000003</v>
      </c>
      <c r="AA121" s="3">
        <v>1.21384212</v>
      </c>
      <c r="AB121" s="3">
        <v>0.53559435799999999</v>
      </c>
      <c r="AC121" s="3">
        <v>0.90736555500000005</v>
      </c>
      <c r="AE121" s="3">
        <v>0.92198202600000001</v>
      </c>
      <c r="AG121" s="3">
        <v>1.3401933539999999</v>
      </c>
      <c r="AH121" s="3">
        <v>-2.0328634829999999</v>
      </c>
      <c r="AJ121" s="3">
        <v>1.181483598</v>
      </c>
      <c r="AN121" s="3">
        <v>-5.8254394000000001E-2</v>
      </c>
      <c r="AP121" s="3">
        <v>-0.21838829300000001</v>
      </c>
      <c r="AU121" s="86"/>
      <c r="AV121" s="86"/>
      <c r="AW121" s="86"/>
      <c r="AX121" s="86"/>
      <c r="AY121" s="86"/>
      <c r="AZ121" s="86"/>
      <c r="BA121" s="86"/>
      <c r="BB121" s="83"/>
      <c r="BC121" s="83"/>
      <c r="BD121" s="83"/>
      <c r="BE121" s="83"/>
      <c r="BF121" s="83"/>
      <c r="BG121" s="83"/>
    </row>
    <row r="122" spans="1:59" x14ac:dyDescent="0.2">
      <c r="A122" s="86" t="s">
        <v>169</v>
      </c>
      <c r="B122" s="101">
        <v>28307</v>
      </c>
      <c r="C122" s="3">
        <v>1.4188772359999999</v>
      </c>
      <c r="E122" s="3">
        <v>-0.27571068500000001</v>
      </c>
      <c r="F122" s="3">
        <v>0.53724243699999996</v>
      </c>
      <c r="I122" s="3">
        <v>0.56694915599999995</v>
      </c>
      <c r="J122" s="3">
        <v>-6.9879793999999995E-2</v>
      </c>
      <c r="K122" s="3">
        <v>0.45363118899999999</v>
      </c>
      <c r="M122" s="3">
        <v>-0.120041157</v>
      </c>
      <c r="N122" s="3">
        <v>0.43479612099999998</v>
      </c>
      <c r="O122" s="3">
        <v>-0.718700589</v>
      </c>
      <c r="P122" s="3">
        <v>-3.6516283789999999</v>
      </c>
      <c r="R122" s="3">
        <v>2.5494895049999999</v>
      </c>
      <c r="S122" s="3">
        <v>2.1083208710000001</v>
      </c>
      <c r="U122" s="3">
        <v>-0.55686305999999997</v>
      </c>
      <c r="V122" s="3">
        <v>0.70378751699999997</v>
      </c>
      <c r="W122" s="3">
        <v>5.0731621579999997</v>
      </c>
      <c r="X122" s="3">
        <v>3.6882422999999998E-2</v>
      </c>
      <c r="Z122" s="3">
        <v>0.57454128800000004</v>
      </c>
      <c r="AA122" s="3">
        <v>1.3692467E-2</v>
      </c>
      <c r="AB122" s="3">
        <v>0.71004957000000002</v>
      </c>
      <c r="AC122" s="3">
        <v>0.87304077199999996</v>
      </c>
      <c r="AE122" s="3">
        <v>0.889026235</v>
      </c>
      <c r="AG122" s="3">
        <v>-9.0793886000000004E-2</v>
      </c>
      <c r="AH122" s="3">
        <v>1.010680614</v>
      </c>
      <c r="AJ122" s="3">
        <v>1.944113078</v>
      </c>
      <c r="AN122" s="3">
        <v>-5.0685529999999999E-3</v>
      </c>
      <c r="AP122" s="3">
        <v>9.6063880000000004E-2</v>
      </c>
      <c r="AU122" s="86"/>
      <c r="AV122" s="86"/>
      <c r="AW122" s="86"/>
      <c r="AX122" s="86"/>
      <c r="AY122" s="86"/>
      <c r="AZ122" s="86"/>
      <c r="BA122" s="86"/>
      <c r="BB122" s="83"/>
      <c r="BC122" s="83"/>
      <c r="BD122" s="83"/>
      <c r="BE122" s="83"/>
      <c r="BF122" s="83"/>
      <c r="BG122" s="83"/>
    </row>
    <row r="123" spans="1:59" x14ac:dyDescent="0.2">
      <c r="A123" s="86" t="s">
        <v>170</v>
      </c>
      <c r="B123" s="101">
        <v>28399</v>
      </c>
      <c r="C123" s="3">
        <v>-0.42651488799999998</v>
      </c>
      <c r="E123" s="3">
        <v>0.31292984200000001</v>
      </c>
      <c r="F123" s="3">
        <v>0.52899506699999999</v>
      </c>
      <c r="I123" s="3">
        <v>-2.8904962999999999E-2</v>
      </c>
      <c r="J123" s="3">
        <v>3.2900394730000002</v>
      </c>
      <c r="K123" s="3">
        <v>0.33229668099999998</v>
      </c>
      <c r="M123" s="3">
        <v>0.61809649200000005</v>
      </c>
      <c r="N123" s="3">
        <v>0.45844305699999999</v>
      </c>
      <c r="O123" s="3">
        <v>0.68046908900000003</v>
      </c>
      <c r="P123" s="3">
        <v>0.36004289900000003</v>
      </c>
      <c r="R123" s="3">
        <v>2.4335465439999999</v>
      </c>
      <c r="S123" s="3">
        <v>1.8966548560000001</v>
      </c>
      <c r="U123" s="3">
        <v>-0.93534760400000005</v>
      </c>
      <c r="V123" s="3">
        <v>0.68168657600000004</v>
      </c>
      <c r="W123" s="3">
        <v>6.0092059000000004</v>
      </c>
      <c r="X123" s="3">
        <v>0.50605460999999996</v>
      </c>
      <c r="Z123" s="3">
        <v>1.3962963420000001</v>
      </c>
      <c r="AA123" s="3">
        <v>0.82534715400000003</v>
      </c>
      <c r="AB123" s="3">
        <v>0.88106136999999995</v>
      </c>
      <c r="AC123" s="3">
        <v>0.92245613400000004</v>
      </c>
      <c r="AE123" s="3">
        <v>1.0040164789999999</v>
      </c>
      <c r="AG123" s="3">
        <v>1.158293891</v>
      </c>
      <c r="AH123" s="3">
        <v>0.14307584200000001</v>
      </c>
      <c r="AJ123" s="3">
        <v>1.8043558989999999</v>
      </c>
      <c r="AN123" s="3">
        <v>0.780596599</v>
      </c>
      <c r="AP123" s="3">
        <v>-0.385872981</v>
      </c>
      <c r="AU123" s="86"/>
      <c r="AV123" s="86"/>
      <c r="AW123" s="86"/>
      <c r="AX123" s="86"/>
      <c r="AY123" s="86"/>
      <c r="AZ123" s="86"/>
      <c r="BA123" s="86"/>
      <c r="BB123" s="83"/>
      <c r="BC123" s="83"/>
      <c r="BD123" s="83"/>
      <c r="BE123" s="83"/>
      <c r="BF123" s="83"/>
      <c r="BG123" s="83"/>
    </row>
    <row r="124" spans="1:59" x14ac:dyDescent="0.2">
      <c r="A124" s="86" t="s">
        <v>171</v>
      </c>
      <c r="B124" s="101">
        <v>28491</v>
      </c>
      <c r="C124" s="3">
        <v>-0.31343858899999999</v>
      </c>
      <c r="E124" s="3">
        <v>0.94035917000000002</v>
      </c>
      <c r="F124" s="3">
        <v>1.58111274</v>
      </c>
      <c r="I124" s="3">
        <v>1.7206367010000001</v>
      </c>
      <c r="J124" s="3">
        <v>-0.90590735499999997</v>
      </c>
      <c r="K124" s="3">
        <v>0.66805372699999999</v>
      </c>
      <c r="M124" s="3">
        <v>-0.233206302</v>
      </c>
      <c r="N124" s="3">
        <v>0.22825248200000001</v>
      </c>
      <c r="O124" s="3">
        <v>1.7042871589999999</v>
      </c>
      <c r="P124" s="3">
        <v>6.0319822910000003</v>
      </c>
      <c r="R124" s="3">
        <v>2.1326136120000001</v>
      </c>
      <c r="S124" s="3">
        <v>1.6473096780000001</v>
      </c>
      <c r="U124" s="3">
        <v>0.85685329499999996</v>
      </c>
      <c r="V124" s="3">
        <v>1.356456852</v>
      </c>
      <c r="W124" s="3">
        <v>3.7681761640000002</v>
      </c>
      <c r="X124" s="3">
        <v>1.0470380450000001</v>
      </c>
      <c r="Z124" s="3">
        <v>2.2413860200000002</v>
      </c>
      <c r="AA124" s="3">
        <v>0.99705152100000005</v>
      </c>
      <c r="AB124" s="3">
        <v>1.0478872809999999</v>
      </c>
      <c r="AC124" s="3">
        <v>0.81490865099999998</v>
      </c>
      <c r="AE124" s="3">
        <v>0.70294707499999998</v>
      </c>
      <c r="AG124" s="3">
        <v>1.6771930450000001</v>
      </c>
      <c r="AH124" s="3">
        <v>-0.59186844299999997</v>
      </c>
      <c r="AJ124" s="3">
        <v>2.1857719999999999E-3</v>
      </c>
      <c r="AN124" s="3">
        <v>-6.2869357000000001E-2</v>
      </c>
      <c r="AP124" s="3">
        <v>0.51350619099999995</v>
      </c>
      <c r="AU124" s="86"/>
      <c r="AV124" s="86"/>
      <c r="AW124" s="86"/>
      <c r="AX124" s="86"/>
      <c r="AY124" s="86"/>
      <c r="AZ124" s="86"/>
      <c r="BA124" s="86"/>
      <c r="BB124" s="83"/>
      <c r="BC124" s="83"/>
      <c r="BD124" s="83"/>
      <c r="BE124" s="83"/>
      <c r="BF124" s="83"/>
      <c r="BG124" s="83"/>
    </row>
    <row r="125" spans="1:59" x14ac:dyDescent="0.2">
      <c r="A125" s="86" t="s">
        <v>172</v>
      </c>
      <c r="B125" s="101">
        <v>28581</v>
      </c>
      <c r="C125" s="3">
        <v>0.70544807300000001</v>
      </c>
      <c r="E125" s="3">
        <v>0.92598360999999996</v>
      </c>
      <c r="F125" s="3">
        <v>0.84085302699999998</v>
      </c>
      <c r="I125" s="3">
        <v>0.41211537799999998</v>
      </c>
      <c r="J125" s="3">
        <v>-1.9078177039999999</v>
      </c>
      <c r="K125" s="3">
        <v>0.62425307600000002</v>
      </c>
      <c r="M125" s="3">
        <v>1.083238312</v>
      </c>
      <c r="N125" s="3">
        <v>1.389138596</v>
      </c>
      <c r="O125" s="3">
        <v>0.89168430300000001</v>
      </c>
      <c r="P125" s="3">
        <v>3.9179339510000002</v>
      </c>
      <c r="R125" s="3">
        <v>1.764624843</v>
      </c>
      <c r="S125" s="3">
        <v>1.4108120980000001</v>
      </c>
      <c r="U125" s="3">
        <v>1.634293921</v>
      </c>
      <c r="V125" s="3">
        <v>1.889184999</v>
      </c>
      <c r="W125" s="3">
        <v>-0.80949906900000002</v>
      </c>
      <c r="X125" s="3">
        <v>1.3110996930000001</v>
      </c>
      <c r="Z125" s="3">
        <v>2.178848345</v>
      </c>
      <c r="AA125" s="3">
        <v>0.25352437300000003</v>
      </c>
      <c r="AB125" s="3">
        <v>1.5322176000000001</v>
      </c>
      <c r="AC125" s="3">
        <v>0.80417312500000004</v>
      </c>
      <c r="AE125" s="3">
        <v>0.48131377400000003</v>
      </c>
      <c r="AG125" s="3">
        <v>-1.9953894E-2</v>
      </c>
      <c r="AH125" s="3">
        <v>1.6226280049999999</v>
      </c>
      <c r="AJ125" s="3">
        <v>0.31916324099999999</v>
      </c>
      <c r="AN125" s="3">
        <v>-1.2581782E-2</v>
      </c>
      <c r="AP125" s="3">
        <v>1.6443371369999999</v>
      </c>
      <c r="AU125" s="86"/>
      <c r="AV125" s="86"/>
      <c r="AW125" s="86"/>
      <c r="AX125" s="86"/>
      <c r="AY125" s="86"/>
      <c r="AZ125" s="86"/>
      <c r="BA125" s="86"/>
      <c r="BB125" s="83"/>
      <c r="BC125" s="83"/>
      <c r="BD125" s="83"/>
      <c r="BE125" s="83"/>
      <c r="BF125" s="83"/>
      <c r="BG125" s="83"/>
    </row>
    <row r="126" spans="1:59" x14ac:dyDescent="0.2">
      <c r="A126" s="86" t="s">
        <v>173</v>
      </c>
      <c r="B126" s="101">
        <v>28672</v>
      </c>
      <c r="C126" s="3">
        <v>0.82003433699999995</v>
      </c>
      <c r="E126" s="3">
        <v>0.90815840400000003</v>
      </c>
      <c r="F126" s="3">
        <v>0.68599647799999997</v>
      </c>
      <c r="I126" s="3">
        <v>0.39638214900000002</v>
      </c>
      <c r="J126" s="3">
        <v>2.178223156</v>
      </c>
      <c r="K126" s="3">
        <v>0.202601685</v>
      </c>
      <c r="M126" s="3">
        <v>0.70501974099999998</v>
      </c>
      <c r="N126" s="3">
        <v>1.662617478</v>
      </c>
      <c r="O126" s="3">
        <v>1.1604725069999999</v>
      </c>
      <c r="P126" s="3">
        <v>-1.586366943</v>
      </c>
      <c r="R126" s="3">
        <v>1.42637876</v>
      </c>
      <c r="S126" s="3">
        <v>1.247333233</v>
      </c>
      <c r="U126" s="3">
        <v>1.729759053</v>
      </c>
      <c r="V126" s="3">
        <v>0.97200093300000001</v>
      </c>
      <c r="W126" s="3">
        <v>3.0822416580000001</v>
      </c>
      <c r="X126" s="3">
        <v>1.2851310540000001</v>
      </c>
      <c r="Z126" s="3">
        <v>2.110729874</v>
      </c>
      <c r="AA126" s="3">
        <v>0.183915093</v>
      </c>
      <c r="AB126" s="3">
        <v>1.621298272</v>
      </c>
      <c r="AC126" s="3">
        <v>1.9809192390000001</v>
      </c>
      <c r="AE126" s="3">
        <v>0.47728099200000002</v>
      </c>
      <c r="AG126" s="3">
        <v>0.20246271599999999</v>
      </c>
      <c r="AH126" s="3">
        <v>1.5578885659999999</v>
      </c>
      <c r="AJ126" s="3">
        <v>3.8642701879999999</v>
      </c>
      <c r="AN126" s="3">
        <v>0.22650056700000001</v>
      </c>
      <c r="AP126" s="3">
        <v>1.932724731</v>
      </c>
      <c r="AU126" s="86"/>
      <c r="AV126" s="86"/>
      <c r="AW126" s="86"/>
      <c r="AX126" s="86"/>
      <c r="AY126" s="86"/>
      <c r="AZ126" s="86"/>
      <c r="BA126" s="86"/>
      <c r="BB126" s="83"/>
      <c r="BC126" s="83"/>
      <c r="BD126" s="83"/>
      <c r="BE126" s="83"/>
      <c r="BF126" s="83"/>
      <c r="BG126" s="83"/>
    </row>
    <row r="127" spans="1:59" x14ac:dyDescent="0.2">
      <c r="A127" s="86" t="s">
        <v>174</v>
      </c>
      <c r="B127" s="101">
        <v>28764</v>
      </c>
      <c r="C127" s="3">
        <v>1.516795401</v>
      </c>
      <c r="E127" s="3">
        <v>0.64427288100000002</v>
      </c>
      <c r="F127" s="3">
        <v>0.95450935199999998</v>
      </c>
      <c r="I127" s="3">
        <v>1.311340647</v>
      </c>
      <c r="J127" s="3">
        <v>1.6222253339999999</v>
      </c>
      <c r="K127" s="3">
        <v>-0.122709652</v>
      </c>
      <c r="M127" s="3">
        <v>0.43685242200000002</v>
      </c>
      <c r="N127" s="3">
        <v>-8.7958221000000003E-2</v>
      </c>
      <c r="O127" s="3">
        <v>1.377307056</v>
      </c>
      <c r="P127" s="3">
        <v>-3.1798824479999999</v>
      </c>
      <c r="R127" s="3">
        <v>1.0907131809999999</v>
      </c>
      <c r="S127" s="3">
        <v>1.1420552049999999</v>
      </c>
      <c r="U127" s="3">
        <v>0.52621633700000003</v>
      </c>
      <c r="V127" s="3">
        <v>1.2932824860000001</v>
      </c>
      <c r="W127" s="3">
        <v>1.8592880119999999</v>
      </c>
      <c r="X127" s="3">
        <v>1.0318008999999999</v>
      </c>
      <c r="Z127" s="3">
        <v>2.2376647589999998</v>
      </c>
      <c r="AA127" s="3">
        <v>0.93509771699999999</v>
      </c>
      <c r="AB127" s="3">
        <v>1.2000631129999999</v>
      </c>
      <c r="AC127" s="3">
        <v>0.90135025599999996</v>
      </c>
      <c r="AE127" s="3">
        <v>0.53666714400000004</v>
      </c>
      <c r="AG127" s="3">
        <v>1.434744544</v>
      </c>
      <c r="AH127" s="3">
        <v>-2.0622517770000002</v>
      </c>
      <c r="AJ127" s="3">
        <v>1.0055171270000001</v>
      </c>
      <c r="AN127" s="3">
        <v>3.5153798E-2</v>
      </c>
      <c r="AP127" s="3">
        <v>-1.07584401</v>
      </c>
      <c r="AU127" s="86"/>
      <c r="AV127" s="86"/>
      <c r="AW127" s="86"/>
      <c r="AX127" s="86"/>
      <c r="AY127" s="86"/>
      <c r="AZ127" s="86"/>
      <c r="BA127" s="86"/>
      <c r="BB127" s="83"/>
      <c r="BC127" s="83"/>
      <c r="BD127" s="83"/>
      <c r="BE127" s="83"/>
      <c r="BF127" s="83"/>
      <c r="BG127" s="83"/>
    </row>
    <row r="128" spans="1:59" x14ac:dyDescent="0.2">
      <c r="A128" s="86" t="s">
        <v>175</v>
      </c>
      <c r="B128" s="101">
        <v>28856</v>
      </c>
      <c r="C128" s="3">
        <v>0.82952309499999999</v>
      </c>
      <c r="E128" s="3">
        <v>0.36356044700000001</v>
      </c>
      <c r="F128" s="3">
        <v>0.87695670999999997</v>
      </c>
      <c r="I128" s="3">
        <v>1.169104613</v>
      </c>
      <c r="J128" s="3">
        <v>0.198663907</v>
      </c>
      <c r="K128" s="3">
        <v>-0.14799095300000001</v>
      </c>
      <c r="M128" s="3">
        <v>2.1747616129999998</v>
      </c>
      <c r="N128" s="3">
        <v>0.85111081600000005</v>
      </c>
      <c r="O128" s="3">
        <v>0.90411369500000005</v>
      </c>
      <c r="P128" s="3">
        <v>9.6421236300000004</v>
      </c>
      <c r="R128" s="3">
        <v>0.79929358100000003</v>
      </c>
      <c r="S128" s="3">
        <v>1.091053182</v>
      </c>
      <c r="U128" s="3">
        <v>1.52383092</v>
      </c>
      <c r="V128" s="3">
        <v>1.443061634</v>
      </c>
      <c r="W128" s="3">
        <v>4.7973523790000003</v>
      </c>
      <c r="X128" s="3">
        <v>0.69624452800000003</v>
      </c>
      <c r="Z128" s="3">
        <v>2.3539706100000002</v>
      </c>
      <c r="AA128" s="3">
        <v>1.7562472769999999</v>
      </c>
      <c r="AB128" s="3">
        <v>0.13162589499999999</v>
      </c>
      <c r="AC128" s="3">
        <v>1.3160499969999999</v>
      </c>
      <c r="AE128" s="3">
        <v>1.7168464240000001</v>
      </c>
      <c r="AG128" s="3">
        <v>0.63463224100000004</v>
      </c>
      <c r="AH128" s="3">
        <v>1.628870517</v>
      </c>
      <c r="AJ128" s="3">
        <v>1.3441430640000001</v>
      </c>
      <c r="AN128" s="3">
        <v>0.38655588699999999</v>
      </c>
      <c r="AP128" s="3">
        <v>0.91014468100000001</v>
      </c>
      <c r="AU128" s="86"/>
      <c r="AV128" s="86"/>
      <c r="AW128" s="86"/>
      <c r="AX128" s="86"/>
      <c r="AY128" s="86"/>
      <c r="AZ128" s="86"/>
      <c r="BA128" s="86"/>
      <c r="BB128" s="83"/>
      <c r="BC128" s="83"/>
      <c r="BD128" s="83"/>
      <c r="BE128" s="83"/>
      <c r="BF128" s="83"/>
      <c r="BG128" s="83"/>
    </row>
    <row r="129" spans="1:59" x14ac:dyDescent="0.2">
      <c r="A129" s="86" t="s">
        <v>176</v>
      </c>
      <c r="B129" s="101">
        <v>28946</v>
      </c>
      <c r="C129" s="3">
        <v>2.7369470300000001</v>
      </c>
      <c r="E129" s="3">
        <v>0.36028048299999998</v>
      </c>
      <c r="F129" s="3">
        <v>0.83195171499999998</v>
      </c>
      <c r="I129" s="3">
        <v>0.12365559600000001</v>
      </c>
      <c r="J129" s="3">
        <v>0.92283557900000002</v>
      </c>
      <c r="K129" s="3">
        <v>-0.159395973</v>
      </c>
      <c r="M129" s="3">
        <v>2.030235223</v>
      </c>
      <c r="N129" s="3">
        <v>0.86005500899999998</v>
      </c>
      <c r="O129" s="3">
        <v>-0.356046011</v>
      </c>
      <c r="P129" s="3">
        <v>0.419401896</v>
      </c>
      <c r="R129" s="3">
        <v>0.61380203200000005</v>
      </c>
      <c r="S129" s="3">
        <v>1.1037445560000001</v>
      </c>
      <c r="U129" s="3">
        <v>1.5799751930000001</v>
      </c>
      <c r="V129" s="3">
        <v>1.495580739</v>
      </c>
      <c r="W129" s="3">
        <v>4.486019937</v>
      </c>
      <c r="X129" s="3">
        <v>0.45198748500000002</v>
      </c>
      <c r="Z129" s="3">
        <v>2.275444904</v>
      </c>
      <c r="AA129" s="3">
        <v>-4.9059765410000002</v>
      </c>
      <c r="AB129" s="3">
        <v>-0.43687866800000003</v>
      </c>
      <c r="AC129" s="3">
        <v>0.58413326799999998</v>
      </c>
      <c r="AE129" s="3">
        <v>1.0636691620000001</v>
      </c>
      <c r="AG129" s="3">
        <v>1.0114883939999999</v>
      </c>
      <c r="AH129" s="3">
        <v>2.0640182729999998</v>
      </c>
      <c r="AJ129" s="3">
        <v>0.17978728799999999</v>
      </c>
      <c r="AN129" s="3">
        <v>0.72512689699999999</v>
      </c>
      <c r="AP129" s="3">
        <v>1.7503628760000001</v>
      </c>
      <c r="AU129" s="86"/>
      <c r="AV129" s="86"/>
      <c r="AW129" s="86"/>
      <c r="AX129" s="86"/>
      <c r="AY129" s="86"/>
      <c r="AZ129" s="86"/>
      <c r="BA129" s="86"/>
      <c r="BB129" s="83"/>
      <c r="BC129" s="83"/>
      <c r="BD129" s="83"/>
      <c r="BE129" s="83"/>
      <c r="BF129" s="83"/>
      <c r="BG129" s="83"/>
    </row>
    <row r="130" spans="1:59" x14ac:dyDescent="0.2">
      <c r="A130" s="86" t="s">
        <v>177</v>
      </c>
      <c r="B130" s="101">
        <v>29037</v>
      </c>
      <c r="C130" s="3">
        <v>-1.6022465610000001</v>
      </c>
      <c r="E130" s="3">
        <v>0.354987306</v>
      </c>
      <c r="F130" s="3">
        <v>1.347063852</v>
      </c>
      <c r="I130" s="3">
        <v>3.10525348</v>
      </c>
      <c r="J130" s="3">
        <v>1.7372390040000001</v>
      </c>
      <c r="K130" s="3">
        <v>0.155449122</v>
      </c>
      <c r="M130" s="3">
        <v>2.3749665690000001</v>
      </c>
      <c r="N130" s="3">
        <v>0.95599237199999998</v>
      </c>
      <c r="O130" s="3">
        <v>4.4009329729999997</v>
      </c>
      <c r="P130" s="3">
        <v>-0.56457071199999997</v>
      </c>
      <c r="R130" s="3">
        <v>0.56655878299999995</v>
      </c>
      <c r="S130" s="3">
        <v>1.195865755</v>
      </c>
      <c r="U130" s="3">
        <v>0.72709586599999998</v>
      </c>
      <c r="V130" s="3">
        <v>1.827155452</v>
      </c>
      <c r="W130" s="3">
        <v>0.75583152600000003</v>
      </c>
      <c r="X130" s="3">
        <v>0.34532370299999998</v>
      </c>
      <c r="Z130" s="3">
        <v>2.212040322</v>
      </c>
      <c r="AA130" s="3">
        <v>5.824767499</v>
      </c>
      <c r="AB130" s="3">
        <v>2.990366946</v>
      </c>
      <c r="AC130" s="3">
        <v>1.228134812</v>
      </c>
      <c r="AE130" s="3">
        <v>2.1268714360000001</v>
      </c>
      <c r="AG130" s="3">
        <v>1.2368722029999999</v>
      </c>
      <c r="AH130" s="3">
        <v>1.6055902769999999</v>
      </c>
      <c r="AJ130" s="3">
        <v>0.10691983100000001</v>
      </c>
      <c r="AN130" s="3">
        <v>0.56103070799999999</v>
      </c>
      <c r="AP130" s="3">
        <v>0.64603035900000005</v>
      </c>
      <c r="AU130" s="86"/>
      <c r="AV130" s="86"/>
      <c r="AW130" s="86"/>
      <c r="AX130" s="86"/>
      <c r="AY130" s="86"/>
      <c r="AZ130" s="86"/>
      <c r="BA130" s="86"/>
      <c r="BB130" s="83"/>
      <c r="BC130" s="83"/>
      <c r="BD130" s="83"/>
      <c r="BE130" s="83"/>
      <c r="BF130" s="83"/>
      <c r="BG130" s="83"/>
    </row>
    <row r="131" spans="1:59" x14ac:dyDescent="0.2">
      <c r="A131" s="86" t="s">
        <v>178</v>
      </c>
      <c r="B131" s="101">
        <v>29129</v>
      </c>
      <c r="C131" s="3">
        <v>0.929783629</v>
      </c>
      <c r="E131" s="3">
        <v>0.95392155700000003</v>
      </c>
      <c r="F131" s="3">
        <v>0.69198433299999995</v>
      </c>
      <c r="I131" s="3">
        <v>7.5299999999999999E-6</v>
      </c>
      <c r="J131" s="3">
        <v>-0.667477188</v>
      </c>
      <c r="K131" s="3">
        <v>0.240502258</v>
      </c>
      <c r="M131" s="3">
        <v>0.856889075</v>
      </c>
      <c r="N131" s="3">
        <v>1.1430987610000001</v>
      </c>
      <c r="O131" s="3">
        <v>-2.2320116240000001</v>
      </c>
      <c r="P131" s="3">
        <v>-5.3639910349999997</v>
      </c>
      <c r="R131" s="3">
        <v>0.63679919299999999</v>
      </c>
      <c r="S131" s="3">
        <v>1.3764041419999999</v>
      </c>
      <c r="U131" s="3">
        <v>1.730408441</v>
      </c>
      <c r="V131" s="3">
        <v>0.76266373600000004</v>
      </c>
      <c r="W131" s="3">
        <v>-2.767723422</v>
      </c>
      <c r="X131" s="3">
        <v>0.34475206000000003</v>
      </c>
      <c r="Z131" s="3">
        <v>2.0708649330000002</v>
      </c>
      <c r="AA131" s="3">
        <v>0.74005550399999998</v>
      </c>
      <c r="AB131" s="3">
        <v>2.6068495870000001</v>
      </c>
      <c r="AC131" s="3">
        <v>0.48304790199999997</v>
      </c>
      <c r="AE131" s="3">
        <v>1.3294397710000001</v>
      </c>
      <c r="AG131" s="3">
        <v>0.98468453700000003</v>
      </c>
      <c r="AH131" s="3">
        <v>0.275914039</v>
      </c>
      <c r="AJ131" s="3">
        <v>0.74287146800000003</v>
      </c>
      <c r="AN131" s="3">
        <v>0.94053173400000001</v>
      </c>
      <c r="AP131" s="3">
        <v>0.74638480799999996</v>
      </c>
      <c r="AU131" s="86"/>
      <c r="AV131" s="86"/>
      <c r="AW131" s="86"/>
      <c r="AX131" s="86"/>
      <c r="AY131" s="86"/>
      <c r="AZ131" s="86"/>
      <c r="BA131" s="86"/>
      <c r="BB131" s="83"/>
      <c r="BC131" s="83"/>
      <c r="BD131" s="83"/>
      <c r="BE131" s="83"/>
      <c r="BF131" s="83"/>
      <c r="BG131" s="83"/>
    </row>
    <row r="132" spans="1:59" x14ac:dyDescent="0.2">
      <c r="A132" s="86" t="s">
        <v>179</v>
      </c>
      <c r="B132" s="101">
        <v>29221</v>
      </c>
      <c r="C132" s="3">
        <v>1.9291232949999999</v>
      </c>
      <c r="E132" s="3">
        <v>1.576811915</v>
      </c>
      <c r="F132" s="3">
        <v>0.665624679</v>
      </c>
      <c r="I132" s="3">
        <v>0.61299334000000005</v>
      </c>
      <c r="J132" s="3">
        <v>0.50633795500000001</v>
      </c>
      <c r="K132" s="3">
        <v>0.35151836400000003</v>
      </c>
      <c r="M132" s="3">
        <v>1.196705175</v>
      </c>
      <c r="N132" s="3">
        <v>0.190206929</v>
      </c>
      <c r="O132" s="3">
        <v>1.0381811860000001</v>
      </c>
      <c r="P132" s="3">
        <v>4.6312539470000003</v>
      </c>
      <c r="R132" s="3">
        <v>0.74349773600000002</v>
      </c>
      <c r="S132" s="3">
        <v>1.5256947649999999</v>
      </c>
      <c r="U132" s="3">
        <v>2.3538935360000002</v>
      </c>
      <c r="V132" s="3">
        <v>0.43464900000000001</v>
      </c>
      <c r="W132" s="3">
        <v>-1.518757047</v>
      </c>
      <c r="X132" s="3">
        <v>0.35933325999999999</v>
      </c>
      <c r="Z132" s="3">
        <v>1.918080757</v>
      </c>
      <c r="AA132" s="3">
        <v>1.53902663</v>
      </c>
      <c r="AB132" s="3">
        <v>0.89734212599999996</v>
      </c>
      <c r="AC132" s="3">
        <v>0.67993108499999999</v>
      </c>
      <c r="AE132" s="3">
        <v>2.064941605</v>
      </c>
      <c r="AG132" s="3">
        <v>0.40884031199999998</v>
      </c>
      <c r="AH132" s="3">
        <v>0.106838671</v>
      </c>
      <c r="AJ132" s="3">
        <v>0.25007503399999997</v>
      </c>
      <c r="AN132" s="3">
        <v>1.530936659</v>
      </c>
      <c r="AP132" s="3">
        <v>2.0521557920000002</v>
      </c>
      <c r="AU132" s="86"/>
      <c r="AV132" s="86"/>
      <c r="AW132" s="86"/>
      <c r="AX132" s="86"/>
      <c r="AY132" s="86"/>
      <c r="AZ132" s="86"/>
      <c r="BA132" s="86"/>
      <c r="BB132" s="83"/>
      <c r="BC132" s="83"/>
      <c r="BD132" s="83"/>
      <c r="BE132" s="83"/>
      <c r="BF132" s="83"/>
      <c r="BG132" s="83"/>
    </row>
    <row r="133" spans="1:59" x14ac:dyDescent="0.2">
      <c r="A133" s="86" t="s">
        <v>180</v>
      </c>
      <c r="B133" s="101">
        <v>29312</v>
      </c>
      <c r="C133" s="3">
        <v>0.44885424000000002</v>
      </c>
      <c r="E133" s="3">
        <v>3.7624554510000001</v>
      </c>
      <c r="F133" s="3">
        <v>0.70018943499999997</v>
      </c>
      <c r="I133" s="3">
        <v>0.80123501900000005</v>
      </c>
      <c r="J133" s="3">
        <v>1.5309836509999999</v>
      </c>
      <c r="K133" s="3">
        <v>0.66963796600000003</v>
      </c>
      <c r="M133" s="3">
        <v>1.6740043</v>
      </c>
      <c r="N133" s="3">
        <v>1.1680694220000001</v>
      </c>
      <c r="O133" s="3">
        <v>-0.95481830400000001</v>
      </c>
      <c r="P133" s="3">
        <v>3.4085574410000001</v>
      </c>
      <c r="R133" s="3">
        <v>0.80346603500000002</v>
      </c>
      <c r="S133" s="3">
        <v>1.5345898309999999</v>
      </c>
      <c r="U133" s="3">
        <v>-0.183599872</v>
      </c>
      <c r="V133" s="3">
        <v>0.38255242</v>
      </c>
      <c r="W133" s="3">
        <v>0.88614826099999999</v>
      </c>
      <c r="X133" s="3">
        <v>0.29194365799999999</v>
      </c>
      <c r="Z133" s="3">
        <v>2.7691022520000002</v>
      </c>
      <c r="AA133" s="3">
        <v>-5.7878744000000003E-2</v>
      </c>
      <c r="AB133" s="3">
        <v>3.8812605069999999</v>
      </c>
      <c r="AC133" s="3">
        <v>0.58096336999999998</v>
      </c>
      <c r="AE133" s="3">
        <v>1.57446299</v>
      </c>
      <c r="AG133" s="3">
        <v>0.910351193</v>
      </c>
      <c r="AH133" s="3">
        <v>3.1278397259999999</v>
      </c>
      <c r="AJ133" s="3">
        <v>0.31451907600000001</v>
      </c>
      <c r="AN133" s="3">
        <v>1.902427391</v>
      </c>
      <c r="AP133" s="3">
        <v>2.0544454669999999</v>
      </c>
      <c r="AU133" s="86"/>
      <c r="AV133" s="86"/>
      <c r="AW133" s="86"/>
      <c r="AX133" s="86"/>
      <c r="AY133" s="86"/>
      <c r="AZ133" s="86"/>
      <c r="BA133" s="86"/>
      <c r="BB133" s="83"/>
      <c r="BC133" s="83"/>
      <c r="BD133" s="83"/>
      <c r="BE133" s="83"/>
      <c r="BF133" s="83"/>
      <c r="BG133" s="83"/>
    </row>
    <row r="134" spans="1:59" x14ac:dyDescent="0.2">
      <c r="A134" s="86" t="s">
        <v>181</v>
      </c>
      <c r="B134" s="101">
        <v>29403</v>
      </c>
      <c r="C134" s="3">
        <v>0.26004569300000002</v>
      </c>
      <c r="E134" s="3">
        <v>-0.66623469800000001</v>
      </c>
      <c r="F134" s="3">
        <v>-3.1789498999999999E-2</v>
      </c>
      <c r="I134" s="3">
        <v>-0.64380221999999998</v>
      </c>
      <c r="J134" s="3">
        <v>-2.5489403209999999</v>
      </c>
      <c r="K134" s="3">
        <v>0.33990303500000002</v>
      </c>
      <c r="M134" s="3">
        <v>-0.46825436799999998</v>
      </c>
      <c r="N134" s="3">
        <v>-0.55163738299999998</v>
      </c>
      <c r="O134" s="3">
        <v>-1.9937162530000001</v>
      </c>
      <c r="P134" s="3">
        <v>-1.914814274</v>
      </c>
      <c r="R134" s="3">
        <v>0.82320499199999997</v>
      </c>
      <c r="S134" s="3">
        <v>1.437157604</v>
      </c>
      <c r="U134" s="3">
        <v>0.77604900899999996</v>
      </c>
      <c r="V134" s="3">
        <v>-0.52715503600000002</v>
      </c>
      <c r="W134" s="3">
        <v>-0.539530976</v>
      </c>
      <c r="X134" s="3">
        <v>0.15142593200000001</v>
      </c>
      <c r="Z134" s="3">
        <v>0.652366114</v>
      </c>
      <c r="AA134" s="3">
        <v>-1.8513826550000001</v>
      </c>
      <c r="AB134" s="3">
        <v>-2.0427170339999998</v>
      </c>
      <c r="AC134" s="3">
        <v>-1.055928368</v>
      </c>
      <c r="AE134" s="3">
        <v>-2.6077098E-2</v>
      </c>
      <c r="AG134" s="3">
        <v>1.7344439460000001</v>
      </c>
      <c r="AH134" s="3">
        <v>-4.7673214609999999</v>
      </c>
      <c r="AJ134" s="3">
        <v>-2.0604721640000001</v>
      </c>
      <c r="AN134" s="3">
        <v>0.35872962400000002</v>
      </c>
      <c r="AP134" s="3">
        <v>1.901048713</v>
      </c>
      <c r="AU134" s="86"/>
      <c r="AV134" s="86"/>
      <c r="AW134" s="86"/>
      <c r="AX134" s="86"/>
      <c r="AY134" s="86"/>
      <c r="AZ134" s="86"/>
      <c r="BA134" s="86"/>
      <c r="BB134" s="83"/>
      <c r="BC134" s="83"/>
      <c r="BD134" s="83"/>
      <c r="BE134" s="83"/>
      <c r="BF134" s="83"/>
      <c r="BG134" s="83"/>
    </row>
    <row r="135" spans="1:59" x14ac:dyDescent="0.2">
      <c r="A135" s="86" t="s">
        <v>182</v>
      </c>
      <c r="B135" s="101">
        <v>29495</v>
      </c>
      <c r="C135" s="3">
        <v>0.52611472699999995</v>
      </c>
      <c r="E135" s="3">
        <v>-0.97938113000000004</v>
      </c>
      <c r="F135" s="3">
        <v>-0.114812067</v>
      </c>
      <c r="I135" s="3">
        <v>-0.39672236799999999</v>
      </c>
      <c r="J135" s="3">
        <v>-1.327637339</v>
      </c>
      <c r="K135" s="3">
        <v>-0.39652320099999999</v>
      </c>
      <c r="M135" s="3">
        <v>4.9878591659999998</v>
      </c>
      <c r="N135" s="3">
        <v>-9.1239929999999997E-2</v>
      </c>
      <c r="O135" s="3">
        <v>-0.10029036</v>
      </c>
      <c r="P135" s="3">
        <v>-5.2482808780000001</v>
      </c>
      <c r="R135" s="3">
        <v>0.81170614200000002</v>
      </c>
      <c r="S135" s="3">
        <v>1.246395178</v>
      </c>
      <c r="U135" s="3">
        <v>8.3677274999999995E-2</v>
      </c>
      <c r="V135" s="3">
        <v>2.2399317270000001</v>
      </c>
      <c r="W135" s="3">
        <v>1.892977664</v>
      </c>
      <c r="X135" s="3">
        <v>-6.3224118999999995E-2</v>
      </c>
      <c r="Z135" s="3">
        <v>2.158764803</v>
      </c>
      <c r="AA135" s="3">
        <v>-0.67117806499999999</v>
      </c>
      <c r="AB135" s="3">
        <v>-1.801469671</v>
      </c>
      <c r="AC135" s="3">
        <v>0.28560743500000002</v>
      </c>
      <c r="AE135" s="3">
        <v>-0.342024614</v>
      </c>
      <c r="AG135" s="3">
        <v>0.82322980300000004</v>
      </c>
      <c r="AH135" s="3">
        <v>3.7966277829999999</v>
      </c>
      <c r="AJ135" s="3">
        <v>-0.118847117</v>
      </c>
      <c r="AN135" s="3">
        <v>0.45963853199999999</v>
      </c>
      <c r="AP135" s="3">
        <v>1.7120136889999999</v>
      </c>
      <c r="AU135" s="86"/>
      <c r="AV135" s="86"/>
      <c r="AW135" s="86"/>
      <c r="AX135" s="86"/>
      <c r="AY135" s="86"/>
      <c r="AZ135" s="86"/>
      <c r="BA135" s="86"/>
      <c r="BB135" s="83"/>
      <c r="BC135" s="83"/>
      <c r="BD135" s="83"/>
      <c r="BE135" s="83"/>
      <c r="BF135" s="83"/>
      <c r="BG135" s="83"/>
    </row>
    <row r="136" spans="1:59" x14ac:dyDescent="0.2">
      <c r="A136" s="86" t="s">
        <v>183</v>
      </c>
      <c r="B136" s="101">
        <v>29587</v>
      </c>
      <c r="C136" s="3">
        <v>1.7234252489999999</v>
      </c>
      <c r="E136" s="3">
        <v>-0.20455512000000001</v>
      </c>
      <c r="F136" s="3">
        <v>1.3801630920000001</v>
      </c>
      <c r="I136" s="3">
        <v>-0.13276000600000001</v>
      </c>
      <c r="J136" s="3">
        <v>0.63582023099999996</v>
      </c>
      <c r="K136" s="3">
        <v>0.58001581899999999</v>
      </c>
      <c r="M136" s="3">
        <v>-2.7175484239999999</v>
      </c>
      <c r="N136" s="3">
        <v>-0.137676723</v>
      </c>
      <c r="O136" s="3">
        <v>-1.0929033619999999</v>
      </c>
      <c r="P136" s="3">
        <v>3.9339857989999998</v>
      </c>
      <c r="R136" s="3">
        <v>0.79466009599999998</v>
      </c>
      <c r="S136" s="3">
        <v>1.0532505139999999</v>
      </c>
      <c r="U136" s="3">
        <v>0.85230347299999998</v>
      </c>
      <c r="V136" s="3">
        <v>2.1254879990000002</v>
      </c>
      <c r="W136" s="3">
        <v>-2.7657618689999999</v>
      </c>
      <c r="X136" s="3">
        <v>-0.250089534</v>
      </c>
      <c r="Z136" s="3">
        <v>2.895866373</v>
      </c>
      <c r="AA136" s="3">
        <v>2.3204440399999999</v>
      </c>
      <c r="AB136" s="3">
        <v>2.1597010120000002</v>
      </c>
      <c r="AC136" s="3">
        <v>1.1617278680000001</v>
      </c>
      <c r="AE136" s="3">
        <v>1.670542679</v>
      </c>
      <c r="AG136" s="3">
        <v>1.755144136</v>
      </c>
      <c r="AH136" s="3">
        <v>-1.9569952660000001</v>
      </c>
      <c r="AJ136" s="3">
        <v>1.864925605</v>
      </c>
      <c r="AN136" s="3">
        <v>0.61691880499999996</v>
      </c>
      <c r="AP136" s="3">
        <v>0.22477212999999999</v>
      </c>
      <c r="AU136" s="86"/>
      <c r="AV136" s="86"/>
      <c r="AW136" s="86"/>
      <c r="AX136" s="86"/>
      <c r="AY136" s="86"/>
      <c r="AZ136" s="86"/>
      <c r="BA136" s="86"/>
      <c r="BB136" s="83"/>
      <c r="BC136" s="83"/>
      <c r="BD136" s="83"/>
      <c r="BE136" s="83"/>
      <c r="BF136" s="83"/>
      <c r="BG136" s="83"/>
    </row>
    <row r="137" spans="1:59" x14ac:dyDescent="0.2">
      <c r="A137" s="86" t="s">
        <v>184</v>
      </c>
      <c r="B137" s="101">
        <v>29677</v>
      </c>
      <c r="C137" s="3">
        <v>0.38603459200000001</v>
      </c>
      <c r="E137" s="3">
        <v>2.2401138000000001E-2</v>
      </c>
      <c r="F137" s="3">
        <v>2.2039555700000002</v>
      </c>
      <c r="I137" s="3">
        <v>1.1898664919999999</v>
      </c>
      <c r="J137" s="3">
        <v>0.15638675899999999</v>
      </c>
      <c r="K137" s="3">
        <v>-0.56618610700000005</v>
      </c>
      <c r="M137" s="3">
        <v>-0.188211986</v>
      </c>
      <c r="N137" s="3">
        <v>0.44685383699999998</v>
      </c>
      <c r="O137" s="3">
        <v>-5.8063515000000003E-2</v>
      </c>
      <c r="P137" s="3">
        <v>-1.9655566</v>
      </c>
      <c r="R137" s="3">
        <v>0.79555558400000004</v>
      </c>
      <c r="S137" s="3">
        <v>0.94494663999999995</v>
      </c>
      <c r="U137" s="3">
        <v>-0.570495427</v>
      </c>
      <c r="V137" s="3">
        <v>0.61307857499999996</v>
      </c>
      <c r="W137" s="3">
        <v>4.1151119139999999</v>
      </c>
      <c r="X137" s="3">
        <v>-0.2974888</v>
      </c>
      <c r="Z137" s="3">
        <v>2.232972009</v>
      </c>
      <c r="AA137" s="3">
        <v>-0.963370163</v>
      </c>
      <c r="AB137" s="3">
        <v>1.6932246150000001</v>
      </c>
      <c r="AC137" s="3">
        <v>1.0554154849999999</v>
      </c>
      <c r="AE137" s="3">
        <v>0.44706863499999999</v>
      </c>
      <c r="AG137" s="3">
        <v>0.76229781399999996</v>
      </c>
      <c r="AH137" s="3">
        <v>0.61416171600000002</v>
      </c>
      <c r="AJ137" s="3">
        <v>1.959429461</v>
      </c>
      <c r="AN137" s="3">
        <v>-0.107765661</v>
      </c>
      <c r="AP137" s="3">
        <v>1.242016816</v>
      </c>
      <c r="AU137" s="86"/>
      <c r="AV137" s="86"/>
      <c r="AW137" s="86"/>
      <c r="AX137" s="86"/>
      <c r="AY137" s="86"/>
      <c r="AZ137" s="86"/>
      <c r="BA137" s="86"/>
      <c r="BB137" s="83"/>
      <c r="BC137" s="83"/>
      <c r="BD137" s="83"/>
      <c r="BE137" s="83"/>
      <c r="BF137" s="83"/>
      <c r="BG137" s="83"/>
    </row>
    <row r="138" spans="1:59" x14ac:dyDescent="0.2">
      <c r="A138" s="86" t="s">
        <v>185</v>
      </c>
      <c r="B138" s="101">
        <v>29768</v>
      </c>
      <c r="C138" s="3">
        <v>1.551258112</v>
      </c>
      <c r="E138" s="3">
        <v>1.457925747</v>
      </c>
      <c r="F138" s="3">
        <v>1.123957546</v>
      </c>
      <c r="I138" s="3">
        <v>-0.24963233100000001</v>
      </c>
      <c r="J138" s="3">
        <v>-0.73448136600000002</v>
      </c>
      <c r="K138" s="3">
        <v>-0.11071861700000001</v>
      </c>
      <c r="M138" s="3">
        <v>1.171099643</v>
      </c>
      <c r="N138" s="3">
        <v>0.65315975500000001</v>
      </c>
      <c r="O138" s="3">
        <v>0.23150201300000001</v>
      </c>
      <c r="P138" s="3">
        <v>-2.2138515540000001</v>
      </c>
      <c r="R138" s="3">
        <v>0.82178350099999997</v>
      </c>
      <c r="S138" s="3">
        <v>0.93939075999999999</v>
      </c>
      <c r="U138" s="3">
        <v>0.19499738699999999</v>
      </c>
      <c r="V138" s="3">
        <v>1.223762939</v>
      </c>
      <c r="W138" s="3">
        <v>2.415542796</v>
      </c>
      <c r="X138" s="3">
        <v>-0.20318154199999999</v>
      </c>
      <c r="Z138" s="3">
        <v>2.5911428619999999</v>
      </c>
      <c r="AA138" s="3">
        <v>-2.5646662000000001E-2</v>
      </c>
      <c r="AB138" s="3">
        <v>0.41489942699999999</v>
      </c>
      <c r="AC138" s="3">
        <v>0.21374818400000001</v>
      </c>
      <c r="AE138" s="3">
        <v>8.0633903000000007E-2</v>
      </c>
      <c r="AG138" s="3">
        <v>2.1126042030000001</v>
      </c>
      <c r="AH138" s="3">
        <v>-6.2042613000000003E-2</v>
      </c>
      <c r="AJ138" s="3">
        <v>-0.74106361300000001</v>
      </c>
      <c r="AN138" s="3">
        <v>1.0381525039999999</v>
      </c>
      <c r="AP138" s="3">
        <v>2.1838548950000001</v>
      </c>
      <c r="AU138" s="86"/>
      <c r="AV138" s="86"/>
      <c r="AW138" s="86"/>
      <c r="AX138" s="86"/>
      <c r="AY138" s="86"/>
      <c r="AZ138" s="86"/>
      <c r="BA138" s="86"/>
      <c r="BB138" s="83"/>
      <c r="BC138" s="83"/>
      <c r="BD138" s="83"/>
      <c r="BE138" s="83"/>
      <c r="BF138" s="83"/>
      <c r="BG138" s="83"/>
    </row>
    <row r="139" spans="1:59" x14ac:dyDescent="0.2">
      <c r="A139" s="86" t="s">
        <v>186</v>
      </c>
      <c r="B139" s="101">
        <v>29860</v>
      </c>
      <c r="C139" s="3">
        <v>2.0091036500000001</v>
      </c>
      <c r="E139" s="3">
        <v>-0.428832296</v>
      </c>
      <c r="F139" s="3">
        <v>-0.89775248900000004</v>
      </c>
      <c r="I139" s="3">
        <v>0.26343396200000002</v>
      </c>
      <c r="J139" s="3">
        <v>0.612585924</v>
      </c>
      <c r="K139" s="3">
        <v>0.444684894</v>
      </c>
      <c r="M139" s="3">
        <v>0.49538944499999998</v>
      </c>
      <c r="N139" s="3">
        <v>0.64035577600000004</v>
      </c>
      <c r="O139" s="3">
        <v>1.089794076</v>
      </c>
      <c r="P139" s="3">
        <v>2.8522902370000001</v>
      </c>
      <c r="R139" s="3">
        <v>0.88652585299999997</v>
      </c>
      <c r="S139" s="3">
        <v>1.0363726289999999</v>
      </c>
      <c r="U139" s="3">
        <v>4.6310301999999998E-2</v>
      </c>
      <c r="V139" s="3">
        <v>-0.22241672400000001</v>
      </c>
      <c r="W139" s="3">
        <v>4.1628095979999999</v>
      </c>
      <c r="X139" s="3">
        <v>2.3791301000000001E-2</v>
      </c>
      <c r="Z139" s="3">
        <v>0.522758414</v>
      </c>
      <c r="AA139" s="3">
        <v>-0.91435482099999998</v>
      </c>
      <c r="AB139" s="3">
        <v>-1.247402372</v>
      </c>
      <c r="AC139" s="3">
        <v>0.64370390899999996</v>
      </c>
      <c r="AE139" s="3">
        <v>-0.171095832</v>
      </c>
      <c r="AG139" s="3">
        <v>1.6836003980000001</v>
      </c>
      <c r="AH139" s="3">
        <v>0.76728678100000003</v>
      </c>
      <c r="AJ139" s="3">
        <v>1.19752521</v>
      </c>
      <c r="AN139" s="3">
        <v>0.51756613399999996</v>
      </c>
      <c r="AP139" s="3">
        <v>1.455404361</v>
      </c>
      <c r="AU139" s="86"/>
      <c r="AV139" s="86"/>
      <c r="AW139" s="86"/>
      <c r="AX139" s="86"/>
      <c r="AY139" s="86"/>
      <c r="AZ139" s="86"/>
      <c r="BA139" s="86"/>
      <c r="BB139" s="83"/>
      <c r="BC139" s="83"/>
      <c r="BD139" s="83"/>
      <c r="BE139" s="83"/>
      <c r="BF139" s="83"/>
      <c r="BG139" s="83"/>
    </row>
    <row r="140" spans="1:59" x14ac:dyDescent="0.2">
      <c r="A140" s="86" t="s">
        <v>187</v>
      </c>
      <c r="B140" s="101">
        <v>29952</v>
      </c>
      <c r="C140" s="3">
        <v>-0.39957899200000002</v>
      </c>
      <c r="E140" s="3">
        <v>0.267780554</v>
      </c>
      <c r="F140" s="3">
        <v>-0.45782277500000002</v>
      </c>
      <c r="I140" s="3">
        <v>-7.8831450999999997E-2</v>
      </c>
      <c r="J140" s="3">
        <v>0.18666042699999999</v>
      </c>
      <c r="K140" s="3">
        <v>-9.9841043000000004E-2</v>
      </c>
      <c r="M140" s="3">
        <v>0.39533408199999998</v>
      </c>
      <c r="N140" s="3">
        <v>0.49874377800000003</v>
      </c>
      <c r="O140" s="3">
        <v>0.122117224</v>
      </c>
      <c r="P140" s="3">
        <v>4.0023152480000004</v>
      </c>
      <c r="R140" s="3">
        <v>0.88465139199999998</v>
      </c>
      <c r="S140" s="3">
        <v>1.0481770779999999</v>
      </c>
      <c r="U140" s="3">
        <v>0.81164716800000003</v>
      </c>
      <c r="V140" s="3">
        <v>0.72993981299999999</v>
      </c>
      <c r="W140" s="3">
        <v>1.5687877990000001</v>
      </c>
      <c r="X140" s="3">
        <v>0.27114748399999999</v>
      </c>
      <c r="Z140" s="3">
        <v>1.791577285</v>
      </c>
      <c r="AA140" s="3">
        <v>7.9519186000000006E-2</v>
      </c>
      <c r="AB140" s="3">
        <v>-2.5208379999999999E-2</v>
      </c>
      <c r="AC140" s="3">
        <v>-6.5770535000000005E-2</v>
      </c>
      <c r="AE140" s="3">
        <v>0.48661910800000002</v>
      </c>
      <c r="AG140" s="3">
        <v>2.1805113039999999</v>
      </c>
      <c r="AH140" s="3">
        <v>-1.122507363</v>
      </c>
      <c r="AJ140" s="3">
        <v>-1.0895640870000001</v>
      </c>
      <c r="AN140" s="3">
        <v>-0.436565019</v>
      </c>
      <c r="AP140" s="3">
        <v>0.62388485199999999</v>
      </c>
      <c r="AU140" s="86"/>
      <c r="AV140" s="86"/>
      <c r="AW140" s="86"/>
      <c r="AX140" s="86"/>
      <c r="AY140" s="86"/>
      <c r="AZ140" s="86"/>
      <c r="BA140" s="86"/>
      <c r="BB140" s="83"/>
      <c r="BC140" s="83"/>
      <c r="BD140" s="83"/>
      <c r="BE140" s="83"/>
      <c r="BF140" s="83"/>
      <c r="BG140" s="83"/>
    </row>
    <row r="141" spans="1:59" x14ac:dyDescent="0.2">
      <c r="A141" s="86" t="s">
        <v>188</v>
      </c>
      <c r="B141" s="101">
        <v>30042</v>
      </c>
      <c r="C141" s="3">
        <v>-0.81059019300000001</v>
      </c>
      <c r="E141" s="3">
        <v>0.13352377500000001</v>
      </c>
      <c r="F141" s="3">
        <v>-1.1764108740000001</v>
      </c>
      <c r="I141" s="3">
        <v>0.37467052000000001</v>
      </c>
      <c r="J141" s="3">
        <v>1.317726467</v>
      </c>
      <c r="K141" s="3">
        <v>0.41159839599999998</v>
      </c>
      <c r="M141" s="3">
        <v>0.62226543499999998</v>
      </c>
      <c r="N141" s="3">
        <v>0.87228110800000003</v>
      </c>
      <c r="O141" s="3">
        <v>0.18229667599999999</v>
      </c>
      <c r="P141" s="3">
        <v>-1.9298762519999999</v>
      </c>
      <c r="R141" s="3">
        <v>0.71800832400000003</v>
      </c>
      <c r="S141" s="3">
        <v>0.79154091999999998</v>
      </c>
      <c r="U141" s="3">
        <v>-3.9523112999999999E-2</v>
      </c>
      <c r="V141" s="3">
        <v>1.5325005739999999</v>
      </c>
      <c r="W141" s="3">
        <v>0.67861918200000004</v>
      </c>
      <c r="X141" s="3">
        <v>0.40686364899999999</v>
      </c>
      <c r="Z141" s="3">
        <v>-1.92678781</v>
      </c>
      <c r="AA141" s="3">
        <v>0.93868952999999999</v>
      </c>
      <c r="AB141" s="3">
        <v>0.70053115399999999</v>
      </c>
      <c r="AC141" s="3">
        <v>-0.294334133</v>
      </c>
      <c r="AE141" s="3">
        <v>2.426235309</v>
      </c>
      <c r="AG141" s="3">
        <v>1.8971268429999999</v>
      </c>
      <c r="AH141" s="3">
        <v>0.28403597800000002</v>
      </c>
      <c r="AJ141" s="3">
        <v>-1.5535444789999999</v>
      </c>
      <c r="AN141" s="3">
        <v>-0.74449230099999997</v>
      </c>
      <c r="AP141" s="3">
        <v>-0.92637916399999998</v>
      </c>
      <c r="AU141" s="86"/>
      <c r="AV141" s="86"/>
      <c r="AW141" s="86"/>
      <c r="AX141" s="86"/>
      <c r="AY141" s="86"/>
      <c r="AZ141" s="86"/>
      <c r="BA141" s="86"/>
      <c r="BB141" s="83"/>
      <c r="BC141" s="83"/>
      <c r="BD141" s="83"/>
      <c r="BE141" s="83"/>
      <c r="BF141" s="83"/>
      <c r="BG141" s="83"/>
    </row>
    <row r="142" spans="1:59" x14ac:dyDescent="0.2">
      <c r="A142" s="86" t="s">
        <v>189</v>
      </c>
      <c r="B142" s="101">
        <v>30133</v>
      </c>
      <c r="C142" s="3">
        <v>0.90525160800000004</v>
      </c>
      <c r="E142" s="3">
        <v>0.26939992299999999</v>
      </c>
      <c r="F142" s="3">
        <v>-1.157146926</v>
      </c>
      <c r="I142" s="3">
        <v>-0.615593473</v>
      </c>
      <c r="J142" s="3">
        <v>1.182819965</v>
      </c>
      <c r="K142" s="3">
        <v>0.37978993700000002</v>
      </c>
      <c r="M142" s="3">
        <v>0.98560247400000001</v>
      </c>
      <c r="N142" s="3">
        <v>0.64276071400000001</v>
      </c>
      <c r="O142" s="3">
        <v>1.049462178</v>
      </c>
      <c r="P142" s="3">
        <v>-4.1126299800000004</v>
      </c>
      <c r="R142" s="3">
        <v>0.42837702700000002</v>
      </c>
      <c r="S142" s="3">
        <v>0.32427260400000002</v>
      </c>
      <c r="U142" s="3">
        <v>-0.28417374200000001</v>
      </c>
      <c r="V142" s="3">
        <v>0.68656287100000002</v>
      </c>
      <c r="W142" s="3">
        <v>2.3483449790000002</v>
      </c>
      <c r="X142" s="3">
        <v>0.41666192600000002</v>
      </c>
      <c r="Z142" s="3">
        <v>0.15238212500000001</v>
      </c>
      <c r="AA142" s="3">
        <v>-2.4329074070000001</v>
      </c>
      <c r="AB142" s="3">
        <v>1.0070165000000001E-2</v>
      </c>
      <c r="AC142" s="3">
        <v>0.24908707799999999</v>
      </c>
      <c r="AE142" s="3">
        <v>-1.3446465839999999</v>
      </c>
      <c r="AG142" s="3">
        <v>1.2373198780000001</v>
      </c>
      <c r="AH142" s="3">
        <v>2.1122900250000001</v>
      </c>
      <c r="AJ142" s="3">
        <v>0.45619851500000003</v>
      </c>
      <c r="AN142" s="3">
        <v>-0.57406771599999995</v>
      </c>
      <c r="AP142" s="3">
        <v>-0.83441653000000005</v>
      </c>
      <c r="AU142" s="86"/>
      <c r="AV142" s="86"/>
      <c r="AW142" s="86"/>
      <c r="AX142" s="86"/>
      <c r="AY142" s="86"/>
      <c r="AZ142" s="86"/>
      <c r="BA142" s="86"/>
      <c r="BB142" s="83"/>
      <c r="BC142" s="83"/>
      <c r="BD142" s="83"/>
      <c r="BE142" s="83"/>
      <c r="BF142" s="83"/>
      <c r="BG142" s="83"/>
    </row>
    <row r="143" spans="1:59" x14ac:dyDescent="0.2">
      <c r="A143" s="86" t="s">
        <v>190</v>
      </c>
      <c r="B143" s="101">
        <v>30225</v>
      </c>
      <c r="C143" s="3">
        <v>-0.66826409399999998</v>
      </c>
      <c r="E143" s="3">
        <v>0.112673273</v>
      </c>
      <c r="F143" s="3">
        <v>-0.876514444</v>
      </c>
      <c r="I143" s="3">
        <v>-0.98840377300000004</v>
      </c>
      <c r="J143" s="3">
        <v>1.0341163209999999</v>
      </c>
      <c r="K143" s="3">
        <v>0.67320738999999996</v>
      </c>
      <c r="M143" s="3">
        <v>1.0860204769999999</v>
      </c>
      <c r="N143" s="3">
        <v>5.9394310999999998E-2</v>
      </c>
      <c r="O143" s="3">
        <v>0.24355486500000001</v>
      </c>
      <c r="P143" s="3">
        <v>-1.0235165100000001</v>
      </c>
      <c r="R143" s="3">
        <v>1.0146713E-2</v>
      </c>
      <c r="S143" s="3">
        <v>-0.36766218699999997</v>
      </c>
      <c r="U143" s="3">
        <v>-5.3487539000000001E-2</v>
      </c>
      <c r="V143" s="3">
        <v>0.43700428299999999</v>
      </c>
      <c r="W143" s="3">
        <v>2.0740064500000002</v>
      </c>
      <c r="X143" s="3">
        <v>0.333060201</v>
      </c>
      <c r="Z143" s="3">
        <v>-0.71920454099999997</v>
      </c>
      <c r="AA143" s="3">
        <v>1.1088804249999999</v>
      </c>
      <c r="AB143" s="3">
        <v>-2.9663173000000001E-2</v>
      </c>
      <c r="AC143" s="3">
        <v>-0.152237762</v>
      </c>
      <c r="AE143" s="3">
        <v>0.459236425</v>
      </c>
      <c r="AG143" s="3">
        <v>2.0350307480000001</v>
      </c>
      <c r="AH143" s="3">
        <v>-1.2414885840000001</v>
      </c>
      <c r="AJ143" s="3">
        <v>-0.38229927400000002</v>
      </c>
      <c r="AN143" s="3">
        <v>-0.76339865299999998</v>
      </c>
      <c r="AP143" s="3">
        <v>-2.5570618999999999E-2</v>
      </c>
      <c r="AU143" s="86"/>
      <c r="AV143" s="86"/>
      <c r="AW143" s="86"/>
      <c r="AX143" s="86"/>
      <c r="AY143" s="86"/>
      <c r="AZ143" s="86"/>
      <c r="BA143" s="86"/>
      <c r="BB143" s="83"/>
      <c r="BC143" s="83"/>
      <c r="BD143" s="83"/>
      <c r="BE143" s="83"/>
      <c r="BF143" s="83"/>
      <c r="BG143" s="83"/>
    </row>
    <row r="144" spans="1:59" x14ac:dyDescent="0.2">
      <c r="A144" s="86" t="s">
        <v>191</v>
      </c>
      <c r="B144" s="101">
        <v>30317</v>
      </c>
      <c r="C144" s="3">
        <v>-1.5829270470000001</v>
      </c>
      <c r="E144" s="3">
        <v>-0.63330101900000002</v>
      </c>
      <c r="F144" s="3">
        <v>-0.92262858599999997</v>
      </c>
      <c r="I144" s="3">
        <v>0.239588883</v>
      </c>
      <c r="J144" s="3">
        <v>1.9956407999999998E-2</v>
      </c>
      <c r="K144" s="3">
        <v>0.35249598300000001</v>
      </c>
      <c r="M144" s="3">
        <v>1.2683988829999999</v>
      </c>
      <c r="N144" s="3">
        <v>0.53856671199999995</v>
      </c>
      <c r="O144" s="3">
        <v>0.69701120900000002</v>
      </c>
      <c r="P144" s="3">
        <v>2.824431508</v>
      </c>
      <c r="R144" s="3">
        <v>-0.34080933899999999</v>
      </c>
      <c r="S144" s="3">
        <v>-0.961782849</v>
      </c>
      <c r="U144" s="3">
        <v>-0.29076881300000001</v>
      </c>
      <c r="V144" s="3">
        <v>1.389602027</v>
      </c>
      <c r="W144" s="3">
        <v>3.1469016249999999</v>
      </c>
      <c r="X144" s="3">
        <v>0.30440344600000002</v>
      </c>
      <c r="Z144" s="3">
        <v>-2.1942286150000001</v>
      </c>
      <c r="AA144" s="3">
        <v>-2.1006532070000001</v>
      </c>
      <c r="AB144" s="3">
        <v>0.31985844600000002</v>
      </c>
      <c r="AC144" s="3">
        <v>0.19884553699999999</v>
      </c>
      <c r="AE144" s="3">
        <v>0.810506112</v>
      </c>
      <c r="AG144" s="3">
        <v>0.209366674</v>
      </c>
      <c r="AH144" s="3">
        <v>1.9483841639999999</v>
      </c>
      <c r="AJ144" s="3">
        <v>3.9946273999999997E-2</v>
      </c>
      <c r="AN144" s="3">
        <v>-0.30059020400000003</v>
      </c>
      <c r="AP144" s="3">
        <v>-2.1140404610000001</v>
      </c>
      <c r="AU144" s="86"/>
      <c r="AV144" s="86"/>
      <c r="AW144" s="86"/>
      <c r="AX144" s="86"/>
      <c r="AY144" s="86"/>
      <c r="AZ144" s="86"/>
      <c r="BA144" s="86"/>
      <c r="BB144" s="83"/>
      <c r="BC144" s="83"/>
      <c r="BD144" s="83"/>
      <c r="BE144" s="83"/>
      <c r="BF144" s="83"/>
      <c r="BG144" s="83"/>
    </row>
    <row r="145" spans="1:59" x14ac:dyDescent="0.2">
      <c r="A145" s="86" t="s">
        <v>192</v>
      </c>
      <c r="B145" s="101">
        <v>30407</v>
      </c>
      <c r="C145" s="3">
        <v>-1.004352409</v>
      </c>
      <c r="E145" s="3">
        <v>1.8049094000000002E-2</v>
      </c>
      <c r="F145" s="3">
        <v>1.6728054569999999</v>
      </c>
      <c r="I145" s="3">
        <v>0.90626954800000004</v>
      </c>
      <c r="J145" s="3">
        <v>0.51385369700000005</v>
      </c>
      <c r="K145" s="3">
        <v>0.36546309199999999</v>
      </c>
      <c r="M145" s="3">
        <v>0.116838809</v>
      </c>
      <c r="N145" s="3">
        <v>0.54165215499999997</v>
      </c>
      <c r="O145" s="3">
        <v>1.8523905679999999</v>
      </c>
      <c r="P145" s="3">
        <v>-1.198966939</v>
      </c>
      <c r="R145" s="3">
        <v>-0.39907564400000001</v>
      </c>
      <c r="S145" s="3">
        <v>-1.0861956749999999</v>
      </c>
      <c r="U145" s="3">
        <v>0.27976845500000003</v>
      </c>
      <c r="V145" s="3">
        <v>6.3061439999999996E-2</v>
      </c>
      <c r="W145" s="3">
        <v>4.4304684160000001</v>
      </c>
      <c r="X145" s="3">
        <v>0.50074006500000001</v>
      </c>
      <c r="Z145" s="3">
        <v>-0.73937610300000001</v>
      </c>
      <c r="AA145" s="3">
        <v>0.83213283800000004</v>
      </c>
      <c r="AB145" s="3">
        <v>1.8926802789999999</v>
      </c>
      <c r="AC145" s="3">
        <v>0.80802832000000002</v>
      </c>
      <c r="AE145" s="3">
        <v>0.92271629700000002</v>
      </c>
      <c r="AG145" s="3">
        <v>1.5839519339999999</v>
      </c>
      <c r="AH145" s="3">
        <v>-1.1314152660000001</v>
      </c>
      <c r="AJ145" s="3">
        <v>1.3178475759999999</v>
      </c>
      <c r="AN145" s="3">
        <v>0.87861694700000004</v>
      </c>
      <c r="AP145" s="3">
        <v>-1.5434806599999999</v>
      </c>
      <c r="AU145" s="86"/>
      <c r="AV145" s="86"/>
      <c r="AW145" s="86"/>
      <c r="AX145" s="86"/>
      <c r="AY145" s="86"/>
      <c r="AZ145" s="86"/>
      <c r="BA145" s="86"/>
      <c r="BB145" s="83"/>
      <c r="BC145" s="83"/>
      <c r="BD145" s="83"/>
      <c r="BE145" s="83"/>
      <c r="BF145" s="83"/>
      <c r="BG145" s="83"/>
    </row>
    <row r="146" spans="1:59" x14ac:dyDescent="0.2">
      <c r="A146" s="86" t="s">
        <v>193</v>
      </c>
      <c r="B146" s="101">
        <v>30498</v>
      </c>
      <c r="C146" s="3">
        <v>-0.19010413300000001</v>
      </c>
      <c r="E146" s="3">
        <v>4.7185122000000003E-2</v>
      </c>
      <c r="F146" s="3">
        <v>1.9654456259999999</v>
      </c>
      <c r="I146" s="3">
        <v>1.0527775180000001</v>
      </c>
      <c r="J146" s="3">
        <v>1.6415189990000001</v>
      </c>
      <c r="K146" s="3">
        <v>0.61760959400000004</v>
      </c>
      <c r="M146" s="3">
        <v>1.050322099</v>
      </c>
      <c r="N146" s="3">
        <v>-3.2990453000000003E-2</v>
      </c>
      <c r="O146" s="3">
        <v>0.82786602899999995</v>
      </c>
      <c r="P146" s="3">
        <v>-3.124675415</v>
      </c>
      <c r="R146" s="3">
        <v>-0.16062296400000001</v>
      </c>
      <c r="S146" s="3">
        <v>-0.72897995100000001</v>
      </c>
      <c r="U146" s="3">
        <v>-0.120408691</v>
      </c>
      <c r="V146" s="3">
        <v>0.75195174300000001</v>
      </c>
      <c r="W146" s="3">
        <v>3.0876999610000002</v>
      </c>
      <c r="X146" s="3">
        <v>0.90490311400000001</v>
      </c>
      <c r="Z146" s="3">
        <v>-2.01071468</v>
      </c>
      <c r="AA146" s="3">
        <v>2.716420716</v>
      </c>
      <c r="AB146" s="3">
        <v>1.103062583</v>
      </c>
      <c r="AC146" s="3">
        <v>1.104799992</v>
      </c>
      <c r="AE146" s="3">
        <v>-0.89468647800000001</v>
      </c>
      <c r="AG146" s="3">
        <v>1.691189236</v>
      </c>
      <c r="AH146" s="3">
        <v>0.78839974999999995</v>
      </c>
      <c r="AJ146" s="3">
        <v>2.2756124390000001</v>
      </c>
      <c r="AN146" s="3">
        <v>0.186722737</v>
      </c>
      <c r="AP146" s="3">
        <v>0.41525426599999998</v>
      </c>
      <c r="AU146" s="86"/>
      <c r="AV146" s="86"/>
      <c r="AW146" s="86"/>
      <c r="AX146" s="86"/>
      <c r="AY146" s="86"/>
      <c r="AZ146" s="86"/>
      <c r="BA146" s="86"/>
      <c r="BB146" s="83"/>
      <c r="BC146" s="83"/>
      <c r="BD146" s="83"/>
      <c r="BE146" s="83"/>
      <c r="BF146" s="83"/>
      <c r="BG146" s="83"/>
    </row>
    <row r="147" spans="1:59" x14ac:dyDescent="0.2">
      <c r="A147" s="86" t="s">
        <v>194</v>
      </c>
      <c r="B147" s="101">
        <v>30590</v>
      </c>
      <c r="C147" s="3">
        <v>2.790231898</v>
      </c>
      <c r="E147" s="3">
        <v>0.83463993199999997</v>
      </c>
      <c r="F147" s="3">
        <v>1.1183980069999999</v>
      </c>
      <c r="I147" s="3">
        <v>-0.20836780299999999</v>
      </c>
      <c r="J147" s="3">
        <v>-1.2903142649999999</v>
      </c>
      <c r="K147" s="3">
        <v>0.14706070399999999</v>
      </c>
      <c r="M147" s="3">
        <v>0.91929597600000001</v>
      </c>
      <c r="N147" s="3">
        <v>9.2403752000000006E-2</v>
      </c>
      <c r="O147" s="3">
        <v>1.083510725</v>
      </c>
      <c r="P147" s="3">
        <v>2.3552116650000001</v>
      </c>
      <c r="R147" s="3">
        <v>0.36586664800000002</v>
      </c>
      <c r="S147" s="3">
        <v>9.5576801000000003E-2</v>
      </c>
      <c r="U147" s="3">
        <v>1.862228848</v>
      </c>
      <c r="V147" s="3">
        <v>1.4962536209999999</v>
      </c>
      <c r="W147" s="3">
        <v>3.7135973550000001</v>
      </c>
      <c r="X147" s="3">
        <v>1.5302759880000001</v>
      </c>
      <c r="Z147" s="3">
        <v>0.83014274099999996</v>
      </c>
      <c r="AA147" s="3">
        <v>1.47510981</v>
      </c>
      <c r="AB147" s="3">
        <v>1.3823549550000001</v>
      </c>
      <c r="AC147" s="3">
        <v>1.3192684720000001</v>
      </c>
      <c r="AE147" s="3">
        <v>-1.500339839</v>
      </c>
      <c r="AG147" s="3">
        <v>-0.56851174000000004</v>
      </c>
      <c r="AH147" s="3">
        <v>1.1273302510000001</v>
      </c>
      <c r="AJ147" s="3">
        <v>1.9990642940000001</v>
      </c>
      <c r="AN147" s="3">
        <v>0.43553647499999998</v>
      </c>
      <c r="AP147" s="3">
        <v>1.152778503</v>
      </c>
      <c r="AU147" s="86"/>
      <c r="AV147" s="86"/>
      <c r="AW147" s="86"/>
      <c r="AX147" s="86"/>
      <c r="AY147" s="86"/>
      <c r="AZ147" s="86"/>
      <c r="BA147" s="86"/>
      <c r="BB147" s="83"/>
      <c r="BC147" s="83"/>
      <c r="BD147" s="83"/>
      <c r="BE147" s="83"/>
      <c r="BF147" s="83"/>
      <c r="BG147" s="83"/>
    </row>
    <row r="148" spans="1:59" x14ac:dyDescent="0.2">
      <c r="A148" s="86" t="s">
        <v>195</v>
      </c>
      <c r="B148" s="101">
        <v>30682</v>
      </c>
      <c r="C148" s="3">
        <v>1.6651172270000001</v>
      </c>
      <c r="E148" s="3">
        <v>1.1173000399999999</v>
      </c>
      <c r="F148" s="3">
        <v>1.2601976669999999</v>
      </c>
      <c r="I148" s="3">
        <v>1.383273921</v>
      </c>
      <c r="J148" s="3">
        <v>2.339343054</v>
      </c>
      <c r="K148" s="3">
        <v>0.64611691400000004</v>
      </c>
      <c r="M148" s="3">
        <v>-0.242607342</v>
      </c>
      <c r="N148" s="3">
        <v>0.57731999599999995</v>
      </c>
      <c r="O148" s="3">
        <v>0.85141806900000006</v>
      </c>
      <c r="P148" s="3">
        <v>3.3101136539999998</v>
      </c>
      <c r="R148" s="3">
        <v>0.94944259499999994</v>
      </c>
      <c r="S148" s="3">
        <v>0.99196971199999995</v>
      </c>
      <c r="U148" s="3">
        <v>2.2167995569999999</v>
      </c>
      <c r="V148" s="3">
        <v>0.83312633000000003</v>
      </c>
      <c r="W148" s="3">
        <v>0.71588806900000002</v>
      </c>
      <c r="X148" s="3">
        <v>2.0176143579999999</v>
      </c>
      <c r="Z148" s="3">
        <v>1.1504459149999999</v>
      </c>
      <c r="AA148" s="3">
        <v>-0.70158352300000004</v>
      </c>
      <c r="AB148" s="3">
        <v>3.7413287000000003E-2</v>
      </c>
      <c r="AC148" s="3">
        <v>1.4349609729999999</v>
      </c>
      <c r="AE148" s="3">
        <v>-0.65249084899999998</v>
      </c>
      <c r="AG148" s="3">
        <v>-3.7381982300000001</v>
      </c>
      <c r="AH148" s="3">
        <v>2.014711165</v>
      </c>
      <c r="AJ148" s="3">
        <v>2.0862174790000001</v>
      </c>
      <c r="AN148" s="3">
        <v>0.34978306399999998</v>
      </c>
      <c r="AP148" s="3">
        <v>2.5363717960000001</v>
      </c>
      <c r="AU148" s="86"/>
      <c r="AV148" s="86"/>
      <c r="AW148" s="86"/>
      <c r="AX148" s="86"/>
      <c r="AY148" s="86"/>
      <c r="AZ148" s="86"/>
      <c r="BA148" s="86"/>
      <c r="BB148" s="83"/>
      <c r="BC148" s="83"/>
      <c r="BD148" s="83"/>
      <c r="BE148" s="83"/>
      <c r="BF148" s="83"/>
      <c r="BG148" s="83"/>
    </row>
    <row r="149" spans="1:59" x14ac:dyDescent="0.2">
      <c r="A149" s="86" t="s">
        <v>196</v>
      </c>
      <c r="B149" s="101">
        <v>30773</v>
      </c>
      <c r="C149" s="3">
        <v>2.510318738</v>
      </c>
      <c r="E149" s="3">
        <v>0.40455643600000002</v>
      </c>
      <c r="F149" s="3">
        <v>1.7202980670000001</v>
      </c>
      <c r="I149" s="3">
        <v>1.3225726010000001</v>
      </c>
      <c r="J149" s="3">
        <v>1.298158981</v>
      </c>
      <c r="K149" s="3">
        <v>0.82720121800000002</v>
      </c>
      <c r="M149" s="3">
        <v>1.5784885049999999</v>
      </c>
      <c r="N149" s="3">
        <v>0.61793351200000002</v>
      </c>
      <c r="O149" s="3">
        <v>0.69630598200000005</v>
      </c>
      <c r="P149" s="3">
        <v>-0.64385297799999996</v>
      </c>
      <c r="R149" s="3">
        <v>1.3234725940000001</v>
      </c>
      <c r="S149" s="3">
        <v>1.4880036640000001</v>
      </c>
      <c r="U149" s="3">
        <v>-0.19611287099999999</v>
      </c>
      <c r="V149" s="3">
        <v>1.1516755299999999</v>
      </c>
      <c r="W149" s="3">
        <v>4.3812996760000003</v>
      </c>
      <c r="X149" s="3">
        <v>2.0088250169999999</v>
      </c>
      <c r="Z149" s="3">
        <v>2.7601140210000001</v>
      </c>
      <c r="AA149" s="3">
        <v>1.6764444119999999</v>
      </c>
      <c r="AB149" s="3">
        <v>2.6823605189999999</v>
      </c>
      <c r="AC149" s="3">
        <v>1.448671491</v>
      </c>
      <c r="AE149" s="3">
        <v>-0.77061182900000003</v>
      </c>
      <c r="AG149" s="3">
        <v>-4.3816872570000003</v>
      </c>
      <c r="AH149" s="3">
        <v>2.2568758149999999</v>
      </c>
      <c r="AJ149" s="3">
        <v>1.954770289</v>
      </c>
      <c r="AN149" s="3">
        <v>1.1947323700000001</v>
      </c>
      <c r="AP149" s="3">
        <v>1.6967664849999999</v>
      </c>
      <c r="AU149" s="86"/>
      <c r="AV149" s="86"/>
      <c r="AW149" s="86"/>
      <c r="AX149" s="86"/>
      <c r="AY149" s="86"/>
      <c r="AZ149" s="86"/>
      <c r="BA149" s="86"/>
      <c r="BB149" s="83"/>
      <c r="BC149" s="83"/>
      <c r="BD149" s="83"/>
      <c r="BE149" s="83"/>
      <c r="BF149" s="83"/>
      <c r="BG149" s="83"/>
    </row>
    <row r="150" spans="1:59" x14ac:dyDescent="0.2">
      <c r="A150" s="86" t="s">
        <v>197</v>
      </c>
      <c r="B150" s="101">
        <v>30864</v>
      </c>
      <c r="C150" s="3">
        <v>1.129108139</v>
      </c>
      <c r="E150" s="3">
        <v>0.152870268</v>
      </c>
      <c r="F150" s="3">
        <v>1.9559213310000001</v>
      </c>
      <c r="I150" s="3">
        <v>-1.5752064020000001</v>
      </c>
      <c r="J150" s="3">
        <v>1.2678044989999999</v>
      </c>
      <c r="K150" s="3">
        <v>-0.30828467900000001</v>
      </c>
      <c r="M150" s="3">
        <v>0.13551971800000001</v>
      </c>
      <c r="N150" s="3">
        <v>0.36815732400000001</v>
      </c>
      <c r="O150" s="3">
        <v>-0.87613219499999995</v>
      </c>
      <c r="P150" s="3">
        <v>-2.5886995270000002</v>
      </c>
      <c r="R150" s="3">
        <v>1.460845341</v>
      </c>
      <c r="S150" s="3">
        <v>1.535971926</v>
      </c>
      <c r="U150" s="3">
        <v>0.321964637</v>
      </c>
      <c r="V150" s="3">
        <v>1.5144256410000001</v>
      </c>
      <c r="W150" s="3">
        <v>2.506439485</v>
      </c>
      <c r="X150" s="3">
        <v>1.562180116</v>
      </c>
      <c r="Z150" s="3">
        <v>-1.4718913389999999</v>
      </c>
      <c r="AA150" s="3">
        <v>-5.8949624999999999E-2</v>
      </c>
      <c r="AB150" s="3">
        <v>0.62069698200000001</v>
      </c>
      <c r="AC150" s="3">
        <v>0.67017846700000006</v>
      </c>
      <c r="AE150" s="3">
        <v>-1.0343337560000001</v>
      </c>
      <c r="AG150" s="3">
        <v>-1.1063748440000001</v>
      </c>
      <c r="AH150" s="3">
        <v>-1.5135630959999999</v>
      </c>
      <c r="AJ150" s="3">
        <v>1.727792663</v>
      </c>
      <c r="AN150" s="3">
        <v>0.49764441399999998</v>
      </c>
      <c r="AP150" s="3">
        <v>2.077491808</v>
      </c>
      <c r="AU150" s="86"/>
      <c r="AV150" s="86"/>
      <c r="AW150" s="86"/>
      <c r="AX150" s="86"/>
      <c r="AY150" s="86"/>
      <c r="AZ150" s="86"/>
      <c r="BA150" s="86"/>
      <c r="BB150" s="83"/>
      <c r="BC150" s="83"/>
      <c r="BD150" s="83"/>
      <c r="BE150" s="83"/>
      <c r="BF150" s="83"/>
      <c r="BG150" s="83"/>
    </row>
    <row r="151" spans="1:59" x14ac:dyDescent="0.2">
      <c r="A151" s="86" t="s">
        <v>198</v>
      </c>
      <c r="B151" s="101">
        <v>30956</v>
      </c>
      <c r="C151" s="3">
        <v>0.84643873400000003</v>
      </c>
      <c r="E151" s="3">
        <v>0.286767681</v>
      </c>
      <c r="F151" s="3">
        <v>0.42053384900000002</v>
      </c>
      <c r="I151" s="3">
        <v>2.7232875779999999</v>
      </c>
      <c r="J151" s="3">
        <v>0.91218748800000005</v>
      </c>
      <c r="K151" s="3">
        <v>0.87091521800000005</v>
      </c>
      <c r="M151" s="3">
        <v>0.893219651</v>
      </c>
      <c r="N151" s="3">
        <v>0.46029396500000003</v>
      </c>
      <c r="O151" s="3">
        <v>0.63946942900000003</v>
      </c>
      <c r="P151" s="3">
        <v>3.0398798710000001</v>
      </c>
      <c r="R151" s="3">
        <v>1.409504901</v>
      </c>
      <c r="S151" s="3">
        <v>1.224880414</v>
      </c>
      <c r="U151" s="3">
        <v>1.177467534</v>
      </c>
      <c r="V151" s="3">
        <v>1.222067612</v>
      </c>
      <c r="W151" s="3">
        <v>1.363243714</v>
      </c>
      <c r="X151" s="3">
        <v>0.74031598200000004</v>
      </c>
      <c r="Z151" s="3">
        <v>2.4215547439999998</v>
      </c>
      <c r="AA151" s="3">
        <v>1.093892434</v>
      </c>
      <c r="AB151" s="3">
        <v>2.8953083839999998</v>
      </c>
      <c r="AC151" s="3">
        <v>1.215068126</v>
      </c>
      <c r="AE151" s="3">
        <v>2.404084272</v>
      </c>
      <c r="AG151" s="3">
        <v>0.26473615</v>
      </c>
      <c r="AH151" s="3">
        <v>1.3220528330000001</v>
      </c>
      <c r="AJ151" s="3">
        <v>0.96406362800000001</v>
      </c>
      <c r="AN151" s="3">
        <v>1.7509007999999999</v>
      </c>
      <c r="AP151" s="3">
        <v>-1.657470107</v>
      </c>
      <c r="AU151" s="86"/>
      <c r="AV151" s="86"/>
      <c r="AW151" s="86"/>
      <c r="AX151" s="86"/>
      <c r="AY151" s="86"/>
      <c r="AZ151" s="86"/>
      <c r="BA151" s="86"/>
      <c r="BB151" s="83"/>
      <c r="BC151" s="83"/>
      <c r="BD151" s="83"/>
      <c r="BE151" s="83"/>
      <c r="BF151" s="83"/>
      <c r="BG151" s="83"/>
    </row>
    <row r="152" spans="1:59" x14ac:dyDescent="0.2">
      <c r="A152" s="86" t="s">
        <v>199</v>
      </c>
      <c r="B152" s="101">
        <v>31048</v>
      </c>
      <c r="C152" s="3">
        <v>0.69255562599999998</v>
      </c>
      <c r="E152" s="3">
        <v>0.64433674799999996</v>
      </c>
      <c r="F152" s="3">
        <v>1.584483871</v>
      </c>
      <c r="I152" s="3">
        <v>0.841814285</v>
      </c>
      <c r="J152" s="3">
        <v>0.46510026500000001</v>
      </c>
      <c r="K152" s="3">
        <v>0.127632419</v>
      </c>
      <c r="M152" s="3">
        <v>1.1804158279999999</v>
      </c>
      <c r="N152" s="3">
        <v>0.28466922099999997</v>
      </c>
      <c r="O152" s="3">
        <v>1.96194885</v>
      </c>
      <c r="P152" s="3">
        <v>1.1997356509999999</v>
      </c>
      <c r="R152" s="3">
        <v>1.201564066</v>
      </c>
      <c r="S152" s="3">
        <v>0.81943284400000005</v>
      </c>
      <c r="U152" s="3">
        <v>1.6044369999999999E-2</v>
      </c>
      <c r="V152" s="3">
        <v>0.17260192699999999</v>
      </c>
      <c r="W152" s="3">
        <v>0.48602390200000001</v>
      </c>
      <c r="X152" s="3">
        <v>3.8899642999999998E-2</v>
      </c>
      <c r="Z152" s="3">
        <v>-0.88123045499999997</v>
      </c>
      <c r="AA152" s="3">
        <v>0.18387878099999999</v>
      </c>
      <c r="AB152" s="3">
        <v>2.077276747</v>
      </c>
      <c r="AC152" s="3">
        <v>0.64438213300000002</v>
      </c>
      <c r="AE152" s="3">
        <v>-0.23164779999999999</v>
      </c>
      <c r="AG152" s="3">
        <v>-0.116969108</v>
      </c>
      <c r="AH152" s="3">
        <v>0.92983250799999995</v>
      </c>
      <c r="AJ152" s="3">
        <v>0.82085714600000004</v>
      </c>
      <c r="AN152" s="3">
        <v>0.81125848099999998</v>
      </c>
      <c r="AP152" s="3">
        <v>0.15461264699999999</v>
      </c>
      <c r="AU152" s="86"/>
      <c r="AV152" s="86"/>
      <c r="AW152" s="86"/>
      <c r="AX152" s="86"/>
      <c r="AY152" s="86"/>
      <c r="AZ152" s="86"/>
      <c r="BA152" s="86"/>
      <c r="BB152" s="83"/>
      <c r="BC152" s="83"/>
      <c r="BD152" s="83"/>
      <c r="BE152" s="83"/>
      <c r="BF152" s="83"/>
      <c r="BG152" s="83"/>
    </row>
    <row r="153" spans="1:59" x14ac:dyDescent="0.2">
      <c r="A153" s="86" t="s">
        <v>200</v>
      </c>
      <c r="B153" s="101">
        <v>31138</v>
      </c>
      <c r="C153" s="3">
        <v>1.4559063269999999</v>
      </c>
      <c r="E153" s="3">
        <v>0.42765625899999998</v>
      </c>
      <c r="F153" s="3">
        <v>1.51940209</v>
      </c>
      <c r="I153" s="3">
        <v>-0.54507092199999996</v>
      </c>
      <c r="J153" s="3">
        <v>0.31768604299999997</v>
      </c>
      <c r="K153" s="3">
        <v>1.115984954</v>
      </c>
      <c r="M153" s="3">
        <v>0.689380883</v>
      </c>
      <c r="N153" s="3">
        <v>0.13371439299999999</v>
      </c>
      <c r="O153" s="3">
        <v>0.79752643099999998</v>
      </c>
      <c r="P153" s="3">
        <v>-2.6841479549999998</v>
      </c>
      <c r="R153" s="3">
        <v>0.86655674900000002</v>
      </c>
      <c r="S153" s="3">
        <v>0.58896439199999995</v>
      </c>
      <c r="U153" s="3">
        <v>0.57172758099999998</v>
      </c>
      <c r="V153" s="3">
        <v>2.4505698960000002</v>
      </c>
      <c r="W153" s="3">
        <v>2.8108963170000001</v>
      </c>
      <c r="X153" s="3">
        <v>-2.5472148E-2</v>
      </c>
      <c r="Z153" s="3">
        <v>1.829112115</v>
      </c>
      <c r="AA153" s="3">
        <v>0.36884739599999999</v>
      </c>
      <c r="AB153" s="3">
        <v>1.9605731420000001</v>
      </c>
      <c r="AC153" s="3">
        <v>0.96977229499999995</v>
      </c>
      <c r="AE153" s="3">
        <v>1.0888030870000001</v>
      </c>
      <c r="AG153" s="3">
        <v>-0.14841891700000001</v>
      </c>
      <c r="AH153" s="3">
        <v>0.138870664</v>
      </c>
      <c r="AJ153" s="3">
        <v>0.96907230099999997</v>
      </c>
      <c r="AN153" s="3">
        <v>1.1747837999999999</v>
      </c>
      <c r="AP153" s="3">
        <v>-0.59577559599999996</v>
      </c>
      <c r="AU153" s="86"/>
      <c r="AV153" s="86"/>
      <c r="AW153" s="86"/>
      <c r="AX153" s="86"/>
      <c r="AY153" s="86"/>
      <c r="AZ153" s="86"/>
      <c r="BA153" s="86"/>
      <c r="BB153" s="83"/>
      <c r="BC153" s="83"/>
      <c r="BD153" s="83"/>
      <c r="BE153" s="83"/>
      <c r="BF153" s="83"/>
      <c r="BG153" s="83"/>
    </row>
    <row r="154" spans="1:59" x14ac:dyDescent="0.2">
      <c r="A154" s="86" t="s">
        <v>201</v>
      </c>
      <c r="B154" s="101">
        <v>31229</v>
      </c>
      <c r="C154" s="3">
        <v>2.206179884</v>
      </c>
      <c r="E154" s="3">
        <v>0.36521157700000001</v>
      </c>
      <c r="F154" s="3">
        <v>0.31873938699999999</v>
      </c>
      <c r="I154" s="3">
        <v>1.002247959</v>
      </c>
      <c r="J154" s="3">
        <v>1.6103715460000001</v>
      </c>
      <c r="K154" s="3">
        <v>-9.3929207000000001E-2</v>
      </c>
      <c r="M154" s="3">
        <v>1.1279350450000001</v>
      </c>
      <c r="N154" s="3">
        <v>0.628422861</v>
      </c>
      <c r="O154" s="3">
        <v>2.1329987450000001</v>
      </c>
      <c r="P154" s="3">
        <v>0.154857359</v>
      </c>
      <c r="R154" s="3">
        <v>0.46122412699999998</v>
      </c>
      <c r="S154" s="3">
        <v>0.56440247600000004</v>
      </c>
      <c r="U154" s="3">
        <v>1.3208831350000001</v>
      </c>
      <c r="V154" s="3">
        <v>2.024950032</v>
      </c>
      <c r="W154" s="3">
        <v>2.4088927089999999</v>
      </c>
      <c r="X154" s="3">
        <v>0.54686521600000004</v>
      </c>
      <c r="Z154" s="3">
        <v>-8.6641166000000006E-2</v>
      </c>
      <c r="AA154" s="3">
        <v>1.972851315</v>
      </c>
      <c r="AB154" s="3">
        <v>-1.373850137</v>
      </c>
      <c r="AC154" s="3">
        <v>1.06963926</v>
      </c>
      <c r="AE154" s="3">
        <v>0.97392293100000005</v>
      </c>
      <c r="AG154" s="3">
        <v>1.7854190590000001</v>
      </c>
      <c r="AH154" s="3">
        <v>1.0569776790000001</v>
      </c>
      <c r="AJ154" s="3">
        <v>0.88046635299999998</v>
      </c>
      <c r="AN154" s="3">
        <v>0.85500402200000003</v>
      </c>
      <c r="AP154" s="3">
        <v>-0.727141963</v>
      </c>
      <c r="AU154" s="86"/>
      <c r="AV154" s="86"/>
      <c r="AW154" s="86"/>
      <c r="AX154" s="86"/>
      <c r="AY154" s="86"/>
      <c r="AZ154" s="86"/>
      <c r="BA154" s="86"/>
      <c r="BB154" s="83"/>
      <c r="BC154" s="83"/>
      <c r="BD154" s="83"/>
      <c r="BE154" s="83"/>
      <c r="BF154" s="83"/>
      <c r="BG154" s="83"/>
    </row>
    <row r="155" spans="1:59" x14ac:dyDescent="0.2">
      <c r="A155" s="86" t="s">
        <v>202</v>
      </c>
      <c r="B155" s="101">
        <v>31321</v>
      </c>
      <c r="C155" s="3">
        <v>1.3569883469999999</v>
      </c>
      <c r="E155" s="3">
        <v>0.67714972799999995</v>
      </c>
      <c r="F155" s="3">
        <v>1.268698772</v>
      </c>
      <c r="I155" s="3">
        <v>1.3024081489999999</v>
      </c>
      <c r="J155" s="3">
        <v>2.1796522189999998</v>
      </c>
      <c r="K155" s="3">
        <v>1.0366668320000001</v>
      </c>
      <c r="M155" s="3">
        <v>0.49908862100000001</v>
      </c>
      <c r="N155" s="3">
        <v>0.74089233200000004</v>
      </c>
      <c r="O155" s="3">
        <v>9.3397096999999998E-2</v>
      </c>
      <c r="P155" s="3">
        <v>4.8017454649999998</v>
      </c>
      <c r="R155" s="3">
        <v>-2.5823585E-2</v>
      </c>
      <c r="S155" s="3">
        <v>0.74203580800000002</v>
      </c>
      <c r="U155" s="3">
        <v>0.80101588300000004</v>
      </c>
      <c r="V155" s="3">
        <v>1.308559679</v>
      </c>
      <c r="W155" s="3">
        <v>1.1376741210000001</v>
      </c>
      <c r="X155" s="3">
        <v>1.7397562980000001</v>
      </c>
      <c r="Z155" s="3">
        <v>0.62540454300000003</v>
      </c>
      <c r="AA155" s="3">
        <v>-0.97423871399999995</v>
      </c>
      <c r="AB155" s="3">
        <v>2.9073531090000002</v>
      </c>
      <c r="AC155" s="3">
        <v>1.160332213</v>
      </c>
      <c r="AE155" s="3">
        <v>-0.37398831700000001</v>
      </c>
      <c r="AG155" s="3">
        <v>0.26770207299999998</v>
      </c>
      <c r="AH155" s="3">
        <v>1.103460017</v>
      </c>
      <c r="AJ155" s="3">
        <v>1.527121263</v>
      </c>
      <c r="AN155" s="3">
        <v>0.13989832499999999</v>
      </c>
      <c r="AP155" s="3">
        <v>-0.263979032</v>
      </c>
      <c r="AU155" s="86"/>
      <c r="AV155" s="86"/>
      <c r="AW155" s="86"/>
      <c r="AX155" s="86"/>
      <c r="AY155" s="86"/>
      <c r="AZ155" s="86"/>
      <c r="BA155" s="86"/>
      <c r="BB155" s="83"/>
      <c r="BC155" s="83"/>
      <c r="BD155" s="83"/>
      <c r="BE155" s="83"/>
      <c r="BF155" s="83"/>
      <c r="BG155" s="83"/>
    </row>
    <row r="156" spans="1:59" x14ac:dyDescent="0.2">
      <c r="A156" s="86" t="s">
        <v>203</v>
      </c>
      <c r="B156" s="101">
        <v>31413</v>
      </c>
      <c r="C156" s="3">
        <v>-0.25304560500000001</v>
      </c>
      <c r="E156" s="3">
        <v>0.51796841199999999</v>
      </c>
      <c r="F156" s="3">
        <v>1.534781494</v>
      </c>
      <c r="I156" s="3">
        <v>0.59997725099999999</v>
      </c>
      <c r="J156" s="3">
        <v>1.901622049</v>
      </c>
      <c r="K156" s="3">
        <v>1.1484683010000001</v>
      </c>
      <c r="M156" s="3">
        <v>0.168415598</v>
      </c>
      <c r="N156" s="3">
        <v>0.35105761699999999</v>
      </c>
      <c r="O156" s="3">
        <v>0.24314791399999999</v>
      </c>
      <c r="P156" s="3">
        <v>3.8834155699999999</v>
      </c>
      <c r="R156" s="3">
        <v>-0.41133598700000001</v>
      </c>
      <c r="S156" s="3">
        <v>1.0616485870000001</v>
      </c>
      <c r="U156" s="3">
        <v>0.66679597300000004</v>
      </c>
      <c r="V156" s="3">
        <v>1.3284263089999999</v>
      </c>
      <c r="W156" s="3">
        <v>3.0486566470000001</v>
      </c>
      <c r="X156" s="3">
        <v>2.8668386080000001</v>
      </c>
      <c r="Z156" s="3">
        <v>-0.271496552</v>
      </c>
      <c r="AA156" s="3">
        <v>2.4464991550000001</v>
      </c>
      <c r="AB156" s="3">
        <v>0.964865215</v>
      </c>
      <c r="AC156" s="3">
        <v>0.82190828500000002</v>
      </c>
      <c r="AE156" s="3">
        <v>1.5871316870000001</v>
      </c>
      <c r="AG156" s="3">
        <v>0.54527386600000005</v>
      </c>
      <c r="AH156" s="3">
        <v>-1.004893611</v>
      </c>
      <c r="AJ156" s="3">
        <v>0.743327344</v>
      </c>
      <c r="AN156" s="3">
        <v>0.91325540000000005</v>
      </c>
      <c r="AP156" s="3">
        <v>1.0693403159999999</v>
      </c>
      <c r="AU156" s="86"/>
      <c r="AV156" s="86"/>
      <c r="AW156" s="86"/>
      <c r="AX156" s="86"/>
      <c r="AY156" s="86"/>
      <c r="AZ156" s="86"/>
      <c r="BA156" s="86"/>
      <c r="BB156" s="83"/>
      <c r="BC156" s="83"/>
      <c r="BD156" s="83"/>
      <c r="BE156" s="83"/>
      <c r="BF156" s="83"/>
      <c r="BG156" s="83"/>
    </row>
    <row r="157" spans="1:59" x14ac:dyDescent="0.2">
      <c r="A157" s="86" t="s">
        <v>204</v>
      </c>
      <c r="B157" s="101">
        <v>31503</v>
      </c>
      <c r="C157" s="3">
        <v>0.65606892100000003</v>
      </c>
      <c r="E157" s="3">
        <v>0.54788962500000005</v>
      </c>
      <c r="F157" s="3">
        <v>-3.0061903000000001E-2</v>
      </c>
      <c r="I157" s="3">
        <v>-0.57204937</v>
      </c>
      <c r="J157" s="3">
        <v>0.86508181399999995</v>
      </c>
      <c r="K157" s="3">
        <v>0.28204135000000002</v>
      </c>
      <c r="M157" s="3">
        <v>6.0355234000000001E-2</v>
      </c>
      <c r="N157" s="3">
        <v>0.33812635600000002</v>
      </c>
      <c r="O157" s="3">
        <v>1.1251144230000001</v>
      </c>
      <c r="P157" s="3">
        <v>-6.3766332129999999</v>
      </c>
      <c r="R157" s="3">
        <v>-0.476883795</v>
      </c>
      <c r="S157" s="3">
        <v>1.4619273749999999</v>
      </c>
      <c r="U157" s="3">
        <v>0.62317990000000001</v>
      </c>
      <c r="V157" s="3">
        <v>0.39764638899999999</v>
      </c>
      <c r="W157" s="3">
        <v>1.9254295509999999</v>
      </c>
      <c r="X157" s="3">
        <v>3.2029759630000001</v>
      </c>
      <c r="Z157" s="3">
        <v>-1.9282385399999999</v>
      </c>
      <c r="AA157" s="3">
        <v>0.176768535</v>
      </c>
      <c r="AB157" s="3">
        <v>1.87486829</v>
      </c>
      <c r="AC157" s="3">
        <v>0.44144488500000001</v>
      </c>
      <c r="AE157" s="3">
        <v>1.321063257</v>
      </c>
      <c r="AG157" s="3">
        <v>0.62622047800000002</v>
      </c>
      <c r="AH157" s="3">
        <v>2.0234702859999998</v>
      </c>
      <c r="AJ157" s="3">
        <v>0.93352470799999998</v>
      </c>
      <c r="AN157" s="3">
        <v>0.53414939500000003</v>
      </c>
      <c r="AP157" s="3">
        <v>-1.1913956510000001</v>
      </c>
      <c r="AU157" s="86"/>
      <c r="AV157" s="86"/>
      <c r="AW157" s="86"/>
      <c r="AX157" s="86"/>
      <c r="AY157" s="86"/>
      <c r="AZ157" s="86"/>
      <c r="BA157" s="86"/>
      <c r="BB157" s="83"/>
      <c r="BC157" s="83"/>
      <c r="BD157" s="83"/>
      <c r="BE157" s="83"/>
      <c r="BF157" s="83"/>
      <c r="BG157" s="83"/>
    </row>
    <row r="158" spans="1:59" x14ac:dyDescent="0.2">
      <c r="A158" s="86" t="s">
        <v>205</v>
      </c>
      <c r="B158" s="101">
        <v>31594</v>
      </c>
      <c r="C158" s="3">
        <v>-0.17986321399999999</v>
      </c>
      <c r="E158" s="3">
        <v>0.203576123</v>
      </c>
      <c r="F158" s="3">
        <v>0.56848401500000001</v>
      </c>
      <c r="I158" s="3">
        <v>1.150684662</v>
      </c>
      <c r="J158" s="3">
        <v>-0.29674130199999998</v>
      </c>
      <c r="K158" s="3">
        <v>2.3815559180000001</v>
      </c>
      <c r="M158" s="3">
        <v>0.43515725999999999</v>
      </c>
      <c r="N158" s="3">
        <v>1.1238151080000001</v>
      </c>
      <c r="O158" s="3">
        <v>0.74364066900000003</v>
      </c>
      <c r="P158" s="3">
        <v>2.6765097500000001</v>
      </c>
      <c r="R158" s="3">
        <v>-0.22014504300000001</v>
      </c>
      <c r="S158" s="3">
        <v>1.9051185939999999</v>
      </c>
      <c r="U158" s="3">
        <v>0.64681267799999997</v>
      </c>
      <c r="V158" s="3">
        <v>-0.24568883799999999</v>
      </c>
      <c r="W158" s="3">
        <v>3.8971729750000002</v>
      </c>
      <c r="X158" s="3">
        <v>2.8192515189999998</v>
      </c>
      <c r="Z158" s="3">
        <v>-0.373519773</v>
      </c>
      <c r="AA158" s="3">
        <v>1.7323288880000001</v>
      </c>
      <c r="AB158" s="3">
        <v>-1.3560457699999999</v>
      </c>
      <c r="AC158" s="3">
        <v>0.64177563400000004</v>
      </c>
      <c r="AE158" s="3">
        <v>1.128379966</v>
      </c>
      <c r="AG158" s="3">
        <v>-0.510957192</v>
      </c>
      <c r="AH158" s="3">
        <v>0.50052435299999998</v>
      </c>
      <c r="AJ158" s="3">
        <v>0.45037736299999998</v>
      </c>
      <c r="AN158" s="3">
        <v>0.480621358</v>
      </c>
      <c r="AP158" s="3">
        <v>0.69041002600000001</v>
      </c>
      <c r="AU158" s="86"/>
      <c r="AV158" s="86"/>
      <c r="AW158" s="86"/>
      <c r="AX158" s="86"/>
      <c r="AY158" s="86"/>
      <c r="AZ158" s="86"/>
      <c r="BA158" s="86"/>
      <c r="BB158" s="83"/>
      <c r="BC158" s="83"/>
      <c r="BD158" s="83"/>
      <c r="BE158" s="83"/>
      <c r="BF158" s="83"/>
      <c r="BG158" s="83"/>
    </row>
    <row r="159" spans="1:59" x14ac:dyDescent="0.2">
      <c r="A159" s="86" t="s">
        <v>206</v>
      </c>
      <c r="B159" s="101">
        <v>31686</v>
      </c>
      <c r="C159" s="3">
        <v>0.28411979300000001</v>
      </c>
      <c r="E159" s="3">
        <v>1.2309365290000001</v>
      </c>
      <c r="F159" s="3">
        <v>0.12621459900000001</v>
      </c>
      <c r="I159" s="3">
        <v>0.738239227</v>
      </c>
      <c r="J159" s="3">
        <v>-3.9017767000000002E-2</v>
      </c>
      <c r="K159" s="3">
        <v>-0.70503902500000004</v>
      </c>
      <c r="M159" s="3">
        <v>4.358457381</v>
      </c>
      <c r="N159" s="3">
        <v>0.342593863</v>
      </c>
      <c r="O159" s="3">
        <v>0.45456785700000002</v>
      </c>
      <c r="P159" s="3">
        <v>-1.460956352</v>
      </c>
      <c r="R159" s="3">
        <v>0.34954957599999997</v>
      </c>
      <c r="S159" s="3">
        <v>2.4380863189999999</v>
      </c>
      <c r="U159" s="3">
        <v>0.99812261700000005</v>
      </c>
      <c r="V159" s="3">
        <v>0.58578774899999997</v>
      </c>
      <c r="W159" s="3">
        <v>4.3171751120000001</v>
      </c>
      <c r="X159" s="3">
        <v>1.88521542</v>
      </c>
      <c r="Z159" s="3">
        <v>-1.8982088269999999</v>
      </c>
      <c r="AA159" s="3">
        <v>0.25350656300000002</v>
      </c>
      <c r="AB159" s="3">
        <v>2.6101048969999998</v>
      </c>
      <c r="AC159" s="3">
        <v>0.67522939599999998</v>
      </c>
      <c r="AE159" s="3">
        <v>0.53523350700000005</v>
      </c>
      <c r="AG159" s="3">
        <v>-0.19770822900000001</v>
      </c>
      <c r="AH159" s="3">
        <v>0.48903576300000001</v>
      </c>
      <c r="AJ159" s="3">
        <v>0.95699288599999999</v>
      </c>
      <c r="AN159" s="3">
        <v>-8.8404836000000001E-2</v>
      </c>
      <c r="AP159" s="3">
        <v>0.22503509099999999</v>
      </c>
      <c r="AU159" s="86"/>
      <c r="AV159" s="86"/>
      <c r="AW159" s="86"/>
      <c r="AX159" s="86"/>
      <c r="AY159" s="86"/>
      <c r="AZ159" s="86"/>
      <c r="BA159" s="86"/>
      <c r="BB159" s="83"/>
      <c r="BC159" s="83"/>
      <c r="BD159" s="83"/>
      <c r="BE159" s="83"/>
      <c r="BF159" s="83"/>
      <c r="BG159" s="83"/>
    </row>
    <row r="160" spans="1:59" x14ac:dyDescent="0.2">
      <c r="A160" s="86" t="s">
        <v>207</v>
      </c>
      <c r="B160" s="101">
        <v>31778</v>
      </c>
      <c r="C160" s="3">
        <v>1.650323024</v>
      </c>
      <c r="E160" s="3">
        <v>-1.156201418</v>
      </c>
      <c r="F160" s="3">
        <v>-0.72210196800000004</v>
      </c>
      <c r="I160" s="3">
        <v>0.99710821800000005</v>
      </c>
      <c r="J160" s="3">
        <v>0.36763258399999998</v>
      </c>
      <c r="K160" s="3">
        <v>0.63880313499999997</v>
      </c>
      <c r="M160" s="3">
        <v>-1.8744604760000001</v>
      </c>
      <c r="N160" s="3">
        <v>0.36006424599999998</v>
      </c>
      <c r="O160" s="3">
        <v>1.7873991380000001</v>
      </c>
      <c r="P160" s="3">
        <v>2.718685968</v>
      </c>
      <c r="R160" s="3">
        <v>0.987010685</v>
      </c>
      <c r="S160" s="3">
        <v>2.7473226940000002</v>
      </c>
      <c r="U160" s="3">
        <v>0.410590175</v>
      </c>
      <c r="V160" s="3">
        <v>0.78872110799999995</v>
      </c>
      <c r="W160" s="3">
        <v>1.5598258190000001</v>
      </c>
      <c r="X160" s="3">
        <v>0.89767737800000003</v>
      </c>
      <c r="Z160" s="3">
        <v>-0.273023038</v>
      </c>
      <c r="AA160" s="3">
        <v>-1.2743091950000001</v>
      </c>
      <c r="AB160" s="3">
        <v>0.54757213400000004</v>
      </c>
      <c r="AC160" s="3">
        <v>0.61326128700000004</v>
      </c>
      <c r="AE160" s="3">
        <v>1.600706368</v>
      </c>
      <c r="AG160" s="3">
        <v>3.1286467999999998E-2</v>
      </c>
      <c r="AH160" s="3">
        <v>0.30368230099999999</v>
      </c>
      <c r="AJ160" s="3">
        <v>0.53698571799999995</v>
      </c>
      <c r="AN160" s="3">
        <v>-0.13024883700000001</v>
      </c>
      <c r="AP160" s="3">
        <v>0.41988258499999997</v>
      </c>
      <c r="AU160" s="86"/>
      <c r="AV160" s="86"/>
      <c r="AW160" s="86"/>
      <c r="AX160" s="86"/>
      <c r="AY160" s="86"/>
      <c r="AZ160" s="86"/>
      <c r="BA160" s="86"/>
      <c r="BB160" s="83"/>
      <c r="BC160" s="83"/>
      <c r="BD160" s="83"/>
      <c r="BE160" s="83"/>
      <c r="BF160" s="83"/>
      <c r="BG160" s="83"/>
    </row>
    <row r="161" spans="1:59" x14ac:dyDescent="0.2">
      <c r="A161" s="86" t="s">
        <v>208</v>
      </c>
      <c r="B161" s="101">
        <v>31868</v>
      </c>
      <c r="C161" s="3">
        <v>0.96303561199999999</v>
      </c>
      <c r="E161" s="3">
        <v>0.706357821</v>
      </c>
      <c r="F161" s="3">
        <v>2.3071933269999998</v>
      </c>
      <c r="I161" s="3">
        <v>-2.509804892</v>
      </c>
      <c r="J161" s="3">
        <v>-1.5691744940000001</v>
      </c>
      <c r="K161" s="3">
        <v>2.048184242</v>
      </c>
      <c r="M161" s="3">
        <v>0.76662058600000005</v>
      </c>
      <c r="N161" s="3">
        <v>0.23680838000000001</v>
      </c>
      <c r="O161" s="3">
        <v>0.92806134200000001</v>
      </c>
      <c r="P161" s="3">
        <v>-4.2863398259999999</v>
      </c>
      <c r="R161" s="3">
        <v>1.404725829</v>
      </c>
      <c r="S161" s="3">
        <v>2.5479709490000002</v>
      </c>
      <c r="U161" s="3">
        <v>0.40962453999999998</v>
      </c>
      <c r="V161" s="3">
        <v>-7.1725637999999994E-2</v>
      </c>
      <c r="W161" s="3">
        <v>3.2115220290000002</v>
      </c>
      <c r="X161" s="3">
        <v>0.39014947999999999</v>
      </c>
      <c r="Z161" s="3">
        <v>0.59747604600000004</v>
      </c>
      <c r="AA161" s="3">
        <v>0.23927879299999999</v>
      </c>
      <c r="AB161" s="3">
        <v>-0.41866055099999999</v>
      </c>
      <c r="AC161" s="3">
        <v>0.32512442800000002</v>
      </c>
      <c r="AE161" s="3">
        <v>1.8053965080000001</v>
      </c>
      <c r="AG161" s="3">
        <v>-0.61758249899999995</v>
      </c>
      <c r="AH161" s="3">
        <v>0.45626201</v>
      </c>
      <c r="AJ161" s="3">
        <v>0.74501963000000004</v>
      </c>
      <c r="AN161" s="3">
        <v>0.175169724</v>
      </c>
      <c r="AP161" s="3">
        <v>0.72728254000000003</v>
      </c>
      <c r="AU161" s="86"/>
      <c r="AV161" s="86"/>
      <c r="AW161" s="86"/>
      <c r="AX161" s="86"/>
      <c r="AY161" s="86"/>
      <c r="AZ161" s="86"/>
      <c r="BA161" s="86"/>
      <c r="BB161" s="83"/>
      <c r="BC161" s="83"/>
      <c r="BD161" s="83"/>
      <c r="BE161" s="83"/>
      <c r="BF161" s="83"/>
      <c r="BG161" s="83"/>
    </row>
    <row r="162" spans="1:59" x14ac:dyDescent="0.2">
      <c r="A162" s="86" t="s">
        <v>209</v>
      </c>
      <c r="B162" s="101">
        <v>31959</v>
      </c>
      <c r="C162" s="3">
        <v>1.567979628</v>
      </c>
      <c r="E162" s="3">
        <v>1.1111891780000001</v>
      </c>
      <c r="F162" s="3">
        <v>1.291592995</v>
      </c>
      <c r="I162" s="3">
        <v>2.2449939579999998</v>
      </c>
      <c r="J162" s="3">
        <v>3.0248369030000002</v>
      </c>
      <c r="K162" s="3">
        <v>1.4960575300000001</v>
      </c>
      <c r="M162" s="3">
        <v>1.741914027</v>
      </c>
      <c r="N162" s="3">
        <v>1.161788821</v>
      </c>
      <c r="O162" s="3">
        <v>1.467276501</v>
      </c>
      <c r="P162" s="3">
        <v>-1.8943373210000001</v>
      </c>
      <c r="R162" s="3">
        <v>1.567871274</v>
      </c>
      <c r="S162" s="3">
        <v>1.964998593</v>
      </c>
      <c r="U162" s="3">
        <v>1.514381795</v>
      </c>
      <c r="V162" s="3">
        <v>2.0955948000000002</v>
      </c>
      <c r="W162" s="3">
        <v>4.953211831</v>
      </c>
      <c r="X162" s="3">
        <v>0.42852130700000002</v>
      </c>
      <c r="Z162" s="3">
        <v>2.7362310870000002</v>
      </c>
      <c r="AA162" s="3">
        <v>1.642375645</v>
      </c>
      <c r="AB162" s="3">
        <v>2.197280466</v>
      </c>
      <c r="AC162" s="3">
        <v>1.633490157</v>
      </c>
      <c r="AE162" s="3">
        <v>1.60081077</v>
      </c>
      <c r="AG162" s="3">
        <v>-1.7855473529999999</v>
      </c>
      <c r="AH162" s="3">
        <v>2.212031342</v>
      </c>
      <c r="AJ162" s="3">
        <v>1.078842316</v>
      </c>
      <c r="AN162" s="3">
        <v>0.75463332699999996</v>
      </c>
      <c r="AP162" s="3">
        <v>0.35660318699999999</v>
      </c>
      <c r="AU162" s="86"/>
      <c r="AV162" s="86"/>
      <c r="AW162" s="86"/>
      <c r="AX162" s="86"/>
      <c r="AY162" s="86"/>
      <c r="AZ162" s="86"/>
      <c r="BA162" s="86"/>
      <c r="BB162" s="83"/>
      <c r="BC162" s="83"/>
      <c r="BD162" s="83"/>
      <c r="BE162" s="83"/>
      <c r="BF162" s="83"/>
      <c r="BG162" s="83"/>
    </row>
    <row r="163" spans="1:59" x14ac:dyDescent="0.2">
      <c r="A163" s="86" t="s">
        <v>210</v>
      </c>
      <c r="B163" s="101">
        <v>32051</v>
      </c>
      <c r="C163" s="3">
        <v>1.8198912819999999</v>
      </c>
      <c r="E163" s="3">
        <v>1.3975127519999999</v>
      </c>
      <c r="F163" s="3">
        <v>1.5220522830000001</v>
      </c>
      <c r="I163" s="3">
        <v>0.69212070999999997</v>
      </c>
      <c r="J163" s="3">
        <v>-1.3814957349999999</v>
      </c>
      <c r="K163" s="3">
        <v>2.0652025329999999</v>
      </c>
      <c r="M163" s="3">
        <v>0.38818289499999997</v>
      </c>
      <c r="N163" s="3">
        <v>0.69053310300000004</v>
      </c>
      <c r="O163" s="3">
        <v>2.4297698400000001</v>
      </c>
      <c r="P163" s="3">
        <v>0.29879101899999999</v>
      </c>
      <c r="R163" s="3">
        <v>1.556645286</v>
      </c>
      <c r="S163" s="3">
        <v>1.039469583</v>
      </c>
      <c r="U163" s="3">
        <v>0.288641596</v>
      </c>
      <c r="V163" s="3">
        <v>2.0002775509999999</v>
      </c>
      <c r="W163" s="3">
        <v>0.97569847099999996</v>
      </c>
      <c r="X163" s="3">
        <v>0.94673136499999999</v>
      </c>
      <c r="Z163" s="3">
        <v>0.107060851</v>
      </c>
      <c r="AA163" s="3">
        <v>1.146136544</v>
      </c>
      <c r="AB163" s="3">
        <v>-2.607442206</v>
      </c>
      <c r="AC163" s="3">
        <v>1.1058402119999999</v>
      </c>
      <c r="AE163" s="3">
        <v>1.547363343</v>
      </c>
      <c r="AG163" s="3">
        <v>0.200462477</v>
      </c>
      <c r="AH163" s="3">
        <v>1.1365519340000001</v>
      </c>
      <c r="AI163" s="3">
        <v>0.54876305400000003</v>
      </c>
      <c r="AJ163" s="3">
        <v>0.86756685600000005</v>
      </c>
      <c r="AN163" s="3">
        <v>1.2594342869999999</v>
      </c>
      <c r="AP163" s="3">
        <v>0.36492787599999998</v>
      </c>
      <c r="AU163" s="86"/>
      <c r="AV163" s="86"/>
      <c r="AW163" s="86"/>
      <c r="AX163" s="86"/>
      <c r="AY163" s="86"/>
      <c r="AZ163" s="86"/>
      <c r="BA163" s="86"/>
      <c r="BB163" s="83"/>
      <c r="BC163" s="83"/>
      <c r="BD163" s="83"/>
      <c r="BE163" s="83"/>
      <c r="BF163" s="83"/>
      <c r="BG163" s="83"/>
    </row>
    <row r="164" spans="1:59" x14ac:dyDescent="0.2">
      <c r="A164" s="86" t="s">
        <v>211</v>
      </c>
      <c r="B164" s="101">
        <v>32143</v>
      </c>
      <c r="C164" s="3">
        <v>2.0219281019999999</v>
      </c>
      <c r="E164" s="3">
        <v>1.290633452</v>
      </c>
      <c r="F164" s="3">
        <v>1.2918924119999999</v>
      </c>
      <c r="I164" s="3">
        <v>1.599900168</v>
      </c>
      <c r="J164" s="3">
        <v>0.59597164400000002</v>
      </c>
      <c r="K164" s="3">
        <v>2.0457360969999998</v>
      </c>
      <c r="M164" s="3">
        <v>1.9700423309999999</v>
      </c>
      <c r="N164" s="3">
        <v>1.697818606</v>
      </c>
      <c r="O164" s="3">
        <v>1.1325156409999999</v>
      </c>
      <c r="P164" s="3">
        <v>5.8822516489999996</v>
      </c>
      <c r="R164" s="3">
        <v>1.428591408</v>
      </c>
      <c r="S164" s="3">
        <v>0.10317599099999999</v>
      </c>
      <c r="U164" s="3">
        <v>1.075995276</v>
      </c>
      <c r="V164" s="3">
        <v>2.574799235</v>
      </c>
      <c r="W164" s="3">
        <v>2.035328587</v>
      </c>
      <c r="X164" s="3">
        <v>1.6545401769999999</v>
      </c>
      <c r="Z164" s="3">
        <v>1.208326572</v>
      </c>
      <c r="AA164" s="3">
        <v>0.81429762699999997</v>
      </c>
      <c r="AB164" s="3">
        <v>1.8132901800000001</v>
      </c>
      <c r="AC164" s="3">
        <v>1.8216972840000001</v>
      </c>
      <c r="AE164" s="3">
        <v>1.1974914400000001</v>
      </c>
      <c r="AG164" s="3">
        <v>-1.992930187</v>
      </c>
      <c r="AH164" s="3">
        <v>0.31107987199999998</v>
      </c>
      <c r="AI164" s="3">
        <v>0.467115742</v>
      </c>
      <c r="AJ164" s="3">
        <v>1.717036096</v>
      </c>
      <c r="AN164" s="3">
        <v>0.78284669100000004</v>
      </c>
      <c r="AP164" s="3">
        <v>1.2276316940000001</v>
      </c>
      <c r="AU164" s="86"/>
      <c r="AV164" s="86"/>
      <c r="AW164" s="86"/>
      <c r="AX164" s="86"/>
      <c r="AY164" s="86"/>
      <c r="AZ164" s="86"/>
      <c r="BA164" s="86"/>
      <c r="BB164" s="83"/>
      <c r="BC164" s="83"/>
      <c r="BD164" s="83"/>
      <c r="BE164" s="83"/>
      <c r="BF164" s="83"/>
      <c r="BG164" s="83"/>
    </row>
    <row r="165" spans="1:59" x14ac:dyDescent="0.2">
      <c r="A165" s="86" t="s">
        <v>212</v>
      </c>
      <c r="B165" s="101">
        <v>32234</v>
      </c>
      <c r="C165" s="3">
        <v>0.42810178700000001</v>
      </c>
      <c r="E165" s="3">
        <v>0.99036001399999996</v>
      </c>
      <c r="F165" s="3">
        <v>1.4579330859999999</v>
      </c>
      <c r="I165" s="3">
        <v>-0.90697272200000001</v>
      </c>
      <c r="J165" s="3">
        <v>0.98007253999999999</v>
      </c>
      <c r="K165" s="3">
        <v>0.32154340799999998</v>
      </c>
      <c r="M165" s="3">
        <v>1.2733514290000001</v>
      </c>
      <c r="N165" s="3">
        <v>1.2228896810000001</v>
      </c>
      <c r="O165" s="3">
        <v>1.780758719</v>
      </c>
      <c r="P165" s="3">
        <v>2.3028509160000001</v>
      </c>
      <c r="R165" s="3">
        <v>1.270740591</v>
      </c>
      <c r="S165" s="3">
        <v>-0.47297622700000003</v>
      </c>
      <c r="U165" s="3">
        <v>1.471709696</v>
      </c>
      <c r="V165" s="3">
        <v>2.387212705</v>
      </c>
      <c r="W165" s="3">
        <v>7.7032393270000004</v>
      </c>
      <c r="X165" s="3">
        <v>2.2227180199999999</v>
      </c>
      <c r="Z165" s="3">
        <v>-0.67550622800000004</v>
      </c>
      <c r="AA165" s="3">
        <v>0.131301948</v>
      </c>
      <c r="AB165" s="3">
        <v>-0.37327565299999999</v>
      </c>
      <c r="AC165" s="3">
        <v>0.83307785999999995</v>
      </c>
      <c r="AE165" s="3">
        <v>4.5566320009999997</v>
      </c>
      <c r="AG165" s="3">
        <v>0.18430243299999999</v>
      </c>
      <c r="AH165" s="3">
        <v>0.47846825999999998</v>
      </c>
      <c r="AI165" s="3">
        <v>-0.380006489</v>
      </c>
      <c r="AJ165" s="3">
        <v>0.516654167</v>
      </c>
      <c r="AN165" s="3">
        <v>0.24971337499999999</v>
      </c>
      <c r="AP165" s="3">
        <v>1.5029433089999999</v>
      </c>
      <c r="AU165" s="86"/>
      <c r="AV165" s="86"/>
      <c r="AW165" s="86"/>
      <c r="AX165" s="86"/>
      <c r="AY165" s="86"/>
      <c r="AZ165" s="86"/>
      <c r="BA165" s="86"/>
      <c r="BB165" s="83"/>
      <c r="BC165" s="83"/>
      <c r="BD165" s="83"/>
      <c r="BE165" s="83"/>
      <c r="BF165" s="83"/>
      <c r="BG165" s="83"/>
    </row>
    <row r="166" spans="1:59" x14ac:dyDescent="0.2">
      <c r="A166" s="86" t="s">
        <v>213</v>
      </c>
      <c r="B166" s="101">
        <v>32325</v>
      </c>
      <c r="C166" s="3">
        <v>6.8370048000000003E-2</v>
      </c>
      <c r="E166" s="3">
        <v>0.93207988600000002</v>
      </c>
      <c r="F166" s="3">
        <v>0.88565837199999997</v>
      </c>
      <c r="I166" s="3">
        <v>1.812832048</v>
      </c>
      <c r="J166" s="3">
        <v>5.5030685000000003E-2</v>
      </c>
      <c r="K166" s="3">
        <v>1.2231815800000001</v>
      </c>
      <c r="M166" s="3">
        <v>0.80406763599999997</v>
      </c>
      <c r="N166" s="3">
        <v>0.60022913600000005</v>
      </c>
      <c r="O166" s="3">
        <v>0.59064108599999998</v>
      </c>
      <c r="P166" s="3">
        <v>-3.7119465859999998</v>
      </c>
      <c r="R166" s="3">
        <v>1.136569822</v>
      </c>
      <c r="S166" s="3">
        <v>-0.62217562000000004</v>
      </c>
      <c r="U166" s="3">
        <v>0.63526980899999996</v>
      </c>
      <c r="V166" s="3">
        <v>-0.14599722600000001</v>
      </c>
      <c r="W166" s="3">
        <v>-2.1607373999999999</v>
      </c>
      <c r="X166" s="3">
        <v>2.6128145709999999</v>
      </c>
      <c r="Z166" s="3">
        <v>-0.320852788</v>
      </c>
      <c r="AA166" s="3">
        <v>0.76187218999999995</v>
      </c>
      <c r="AB166" s="3">
        <v>-1.5329779240000001</v>
      </c>
      <c r="AC166" s="3">
        <v>0.70527661200000002</v>
      </c>
      <c r="AE166" s="3">
        <v>0.45499446399999999</v>
      </c>
      <c r="AG166" s="3">
        <v>0.31284554799999997</v>
      </c>
      <c r="AH166" s="3">
        <v>0.193406783</v>
      </c>
      <c r="AI166" s="3">
        <v>-0.47604664299999999</v>
      </c>
      <c r="AJ166" s="3">
        <v>1.313900617</v>
      </c>
      <c r="AN166" s="3">
        <v>0.62640106900000003</v>
      </c>
      <c r="AP166" s="3">
        <v>0.71005532699999996</v>
      </c>
      <c r="AU166" s="86"/>
      <c r="AV166" s="86"/>
      <c r="AW166" s="86"/>
      <c r="AX166" s="86"/>
      <c r="AY166" s="86"/>
      <c r="AZ166" s="86"/>
      <c r="BA166" s="86"/>
      <c r="BB166" s="83"/>
      <c r="BC166" s="83"/>
      <c r="BD166" s="83"/>
      <c r="BE166" s="83"/>
      <c r="BF166" s="83"/>
      <c r="BG166" s="83"/>
    </row>
    <row r="167" spans="1:59" x14ac:dyDescent="0.2">
      <c r="A167" s="86" t="s">
        <v>214</v>
      </c>
      <c r="B167" s="101">
        <v>32417</v>
      </c>
      <c r="C167" s="3">
        <v>0.82505603000000005</v>
      </c>
      <c r="E167" s="3">
        <v>1.2289064649999999</v>
      </c>
      <c r="F167" s="3">
        <v>9.0986950000000004E-3</v>
      </c>
      <c r="I167" s="3">
        <v>1.1330757039999999</v>
      </c>
      <c r="J167" s="3">
        <v>-1.9012544499999999</v>
      </c>
      <c r="K167" s="3">
        <v>1.8029079160000001</v>
      </c>
      <c r="M167" s="3">
        <v>1.2316715540000001</v>
      </c>
      <c r="N167" s="3">
        <v>1.2972260849999999</v>
      </c>
      <c r="O167" s="3">
        <v>1.5232360060000001</v>
      </c>
      <c r="P167" s="3">
        <v>0.73964008599999997</v>
      </c>
      <c r="R167" s="3">
        <v>1.0180494019999999</v>
      </c>
      <c r="S167" s="3">
        <v>-0.413715371</v>
      </c>
      <c r="U167" s="3">
        <v>1.313966057</v>
      </c>
      <c r="V167" s="3">
        <v>2.230947392</v>
      </c>
      <c r="W167" s="3">
        <v>3.1456552659999999</v>
      </c>
      <c r="X167" s="3">
        <v>2.8806564059999999</v>
      </c>
      <c r="Z167" s="3">
        <v>0.123422488</v>
      </c>
      <c r="AA167" s="3">
        <v>0.85158850399999997</v>
      </c>
      <c r="AB167" s="3">
        <v>0.84492708999999999</v>
      </c>
      <c r="AC167" s="3">
        <v>1.062247991</v>
      </c>
      <c r="AE167" s="3">
        <v>0.762612717</v>
      </c>
      <c r="AG167" s="3">
        <v>1.3271646E-2</v>
      </c>
      <c r="AH167" s="3">
        <v>0.165338555</v>
      </c>
      <c r="AI167" s="3">
        <v>0.22354998800000001</v>
      </c>
      <c r="AJ167" s="3">
        <v>0.58592831400000001</v>
      </c>
      <c r="AN167" s="3">
        <v>1.1367375639999999</v>
      </c>
      <c r="AP167" s="3">
        <v>1.34491922</v>
      </c>
      <c r="AU167" s="86"/>
      <c r="AV167" s="86"/>
      <c r="AW167" s="86"/>
      <c r="AX167" s="86"/>
      <c r="AY167" s="86"/>
      <c r="AZ167" s="86"/>
      <c r="BA167" s="86"/>
      <c r="BB167" s="83"/>
      <c r="BC167" s="83"/>
      <c r="BD167" s="83"/>
      <c r="BE167" s="83"/>
      <c r="BF167" s="83"/>
      <c r="BG167" s="83"/>
    </row>
    <row r="168" spans="1:59" x14ac:dyDescent="0.2">
      <c r="A168" s="86" t="s">
        <v>215</v>
      </c>
      <c r="B168" s="101">
        <v>32509</v>
      </c>
      <c r="C168" s="3">
        <v>1.5498503539999999</v>
      </c>
      <c r="E168" s="3">
        <v>0.97988492100000002</v>
      </c>
      <c r="F168" s="3">
        <v>0.69744059199999997</v>
      </c>
      <c r="I168" s="3">
        <v>1.1775465940000001</v>
      </c>
      <c r="J168" s="3">
        <v>2.460192868</v>
      </c>
      <c r="K168" s="3">
        <v>-0.22428166399999999</v>
      </c>
      <c r="M168" s="3">
        <v>1.850135187</v>
      </c>
      <c r="N168" s="3">
        <v>1.0551840139999999</v>
      </c>
      <c r="O168" s="3">
        <v>0.861155852</v>
      </c>
      <c r="P168" s="3">
        <v>1.8174964760000001</v>
      </c>
      <c r="R168" s="3">
        <v>1.010502067</v>
      </c>
      <c r="S168" s="3">
        <v>-5.7924086999999999E-2</v>
      </c>
      <c r="U168" s="3">
        <v>1.193897196</v>
      </c>
      <c r="V168" s="3">
        <v>1.053823715</v>
      </c>
      <c r="W168" s="3">
        <v>3.254636181</v>
      </c>
      <c r="X168" s="3">
        <v>2.9262963019999999</v>
      </c>
      <c r="Z168" s="3">
        <v>1.992230561</v>
      </c>
      <c r="AA168" s="3">
        <v>0.93033037399999996</v>
      </c>
      <c r="AB168" s="3">
        <v>0.14318214000000001</v>
      </c>
      <c r="AC168" s="3">
        <v>1.174331096</v>
      </c>
      <c r="AE168" s="3">
        <v>1.319190173</v>
      </c>
      <c r="AG168" s="3">
        <v>1.9315814360000001</v>
      </c>
      <c r="AH168" s="3">
        <v>2.1167567940000001</v>
      </c>
      <c r="AI168" s="3">
        <v>-0.88143307100000001</v>
      </c>
      <c r="AJ168" s="3">
        <v>1.332500553</v>
      </c>
      <c r="AN168" s="3">
        <v>1.7501116560000001</v>
      </c>
      <c r="AP168" s="3">
        <v>0.93898047399999995</v>
      </c>
      <c r="AU168" s="86"/>
      <c r="AV168" s="86"/>
      <c r="AW168" s="86"/>
      <c r="AX168" s="86"/>
      <c r="AY168" s="86"/>
      <c r="AZ168" s="86"/>
      <c r="BA168" s="86"/>
      <c r="BB168" s="83"/>
      <c r="BC168" s="83"/>
      <c r="BD168" s="83"/>
      <c r="BE168" s="83"/>
      <c r="BF168" s="83"/>
      <c r="BG168" s="83"/>
    </row>
    <row r="169" spans="1:59" x14ac:dyDescent="0.2">
      <c r="A169" s="86" t="s">
        <v>216</v>
      </c>
      <c r="B169" s="101">
        <v>32599</v>
      </c>
      <c r="C169" s="3">
        <v>1.031282228</v>
      </c>
      <c r="E169" s="3">
        <v>0.76019038999999999</v>
      </c>
      <c r="F169" s="3">
        <v>1.14072018</v>
      </c>
      <c r="I169" s="3">
        <v>1.045142904</v>
      </c>
      <c r="J169" s="3">
        <v>1.130299648</v>
      </c>
      <c r="K169" s="3">
        <v>2.358130461</v>
      </c>
      <c r="M169" s="3">
        <v>1.1945845500000001</v>
      </c>
      <c r="N169" s="3">
        <v>1.2698158479999999</v>
      </c>
      <c r="O169" s="3">
        <v>0.44040379800000001</v>
      </c>
      <c r="P169" s="3">
        <v>3.492845301</v>
      </c>
      <c r="R169" s="3">
        <v>1.206530316</v>
      </c>
      <c r="S169" s="3">
        <v>0.198630532</v>
      </c>
      <c r="U169" s="3">
        <v>0.62120449300000002</v>
      </c>
      <c r="V169" s="3">
        <v>2.6980399620000002</v>
      </c>
      <c r="W169" s="3">
        <v>4.3277553000000003E-2</v>
      </c>
      <c r="X169" s="3">
        <v>2.648368327</v>
      </c>
      <c r="Z169" s="3">
        <v>1.873677883</v>
      </c>
      <c r="AA169" s="3">
        <v>1.5177315090000001</v>
      </c>
      <c r="AB169" s="3">
        <v>-0.65367421000000003</v>
      </c>
      <c r="AC169" s="3">
        <v>1.224313204</v>
      </c>
      <c r="AE169" s="3">
        <v>3.7660291749999999</v>
      </c>
      <c r="AG169" s="3">
        <v>8.5354007999999995E-2</v>
      </c>
      <c r="AH169" s="3">
        <v>0.16471154700000001</v>
      </c>
      <c r="AI169" s="3">
        <v>1.2738130889999999</v>
      </c>
      <c r="AJ169" s="3">
        <v>1.016597674</v>
      </c>
      <c r="AN169" s="3">
        <v>0.31775637200000001</v>
      </c>
      <c r="AP169" s="3">
        <v>0.61931594700000003</v>
      </c>
      <c r="AU169" s="86"/>
      <c r="AV169" s="86"/>
      <c r="AW169" s="86"/>
      <c r="AX169" s="86"/>
      <c r="AY169" s="86"/>
      <c r="AZ169" s="86"/>
      <c r="BA169" s="86"/>
      <c r="BB169" s="83"/>
      <c r="BC169" s="83"/>
      <c r="BD169" s="83"/>
      <c r="BE169" s="83"/>
      <c r="BF169" s="83"/>
      <c r="BG169" s="83"/>
    </row>
    <row r="170" spans="1:59" x14ac:dyDescent="0.2">
      <c r="A170" s="86" t="s">
        <v>217</v>
      </c>
      <c r="B170" s="101">
        <v>32690</v>
      </c>
      <c r="C170" s="3">
        <v>2.1250725539999999</v>
      </c>
      <c r="E170" s="3">
        <v>0.96112367899999995</v>
      </c>
      <c r="F170" s="3">
        <v>0.38218308499999998</v>
      </c>
      <c r="I170" s="3">
        <v>0.402547977</v>
      </c>
      <c r="J170" s="3">
        <v>-2.0015842990000001</v>
      </c>
      <c r="K170" s="3">
        <v>0.98408883700000005</v>
      </c>
      <c r="M170" s="3">
        <v>1.7576075550000001</v>
      </c>
      <c r="N170" s="3">
        <v>0.823220756</v>
      </c>
      <c r="O170" s="3">
        <v>0.65853893299999999</v>
      </c>
      <c r="P170" s="3">
        <v>-1.108916435</v>
      </c>
      <c r="R170" s="3">
        <v>1.5816673619999999</v>
      </c>
      <c r="S170" s="3">
        <v>0.31522727699999997</v>
      </c>
      <c r="U170" s="3">
        <v>0.43239686500000002</v>
      </c>
      <c r="V170" s="3">
        <v>-1.30573169</v>
      </c>
      <c r="W170" s="3">
        <v>1.460586398</v>
      </c>
      <c r="X170" s="3">
        <v>2.140820765</v>
      </c>
      <c r="Z170" s="3">
        <v>3.8205538999999997E-2</v>
      </c>
      <c r="AA170" s="3">
        <v>1.2458024089999999</v>
      </c>
      <c r="AB170" s="3">
        <v>1.179372766</v>
      </c>
      <c r="AC170" s="3">
        <v>0.397391667</v>
      </c>
      <c r="AE170" s="3">
        <v>-1.41413539</v>
      </c>
      <c r="AG170" s="3">
        <v>0.85414845100000003</v>
      </c>
      <c r="AH170" s="3">
        <v>0.67541214900000002</v>
      </c>
      <c r="AI170" s="3">
        <v>0.58737608100000005</v>
      </c>
      <c r="AJ170" s="3">
        <v>0.76326565700000004</v>
      </c>
      <c r="AN170" s="3">
        <v>1.8097043349999999</v>
      </c>
      <c r="AP170" s="3">
        <v>0.433857416</v>
      </c>
      <c r="AU170" s="86"/>
      <c r="AV170" s="86"/>
      <c r="AW170" s="86"/>
      <c r="AX170" s="86"/>
      <c r="AY170" s="86"/>
      <c r="AZ170" s="86"/>
      <c r="BA170" s="86"/>
      <c r="BB170" s="83"/>
      <c r="BC170" s="83"/>
      <c r="BD170" s="83"/>
      <c r="BE170" s="83"/>
      <c r="BF170" s="83"/>
      <c r="BG170" s="83"/>
    </row>
    <row r="171" spans="1:59" x14ac:dyDescent="0.2">
      <c r="A171" s="86" t="s">
        <v>218</v>
      </c>
      <c r="B171" s="101">
        <v>32782</v>
      </c>
      <c r="C171" s="3">
        <v>0.81186091100000002</v>
      </c>
      <c r="E171" s="3">
        <v>0.37144843</v>
      </c>
      <c r="F171" s="3">
        <v>0.357792585</v>
      </c>
      <c r="I171" s="3">
        <v>0.91324525599999995</v>
      </c>
      <c r="J171" s="3">
        <v>-1.4863533769999999</v>
      </c>
      <c r="K171" s="3">
        <v>1.339679544</v>
      </c>
      <c r="M171" s="3">
        <v>1.178506979</v>
      </c>
      <c r="N171" s="3">
        <v>1.074473687</v>
      </c>
      <c r="O171" s="3">
        <v>9.9255747000000005E-2</v>
      </c>
      <c r="P171" s="3">
        <v>-1.374559638</v>
      </c>
      <c r="R171" s="3">
        <v>2.1646250230000001</v>
      </c>
      <c r="S171" s="3">
        <v>0.32213808399999999</v>
      </c>
      <c r="U171" s="3">
        <v>1.0424370270000001</v>
      </c>
      <c r="V171" s="3">
        <v>1.7496781619999999</v>
      </c>
      <c r="W171" s="3">
        <v>2.5643834640000001</v>
      </c>
      <c r="X171" s="3">
        <v>1.4634733660000001</v>
      </c>
      <c r="Z171" s="3">
        <v>1.864123977</v>
      </c>
      <c r="AA171" s="3">
        <v>0.87768188999999996</v>
      </c>
      <c r="AB171" s="3">
        <v>0.97304023399999995</v>
      </c>
      <c r="AC171" s="3">
        <v>0.98486355000000003</v>
      </c>
      <c r="AE171" s="3">
        <v>1.9729542149999999</v>
      </c>
      <c r="AG171" s="3">
        <v>0.60562177299999997</v>
      </c>
      <c r="AH171" s="3">
        <v>3.0821688999999999E-2</v>
      </c>
      <c r="AI171" s="3">
        <v>-1.1272163900000001</v>
      </c>
      <c r="AJ171" s="3">
        <v>0.74087699399999996</v>
      </c>
      <c r="AN171" s="3">
        <v>0.71513268399999996</v>
      </c>
      <c r="AP171" s="3">
        <v>8.0345161999999998E-2</v>
      </c>
      <c r="AU171" s="86"/>
      <c r="AV171" s="86"/>
      <c r="AW171" s="86"/>
      <c r="AX171" s="86"/>
      <c r="AY171" s="86"/>
      <c r="AZ171" s="86"/>
      <c r="BA171" s="86"/>
      <c r="BB171" s="83"/>
      <c r="BC171" s="83"/>
      <c r="BD171" s="83"/>
      <c r="BE171" s="83"/>
      <c r="BF171" s="83"/>
      <c r="BG171" s="83"/>
    </row>
    <row r="172" spans="1:59" x14ac:dyDescent="0.2">
      <c r="A172" s="86" t="s">
        <v>219</v>
      </c>
      <c r="B172" s="101">
        <v>32874</v>
      </c>
      <c r="C172" s="3">
        <v>-0.278971209</v>
      </c>
      <c r="E172" s="3">
        <v>1.2986382889999999</v>
      </c>
      <c r="F172" s="3">
        <v>-0.21345312299999999</v>
      </c>
      <c r="I172" s="3">
        <v>1.158805549</v>
      </c>
      <c r="J172" s="3">
        <v>1.6576394000000001</v>
      </c>
      <c r="K172" s="3">
        <v>-0.166005345</v>
      </c>
      <c r="M172" s="3">
        <v>4.7319185999999999E-2</v>
      </c>
      <c r="N172" s="3">
        <v>1.5311155940000001</v>
      </c>
      <c r="O172" s="3">
        <v>9.5863063999999998E-2</v>
      </c>
      <c r="P172" s="3">
        <v>4.2863977039999996</v>
      </c>
      <c r="R172" s="3">
        <v>2.5935304170000002</v>
      </c>
      <c r="S172" s="3">
        <v>0.28021959400000002</v>
      </c>
      <c r="U172" s="3">
        <v>1.029139679</v>
      </c>
      <c r="V172" s="3">
        <v>3.0982522010000002</v>
      </c>
      <c r="W172" s="3">
        <v>4.1297756269999999</v>
      </c>
      <c r="X172" s="3">
        <v>0.90085446199999997</v>
      </c>
      <c r="Z172" s="3">
        <v>-0.88177166600000001</v>
      </c>
      <c r="AA172" s="3">
        <v>0.80527413999999997</v>
      </c>
      <c r="AB172" s="3">
        <v>0.69999499200000004</v>
      </c>
      <c r="AC172" s="3">
        <v>0.96885328599999998</v>
      </c>
      <c r="AE172" s="3">
        <v>0.83261330099999997</v>
      </c>
      <c r="AG172" s="3">
        <v>0.13511430599999999</v>
      </c>
      <c r="AH172" s="3">
        <v>1.307210199</v>
      </c>
      <c r="AI172" s="3">
        <v>-0.19169410000000001</v>
      </c>
      <c r="AJ172" s="3">
        <v>0.19705097399999999</v>
      </c>
      <c r="AN172" s="3">
        <v>1.31966816</v>
      </c>
      <c r="AP172" s="3">
        <v>-0.61883212300000001</v>
      </c>
      <c r="AU172" s="86"/>
      <c r="AV172" s="86"/>
      <c r="AW172" s="86"/>
      <c r="AX172" s="86"/>
      <c r="AY172" s="86"/>
      <c r="AZ172" s="86"/>
      <c r="BA172" s="86"/>
      <c r="BB172" s="83"/>
      <c r="BC172" s="83"/>
      <c r="BD172" s="83"/>
      <c r="BE172" s="83"/>
      <c r="BF172" s="83"/>
      <c r="BG172" s="83"/>
    </row>
    <row r="173" spans="1:59" x14ac:dyDescent="0.2">
      <c r="A173" s="86" t="s">
        <v>220</v>
      </c>
      <c r="B173" s="101">
        <v>32964</v>
      </c>
      <c r="C173" s="3">
        <v>0.83243169500000003</v>
      </c>
      <c r="E173" s="3">
        <v>1.5632463169999999</v>
      </c>
      <c r="F173" s="3">
        <v>0.94276014100000005</v>
      </c>
      <c r="I173" s="3">
        <v>2.0757065539999999</v>
      </c>
      <c r="J173" s="3">
        <v>-0.55573933200000003</v>
      </c>
      <c r="K173" s="3">
        <v>0.87601898</v>
      </c>
      <c r="M173" s="3">
        <v>1.354072902</v>
      </c>
      <c r="N173" s="3">
        <v>0.50167452300000004</v>
      </c>
      <c r="O173" s="3">
        <v>0.67270255899999998</v>
      </c>
      <c r="P173" s="3">
        <v>0.94345392800000005</v>
      </c>
      <c r="R173" s="3">
        <v>2.5252903369999999</v>
      </c>
      <c r="S173" s="3">
        <v>0.261792364</v>
      </c>
      <c r="U173" s="3">
        <v>0.39861735799999998</v>
      </c>
      <c r="V173" s="3">
        <v>-0.47576401499999998</v>
      </c>
      <c r="W173" s="3">
        <v>1.01855052</v>
      </c>
      <c r="X173" s="3">
        <v>0.78835408100000004</v>
      </c>
      <c r="Z173" s="3">
        <v>2.1742448720000001</v>
      </c>
      <c r="AA173" s="3">
        <v>1.2534367120000001</v>
      </c>
      <c r="AB173" s="3">
        <v>-0.36367252999999999</v>
      </c>
      <c r="AC173" s="3">
        <v>0.95713630900000002</v>
      </c>
      <c r="AE173" s="3">
        <v>1.017439357</v>
      </c>
      <c r="AG173" s="3">
        <v>0.482583233</v>
      </c>
      <c r="AH173" s="3">
        <v>0.212357079</v>
      </c>
      <c r="AI173" s="3">
        <v>-0.171098639</v>
      </c>
      <c r="AJ173" s="3">
        <v>1.092795416</v>
      </c>
      <c r="AN173" s="3">
        <v>1.718724572</v>
      </c>
      <c r="AP173" s="3">
        <v>8.0051423999999996E-2</v>
      </c>
      <c r="AU173" s="86"/>
      <c r="AV173" s="86"/>
      <c r="AW173" s="86"/>
      <c r="AX173" s="86"/>
      <c r="AY173" s="86"/>
      <c r="AZ173" s="86"/>
      <c r="BA173" s="86"/>
      <c r="BB173" s="83"/>
      <c r="BC173" s="83"/>
      <c r="BD173" s="83"/>
      <c r="BE173" s="83"/>
      <c r="BF173" s="83"/>
      <c r="BG173" s="83"/>
    </row>
    <row r="174" spans="1:59" x14ac:dyDescent="0.2">
      <c r="A174" s="86" t="s">
        <v>221</v>
      </c>
      <c r="B174" s="101">
        <v>33055</v>
      </c>
      <c r="C174" s="3">
        <v>0.136787665</v>
      </c>
      <c r="E174" s="3">
        <v>-0.353727874</v>
      </c>
      <c r="F174" s="3">
        <v>-0.41411305999999998</v>
      </c>
      <c r="I174" s="3">
        <v>0.491660084</v>
      </c>
      <c r="J174" s="3">
        <v>2.2486860489999998</v>
      </c>
      <c r="K174" s="3">
        <v>1.699634141</v>
      </c>
      <c r="M174" s="3">
        <v>-1.3762998390000001</v>
      </c>
      <c r="N174" s="3">
        <v>0.39108011399999998</v>
      </c>
      <c r="O174" s="3">
        <v>0.51586665899999995</v>
      </c>
      <c r="P174" s="3">
        <v>-2.7842157090000001</v>
      </c>
      <c r="R174" s="3">
        <v>2.0592796180000001</v>
      </c>
      <c r="S174" s="3">
        <v>0.279188306</v>
      </c>
      <c r="U174" s="3">
        <v>0.30478430400000001</v>
      </c>
      <c r="V174" s="3">
        <v>3.153970057</v>
      </c>
      <c r="W174" s="3">
        <v>2.2306220200000002</v>
      </c>
      <c r="X174" s="3">
        <v>1.1443357860000001</v>
      </c>
      <c r="Z174" s="3">
        <v>2.1698023530000001</v>
      </c>
      <c r="AA174" s="3">
        <v>0.83691369000000004</v>
      </c>
      <c r="AB174" s="3">
        <v>1.080243565</v>
      </c>
      <c r="AC174" s="3">
        <v>0.91565851099999995</v>
      </c>
      <c r="AE174" s="3">
        <v>1.8702967779999999</v>
      </c>
      <c r="AG174" s="3">
        <v>0.67125494600000002</v>
      </c>
      <c r="AH174" s="3">
        <v>-0.30510945900000003</v>
      </c>
      <c r="AI174" s="3">
        <v>-1.3288456000000001E-2</v>
      </c>
      <c r="AJ174" s="3">
        <v>0.36291179000000001</v>
      </c>
      <c r="AN174" s="3">
        <v>0.58343410699999998</v>
      </c>
      <c r="AP174" s="3">
        <v>-8.2522011000000006E-2</v>
      </c>
      <c r="AU174" s="86"/>
      <c r="AV174" s="86"/>
      <c r="AW174" s="86"/>
      <c r="AX174" s="86"/>
      <c r="AY174" s="86"/>
      <c r="AZ174" s="86"/>
      <c r="BA174" s="86"/>
      <c r="BB174" s="83"/>
      <c r="BC174" s="83"/>
      <c r="BD174" s="83"/>
      <c r="BE174" s="83"/>
      <c r="BF174" s="83"/>
      <c r="BG174" s="83"/>
    </row>
    <row r="175" spans="1:59" x14ac:dyDescent="0.2">
      <c r="A175" s="86" t="s">
        <v>222</v>
      </c>
      <c r="B175" s="101">
        <v>33147</v>
      </c>
      <c r="C175" s="3">
        <v>-0.59949896899999999</v>
      </c>
      <c r="E175" s="3">
        <v>0.13286498899999999</v>
      </c>
      <c r="F175" s="3">
        <v>-0.70754845899999996</v>
      </c>
      <c r="I175" s="3">
        <v>2.1059349709999999</v>
      </c>
      <c r="J175" s="3">
        <v>0.28845945299999998</v>
      </c>
      <c r="K175" s="3">
        <v>-0.29846910999999998</v>
      </c>
      <c r="M175" s="3">
        <v>-2.1425953600000001</v>
      </c>
      <c r="N175" s="3">
        <v>0.45556484400000002</v>
      </c>
      <c r="O175" s="3">
        <v>-1.0453018329999999</v>
      </c>
      <c r="P175" s="3">
        <v>-6.8482478149999997</v>
      </c>
      <c r="R175" s="3">
        <v>1.2576700780000001</v>
      </c>
      <c r="S175" s="3">
        <v>0.32783930300000003</v>
      </c>
      <c r="U175" s="3">
        <v>0.160344602</v>
      </c>
      <c r="V175" s="3">
        <v>1.676741547</v>
      </c>
      <c r="W175" s="3">
        <v>3.2329275580000001</v>
      </c>
      <c r="X175" s="3">
        <v>1.9335305460000001</v>
      </c>
      <c r="Z175" s="3">
        <v>1.364136563</v>
      </c>
      <c r="AA175" s="3">
        <v>1.3623249850000001</v>
      </c>
      <c r="AB175" s="3">
        <v>-0.98346929999999999</v>
      </c>
      <c r="AC175" s="3">
        <v>0.36739347900000002</v>
      </c>
      <c r="AE175" s="3">
        <v>0.698606862</v>
      </c>
      <c r="AG175" s="3">
        <v>0.64463246299999999</v>
      </c>
      <c r="AH175" s="3">
        <v>-0.79288496600000002</v>
      </c>
      <c r="AI175" s="3">
        <v>0.90361629399999999</v>
      </c>
      <c r="AJ175" s="3">
        <v>6.6512431999999996E-2</v>
      </c>
      <c r="AN175" s="3">
        <v>-0.36550624500000001</v>
      </c>
      <c r="AP175" s="3">
        <v>-8.4042341000000007E-2</v>
      </c>
      <c r="AU175" s="86"/>
      <c r="AV175" s="86"/>
      <c r="AW175" s="86"/>
      <c r="AX175" s="86"/>
      <c r="AY175" s="86"/>
      <c r="AZ175" s="86"/>
      <c r="BA175" s="86"/>
      <c r="BB175" s="83"/>
      <c r="BC175" s="83"/>
      <c r="BD175" s="83"/>
      <c r="BE175" s="83"/>
      <c r="BF175" s="83"/>
      <c r="BG175" s="83"/>
    </row>
    <row r="176" spans="1:59" x14ac:dyDescent="0.2">
      <c r="A176" s="86" t="s">
        <v>223</v>
      </c>
      <c r="B176" s="101">
        <v>33239</v>
      </c>
      <c r="C176" s="3">
        <v>0.58660425100000002</v>
      </c>
      <c r="E176" s="3">
        <v>1.2133539419999999</v>
      </c>
      <c r="F176" s="3">
        <v>-0.89119688399999997</v>
      </c>
      <c r="I176" s="3">
        <v>1.7604211329999999</v>
      </c>
      <c r="J176" s="3">
        <v>-1.0739619380000001</v>
      </c>
      <c r="K176" s="3">
        <v>3.7816833700000001</v>
      </c>
      <c r="M176" s="3">
        <v>-0.57330529200000002</v>
      </c>
      <c r="N176" s="3">
        <v>0.36705400799999999</v>
      </c>
      <c r="O176" s="3">
        <v>-0.34411698000000002</v>
      </c>
      <c r="P176" s="3">
        <v>10.427887993000001</v>
      </c>
      <c r="R176" s="3">
        <v>0.45468201000000003</v>
      </c>
      <c r="S176" s="3">
        <v>0.31654637000000002</v>
      </c>
      <c r="U176" s="3">
        <v>-0.64958443099999996</v>
      </c>
      <c r="V176" s="3">
        <v>-0.189979697</v>
      </c>
      <c r="W176" s="3">
        <v>2.033266271</v>
      </c>
      <c r="X176" s="3">
        <v>2.6328882849999999</v>
      </c>
      <c r="Z176" s="3">
        <v>1.270953872</v>
      </c>
      <c r="AA176" s="3">
        <v>0.79273337399999999</v>
      </c>
      <c r="AB176" s="3">
        <v>2.6776867389999999</v>
      </c>
      <c r="AC176" s="3">
        <v>0.25235268999999999</v>
      </c>
      <c r="AE176" s="3">
        <v>2.6589812319999999</v>
      </c>
      <c r="AG176" s="3">
        <v>0.163703711</v>
      </c>
      <c r="AH176" s="3">
        <v>1.13594325</v>
      </c>
      <c r="AI176" s="3">
        <v>1.179346086</v>
      </c>
      <c r="AJ176" s="3">
        <v>-0.91039454099999995</v>
      </c>
      <c r="AN176" s="3">
        <v>-0.43218641800000002</v>
      </c>
      <c r="AP176" s="3">
        <v>9.2815014000000001E-2</v>
      </c>
      <c r="AU176" s="86"/>
      <c r="AV176" s="86"/>
      <c r="AW176" s="86"/>
      <c r="AX176" s="86"/>
      <c r="AY176" s="86"/>
      <c r="AZ176" s="86"/>
      <c r="BA176" s="86"/>
      <c r="BB176" s="83"/>
      <c r="BC176" s="83"/>
      <c r="BD176" s="83"/>
      <c r="BE176" s="83"/>
      <c r="BF176" s="83"/>
      <c r="BG176" s="83"/>
    </row>
    <row r="177" spans="1:59" x14ac:dyDescent="0.2">
      <c r="A177" s="86" t="s">
        <v>224</v>
      </c>
      <c r="B177" s="101">
        <v>33329</v>
      </c>
      <c r="C177" s="3">
        <v>-1.2967138010000001</v>
      </c>
      <c r="E177" s="3">
        <v>-0.43152541300000002</v>
      </c>
      <c r="F177" s="3">
        <v>-1.427068555</v>
      </c>
      <c r="I177" s="3">
        <v>2.834538856</v>
      </c>
      <c r="J177" s="3">
        <v>0.29559123399999998</v>
      </c>
      <c r="K177" s="3">
        <v>-1.9217544129999999</v>
      </c>
      <c r="M177" s="3">
        <v>-1.9500463610000001</v>
      </c>
      <c r="N177" s="3">
        <v>-0.144621114</v>
      </c>
      <c r="O177" s="3">
        <v>-0.29187691700000001</v>
      </c>
      <c r="P177" s="3">
        <v>0.42565438700000002</v>
      </c>
      <c r="R177" s="3">
        <v>2.4823379999999999E-2</v>
      </c>
      <c r="S177" s="3">
        <v>0.148932074</v>
      </c>
      <c r="U177" s="3">
        <v>1.9735554660000001</v>
      </c>
      <c r="V177" s="3">
        <v>0.87131721399999995</v>
      </c>
      <c r="W177" s="3">
        <v>3.7501762780000001</v>
      </c>
      <c r="X177" s="3">
        <v>2.7080534639999998</v>
      </c>
      <c r="Z177" s="3">
        <v>0.27560826700000002</v>
      </c>
      <c r="AA177" s="3">
        <v>-0.40631757099999999</v>
      </c>
      <c r="AB177" s="3">
        <v>0.84845080699999997</v>
      </c>
      <c r="AC177" s="3">
        <v>0.119348549</v>
      </c>
      <c r="AE177" s="3">
        <v>-2.3305769060000001</v>
      </c>
      <c r="AG177" s="3">
        <v>1.02363103</v>
      </c>
      <c r="AH177" s="3">
        <v>-0.31136663999999997</v>
      </c>
      <c r="AI177" s="3">
        <v>-2.4224206339999999</v>
      </c>
      <c r="AJ177" s="3">
        <v>-0.467867584</v>
      </c>
      <c r="AN177" s="3">
        <v>0.14597321999999999</v>
      </c>
      <c r="AP177" s="3">
        <v>-0.79542260300000001</v>
      </c>
      <c r="AU177" s="86"/>
      <c r="AV177" s="86"/>
      <c r="AW177" s="86"/>
      <c r="AX177" s="86"/>
      <c r="AY177" s="86"/>
      <c r="AZ177" s="86"/>
      <c r="BA177" s="86"/>
      <c r="BB177" s="83"/>
      <c r="BC177" s="83"/>
      <c r="BD177" s="83"/>
      <c r="BE177" s="83"/>
      <c r="BF177" s="83"/>
      <c r="BG177" s="83"/>
    </row>
    <row r="178" spans="1:59" x14ac:dyDescent="0.2">
      <c r="A178" s="86" t="s">
        <v>225</v>
      </c>
      <c r="B178" s="101">
        <v>33420</v>
      </c>
      <c r="C178" s="3">
        <v>-0.126190371</v>
      </c>
      <c r="E178" s="3">
        <v>1.1675329860000001</v>
      </c>
      <c r="F178" s="3">
        <v>0.46626068900000001</v>
      </c>
      <c r="I178" s="3">
        <v>-0.52930603899999995</v>
      </c>
      <c r="J178" s="3">
        <v>1.0787054119999999</v>
      </c>
      <c r="K178" s="3">
        <v>1.219274668</v>
      </c>
      <c r="M178" s="3">
        <v>-1.1968438779999999</v>
      </c>
      <c r="N178" s="3">
        <v>0.28643671100000001</v>
      </c>
      <c r="O178" s="3">
        <v>-0.126354089</v>
      </c>
      <c r="P178" s="3">
        <v>-1.7180264569999999</v>
      </c>
      <c r="R178" s="3">
        <v>2.2640761999999998E-2</v>
      </c>
      <c r="S178" s="3">
        <v>-0.147785638</v>
      </c>
      <c r="U178" s="3">
        <v>-0.54724095699999997</v>
      </c>
      <c r="V178" s="3">
        <v>1.186411273</v>
      </c>
      <c r="W178" s="3">
        <v>1.661478045</v>
      </c>
      <c r="X178" s="3">
        <v>2.2458888290000001</v>
      </c>
      <c r="Z178" s="3">
        <v>1.5302257990000001</v>
      </c>
      <c r="AA178" s="3">
        <v>1.172009654</v>
      </c>
      <c r="AB178" s="3">
        <v>0.52304606300000001</v>
      </c>
      <c r="AC178" s="3">
        <v>0.57947545700000003</v>
      </c>
      <c r="AE178" s="3">
        <v>1.962589301</v>
      </c>
      <c r="AG178" s="3">
        <v>1.277822282</v>
      </c>
      <c r="AH178" s="3">
        <v>-1.1471894659999999</v>
      </c>
      <c r="AI178" s="3">
        <v>-0.67878046800000003</v>
      </c>
      <c r="AJ178" s="3">
        <v>0.77971803799999995</v>
      </c>
      <c r="AN178" s="3">
        <v>-0.95559205999999997</v>
      </c>
      <c r="AP178" s="3">
        <v>-0.225649346</v>
      </c>
      <c r="AU178" s="86"/>
      <c r="AV178" s="86"/>
      <c r="AW178" s="86"/>
      <c r="AX178" s="86"/>
      <c r="AY178" s="86"/>
      <c r="AZ178" s="86"/>
      <c r="BA178" s="86"/>
      <c r="BB178" s="83"/>
      <c r="BC178" s="83"/>
      <c r="BD178" s="83"/>
      <c r="BE178" s="83"/>
      <c r="BF178" s="83"/>
      <c r="BG178" s="83"/>
    </row>
    <row r="179" spans="1:59" x14ac:dyDescent="0.2">
      <c r="A179" s="86" t="s">
        <v>226</v>
      </c>
      <c r="B179" s="101">
        <v>33512</v>
      </c>
      <c r="C179" s="3">
        <v>0.41088175500000002</v>
      </c>
      <c r="E179" s="3">
        <v>0.67473200700000002</v>
      </c>
      <c r="F179" s="3">
        <v>0.13390824100000001</v>
      </c>
      <c r="I179" s="3">
        <v>-0.21831766599999999</v>
      </c>
      <c r="J179" s="3">
        <v>0.74082392500000005</v>
      </c>
      <c r="K179" s="3">
        <v>0.75527247500000005</v>
      </c>
      <c r="M179" s="3">
        <v>-2.0577854879999999</v>
      </c>
      <c r="N179" s="3">
        <v>0.291245227</v>
      </c>
      <c r="O179" s="3">
        <v>-0.21792192599999999</v>
      </c>
      <c r="P179" s="3">
        <v>1.8493508089999999</v>
      </c>
      <c r="R179" s="3">
        <v>0.38784026700000002</v>
      </c>
      <c r="S179" s="3">
        <v>-0.59156399599999998</v>
      </c>
      <c r="U179" s="3">
        <v>3.5820181E-2</v>
      </c>
      <c r="V179" s="3">
        <v>-0.22137912000000001</v>
      </c>
      <c r="W179" s="3">
        <v>2.1452970589999998</v>
      </c>
      <c r="X179" s="3">
        <v>1.3452130259999999</v>
      </c>
      <c r="Z179" s="3">
        <v>0.18594327299999999</v>
      </c>
      <c r="AA179" s="3">
        <v>0.408864799</v>
      </c>
      <c r="AB179" s="3">
        <v>-0.244331733</v>
      </c>
      <c r="AC179" s="3">
        <v>0.291132838</v>
      </c>
      <c r="AE179" s="3">
        <v>1.073590737</v>
      </c>
      <c r="AG179" s="3">
        <v>0.88139611399999995</v>
      </c>
      <c r="AH179" s="3">
        <v>-0.48588832700000001</v>
      </c>
      <c r="AI179" s="3">
        <v>0.31646713199999998</v>
      </c>
      <c r="AJ179" s="3">
        <v>0.50533843099999998</v>
      </c>
      <c r="AN179" s="3">
        <v>1.20258E-4</v>
      </c>
      <c r="AP179" s="3">
        <v>-3.8785792999999999E-2</v>
      </c>
      <c r="AU179" s="86"/>
      <c r="AV179" s="86"/>
      <c r="AW179" s="86"/>
      <c r="AX179" s="86"/>
      <c r="AY179" s="86"/>
      <c r="AZ179" s="86"/>
      <c r="BA179" s="86"/>
      <c r="BB179" s="83"/>
      <c r="BC179" s="83"/>
      <c r="BD179" s="83"/>
      <c r="BE179" s="83"/>
      <c r="BF179" s="83"/>
      <c r="BG179" s="83"/>
    </row>
    <row r="180" spans="1:59" x14ac:dyDescent="0.2">
      <c r="A180" s="86" t="s">
        <v>227</v>
      </c>
      <c r="B180" s="101">
        <v>33604</v>
      </c>
      <c r="C180" s="3">
        <v>6.7305909999999997E-2</v>
      </c>
      <c r="E180" s="3">
        <v>0.50590435600000006</v>
      </c>
      <c r="F180" s="3">
        <v>0.184531308</v>
      </c>
      <c r="I180" s="3">
        <v>1.299062392</v>
      </c>
      <c r="J180" s="3">
        <v>-0.98514616899999996</v>
      </c>
      <c r="K180" s="3">
        <v>0.497512438</v>
      </c>
      <c r="M180" s="3">
        <v>-1.17266231</v>
      </c>
      <c r="N180" s="3">
        <v>0.50091901900000002</v>
      </c>
      <c r="O180" s="3">
        <v>0.17458552499999999</v>
      </c>
      <c r="P180" s="3">
        <v>-0.378222805</v>
      </c>
      <c r="R180" s="3">
        <v>0.84502496000000005</v>
      </c>
      <c r="S180" s="3">
        <v>-0.98579377999999995</v>
      </c>
      <c r="U180" s="3">
        <v>1.173646349</v>
      </c>
      <c r="V180" s="3">
        <v>0.70233349599999995</v>
      </c>
      <c r="W180" s="3">
        <v>2.5035720260000001</v>
      </c>
      <c r="X180" s="3">
        <v>0.41994205200000001</v>
      </c>
      <c r="Z180" s="3">
        <v>1.806169428</v>
      </c>
      <c r="AA180" s="3">
        <v>1.1093368669999999</v>
      </c>
      <c r="AB180" s="3">
        <v>0.73332887899999999</v>
      </c>
      <c r="AC180" s="3">
        <v>0.64032423000000005</v>
      </c>
      <c r="AE180" s="3">
        <v>2.3666545000000001E-2</v>
      </c>
      <c r="AG180" s="3">
        <v>0.79092237499999996</v>
      </c>
      <c r="AH180" s="3">
        <v>-0.15493615799999999</v>
      </c>
      <c r="AI180" s="3">
        <v>0.64831002400000004</v>
      </c>
      <c r="AJ180" s="3">
        <v>0.34856390199999998</v>
      </c>
      <c r="AN180" s="3">
        <v>0.35493498699999998</v>
      </c>
      <c r="AP180" s="3">
        <v>-0.17206495399999999</v>
      </c>
      <c r="AU180" s="86"/>
      <c r="AV180" s="86"/>
      <c r="AW180" s="86"/>
      <c r="AX180" s="86"/>
      <c r="AY180" s="86"/>
      <c r="AZ180" s="86"/>
      <c r="BA180" s="86"/>
      <c r="BB180" s="83"/>
      <c r="BC180" s="83"/>
      <c r="BD180" s="83"/>
      <c r="BE180" s="83"/>
      <c r="BF180" s="83"/>
      <c r="BG180" s="83"/>
    </row>
    <row r="181" spans="1:59" x14ac:dyDescent="0.2">
      <c r="A181" s="86" t="s">
        <v>228</v>
      </c>
      <c r="B181" s="101">
        <v>33695</v>
      </c>
      <c r="C181" s="3">
        <v>0.74815276900000005</v>
      </c>
      <c r="E181" s="3">
        <v>1.4019393389999999</v>
      </c>
      <c r="F181" s="3">
        <v>7.2893567000000006E-2</v>
      </c>
      <c r="I181" s="3">
        <v>1.5219809200000001</v>
      </c>
      <c r="J181" s="3">
        <v>1.4410560240000001</v>
      </c>
      <c r="K181" s="3">
        <v>0.99770053800000003</v>
      </c>
      <c r="M181" s="3">
        <v>0.32136456299999999</v>
      </c>
      <c r="N181" s="3">
        <v>0.97930018799999996</v>
      </c>
      <c r="O181" s="3">
        <v>6.626664E-3</v>
      </c>
      <c r="P181" s="3">
        <v>2.2174491770000002</v>
      </c>
      <c r="R181" s="3">
        <v>1.0788961450000001</v>
      </c>
      <c r="S181" s="3">
        <v>-1.109030913</v>
      </c>
      <c r="U181" s="3">
        <v>0.268945671</v>
      </c>
      <c r="V181" s="3">
        <v>3.1100620999999998E-2</v>
      </c>
      <c r="W181" s="3">
        <v>1.7803926029999999</v>
      </c>
      <c r="X181" s="3">
        <v>-7.5740707000000004E-2</v>
      </c>
      <c r="Z181" s="3">
        <v>-8.7413649999999992E-3</v>
      </c>
      <c r="AA181" s="3">
        <v>0.70769819099999998</v>
      </c>
      <c r="AB181" s="3">
        <v>2.1265525759999999</v>
      </c>
      <c r="AC181" s="3">
        <v>0.87506726300000004</v>
      </c>
      <c r="AE181" s="3">
        <v>1.768950341</v>
      </c>
      <c r="AG181" s="3">
        <v>1.7809528080000001</v>
      </c>
      <c r="AH181" s="3">
        <v>0.91757323999999996</v>
      </c>
      <c r="AI181" s="3">
        <v>0.28477546399999998</v>
      </c>
      <c r="AJ181" s="3">
        <v>1.197157574</v>
      </c>
      <c r="AN181" s="3">
        <v>0.75501926799999997</v>
      </c>
      <c r="AP181" s="3">
        <v>-0.70074789699999995</v>
      </c>
      <c r="AU181" s="86"/>
      <c r="AV181" s="86"/>
      <c r="AW181" s="86"/>
      <c r="AX181" s="86"/>
      <c r="AY181" s="86"/>
      <c r="AZ181" s="86"/>
      <c r="BA181" s="86"/>
      <c r="BB181" s="83"/>
      <c r="BC181" s="83"/>
      <c r="BD181" s="83"/>
      <c r="BE181" s="83"/>
      <c r="BF181" s="83"/>
      <c r="BG181" s="83"/>
    </row>
    <row r="182" spans="1:59" x14ac:dyDescent="0.2">
      <c r="A182" s="86" t="s">
        <v>229</v>
      </c>
      <c r="B182" s="101">
        <v>33786</v>
      </c>
      <c r="C182" s="3">
        <v>0.71889195800000005</v>
      </c>
      <c r="E182" s="3">
        <v>-1.2157340139999999</v>
      </c>
      <c r="F182" s="3">
        <v>0.12211490699999999</v>
      </c>
      <c r="I182" s="3">
        <v>-0.77118032299999995</v>
      </c>
      <c r="J182" s="3">
        <v>-0.79803837200000005</v>
      </c>
      <c r="K182" s="3">
        <v>-1.303955142</v>
      </c>
      <c r="M182" s="3">
        <v>-1.124253065</v>
      </c>
      <c r="N182" s="3">
        <v>-6.4232332000000003E-2</v>
      </c>
      <c r="O182" s="3">
        <v>-0.11827810900000001</v>
      </c>
      <c r="P182" s="3">
        <v>-3.0660865959999999</v>
      </c>
      <c r="R182" s="3">
        <v>1.0706129090000001</v>
      </c>
      <c r="S182" s="3">
        <v>-0.95095967999999997</v>
      </c>
      <c r="U182" s="3">
        <v>-5.7245115999999999E-2</v>
      </c>
      <c r="V182" s="3">
        <v>0.35015405999999999</v>
      </c>
      <c r="W182" s="3">
        <v>0.70169498200000002</v>
      </c>
      <c r="X182" s="3">
        <v>-7.3511390999999995E-2</v>
      </c>
      <c r="Z182" s="3">
        <v>1.639826199</v>
      </c>
      <c r="AA182" s="3">
        <v>-0.91896415399999998</v>
      </c>
      <c r="AB182" s="3">
        <v>0.52143061599999996</v>
      </c>
      <c r="AC182" s="3">
        <v>0.29854376399999999</v>
      </c>
      <c r="AE182" s="3">
        <v>-0.91937203599999995</v>
      </c>
      <c r="AG182" s="3">
        <v>1.213716982</v>
      </c>
      <c r="AH182" s="3">
        <v>-0.51364764900000004</v>
      </c>
      <c r="AI182" s="3">
        <v>-7.3762469999999998E-3</v>
      </c>
      <c r="AJ182" s="3">
        <v>1.084320604</v>
      </c>
      <c r="AN182" s="3">
        <v>-0.39892148599999999</v>
      </c>
      <c r="AP182" s="3">
        <v>-0.61337261099999996</v>
      </c>
      <c r="AU182" s="86"/>
      <c r="AV182" s="86"/>
      <c r="AW182" s="86"/>
      <c r="AX182" s="86"/>
      <c r="AY182" s="86"/>
      <c r="AZ182" s="86"/>
      <c r="BA182" s="86"/>
      <c r="BB182" s="83"/>
      <c r="BC182" s="83"/>
      <c r="BD182" s="83"/>
      <c r="BE182" s="83"/>
      <c r="BF182" s="83"/>
      <c r="BG182" s="83"/>
    </row>
    <row r="183" spans="1:59" x14ac:dyDescent="0.2">
      <c r="A183" s="86" t="s">
        <v>230</v>
      </c>
      <c r="B183" s="101">
        <v>33878</v>
      </c>
      <c r="C183" s="3">
        <v>1.0144433289999999</v>
      </c>
      <c r="E183" s="3">
        <v>0.30894123299999998</v>
      </c>
      <c r="F183" s="3">
        <v>0.53698517999999995</v>
      </c>
      <c r="I183" s="3">
        <v>-0.17418992899999999</v>
      </c>
      <c r="J183" s="3">
        <v>2.7126430350000001</v>
      </c>
      <c r="K183" s="3">
        <v>6.3866699999999998E-2</v>
      </c>
      <c r="M183" s="3">
        <v>-0.81617395100000001</v>
      </c>
      <c r="N183" s="3">
        <v>1.8702568999999999E-2</v>
      </c>
      <c r="O183" s="3">
        <v>0.63720254499999995</v>
      </c>
      <c r="P183" s="3">
        <v>1.5479498060000001</v>
      </c>
      <c r="R183" s="3">
        <v>0.86266001299999995</v>
      </c>
      <c r="S183" s="3">
        <v>-0.51906130500000003</v>
      </c>
      <c r="U183" s="3">
        <v>-0.22205567800000001</v>
      </c>
      <c r="V183" s="3">
        <v>0.11766494399999999</v>
      </c>
      <c r="W183" s="3">
        <v>6.7624060999999999E-2</v>
      </c>
      <c r="X183" s="3">
        <v>0.35716526599999998</v>
      </c>
      <c r="Z183" s="3">
        <v>0.928578032</v>
      </c>
      <c r="AA183" s="3">
        <v>0.30420956999999998</v>
      </c>
      <c r="AB183" s="3">
        <v>1.310040141</v>
      </c>
      <c r="AC183" s="3">
        <v>0.50903651100000002</v>
      </c>
      <c r="AE183" s="3">
        <v>-0.345960037</v>
      </c>
      <c r="AG183" s="3">
        <v>0.81159210400000004</v>
      </c>
      <c r="AH183" s="3">
        <v>-1.4474356420000001</v>
      </c>
      <c r="AI183" s="3">
        <v>-0.72386229899999999</v>
      </c>
      <c r="AJ183" s="3">
        <v>0.98810718900000005</v>
      </c>
      <c r="AN183" s="3">
        <v>-1.0182334470000001</v>
      </c>
      <c r="AP183" s="3">
        <v>-1.157736308</v>
      </c>
      <c r="AU183" s="86"/>
      <c r="AV183" s="86"/>
      <c r="AW183" s="86"/>
      <c r="AX183" s="86"/>
      <c r="AY183" s="86"/>
      <c r="AZ183" s="86"/>
      <c r="BA183" s="86"/>
      <c r="BB183" s="83"/>
      <c r="BC183" s="83"/>
      <c r="BD183" s="83"/>
      <c r="BE183" s="83"/>
      <c r="BF183" s="83"/>
      <c r="BG183" s="83"/>
    </row>
    <row r="184" spans="1:59" x14ac:dyDescent="0.2">
      <c r="A184" s="86" t="s">
        <v>231</v>
      </c>
      <c r="B184" s="101">
        <v>33970</v>
      </c>
      <c r="C184" s="3">
        <v>2.0517819359999998</v>
      </c>
      <c r="E184" s="3">
        <v>-1.232574249</v>
      </c>
      <c r="F184" s="3">
        <v>0.56891053800000002</v>
      </c>
      <c r="I184" s="3">
        <v>-0.322148143</v>
      </c>
      <c r="J184" s="3">
        <v>-0.44045066199999999</v>
      </c>
      <c r="K184" s="3">
        <v>-0.65159612499999997</v>
      </c>
      <c r="M184" s="3">
        <v>-0.706680486</v>
      </c>
      <c r="N184" s="3">
        <v>-0.216751208</v>
      </c>
      <c r="O184" s="3">
        <v>0.69579261400000003</v>
      </c>
      <c r="P184" s="3">
        <v>-0.53217077599999996</v>
      </c>
      <c r="R184" s="3">
        <v>0.61684049299999999</v>
      </c>
      <c r="S184" s="3">
        <v>3.4808005000000003E-2</v>
      </c>
      <c r="U184" s="3">
        <v>-0.68930719900000004</v>
      </c>
      <c r="V184" s="3">
        <v>-0.63750149</v>
      </c>
      <c r="W184" s="3">
        <v>1.5606776440000001</v>
      </c>
      <c r="X184" s="3">
        <v>0.92005303100000002</v>
      </c>
      <c r="Z184" s="3">
        <v>8.3307470999999994E-2</v>
      </c>
      <c r="AA184" s="3">
        <v>0.376704761</v>
      </c>
      <c r="AB184" s="3">
        <v>-0.71570933199999998</v>
      </c>
      <c r="AC184" s="3">
        <v>0.26670112499999998</v>
      </c>
      <c r="AE184" s="3">
        <v>-0.159542129</v>
      </c>
      <c r="AG184" s="3">
        <v>2.2766454189999998</v>
      </c>
      <c r="AH184" s="3">
        <v>-1.3722997889999999</v>
      </c>
      <c r="AI184" s="3">
        <v>1.246086048</v>
      </c>
      <c r="AJ184" s="3">
        <v>1.042879871</v>
      </c>
      <c r="AN184" s="3">
        <v>-0.76557585399999994</v>
      </c>
      <c r="AP184" s="3">
        <v>-0.84971449799999998</v>
      </c>
      <c r="AU184" s="86"/>
      <c r="AV184" s="86"/>
      <c r="AW184" s="86"/>
      <c r="AX184" s="86"/>
      <c r="AY184" s="86"/>
      <c r="AZ184" s="86"/>
      <c r="BA184" s="86"/>
      <c r="BB184" s="83"/>
      <c r="BC184" s="83"/>
      <c r="BD184" s="83"/>
      <c r="BE184" s="83"/>
      <c r="BF184" s="83"/>
      <c r="BG184" s="83"/>
    </row>
    <row r="185" spans="1:59" x14ac:dyDescent="0.2">
      <c r="A185" s="86" t="s">
        <v>232</v>
      </c>
      <c r="B185" s="101">
        <v>34060</v>
      </c>
      <c r="C185" s="3">
        <v>0.69192060399999999</v>
      </c>
      <c r="E185" s="3">
        <v>-0.759719272</v>
      </c>
      <c r="F185" s="3">
        <v>0.63994626499999996</v>
      </c>
      <c r="I185" s="3">
        <v>-0.72049504600000003</v>
      </c>
      <c r="J185" s="3">
        <v>-1.2010420660000001</v>
      </c>
      <c r="K185" s="3">
        <v>-0.93298430300000001</v>
      </c>
      <c r="M185" s="3">
        <v>0.23407351200000001</v>
      </c>
      <c r="N185" s="3">
        <v>-0.55453645699999998</v>
      </c>
      <c r="O185" s="3">
        <v>0.72208074499999997</v>
      </c>
      <c r="P185" s="3">
        <v>-2.6539310220000001</v>
      </c>
      <c r="R185" s="3">
        <v>0.50061214799999998</v>
      </c>
      <c r="S185" s="3">
        <v>0.53090806099999999</v>
      </c>
      <c r="U185" s="3">
        <v>-0.13946523999999999</v>
      </c>
      <c r="V185" s="3">
        <v>1.1268584660000001</v>
      </c>
      <c r="W185" s="3">
        <v>1.9906578290000001</v>
      </c>
      <c r="X185" s="3">
        <v>1.2771087809999999</v>
      </c>
      <c r="Z185" s="3">
        <v>-6.1458523000000001E-2</v>
      </c>
      <c r="AA185" s="3">
        <v>0.61591251700000005</v>
      </c>
      <c r="AB185" s="3">
        <v>-0.65803604900000001</v>
      </c>
      <c r="AC185" s="3">
        <v>0.21529699899999999</v>
      </c>
      <c r="AE185" s="3">
        <v>-1.318634595</v>
      </c>
      <c r="AG185" s="3">
        <v>0.19951456200000001</v>
      </c>
      <c r="AH185" s="3">
        <v>-1.8112147110000001</v>
      </c>
      <c r="AI185" s="3">
        <v>1.6339661700000001</v>
      </c>
      <c r="AJ185" s="3">
        <v>0.166979092</v>
      </c>
      <c r="AN185" s="3">
        <v>-0.15509368700000001</v>
      </c>
      <c r="AP185" s="3">
        <v>1.4026974169999999</v>
      </c>
      <c r="AU185" s="86"/>
      <c r="AV185" s="86"/>
      <c r="AW185" s="86"/>
      <c r="AX185" s="86"/>
      <c r="AY185" s="86"/>
      <c r="AZ185" s="86"/>
      <c r="BA185" s="86"/>
      <c r="BB185" s="83"/>
      <c r="BC185" s="83"/>
      <c r="BD185" s="83"/>
      <c r="BE185" s="83"/>
      <c r="BF185" s="83"/>
      <c r="BG185" s="83"/>
    </row>
    <row r="186" spans="1:59" x14ac:dyDescent="0.2">
      <c r="A186" s="86" t="s">
        <v>233</v>
      </c>
      <c r="B186" s="101">
        <v>34151</v>
      </c>
      <c r="C186" s="3">
        <v>0.56546586200000004</v>
      </c>
      <c r="E186" s="3">
        <v>1.0102583119999999</v>
      </c>
      <c r="F186" s="3">
        <v>0.91043322800000004</v>
      </c>
      <c r="I186" s="3">
        <v>-2.7127149E-2</v>
      </c>
      <c r="J186" s="3">
        <v>-0.41351913400000001</v>
      </c>
      <c r="K186" s="3">
        <v>-6.7753300000000004E-3</v>
      </c>
      <c r="M186" s="3">
        <v>-0.19250189300000001</v>
      </c>
      <c r="N186" s="3">
        <v>4.1138719999999997E-2</v>
      </c>
      <c r="O186" s="3">
        <v>0.49526830300000002</v>
      </c>
      <c r="P186" s="3">
        <v>1.7093619</v>
      </c>
      <c r="R186" s="3">
        <v>0.53079156699999996</v>
      </c>
      <c r="S186" s="3">
        <v>0.90494383300000003</v>
      </c>
      <c r="U186" s="3">
        <v>-0.241254257</v>
      </c>
      <c r="V186" s="3">
        <v>-0.63314586299999998</v>
      </c>
      <c r="W186" s="3">
        <v>2.5653316730000002</v>
      </c>
      <c r="X186" s="3">
        <v>1.3923682449999999</v>
      </c>
      <c r="Z186" s="3">
        <v>0.283186891</v>
      </c>
      <c r="AA186" s="3">
        <v>0.249895847</v>
      </c>
      <c r="AB186" s="3">
        <v>1.73600797</v>
      </c>
      <c r="AC186" s="3">
        <v>0.430417459</v>
      </c>
      <c r="AE186" s="3">
        <v>5.0113557000000003E-2</v>
      </c>
      <c r="AF186" s="3">
        <v>1.3909376</v>
      </c>
      <c r="AG186" s="3">
        <v>1.2363483550000001</v>
      </c>
      <c r="AH186" s="3">
        <v>1.287479558</v>
      </c>
      <c r="AI186" s="3">
        <v>2.2169745619999999</v>
      </c>
      <c r="AJ186" s="3">
        <v>0.58211345299999995</v>
      </c>
      <c r="AN186" s="3">
        <v>1.105270328</v>
      </c>
      <c r="AP186" s="3">
        <v>1.0969199409999999</v>
      </c>
      <c r="AU186" s="86">
        <v>2.8529592959999999</v>
      </c>
      <c r="AV186" s="86"/>
      <c r="AW186" s="86"/>
      <c r="AX186" s="86"/>
      <c r="AY186" s="86"/>
      <c r="AZ186" s="86"/>
      <c r="BA186" s="86"/>
      <c r="BB186" s="83"/>
      <c r="BC186" s="83"/>
      <c r="BD186" s="83"/>
      <c r="BE186" s="83"/>
      <c r="BF186" s="83"/>
      <c r="BG186" s="83"/>
    </row>
    <row r="187" spans="1:59" x14ac:dyDescent="0.2">
      <c r="A187" s="86" t="s">
        <v>234</v>
      </c>
      <c r="B187" s="101">
        <v>34243</v>
      </c>
      <c r="C187" s="3">
        <v>0.104450897</v>
      </c>
      <c r="E187" s="3">
        <v>0.31644803999999999</v>
      </c>
      <c r="F187" s="3">
        <v>0.95304709600000004</v>
      </c>
      <c r="I187" s="3">
        <v>0.59701302000000001</v>
      </c>
      <c r="J187" s="3">
        <v>0.165747008</v>
      </c>
      <c r="K187" s="3">
        <v>1.203186557</v>
      </c>
      <c r="M187" s="3">
        <v>0.57229582300000004</v>
      </c>
      <c r="N187" s="3">
        <v>0.12283480400000001</v>
      </c>
      <c r="O187" s="3">
        <v>0.79130502300000005</v>
      </c>
      <c r="P187" s="3">
        <v>0.34040084900000001</v>
      </c>
      <c r="R187" s="3">
        <v>0.71341299700000005</v>
      </c>
      <c r="S187" s="3">
        <v>1.2106989290000001</v>
      </c>
      <c r="U187" s="3">
        <v>-0.15770889099999999</v>
      </c>
      <c r="V187" s="3">
        <v>-0.71786239100000004</v>
      </c>
      <c r="W187" s="3">
        <v>1.843683328</v>
      </c>
      <c r="X187" s="3">
        <v>1.336455741</v>
      </c>
      <c r="Z187" s="3">
        <v>1.083743967</v>
      </c>
      <c r="AA187" s="3">
        <v>0.81725829900000002</v>
      </c>
      <c r="AB187" s="3">
        <v>1.9926032149999999</v>
      </c>
      <c r="AC187" s="3">
        <v>0.39644886899999998</v>
      </c>
      <c r="AE187" s="3">
        <v>0.69552905099999995</v>
      </c>
      <c r="AF187" s="3">
        <v>1.1598247989999999</v>
      </c>
      <c r="AG187" s="3">
        <v>1.185808303</v>
      </c>
      <c r="AH187" s="3">
        <v>1.335179718</v>
      </c>
      <c r="AI187" s="3">
        <v>2.0208197559999999</v>
      </c>
      <c r="AJ187" s="3">
        <v>0.47715658700000002</v>
      </c>
      <c r="AN187" s="3">
        <v>0.35494089600000001</v>
      </c>
      <c r="AP187" s="3">
        <v>1.4394844440000001</v>
      </c>
      <c r="AU187" s="86">
        <v>2.010235835</v>
      </c>
      <c r="AV187" s="86"/>
      <c r="AW187" s="86"/>
      <c r="AX187" s="86"/>
      <c r="AY187" s="86"/>
      <c r="AZ187" s="86"/>
      <c r="BA187" s="86"/>
      <c r="BB187" s="83"/>
      <c r="BC187" s="83"/>
      <c r="BD187" s="83"/>
      <c r="BE187" s="83"/>
      <c r="BF187" s="83"/>
      <c r="BG187" s="83"/>
    </row>
    <row r="188" spans="1:59" x14ac:dyDescent="0.2">
      <c r="A188" s="86" t="s">
        <v>235</v>
      </c>
      <c r="B188" s="101">
        <v>34335</v>
      </c>
      <c r="C188" s="3">
        <v>1.857010214</v>
      </c>
      <c r="E188" s="3">
        <v>0.95239690899999996</v>
      </c>
      <c r="F188" s="3">
        <v>0.431683602</v>
      </c>
      <c r="I188" s="3">
        <v>-9.4412510000000005E-2</v>
      </c>
      <c r="J188" s="3">
        <v>2.188264271</v>
      </c>
      <c r="K188" s="3">
        <v>0.376845971</v>
      </c>
      <c r="M188" s="3">
        <v>0.754527163</v>
      </c>
      <c r="N188" s="3">
        <v>0.27849026999999998</v>
      </c>
      <c r="O188" s="3">
        <v>0.66798638399999999</v>
      </c>
      <c r="P188" s="3">
        <v>0.19928804</v>
      </c>
      <c r="R188" s="3">
        <v>1.002046454</v>
      </c>
      <c r="S188" s="3">
        <v>1.34170469</v>
      </c>
      <c r="U188" s="3">
        <v>0.73313064999999999</v>
      </c>
      <c r="V188" s="3">
        <v>0.63000248400000003</v>
      </c>
      <c r="W188" s="3">
        <v>1.9136639879999999</v>
      </c>
      <c r="X188" s="3">
        <v>1.1626443870000001</v>
      </c>
      <c r="Z188" s="3">
        <v>1.2488518179999999</v>
      </c>
      <c r="AA188" s="3">
        <v>-0.62038722899999998</v>
      </c>
      <c r="AB188" s="3">
        <v>3.5579773079999999</v>
      </c>
      <c r="AC188" s="3">
        <v>0.86985586699999995</v>
      </c>
      <c r="AE188" s="3">
        <v>0.335461909</v>
      </c>
      <c r="AF188" s="3">
        <v>1.5065066359999999</v>
      </c>
      <c r="AG188" s="3">
        <v>1.348714279</v>
      </c>
      <c r="AH188" s="3">
        <v>-0.11788309</v>
      </c>
      <c r="AI188" s="3">
        <v>0.93412061400000002</v>
      </c>
      <c r="AJ188" s="3">
        <v>1.3600755600000001</v>
      </c>
      <c r="AN188" s="3">
        <v>0.59524025599999997</v>
      </c>
      <c r="AP188" s="3">
        <v>0.74090637699999995</v>
      </c>
      <c r="AU188" s="86">
        <v>0.80545480000000003</v>
      </c>
      <c r="AV188" s="86"/>
      <c r="AW188" s="86"/>
      <c r="AX188" s="86"/>
      <c r="AY188" s="86"/>
      <c r="AZ188" s="86"/>
      <c r="BA188" s="86"/>
      <c r="BB188" s="83"/>
      <c r="BC188" s="83"/>
      <c r="BD188" s="83"/>
      <c r="BE188" s="83"/>
      <c r="BF188" s="83"/>
      <c r="BG188" s="83"/>
    </row>
    <row r="189" spans="1:59" x14ac:dyDescent="0.2">
      <c r="A189" s="86" t="s">
        <v>236</v>
      </c>
      <c r="B189" s="101">
        <v>34425</v>
      </c>
      <c r="C189" s="3">
        <v>1.6728792299999999</v>
      </c>
      <c r="E189" s="3">
        <v>0.70359508999999998</v>
      </c>
      <c r="F189" s="3">
        <v>1.4735686990000001</v>
      </c>
      <c r="I189" s="3">
        <v>1.3972990510000001</v>
      </c>
      <c r="J189" s="3">
        <v>1.222447407</v>
      </c>
      <c r="K189" s="3">
        <v>0.82709202800000003</v>
      </c>
      <c r="M189" s="3">
        <v>0.66462805800000002</v>
      </c>
      <c r="N189" s="3">
        <v>0.72692585099999996</v>
      </c>
      <c r="O189" s="3">
        <v>1.1801826209999999</v>
      </c>
      <c r="P189" s="3">
        <v>-0.792530175</v>
      </c>
      <c r="R189" s="3">
        <v>1.3507575359999999</v>
      </c>
      <c r="S189" s="3">
        <v>1.2024590740000001</v>
      </c>
      <c r="U189" s="3">
        <v>0.76166861100000005</v>
      </c>
      <c r="V189" s="3">
        <v>0.89546457300000004</v>
      </c>
      <c r="W189" s="3">
        <v>2.916855703</v>
      </c>
      <c r="X189" s="3">
        <v>0.94974912300000003</v>
      </c>
      <c r="Z189" s="3">
        <v>1.0151467300000001</v>
      </c>
      <c r="AA189" s="3">
        <v>1.4965316099999999</v>
      </c>
      <c r="AB189" s="3">
        <v>-1.1401674429999999</v>
      </c>
      <c r="AC189" s="3">
        <v>0.94646743899999997</v>
      </c>
      <c r="AE189" s="3">
        <v>0.33869413999999998</v>
      </c>
      <c r="AF189" s="3">
        <v>1.7882290869999999</v>
      </c>
      <c r="AG189" s="3">
        <v>0.50552032400000002</v>
      </c>
      <c r="AH189" s="3">
        <v>1.111513706</v>
      </c>
      <c r="AI189" s="3">
        <v>1.526355495</v>
      </c>
      <c r="AJ189" s="3">
        <v>0.97031283999999995</v>
      </c>
      <c r="AN189" s="3">
        <v>0.49625609599999998</v>
      </c>
      <c r="AP189" s="3">
        <v>-0.14248772000000001</v>
      </c>
      <c r="AU189" s="86">
        <v>1.4213392140000001</v>
      </c>
      <c r="AV189" s="86"/>
      <c r="AW189" s="86"/>
      <c r="AX189" s="86"/>
      <c r="AY189" s="86"/>
      <c r="AZ189" s="86"/>
      <c r="BA189" s="86"/>
      <c r="BB189" s="83"/>
      <c r="BC189" s="83"/>
      <c r="BD189" s="83"/>
      <c r="BE189" s="83"/>
      <c r="BF189" s="83"/>
      <c r="BG189" s="83"/>
    </row>
    <row r="190" spans="1:59" x14ac:dyDescent="0.2">
      <c r="A190" s="86" t="s">
        <v>237</v>
      </c>
      <c r="B190" s="101">
        <v>34516</v>
      </c>
      <c r="C190" s="3">
        <v>1.2441134300000001</v>
      </c>
      <c r="E190" s="3">
        <v>1.149795769</v>
      </c>
      <c r="F190" s="3">
        <v>1.461328599</v>
      </c>
      <c r="H190" s="3">
        <v>0.96711012100000004</v>
      </c>
      <c r="I190" s="3">
        <v>0.239649208</v>
      </c>
      <c r="J190" s="3">
        <v>2.9288267920000002</v>
      </c>
      <c r="K190" s="3">
        <v>0.21925265099999999</v>
      </c>
      <c r="M190" s="3">
        <v>0.86792101899999996</v>
      </c>
      <c r="N190" s="3">
        <v>1.085798832</v>
      </c>
      <c r="O190" s="3">
        <v>1.1648418110000001</v>
      </c>
      <c r="P190" s="3">
        <v>1.2181871049999999</v>
      </c>
      <c r="R190" s="3">
        <v>1.7295238639999999</v>
      </c>
      <c r="S190" s="3">
        <v>0.85341513400000002</v>
      </c>
      <c r="U190" s="3">
        <v>0.72363909699999995</v>
      </c>
      <c r="V190" s="3">
        <v>-0.55482868600000002</v>
      </c>
      <c r="W190" s="3">
        <v>1.6315920960000001</v>
      </c>
      <c r="X190" s="3">
        <v>0.75336469900000003</v>
      </c>
      <c r="Z190" s="3">
        <v>2.1223387690000002</v>
      </c>
      <c r="AA190" s="3">
        <v>1.150384582</v>
      </c>
      <c r="AB190" s="3">
        <v>2.328890377</v>
      </c>
      <c r="AC190" s="3">
        <v>0.55969102699999995</v>
      </c>
      <c r="AE190" s="3">
        <v>1.295817808</v>
      </c>
      <c r="AF190" s="3">
        <v>1.2185340520000001</v>
      </c>
      <c r="AG190" s="3">
        <v>-0.305514591</v>
      </c>
      <c r="AH190" s="3">
        <v>1.0414529189999999</v>
      </c>
      <c r="AI190" s="3">
        <v>0.67417889600000003</v>
      </c>
      <c r="AJ190" s="3">
        <v>1.3550997520000001</v>
      </c>
      <c r="AN190" s="3">
        <v>-1.0354448430000001</v>
      </c>
      <c r="AP190" s="3">
        <v>1.084842796</v>
      </c>
      <c r="AU190" s="86">
        <v>2.0682595699999999</v>
      </c>
      <c r="AV190" s="86"/>
      <c r="AW190" s="86"/>
      <c r="AX190" s="86"/>
      <c r="AY190" s="86"/>
      <c r="AZ190" s="86"/>
      <c r="BA190" s="86"/>
      <c r="BB190" s="83"/>
      <c r="BC190" s="83"/>
      <c r="BD190" s="83"/>
      <c r="BE190" s="83"/>
      <c r="BF190" s="83"/>
      <c r="BG190" s="83"/>
    </row>
    <row r="191" spans="1:59" x14ac:dyDescent="0.2">
      <c r="A191" s="86" t="s">
        <v>238</v>
      </c>
      <c r="B191" s="101">
        <v>34608</v>
      </c>
      <c r="C191" s="3">
        <v>0.760179567</v>
      </c>
      <c r="E191" s="3">
        <v>0.27973114799999999</v>
      </c>
      <c r="F191" s="3">
        <v>1.278408105</v>
      </c>
      <c r="H191" s="3">
        <v>1.3591444770000001</v>
      </c>
      <c r="I191" s="3">
        <v>0.70394540999999999</v>
      </c>
      <c r="J191" s="3">
        <v>-0.46887167800000001</v>
      </c>
      <c r="K191" s="3">
        <v>0.793995059</v>
      </c>
      <c r="M191" s="3">
        <v>2.283273409</v>
      </c>
      <c r="N191" s="3">
        <v>0.54083091800000005</v>
      </c>
      <c r="O191" s="3">
        <v>1.1349271089999999</v>
      </c>
      <c r="P191" s="3">
        <v>2.6822298490000001</v>
      </c>
      <c r="R191" s="3">
        <v>2.1888918780000002</v>
      </c>
      <c r="S191" s="3">
        <v>0.30634947600000001</v>
      </c>
      <c r="U191" s="3">
        <v>0.62346925900000005</v>
      </c>
      <c r="V191" s="3">
        <v>1.157127735</v>
      </c>
      <c r="W191" s="3">
        <v>1.6821991110000001</v>
      </c>
      <c r="X191" s="3">
        <v>0.55705723299999998</v>
      </c>
      <c r="Z191" s="3">
        <v>0.82042030899999996</v>
      </c>
      <c r="AA191" s="3">
        <v>0.75816823300000002</v>
      </c>
      <c r="AB191" s="3">
        <v>-1.358505718</v>
      </c>
      <c r="AC191" s="3">
        <v>0.89988581599999995</v>
      </c>
      <c r="AE191" s="3">
        <v>0.45218991800000002</v>
      </c>
      <c r="AF191" s="3">
        <v>1.899671272</v>
      </c>
      <c r="AG191" s="3">
        <v>1.357116411</v>
      </c>
      <c r="AH191" s="3">
        <v>1.1480061100000001</v>
      </c>
      <c r="AI191" s="3">
        <v>1.7047335969999999</v>
      </c>
      <c r="AJ191" s="3">
        <v>0.58453601600000005</v>
      </c>
      <c r="AN191" s="3">
        <v>1.0743045010000001</v>
      </c>
      <c r="AP191" s="3">
        <v>1.1247600959999999</v>
      </c>
      <c r="AU191" s="86">
        <v>0.25239057599999998</v>
      </c>
      <c r="AV191" s="86"/>
      <c r="AW191" s="86"/>
      <c r="AX191" s="86"/>
      <c r="AY191" s="86"/>
      <c r="AZ191" s="86"/>
      <c r="BA191" s="86"/>
      <c r="BB191" s="83"/>
      <c r="BC191" s="83"/>
      <c r="BD191" s="83"/>
      <c r="BE191" s="83"/>
      <c r="BF191" s="83"/>
      <c r="BG191" s="83"/>
    </row>
    <row r="192" spans="1:59" x14ac:dyDescent="0.2">
      <c r="A192" s="86" t="s">
        <v>239</v>
      </c>
      <c r="B192" s="101">
        <v>34700</v>
      </c>
      <c r="C192" s="3">
        <v>0.97982056900000003</v>
      </c>
      <c r="E192" s="3">
        <v>1.682112024</v>
      </c>
      <c r="F192" s="3">
        <v>0.72964738900000004</v>
      </c>
      <c r="H192" s="3">
        <v>2.186255117</v>
      </c>
      <c r="I192" s="3">
        <v>1.17382955</v>
      </c>
      <c r="J192" s="3">
        <v>2.5089371059999999</v>
      </c>
      <c r="K192" s="3">
        <v>0.37422348599999999</v>
      </c>
      <c r="M192" s="3">
        <v>2.517726235</v>
      </c>
      <c r="N192" s="3">
        <v>0.88870648399999996</v>
      </c>
      <c r="O192" s="3">
        <v>0.59203660000000002</v>
      </c>
      <c r="P192" s="3">
        <v>-0.82163945000000005</v>
      </c>
      <c r="R192" s="3">
        <v>2.5322760720000002</v>
      </c>
      <c r="S192" s="3">
        <v>-0.18225076300000001</v>
      </c>
      <c r="U192" s="3">
        <v>0.93894745300000004</v>
      </c>
      <c r="V192" s="3">
        <v>-0.40426229499999999</v>
      </c>
      <c r="W192" s="3">
        <v>3.930438208</v>
      </c>
      <c r="X192" s="3">
        <v>0.383915746</v>
      </c>
      <c r="Z192" s="3">
        <v>1.108971535</v>
      </c>
      <c r="AA192" s="3">
        <v>0.94689765800000003</v>
      </c>
      <c r="AB192" s="3">
        <v>3.9520499930000001</v>
      </c>
      <c r="AC192" s="3">
        <v>0.97018272000000005</v>
      </c>
      <c r="AE192" s="3">
        <v>1.201951322</v>
      </c>
      <c r="AF192" s="3">
        <v>1.4163547649999999</v>
      </c>
      <c r="AG192" s="3">
        <v>1.3907811830000001</v>
      </c>
      <c r="AH192" s="3">
        <v>1.512089588</v>
      </c>
      <c r="AI192" s="3">
        <v>1.3118310070000001</v>
      </c>
      <c r="AJ192" s="3">
        <v>1.145518265</v>
      </c>
      <c r="AN192" s="3">
        <v>0.49572577000000001</v>
      </c>
      <c r="AP192" s="3">
        <v>1.6691167730000001</v>
      </c>
      <c r="AU192" s="86">
        <v>1.2409345759999999</v>
      </c>
      <c r="AV192" s="86"/>
      <c r="AW192" s="86"/>
      <c r="AX192" s="86"/>
      <c r="AY192" s="86"/>
      <c r="AZ192" s="86"/>
      <c r="BA192" s="86"/>
      <c r="BB192" s="83"/>
      <c r="BC192" s="83"/>
      <c r="BD192" s="83"/>
      <c r="BE192" s="83"/>
      <c r="BF192" s="83"/>
      <c r="BG192" s="83"/>
    </row>
    <row r="193" spans="1:59" x14ac:dyDescent="0.2">
      <c r="A193" s="86" t="s">
        <v>240</v>
      </c>
      <c r="B193" s="101">
        <v>34790</v>
      </c>
      <c r="C193" s="3">
        <v>-3.2315049999999998E-2</v>
      </c>
      <c r="E193" s="3">
        <v>-5.5348256999999998E-2</v>
      </c>
      <c r="F193" s="3">
        <v>0.92948742500000003</v>
      </c>
      <c r="H193" s="3">
        <v>1.7080415879999999</v>
      </c>
      <c r="I193" s="3">
        <v>-0.33240942200000001</v>
      </c>
      <c r="J193" s="3">
        <v>0.51421894800000001</v>
      </c>
      <c r="K193" s="3">
        <v>1.1420354989999999</v>
      </c>
      <c r="M193" s="3">
        <v>-0.82644628099999995</v>
      </c>
      <c r="N193" s="3">
        <v>0.56951338100000004</v>
      </c>
      <c r="O193" s="3">
        <v>0.404610478</v>
      </c>
      <c r="P193" s="3">
        <v>-4.0633383000000002E-2</v>
      </c>
      <c r="R193" s="3">
        <v>5.6452730740000003</v>
      </c>
      <c r="S193" s="3">
        <v>-3.0044507340000002</v>
      </c>
      <c r="U193" s="3">
        <v>1.2555749380000001</v>
      </c>
      <c r="V193" s="3">
        <v>1.1090602359999999</v>
      </c>
      <c r="W193" s="3">
        <v>2.0904894180000002</v>
      </c>
      <c r="X193" s="3">
        <v>-0.15772514700000001</v>
      </c>
      <c r="Z193" s="3">
        <v>-5.7807253320000003</v>
      </c>
      <c r="AA193" s="3">
        <v>0.68030274700000004</v>
      </c>
      <c r="AB193" s="3">
        <v>-0.78117210299999995</v>
      </c>
      <c r="AC193" s="3">
        <v>0.37709125100000002</v>
      </c>
      <c r="AE193" s="3">
        <v>0.17483652899999999</v>
      </c>
      <c r="AF193" s="3">
        <v>1.511778423</v>
      </c>
      <c r="AG193" s="3">
        <v>-4.6992184540000004</v>
      </c>
      <c r="AH193" s="3">
        <v>1.237745801</v>
      </c>
      <c r="AI193" s="3">
        <v>1.2059236849999999</v>
      </c>
      <c r="AJ193" s="3">
        <v>0.35469547000000001</v>
      </c>
      <c r="AN193" s="3">
        <v>-0.41807160700000001</v>
      </c>
      <c r="AP193" s="3">
        <v>0.361179519</v>
      </c>
      <c r="AU193" s="86">
        <v>-1.543121762</v>
      </c>
      <c r="AV193" s="86"/>
      <c r="AW193" s="86"/>
      <c r="AX193" s="86"/>
      <c r="AY193" s="86"/>
      <c r="AZ193" s="86"/>
      <c r="BA193" s="86"/>
      <c r="BB193" s="83"/>
      <c r="BC193" s="83"/>
      <c r="BD193" s="83"/>
      <c r="BE193" s="83"/>
      <c r="BF193" s="83"/>
      <c r="BG193" s="83"/>
    </row>
    <row r="194" spans="1:59" x14ac:dyDescent="0.2">
      <c r="A194" s="86" t="s">
        <v>241</v>
      </c>
      <c r="B194" s="101">
        <v>34881</v>
      </c>
      <c r="C194" s="3">
        <v>0.36549361000000002</v>
      </c>
      <c r="E194" s="3">
        <v>0.42061727999999998</v>
      </c>
      <c r="F194" s="3">
        <v>4.0377508999999999E-2</v>
      </c>
      <c r="H194" s="3">
        <v>0.395624855</v>
      </c>
      <c r="I194" s="3">
        <v>0.73250322899999998</v>
      </c>
      <c r="J194" s="3">
        <v>-0.28609833200000001</v>
      </c>
      <c r="K194" s="3">
        <v>0.62025722900000002</v>
      </c>
      <c r="M194" s="3">
        <v>2.686170213</v>
      </c>
      <c r="N194" s="3">
        <v>0.48310038999999999</v>
      </c>
      <c r="O194" s="3">
        <v>0.37676494300000002</v>
      </c>
      <c r="P194" s="3">
        <v>0.94753337699999995</v>
      </c>
      <c r="Q194" s="3">
        <v>-0.17062986599999999</v>
      </c>
      <c r="R194" s="3">
        <v>0.97133919899999999</v>
      </c>
      <c r="S194" s="3">
        <v>2.721451777</v>
      </c>
      <c r="T194" s="3">
        <v>2.433780552</v>
      </c>
      <c r="U194" s="3">
        <v>7.0151350000000001E-2</v>
      </c>
      <c r="V194" s="3">
        <v>0.94285324999999998</v>
      </c>
      <c r="W194" s="3">
        <v>2.0218245910000001</v>
      </c>
      <c r="X194" s="3">
        <v>-4.5946590000000002E-2</v>
      </c>
      <c r="Y194" s="3">
        <v>0.52503915400000001</v>
      </c>
      <c r="Z194" s="3">
        <v>-4.8548043439999997</v>
      </c>
      <c r="AA194" s="3">
        <v>0.78455015500000003</v>
      </c>
      <c r="AB194" s="3">
        <v>0.87265073100000001</v>
      </c>
      <c r="AC194" s="3">
        <v>0.37022975400000002</v>
      </c>
      <c r="AD194" s="3">
        <v>1.80780037</v>
      </c>
      <c r="AE194" s="3">
        <v>1.1791211070000001</v>
      </c>
      <c r="AF194" s="3">
        <v>1.6618517189999999</v>
      </c>
      <c r="AG194" s="3">
        <v>-9.4901734639999997</v>
      </c>
      <c r="AH194" s="3">
        <v>0.53103534200000002</v>
      </c>
      <c r="AI194" s="3">
        <v>1.295138364</v>
      </c>
      <c r="AJ194" s="3">
        <v>0.29830569899999998</v>
      </c>
      <c r="AK194" s="3">
        <v>0.55681000000000003</v>
      </c>
      <c r="AN194" s="3">
        <v>0.103650666</v>
      </c>
      <c r="AP194" s="3">
        <v>0.44401752700000002</v>
      </c>
      <c r="AU194" s="86">
        <v>-3.790303996</v>
      </c>
      <c r="AV194" s="86"/>
      <c r="AW194" s="86"/>
      <c r="AX194" s="86"/>
      <c r="AY194" s="86"/>
      <c r="AZ194" s="86"/>
      <c r="BA194" s="86"/>
      <c r="BB194" s="83"/>
      <c r="BC194" s="83"/>
      <c r="BD194" s="83"/>
      <c r="BE194" s="83"/>
      <c r="BF194" s="83"/>
      <c r="BG194" s="83"/>
    </row>
    <row r="195" spans="1:59" x14ac:dyDescent="0.2">
      <c r="A195" s="86" t="s">
        <v>242</v>
      </c>
      <c r="B195" s="101">
        <v>34973</v>
      </c>
      <c r="C195" s="3">
        <v>2.285893422</v>
      </c>
      <c r="E195" s="3">
        <v>0.59956573499999999</v>
      </c>
      <c r="F195" s="3">
        <v>0.13178483299999999</v>
      </c>
      <c r="H195" s="3">
        <v>2.919067488</v>
      </c>
      <c r="I195" s="3">
        <v>0.194780866</v>
      </c>
      <c r="J195" s="3">
        <v>0.41705150000000002</v>
      </c>
      <c r="K195" s="3">
        <v>0.40367732699999997</v>
      </c>
      <c r="M195" s="3">
        <v>-0.45181156300000003</v>
      </c>
      <c r="N195" s="3">
        <v>7.5445902999999995E-2</v>
      </c>
      <c r="O195" s="3">
        <v>0.95477570099999998</v>
      </c>
      <c r="P195" s="3">
        <v>0.537860114</v>
      </c>
      <c r="Q195" s="3">
        <v>4.9623540000000004E-3</v>
      </c>
      <c r="R195" s="3">
        <v>1.816344322</v>
      </c>
      <c r="S195" s="3">
        <v>-1.114206821</v>
      </c>
      <c r="T195" s="3">
        <v>1.2404072880000001</v>
      </c>
      <c r="U195" s="3">
        <v>0.44480592800000002</v>
      </c>
      <c r="V195" s="3">
        <v>1.174543007</v>
      </c>
      <c r="W195" s="3">
        <v>2.0758731149999998</v>
      </c>
      <c r="X195" s="3">
        <v>0.27864835199999999</v>
      </c>
      <c r="Y195" s="3">
        <v>-1.136236236</v>
      </c>
      <c r="Z195" s="3">
        <v>1.942023257</v>
      </c>
      <c r="AA195" s="3">
        <v>0.78569619400000001</v>
      </c>
      <c r="AB195" s="3">
        <v>2.3563870059999998</v>
      </c>
      <c r="AC195" s="3">
        <v>0.85185157</v>
      </c>
      <c r="AD195" s="3">
        <v>3.5603407730000001</v>
      </c>
      <c r="AE195" s="3">
        <v>0.43383271699999998</v>
      </c>
      <c r="AF195" s="3">
        <v>0.60186085199999995</v>
      </c>
      <c r="AG195" s="3">
        <v>12.092747363999999</v>
      </c>
      <c r="AH195" s="3">
        <v>0.50950068100000001</v>
      </c>
      <c r="AI195" s="3">
        <v>0.91937002400000001</v>
      </c>
      <c r="AJ195" s="3">
        <v>0.85066486799999996</v>
      </c>
      <c r="AK195" s="3">
        <v>0.217166</v>
      </c>
      <c r="AN195" s="3">
        <v>0.52331591300000002</v>
      </c>
      <c r="AP195" s="3">
        <v>0.431654494</v>
      </c>
      <c r="AU195" s="86">
        <v>-0.38629951299999998</v>
      </c>
      <c r="AV195" s="86"/>
      <c r="AW195" s="86"/>
      <c r="AX195" s="86"/>
      <c r="AY195" s="86"/>
      <c r="AZ195" s="86"/>
      <c r="BA195" s="86"/>
      <c r="BB195" s="83"/>
      <c r="BC195" s="83"/>
      <c r="BD195" s="83"/>
      <c r="BE195" s="83"/>
      <c r="BF195" s="83"/>
      <c r="BG195" s="83"/>
    </row>
    <row r="196" spans="1:59" x14ac:dyDescent="0.2">
      <c r="A196" s="86" t="s">
        <v>243</v>
      </c>
      <c r="B196" s="101">
        <v>35065</v>
      </c>
      <c r="C196" s="3">
        <v>2.5190397E-2</v>
      </c>
      <c r="E196" s="3">
        <v>0.20609081900000001</v>
      </c>
      <c r="F196" s="3">
        <v>0.40981295899999998</v>
      </c>
      <c r="H196" s="3">
        <v>-0.77060441800000001</v>
      </c>
      <c r="I196" s="3">
        <v>2.5917782E-2</v>
      </c>
      <c r="J196" s="3">
        <v>0.73168733399999997</v>
      </c>
      <c r="K196" s="3">
        <v>0.76005553999999997</v>
      </c>
      <c r="M196" s="3">
        <v>4.9144311000000003E-2</v>
      </c>
      <c r="N196" s="3">
        <v>0.17329356400000001</v>
      </c>
      <c r="O196" s="3">
        <v>0.18620125400000001</v>
      </c>
      <c r="P196" s="3">
        <v>0.57916797399999997</v>
      </c>
      <c r="Q196" s="3">
        <v>-0.430277878</v>
      </c>
      <c r="R196" s="3">
        <v>0.70660084999999995</v>
      </c>
      <c r="S196" s="3">
        <v>9.2391406999999995E-2</v>
      </c>
      <c r="T196" s="3">
        <v>0.88199602700000002</v>
      </c>
      <c r="U196" s="3">
        <v>0.82815289800000003</v>
      </c>
      <c r="V196" s="3">
        <v>0.238657488</v>
      </c>
      <c r="W196" s="3">
        <v>1.8705523159999999</v>
      </c>
      <c r="X196" s="3">
        <v>6.6648229749999999</v>
      </c>
      <c r="Y196" s="3">
        <v>1.322102546</v>
      </c>
      <c r="Z196" s="3">
        <v>1.862388325</v>
      </c>
      <c r="AA196" s="3">
        <v>0.71237600300000004</v>
      </c>
      <c r="AB196" s="3">
        <v>1.2336240869999999</v>
      </c>
      <c r="AC196" s="3">
        <v>0.56013273900000005</v>
      </c>
      <c r="AD196" s="3">
        <v>-0.147745721</v>
      </c>
      <c r="AE196" s="3">
        <v>0.67752244100000003</v>
      </c>
      <c r="AF196" s="3">
        <v>1.8948961040000001</v>
      </c>
      <c r="AG196" s="3">
        <v>-0.211889349</v>
      </c>
      <c r="AH196" s="3">
        <v>0.95793197699999999</v>
      </c>
      <c r="AI196" s="3">
        <v>0.67936217899999995</v>
      </c>
      <c r="AJ196" s="3">
        <v>0.67903653600000002</v>
      </c>
      <c r="AK196" s="3">
        <v>0.37557499999999999</v>
      </c>
      <c r="AN196" s="3">
        <v>2.8554965000000002E-2</v>
      </c>
      <c r="AP196" s="3">
        <v>0.39467122999999998</v>
      </c>
      <c r="AU196" s="86">
        <v>0.76678466499999998</v>
      </c>
      <c r="AV196" s="86"/>
      <c r="AW196" s="86"/>
      <c r="AX196" s="86"/>
      <c r="AY196" s="86"/>
      <c r="AZ196" s="86"/>
      <c r="BA196" s="86"/>
      <c r="BB196" s="83"/>
      <c r="BC196" s="83"/>
      <c r="BD196" s="83"/>
      <c r="BE196" s="83"/>
      <c r="BF196" s="83"/>
      <c r="BG196" s="83"/>
    </row>
    <row r="197" spans="1:59" x14ac:dyDescent="0.2">
      <c r="A197" s="86" t="s">
        <v>244</v>
      </c>
      <c r="B197" s="101">
        <v>35156</v>
      </c>
      <c r="C197" s="3">
        <v>1.701182811</v>
      </c>
      <c r="E197" s="3">
        <v>-0.20149803399999999</v>
      </c>
      <c r="F197" s="3">
        <v>6.880559E-2</v>
      </c>
      <c r="H197" s="3">
        <v>2.3875508829999998</v>
      </c>
      <c r="I197" s="3">
        <v>-0.82925859099999999</v>
      </c>
      <c r="J197" s="3">
        <v>1.5030293E-2</v>
      </c>
      <c r="K197" s="3">
        <v>0.59106103200000004</v>
      </c>
      <c r="M197" s="3">
        <v>1.80299922</v>
      </c>
      <c r="N197" s="3">
        <v>0.62429287200000005</v>
      </c>
      <c r="O197" s="3">
        <v>0.57858311699999998</v>
      </c>
      <c r="P197" s="3">
        <v>0.542957052</v>
      </c>
      <c r="Q197" s="3">
        <v>0.69385522799999999</v>
      </c>
      <c r="R197" s="3">
        <v>4.2382295430000001</v>
      </c>
      <c r="S197" s="3">
        <v>4.6069836390000001</v>
      </c>
      <c r="T197" s="3">
        <v>1.686201474</v>
      </c>
      <c r="U197" s="3">
        <v>8.3888926000000003E-2</v>
      </c>
      <c r="V197" s="3">
        <v>0.82928271200000003</v>
      </c>
      <c r="W197" s="3">
        <v>1.9081351989999999</v>
      </c>
      <c r="X197" s="3">
        <v>-4.3565895689999996</v>
      </c>
      <c r="Y197" s="3">
        <v>-1.2997604899999999</v>
      </c>
      <c r="Z197" s="3">
        <v>2.65832734</v>
      </c>
      <c r="AA197" s="3">
        <v>0.41082790899999999</v>
      </c>
      <c r="AB197" s="3">
        <v>1.5103469249999999</v>
      </c>
      <c r="AC197" s="3">
        <v>0.71445099099999998</v>
      </c>
      <c r="AD197" s="3">
        <v>2.958139997</v>
      </c>
      <c r="AE197" s="3">
        <v>0.78990095000000005</v>
      </c>
      <c r="AF197" s="3">
        <v>1.6861644309999999</v>
      </c>
      <c r="AG197" s="3">
        <v>1.5099956839999999</v>
      </c>
      <c r="AH197" s="3">
        <v>0.63894571200000005</v>
      </c>
      <c r="AI197" s="3">
        <v>1.3868253370000001</v>
      </c>
      <c r="AJ197" s="3">
        <v>0.74897132899999996</v>
      </c>
      <c r="AK197" s="3">
        <v>0.15847700000000001</v>
      </c>
      <c r="AN197" s="3">
        <v>0.53125270899999999</v>
      </c>
      <c r="AP197" s="3">
        <v>1.40324391</v>
      </c>
      <c r="AU197" s="86">
        <v>2.7496599580000001</v>
      </c>
      <c r="AV197" s="86"/>
      <c r="AW197" s="86"/>
      <c r="AX197" s="86"/>
      <c r="AY197" s="86"/>
      <c r="AZ197" s="86"/>
      <c r="BA197" s="86"/>
      <c r="BB197" s="83"/>
      <c r="BC197" s="83"/>
      <c r="BD197" s="83"/>
      <c r="BE197" s="83"/>
      <c r="BF197" s="83"/>
      <c r="BG197" s="83"/>
    </row>
    <row r="198" spans="1:59" x14ac:dyDescent="0.2">
      <c r="A198" s="86" t="s">
        <v>245</v>
      </c>
      <c r="B198" s="101">
        <v>35247</v>
      </c>
      <c r="C198" s="3">
        <v>0.71151758799999998</v>
      </c>
      <c r="E198" s="3">
        <v>0.70179347199999997</v>
      </c>
      <c r="F198" s="3">
        <v>0.69629274799999996</v>
      </c>
      <c r="H198" s="3">
        <v>0.70496434500000005</v>
      </c>
      <c r="I198" s="3">
        <v>1.3587698989999999</v>
      </c>
      <c r="J198" s="3">
        <v>2.708013266</v>
      </c>
      <c r="K198" s="3">
        <v>0.73833626799999996</v>
      </c>
      <c r="M198" s="3">
        <v>0.78903300899999995</v>
      </c>
      <c r="N198" s="3">
        <v>0.17468125700000001</v>
      </c>
      <c r="O198" s="3">
        <v>0.347182834</v>
      </c>
      <c r="P198" s="3">
        <v>0.57388104200000001</v>
      </c>
      <c r="Q198" s="3">
        <v>-0.68012947899999998</v>
      </c>
      <c r="R198" s="3">
        <v>1.4080078439999999</v>
      </c>
      <c r="S198" s="3">
        <v>0.33778459</v>
      </c>
      <c r="T198" s="3">
        <v>1.3873413020000001</v>
      </c>
      <c r="U198" s="3">
        <v>6.8312062000000007E-2</v>
      </c>
      <c r="V198" s="3">
        <v>1.263908783</v>
      </c>
      <c r="W198" s="3">
        <v>2.020152462</v>
      </c>
      <c r="X198" s="3">
        <v>1.139207066</v>
      </c>
      <c r="Y198" s="3">
        <v>-6.9499899999999996E-3</v>
      </c>
      <c r="Z198" s="3">
        <v>1.3490367320000001</v>
      </c>
      <c r="AA198" s="3">
        <v>1.1149671569999999</v>
      </c>
      <c r="AB198" s="3">
        <v>-0.13707735900000001</v>
      </c>
      <c r="AC198" s="3">
        <v>1.164686825</v>
      </c>
      <c r="AD198" s="3">
        <v>2.1944901780000001</v>
      </c>
      <c r="AE198" s="3">
        <v>1.1994918969999999</v>
      </c>
      <c r="AF198" s="3">
        <v>1.1930068549999999</v>
      </c>
      <c r="AG198" s="3">
        <v>1.8789460419999999</v>
      </c>
      <c r="AH198" s="3">
        <v>-0.74120959900000005</v>
      </c>
      <c r="AI198" s="3">
        <v>0.89761089000000005</v>
      </c>
      <c r="AJ198" s="3">
        <v>1.667883947</v>
      </c>
      <c r="AK198" s="3">
        <v>0.76336300000000001</v>
      </c>
      <c r="AN198" s="3">
        <v>-0.37661945699999999</v>
      </c>
      <c r="AP198" s="3">
        <v>1.873029718</v>
      </c>
      <c r="AT198" s="3">
        <v>0.88685210199999998</v>
      </c>
      <c r="AU198" s="86">
        <v>2.2287660229999999</v>
      </c>
      <c r="AV198" s="86"/>
      <c r="AW198" s="86"/>
      <c r="AX198" s="86"/>
      <c r="AY198" s="86"/>
      <c r="AZ198" s="86"/>
      <c r="BA198" s="86"/>
      <c r="BB198" s="83"/>
      <c r="BC198" s="83"/>
      <c r="BD198" s="83"/>
      <c r="BE198" s="83"/>
      <c r="BF198" s="83"/>
      <c r="BG198" s="83"/>
    </row>
    <row r="199" spans="1:59" x14ac:dyDescent="0.2">
      <c r="A199" s="86" t="s">
        <v>246</v>
      </c>
      <c r="B199" s="101">
        <v>35339</v>
      </c>
      <c r="C199" s="3">
        <v>0.79418743300000005</v>
      </c>
      <c r="E199" s="3">
        <v>0.46045353999999999</v>
      </c>
      <c r="F199" s="3">
        <v>0.86397327899999998</v>
      </c>
      <c r="H199" s="3">
        <v>0.42206663</v>
      </c>
      <c r="I199" s="3">
        <v>0.36092385399999999</v>
      </c>
      <c r="J199" s="3">
        <v>0.28281910700000001</v>
      </c>
      <c r="K199" s="3">
        <v>0.85689943300000004</v>
      </c>
      <c r="M199" s="3">
        <v>0.58010194000000004</v>
      </c>
      <c r="N199" s="3">
        <v>0.61257315800000001</v>
      </c>
      <c r="O199" s="3">
        <v>1.156941201</v>
      </c>
      <c r="P199" s="3">
        <v>1.360099317</v>
      </c>
      <c r="Q199" s="3">
        <v>-0.11028057400000001</v>
      </c>
      <c r="R199" s="3">
        <v>-0.63953411299999996</v>
      </c>
      <c r="S199" s="3">
        <v>-2.0632478590000001</v>
      </c>
      <c r="T199" s="3">
        <v>1.2212624889999999</v>
      </c>
      <c r="U199" s="3">
        <v>0.15523732300000001</v>
      </c>
      <c r="V199" s="3">
        <v>0.12822043</v>
      </c>
      <c r="W199" s="3">
        <v>1.758931416</v>
      </c>
      <c r="X199" s="3">
        <v>-0.75113298699999997</v>
      </c>
      <c r="Y199" s="3">
        <v>3.461884156</v>
      </c>
      <c r="Z199" s="3">
        <v>1.7453610850000001</v>
      </c>
      <c r="AA199" s="3">
        <v>1.4000731120000001</v>
      </c>
      <c r="AB199" s="3">
        <v>3.3324826089999999</v>
      </c>
      <c r="AC199" s="3">
        <v>0.74124817200000004</v>
      </c>
      <c r="AD199" s="3">
        <v>0.87000784200000003</v>
      </c>
      <c r="AE199" s="3">
        <v>1.3568094740000001</v>
      </c>
      <c r="AF199" s="3">
        <v>2.489909226</v>
      </c>
      <c r="AH199" s="3">
        <v>0.49292086200000002</v>
      </c>
      <c r="AI199" s="3">
        <v>0.64576666299999996</v>
      </c>
      <c r="AJ199" s="3">
        <v>0.89701093600000004</v>
      </c>
      <c r="AK199" s="3">
        <v>0.52351300000000001</v>
      </c>
      <c r="AN199" s="3">
        <v>-0.28384553499999998</v>
      </c>
      <c r="AO199" s="3">
        <v>0.48898000000000003</v>
      </c>
      <c r="AP199" s="3">
        <v>1.134812157</v>
      </c>
      <c r="AT199" s="3">
        <v>3.9199452450000001</v>
      </c>
      <c r="AU199" s="86">
        <v>2.2966779590000002</v>
      </c>
      <c r="AV199" s="86"/>
      <c r="AW199" s="86"/>
      <c r="AX199" s="86"/>
      <c r="AY199" s="86"/>
      <c r="AZ199" s="86"/>
      <c r="BA199" s="86"/>
      <c r="BB199" s="83"/>
      <c r="BC199" s="83"/>
      <c r="BD199" s="83"/>
      <c r="BE199" s="83"/>
      <c r="BF199" s="83"/>
      <c r="BG199" s="83"/>
    </row>
    <row r="200" spans="1:59" x14ac:dyDescent="0.2">
      <c r="A200" s="86" t="s">
        <v>247</v>
      </c>
      <c r="B200" s="101">
        <v>35431</v>
      </c>
      <c r="C200" s="3">
        <v>0.90908721299999995</v>
      </c>
      <c r="E200" s="3">
        <v>0.78868044000000004</v>
      </c>
      <c r="F200" s="3">
        <v>0.80536635999999995</v>
      </c>
      <c r="H200" s="3">
        <v>0.124436712</v>
      </c>
      <c r="I200" s="3">
        <v>0.73207546999999995</v>
      </c>
      <c r="J200" s="3">
        <v>3.4009023999999999E-2</v>
      </c>
      <c r="K200" s="3">
        <v>0.53338098599999995</v>
      </c>
      <c r="M200" s="3">
        <v>1.8730576480000001</v>
      </c>
      <c r="N200" s="3">
        <v>0.127247056</v>
      </c>
      <c r="O200" s="3">
        <v>1.353688161</v>
      </c>
      <c r="P200" s="3">
        <v>1.0594108179999999</v>
      </c>
      <c r="Q200" s="3">
        <v>1.2399853789999999</v>
      </c>
      <c r="R200" s="3">
        <v>1.109470314</v>
      </c>
      <c r="S200" s="3">
        <v>2.3127915360000002</v>
      </c>
      <c r="T200" s="3">
        <v>1.5943959270000001</v>
      </c>
      <c r="U200" s="3">
        <v>-0.29599847000000001</v>
      </c>
      <c r="V200" s="3">
        <v>1.1130895709999999</v>
      </c>
      <c r="W200" s="3">
        <v>1.6915792140000001</v>
      </c>
      <c r="X200" s="3">
        <v>1.74248911</v>
      </c>
      <c r="Y200" s="3">
        <v>6.4802695080000001</v>
      </c>
      <c r="Z200" s="3">
        <v>2.950829106</v>
      </c>
      <c r="AA200" s="3">
        <v>0.71094114600000002</v>
      </c>
      <c r="AB200" s="3">
        <v>-1.6042441629999999</v>
      </c>
      <c r="AC200" s="3">
        <v>0.96172613699999998</v>
      </c>
      <c r="AD200" s="3">
        <v>-4.0578651949999998</v>
      </c>
      <c r="AE200" s="3">
        <v>0.282339693</v>
      </c>
      <c r="AF200" s="3">
        <v>1.9635651460000001</v>
      </c>
      <c r="AH200" s="3">
        <v>0.61934998699999999</v>
      </c>
      <c r="AI200" s="3">
        <v>1.3263208</v>
      </c>
      <c r="AJ200" s="3">
        <v>1.038397649</v>
      </c>
      <c r="AK200" s="3">
        <v>0.443581</v>
      </c>
      <c r="AN200" s="3">
        <v>0.59738111900000002</v>
      </c>
      <c r="AO200" s="3">
        <v>1.5855699999999999</v>
      </c>
      <c r="AP200" s="3">
        <v>0.948425293</v>
      </c>
      <c r="AT200" s="3">
        <v>-1.0266095289999999</v>
      </c>
      <c r="AU200" s="86">
        <v>1.8222659830000001</v>
      </c>
      <c r="AV200" s="86"/>
      <c r="AW200" s="86"/>
      <c r="AX200" s="86"/>
      <c r="AY200" s="86"/>
      <c r="AZ200" s="86"/>
      <c r="BA200" s="86"/>
      <c r="BB200" s="83"/>
      <c r="BC200" s="83"/>
      <c r="BD200" s="83"/>
      <c r="BE200" s="83"/>
      <c r="BF200" s="83"/>
      <c r="BG200" s="83"/>
    </row>
    <row r="201" spans="1:59" x14ac:dyDescent="0.2">
      <c r="A201" s="86" t="s">
        <v>248</v>
      </c>
      <c r="B201" s="101">
        <v>35521</v>
      </c>
      <c r="C201" s="3">
        <v>0.61040222099999997</v>
      </c>
      <c r="E201" s="3">
        <v>1.002376205</v>
      </c>
      <c r="F201" s="3">
        <v>1.3191744510000001</v>
      </c>
      <c r="H201" s="3">
        <v>-0.39536978900000003</v>
      </c>
      <c r="I201" s="3">
        <v>-0.53556139300000005</v>
      </c>
      <c r="J201" s="3">
        <v>1.2551062850000001</v>
      </c>
      <c r="K201" s="3">
        <v>1.0153186540000001</v>
      </c>
      <c r="M201" s="3">
        <v>1.1790248999999999</v>
      </c>
      <c r="N201" s="3">
        <v>0.302418352</v>
      </c>
      <c r="O201" s="3">
        <v>1.902871717</v>
      </c>
      <c r="P201" s="3">
        <v>0.57090113099999995</v>
      </c>
      <c r="Q201" s="3">
        <v>0.92778609999999995</v>
      </c>
      <c r="R201" s="3">
        <v>5.2555196789999998</v>
      </c>
      <c r="S201" s="3">
        <v>4.414953262</v>
      </c>
      <c r="T201" s="3">
        <v>1.099180974</v>
      </c>
      <c r="U201" s="3">
        <v>0.350569468</v>
      </c>
      <c r="V201" s="3">
        <v>0.26129864200000003</v>
      </c>
      <c r="W201" s="3">
        <v>0.46806386999999999</v>
      </c>
      <c r="X201" s="3">
        <v>1.5900164530000001</v>
      </c>
      <c r="Y201" s="3">
        <v>-2.1522536140000001</v>
      </c>
      <c r="Z201" s="3">
        <v>0.13298252899999999</v>
      </c>
      <c r="AA201" s="3">
        <v>1.0909732759999999</v>
      </c>
      <c r="AB201" s="3">
        <v>2.6849951660000002</v>
      </c>
      <c r="AC201" s="3">
        <v>0.62681536699999996</v>
      </c>
      <c r="AD201" s="3">
        <v>7.2096977610000001</v>
      </c>
      <c r="AE201" s="3">
        <v>1.644745127</v>
      </c>
      <c r="AF201" s="3">
        <v>0.99988374199999996</v>
      </c>
      <c r="AH201" s="3">
        <v>0.91973416500000005</v>
      </c>
      <c r="AI201" s="3">
        <v>-0.37148973400000002</v>
      </c>
      <c r="AJ201" s="3">
        <v>0.64556077700000003</v>
      </c>
      <c r="AK201" s="3">
        <v>0.25356800000000002</v>
      </c>
      <c r="AN201" s="3">
        <v>0.843579513</v>
      </c>
      <c r="AO201" s="3">
        <v>0.75236000000000003</v>
      </c>
      <c r="AP201" s="3">
        <v>0.28728256000000002</v>
      </c>
      <c r="AT201" s="3">
        <v>0.98057682700000004</v>
      </c>
      <c r="AU201" s="86">
        <v>2.1002052839999998</v>
      </c>
      <c r="AV201" s="86"/>
      <c r="AW201" s="86"/>
      <c r="AX201" s="86"/>
      <c r="AY201" s="86"/>
      <c r="AZ201" s="86"/>
      <c r="BA201" s="86"/>
      <c r="BB201" s="83"/>
      <c r="BC201" s="83"/>
      <c r="BD201" s="83"/>
      <c r="BE201" s="83"/>
      <c r="BF201" s="83"/>
      <c r="BG201" s="83"/>
    </row>
    <row r="202" spans="1:59" x14ac:dyDescent="0.2">
      <c r="A202" s="86" t="s">
        <v>249</v>
      </c>
      <c r="B202" s="101">
        <v>35612</v>
      </c>
      <c r="C202" s="3">
        <v>2.9473954</v>
      </c>
      <c r="E202" s="3">
        <v>1.546782044</v>
      </c>
      <c r="F202" s="3">
        <v>1.1296315130000001</v>
      </c>
      <c r="H202" s="3">
        <v>-0.32452367999999998</v>
      </c>
      <c r="I202" s="3">
        <v>1.294704697</v>
      </c>
      <c r="J202" s="3">
        <v>1.7174871949999999</v>
      </c>
      <c r="K202" s="3">
        <v>0.90700166900000001</v>
      </c>
      <c r="M202" s="3">
        <v>1.5184028249999999</v>
      </c>
      <c r="N202" s="3">
        <v>1.1512293330000001</v>
      </c>
      <c r="O202" s="3">
        <v>0.88013781499999999</v>
      </c>
      <c r="P202" s="3">
        <v>1.714354301</v>
      </c>
      <c r="Q202" s="3">
        <v>1.1109416640000001</v>
      </c>
      <c r="R202" s="3">
        <v>3.9580025970000001</v>
      </c>
      <c r="S202" s="3">
        <v>0.60046170700000001</v>
      </c>
      <c r="T202" s="3">
        <v>0.58849035000000005</v>
      </c>
      <c r="U202" s="3">
        <v>1.262657734</v>
      </c>
      <c r="V202" s="3">
        <v>-0.75360426199999997</v>
      </c>
      <c r="W202" s="3">
        <v>3.5505527730000002</v>
      </c>
      <c r="X202" s="3">
        <v>2.1498405470000002</v>
      </c>
      <c r="Y202" s="3">
        <v>4.5045262109999999</v>
      </c>
      <c r="Z202" s="3">
        <v>2.3466820560000001</v>
      </c>
      <c r="AA202" s="3">
        <v>1.041229521</v>
      </c>
      <c r="AB202" s="3">
        <v>2.4122912059999999</v>
      </c>
      <c r="AC202" s="3">
        <v>1.278761955</v>
      </c>
      <c r="AD202" s="3">
        <v>1.372455312</v>
      </c>
      <c r="AE202" s="3">
        <v>0.90861801399999997</v>
      </c>
      <c r="AF202" s="3">
        <v>1.48283473</v>
      </c>
      <c r="AH202" s="3">
        <v>1.16580646</v>
      </c>
      <c r="AI202" s="3">
        <v>1.98570614</v>
      </c>
      <c r="AJ202" s="3">
        <v>1.661978105</v>
      </c>
      <c r="AK202" s="3">
        <v>1.2336990000000001</v>
      </c>
      <c r="AN202" s="3">
        <v>0.485534725</v>
      </c>
      <c r="AO202" s="3">
        <v>0.40984999999999999</v>
      </c>
      <c r="AP202" s="3">
        <v>0.61169343700000001</v>
      </c>
      <c r="AT202" s="3">
        <v>0.68825802800000002</v>
      </c>
      <c r="AU202" s="86">
        <v>1.4875138809999999</v>
      </c>
      <c r="AV202" s="86"/>
      <c r="AW202" s="86"/>
      <c r="AX202" s="86"/>
      <c r="AY202" s="86"/>
      <c r="AZ202" s="86"/>
      <c r="BA202" s="86"/>
      <c r="BB202" s="83"/>
      <c r="BC202" s="83"/>
      <c r="BD202" s="83"/>
      <c r="BE202" s="83"/>
      <c r="BF202" s="83"/>
      <c r="BG202" s="83"/>
    </row>
    <row r="203" spans="1:59" x14ac:dyDescent="0.2">
      <c r="A203" s="86" t="s">
        <v>250</v>
      </c>
      <c r="B203" s="101">
        <v>35704</v>
      </c>
      <c r="C203" s="3">
        <v>0.13109167899999999</v>
      </c>
      <c r="E203" s="3">
        <v>0.88144439699999999</v>
      </c>
      <c r="F203" s="3">
        <v>1.1834338419999999</v>
      </c>
      <c r="H203" s="3">
        <v>-0.67938378799999999</v>
      </c>
      <c r="I203" s="3">
        <v>0.34168294199999999</v>
      </c>
      <c r="J203" s="3">
        <v>-0.28229916399999999</v>
      </c>
      <c r="K203" s="3">
        <v>1.18948225</v>
      </c>
      <c r="M203" s="3">
        <v>2.3572537059999998</v>
      </c>
      <c r="N203" s="3">
        <v>0.78367254900000005</v>
      </c>
      <c r="O203" s="3">
        <v>0.70395104500000005</v>
      </c>
      <c r="P203" s="3">
        <v>1.595103859</v>
      </c>
      <c r="Q203" s="3">
        <v>0.87056375699999999</v>
      </c>
      <c r="R203" s="3">
        <v>1.7420748159999999</v>
      </c>
      <c r="S203" s="3">
        <v>-1.247558344</v>
      </c>
      <c r="T203" s="3">
        <v>-3.7633400999999997E-2</v>
      </c>
      <c r="U203" s="3">
        <v>0.64781133199999996</v>
      </c>
      <c r="V203" s="3">
        <v>0.20018762600000001</v>
      </c>
      <c r="W203" s="3">
        <v>0.79174437600000003</v>
      </c>
      <c r="X203" s="3">
        <v>2.3379885570000001</v>
      </c>
      <c r="Y203" s="3">
        <v>1.648242988</v>
      </c>
      <c r="Z203" s="3">
        <v>1.949523055</v>
      </c>
      <c r="AA203" s="3">
        <v>1.45275968</v>
      </c>
      <c r="AB203" s="3">
        <v>-0.107572664</v>
      </c>
      <c r="AC203" s="3">
        <v>0.90668679100000005</v>
      </c>
      <c r="AD203" s="3">
        <v>-0.257952715</v>
      </c>
      <c r="AE203" s="3">
        <v>1.3009623269999999</v>
      </c>
      <c r="AF203" s="3">
        <v>1.646974532</v>
      </c>
      <c r="AH203" s="3">
        <v>0.82104656899999995</v>
      </c>
      <c r="AI203" s="3">
        <v>-0.26662469799999999</v>
      </c>
      <c r="AJ203" s="3">
        <v>1.2507785730000001</v>
      </c>
      <c r="AK203" s="3">
        <v>0.78153099999999998</v>
      </c>
      <c r="AN203" s="3">
        <v>1.24580622</v>
      </c>
      <c r="AO203" s="3">
        <v>1.1928300000000001</v>
      </c>
      <c r="AP203" s="3">
        <v>0.208904382</v>
      </c>
      <c r="AT203" s="3">
        <v>1.232782032</v>
      </c>
      <c r="AU203" s="86">
        <v>2.5172173440000001</v>
      </c>
      <c r="AV203" s="86"/>
      <c r="AW203" s="86"/>
      <c r="AX203" s="86"/>
      <c r="AY203" s="86"/>
      <c r="AZ203" s="86"/>
      <c r="BA203" s="86"/>
      <c r="BB203" s="83"/>
      <c r="BC203" s="83"/>
      <c r="BD203" s="83"/>
      <c r="BE203" s="83"/>
      <c r="BF203" s="83"/>
      <c r="BG203" s="83"/>
    </row>
    <row r="204" spans="1:59" x14ac:dyDescent="0.2">
      <c r="A204" s="86" t="s">
        <v>251</v>
      </c>
      <c r="B204" s="101">
        <v>35796</v>
      </c>
      <c r="C204" s="3">
        <v>1.422250193</v>
      </c>
      <c r="E204" s="3">
        <v>0.55697806400000005</v>
      </c>
      <c r="F204" s="3">
        <v>0.96832222199999995</v>
      </c>
      <c r="H204" s="3">
        <v>-0.17362503800000001</v>
      </c>
      <c r="I204" s="3">
        <v>0.71887790299999998</v>
      </c>
      <c r="J204" s="3">
        <v>-1.3656432E-2</v>
      </c>
      <c r="K204" s="3">
        <v>1.3791626850000001</v>
      </c>
      <c r="M204" s="3">
        <v>2.9460201279999998</v>
      </c>
      <c r="N204" s="3">
        <v>1.0935235000000001</v>
      </c>
      <c r="O204" s="3">
        <v>1.180839733</v>
      </c>
      <c r="P204" s="3">
        <v>0.95343378199999995</v>
      </c>
      <c r="Q204" s="3">
        <v>0.85043036800000005</v>
      </c>
      <c r="R204" s="3">
        <v>1.3292294730000001</v>
      </c>
      <c r="S204" s="3">
        <v>2.886175782</v>
      </c>
      <c r="T204" s="3">
        <v>1.7847353349999999</v>
      </c>
      <c r="U204" s="3">
        <v>1.7412121620000001</v>
      </c>
      <c r="V204" s="3">
        <v>3.5680863E-2</v>
      </c>
      <c r="W204" s="3">
        <v>-0.45599433099999997</v>
      </c>
      <c r="X204" s="3">
        <v>6.2539892999999999E-2</v>
      </c>
      <c r="Y204" s="3">
        <v>1.2052515189999999</v>
      </c>
      <c r="Z204" s="3">
        <v>2.4190387910000002</v>
      </c>
      <c r="AA204" s="3">
        <v>1.282980368</v>
      </c>
      <c r="AB204" s="3">
        <v>1.4128667580000001</v>
      </c>
      <c r="AC204" s="3">
        <v>0.92252356800000002</v>
      </c>
      <c r="AD204" s="3">
        <v>1.676072926</v>
      </c>
      <c r="AE204" s="3">
        <v>0.67232428600000005</v>
      </c>
      <c r="AF204" s="3">
        <v>-0.50644158900000003</v>
      </c>
      <c r="AH204" s="3">
        <v>1.958015262</v>
      </c>
      <c r="AI204" s="3">
        <v>-0.21520477800000001</v>
      </c>
      <c r="AJ204" s="3">
        <v>0.85874356299999999</v>
      </c>
      <c r="AK204" s="3">
        <v>1.1200399999999999</v>
      </c>
      <c r="AN204" s="3">
        <v>0.69517634699999997</v>
      </c>
      <c r="AO204" s="3">
        <v>1.6008599999999999</v>
      </c>
      <c r="AP204" s="3">
        <v>0.150975371</v>
      </c>
      <c r="AT204" s="3">
        <v>0.77487813699999997</v>
      </c>
      <c r="AU204" s="86">
        <v>1.3514575719999999</v>
      </c>
      <c r="AV204" s="86"/>
      <c r="AW204" s="86"/>
      <c r="AX204" s="86"/>
      <c r="AY204" s="86"/>
      <c r="AZ204" s="86"/>
      <c r="BA204" s="86"/>
      <c r="BB204" s="83"/>
      <c r="BC204" s="83"/>
      <c r="BD204" s="83"/>
      <c r="BE204" s="83"/>
      <c r="BF204" s="83"/>
      <c r="BG204" s="83"/>
    </row>
    <row r="205" spans="1:59" x14ac:dyDescent="0.2">
      <c r="A205" s="86" t="s">
        <v>252</v>
      </c>
      <c r="B205" s="101">
        <v>35886</v>
      </c>
      <c r="C205" s="3">
        <v>0.68525682799999998</v>
      </c>
      <c r="E205" s="3">
        <v>0.25988344600000002</v>
      </c>
      <c r="F205" s="3">
        <v>1.41241503</v>
      </c>
      <c r="H205" s="3">
        <v>1.3075171E-2</v>
      </c>
      <c r="I205" s="3">
        <v>0.94533074800000005</v>
      </c>
      <c r="J205" s="3">
        <v>1.5077876960000001</v>
      </c>
      <c r="K205" s="3">
        <v>0.87619891400000005</v>
      </c>
      <c r="M205" s="3">
        <v>-0.72875933199999998</v>
      </c>
      <c r="N205" s="3">
        <v>0.83869850199999996</v>
      </c>
      <c r="O205" s="3">
        <v>0.90943591700000004</v>
      </c>
      <c r="P205" s="3">
        <v>1.2009036099999999</v>
      </c>
      <c r="Q205" s="3">
        <v>0.86383306599999998</v>
      </c>
      <c r="R205" s="3">
        <v>2.857679155</v>
      </c>
      <c r="S205" s="3">
        <v>-2.5101290280000002</v>
      </c>
      <c r="T205" s="3">
        <v>1.410628668</v>
      </c>
      <c r="U205" s="3">
        <v>-0.62461395799999997</v>
      </c>
      <c r="V205" s="3">
        <v>-1.219443703</v>
      </c>
      <c r="W205" s="3">
        <v>-6.8180219849999997</v>
      </c>
      <c r="X205" s="3">
        <v>1.4080091020000001</v>
      </c>
      <c r="Y205" s="3">
        <v>4.6334453409999998</v>
      </c>
      <c r="Z205" s="3">
        <v>0.90780713099999999</v>
      </c>
      <c r="AA205" s="3">
        <v>1.3490372850000001</v>
      </c>
      <c r="AB205" s="3">
        <v>0.96476843999999995</v>
      </c>
      <c r="AC205" s="3">
        <v>0.434476749</v>
      </c>
      <c r="AD205" s="3">
        <v>2.775275599</v>
      </c>
      <c r="AE205" s="3">
        <v>1.4476665689999999</v>
      </c>
      <c r="AF205" s="3">
        <v>1.750225809</v>
      </c>
      <c r="AH205" s="3">
        <v>0.41395778700000002</v>
      </c>
      <c r="AI205" s="3">
        <v>-0.59341053099999996</v>
      </c>
      <c r="AJ205" s="3">
        <v>0.999375401</v>
      </c>
      <c r="AK205" s="3">
        <v>0.65345900000000001</v>
      </c>
      <c r="AN205" s="3">
        <v>1.0254484850000001</v>
      </c>
      <c r="AO205" s="3">
        <v>1.6300699999999999</v>
      </c>
      <c r="AP205" s="3">
        <v>0.126386359</v>
      </c>
      <c r="AT205" s="3">
        <v>-1.9190023199999999</v>
      </c>
      <c r="AU205" s="86">
        <v>0.51742156399999994</v>
      </c>
      <c r="AV205" s="86"/>
      <c r="AW205" s="86"/>
      <c r="AX205" s="86"/>
      <c r="AY205" s="86"/>
      <c r="AZ205" s="86"/>
      <c r="BA205" s="86"/>
      <c r="BB205" s="83"/>
      <c r="BC205" s="83"/>
      <c r="BD205" s="83"/>
      <c r="BE205" s="83"/>
      <c r="BF205" s="83"/>
      <c r="BG205" s="83"/>
    </row>
    <row r="206" spans="1:59" x14ac:dyDescent="0.2">
      <c r="A206" s="86" t="s">
        <v>253</v>
      </c>
      <c r="B206" s="101">
        <v>35977</v>
      </c>
      <c r="C206" s="3">
        <v>0.97200400200000003</v>
      </c>
      <c r="E206" s="3">
        <v>0.33252166599999999</v>
      </c>
      <c r="F206" s="3">
        <v>5.3398141000000003E-2</v>
      </c>
      <c r="H206" s="3">
        <v>0.26650796900000001</v>
      </c>
      <c r="I206" s="3">
        <v>-0.43412806199999998</v>
      </c>
      <c r="J206" s="3">
        <v>-0.75521729999999998</v>
      </c>
      <c r="K206" s="3">
        <v>1.1279904000000001</v>
      </c>
      <c r="M206" s="3">
        <v>2.0181608899999999</v>
      </c>
      <c r="N206" s="3">
        <v>0.93169183799999999</v>
      </c>
      <c r="O206" s="3">
        <v>0.92896594899999996</v>
      </c>
      <c r="P206" s="3">
        <v>0.44231389199999999</v>
      </c>
      <c r="Q206" s="3">
        <v>1.4908380910000001</v>
      </c>
      <c r="R206" s="3">
        <v>2.4648532670000001</v>
      </c>
      <c r="S206" s="3">
        <v>10.151884432999999</v>
      </c>
      <c r="T206" s="3">
        <v>0.10885400100000001</v>
      </c>
      <c r="U206" s="3">
        <v>0.53456765399999995</v>
      </c>
      <c r="V206" s="3">
        <v>-0.43620800100000001</v>
      </c>
      <c r="W206" s="3">
        <v>-0.80793206900000003</v>
      </c>
      <c r="X206" s="3">
        <v>2.5318136689999999</v>
      </c>
      <c r="Y206" s="3">
        <v>-0.15174689899999999</v>
      </c>
      <c r="Z206" s="3">
        <v>0.77223566799999999</v>
      </c>
      <c r="AA206" s="3">
        <v>0.715690359</v>
      </c>
      <c r="AB206" s="3">
        <v>1.1330989140000001</v>
      </c>
      <c r="AC206" s="3">
        <v>0.48125067599999999</v>
      </c>
      <c r="AD206" s="3">
        <v>-0.267038679</v>
      </c>
      <c r="AE206" s="3">
        <v>1.535719128</v>
      </c>
      <c r="AF206" s="3">
        <v>2.9805189999999999E-2</v>
      </c>
      <c r="AH206" s="3">
        <v>1.3620457669999999</v>
      </c>
      <c r="AI206" s="3">
        <v>0.49718452899999999</v>
      </c>
      <c r="AJ206" s="3">
        <v>0.92582050699999996</v>
      </c>
      <c r="AK206" s="3">
        <v>0.45175500000000002</v>
      </c>
      <c r="AN206" s="3">
        <v>0.99304587899999996</v>
      </c>
      <c r="AO206" s="3">
        <v>1.31074</v>
      </c>
      <c r="AP206" s="3">
        <v>0.141394667</v>
      </c>
      <c r="AS206" s="3">
        <v>-0.79654295600000002</v>
      </c>
      <c r="AT206" s="3">
        <v>1.6052168120000001</v>
      </c>
      <c r="AU206" s="86">
        <v>1.9595053579999999</v>
      </c>
      <c r="AV206" s="86"/>
      <c r="AW206" s="86"/>
      <c r="AX206" s="86"/>
      <c r="AY206" s="86"/>
      <c r="AZ206" s="86"/>
      <c r="BA206" s="86"/>
      <c r="BB206" s="83"/>
      <c r="BC206" s="83"/>
      <c r="BD206" s="83"/>
      <c r="BE206" s="83"/>
      <c r="BF206" s="83"/>
      <c r="BG206" s="83"/>
    </row>
    <row r="207" spans="1:59" x14ac:dyDescent="0.2">
      <c r="A207" s="86" t="s">
        <v>254</v>
      </c>
      <c r="B207" s="101">
        <v>36069</v>
      </c>
      <c r="C207" s="3">
        <v>1.9369739349999999</v>
      </c>
      <c r="E207" s="3">
        <v>0.29227557399999998</v>
      </c>
      <c r="F207" s="3">
        <v>0.91021039000000004</v>
      </c>
      <c r="H207" s="3">
        <v>-5.7180188E-2</v>
      </c>
      <c r="I207" s="3">
        <v>0.49831883300000002</v>
      </c>
      <c r="J207" s="3">
        <v>1.837315059</v>
      </c>
      <c r="K207" s="3">
        <v>0.94473955300000001</v>
      </c>
      <c r="M207" s="3">
        <v>1.2561428139999999</v>
      </c>
      <c r="N207" s="3">
        <v>0.68859550599999997</v>
      </c>
      <c r="O207" s="3">
        <v>0.70799107900000002</v>
      </c>
      <c r="P207" s="3">
        <v>0.34917263199999998</v>
      </c>
      <c r="Q207" s="3">
        <v>0.90957818899999998</v>
      </c>
      <c r="R207" s="3">
        <v>3.8085617589999998</v>
      </c>
      <c r="S207" s="3">
        <v>-0.37934729900000003</v>
      </c>
      <c r="T207" s="3">
        <v>0.88796392400000002</v>
      </c>
      <c r="U207" s="3">
        <v>0.109410884</v>
      </c>
      <c r="V207" s="3">
        <v>0.17982039699999999</v>
      </c>
      <c r="W207" s="3">
        <v>1.7471518049999999</v>
      </c>
      <c r="X207" s="3">
        <v>1.4699007900000001</v>
      </c>
      <c r="Y207" s="3">
        <v>-1.0670151370000001</v>
      </c>
      <c r="Z207" s="3">
        <v>0.45953295500000002</v>
      </c>
      <c r="AA207" s="3">
        <v>0.85358416100000001</v>
      </c>
      <c r="AB207" s="3">
        <v>-1.7936436659999999</v>
      </c>
      <c r="AC207" s="3">
        <v>0.72360144400000004</v>
      </c>
      <c r="AD207" s="3">
        <v>0.84371275099999998</v>
      </c>
      <c r="AE207" s="3">
        <v>1.1085038810000001</v>
      </c>
      <c r="AF207" s="3">
        <v>-0.79594420899999996</v>
      </c>
      <c r="AH207" s="3">
        <v>0.57572464000000001</v>
      </c>
      <c r="AI207" s="3">
        <v>0.15765832099999999</v>
      </c>
      <c r="AJ207" s="3">
        <v>1.252764553</v>
      </c>
      <c r="AK207" s="3">
        <v>0.59085699999999997</v>
      </c>
      <c r="AN207" s="3">
        <v>8.475829E-2</v>
      </c>
      <c r="AO207" s="3">
        <v>1.8147500000000001</v>
      </c>
      <c r="AP207" s="3">
        <v>-0.219151334</v>
      </c>
      <c r="AS207" s="3">
        <v>-1.4070748980000001</v>
      </c>
      <c r="AT207" s="3">
        <v>6.4496696000000006E-2</v>
      </c>
      <c r="AU207" s="86">
        <v>-0.30461429800000001</v>
      </c>
      <c r="AV207" s="86"/>
      <c r="AW207" s="86"/>
      <c r="AX207" s="86"/>
      <c r="AY207" s="86"/>
      <c r="AZ207" s="86"/>
      <c r="BA207" s="86"/>
      <c r="BB207" s="83"/>
      <c r="BC207" s="83"/>
      <c r="BD207" s="83"/>
      <c r="BE207" s="83"/>
      <c r="BF207" s="83"/>
      <c r="BG207" s="83"/>
    </row>
    <row r="208" spans="1:59" x14ac:dyDescent="0.2">
      <c r="A208" s="86" t="s">
        <v>255</v>
      </c>
      <c r="B208" s="101">
        <v>36161</v>
      </c>
      <c r="C208" s="3">
        <v>1.5390586020000001</v>
      </c>
      <c r="E208" s="3">
        <v>0.22377185699999999</v>
      </c>
      <c r="F208" s="3">
        <v>1.3606703760000001</v>
      </c>
      <c r="H208" s="3">
        <v>9.0779618000000006E-2</v>
      </c>
      <c r="I208" s="3">
        <v>-0.43387041999999998</v>
      </c>
      <c r="J208" s="3">
        <v>0.320757081</v>
      </c>
      <c r="K208" s="3">
        <v>1.0984668479999999</v>
      </c>
      <c r="M208" s="3">
        <v>0.88646774800000006</v>
      </c>
      <c r="N208" s="3">
        <v>0.76323870500000002</v>
      </c>
      <c r="O208" s="3">
        <v>0.96228896799999997</v>
      </c>
      <c r="P208" s="3">
        <v>0.78799276399999996</v>
      </c>
      <c r="Q208" s="3">
        <v>7.6510148E-2</v>
      </c>
      <c r="R208" s="3">
        <v>-3.2520439250000002</v>
      </c>
      <c r="S208" s="3">
        <v>3.3518854450000002</v>
      </c>
      <c r="T208" s="3">
        <v>0.89684069899999996</v>
      </c>
      <c r="U208" s="3">
        <v>-0.46015924899999999</v>
      </c>
      <c r="V208" s="3">
        <v>0.80385752899999996</v>
      </c>
      <c r="W208" s="3">
        <v>2.4960498219999998</v>
      </c>
      <c r="X208" s="3">
        <v>0.48002601700000003</v>
      </c>
      <c r="Y208" s="3">
        <v>-2.0149432639999998</v>
      </c>
      <c r="Z208" s="3">
        <v>0.16171727399999999</v>
      </c>
      <c r="AA208" s="3">
        <v>0.91511237599999995</v>
      </c>
      <c r="AB208" s="3">
        <v>0.51137373900000005</v>
      </c>
      <c r="AC208" s="3">
        <v>0.86221009999999998</v>
      </c>
      <c r="AD208" s="3">
        <v>0.211850708</v>
      </c>
      <c r="AE208" s="3">
        <v>0.75321015199999997</v>
      </c>
      <c r="AF208" s="3">
        <v>7.456144052</v>
      </c>
      <c r="AH208" s="3">
        <v>1.101759618</v>
      </c>
      <c r="AI208" s="3">
        <v>0.99427363199999996</v>
      </c>
      <c r="AJ208" s="3">
        <v>1.6161907019999999</v>
      </c>
      <c r="AK208" s="3">
        <v>0.14921100000000001</v>
      </c>
      <c r="AN208" s="3">
        <v>-0.308502096</v>
      </c>
      <c r="AO208" s="3">
        <v>1.31071</v>
      </c>
      <c r="AP208" s="3">
        <v>9.6633819999999995E-2</v>
      </c>
      <c r="AS208" s="3">
        <v>-0.25868815899999997</v>
      </c>
      <c r="AT208" s="3">
        <v>-1.1851588289999999</v>
      </c>
      <c r="AU208" s="86">
        <v>-2.5492660520000001</v>
      </c>
      <c r="AV208" s="86"/>
      <c r="AW208" s="86"/>
      <c r="AX208" s="86"/>
      <c r="AY208" s="86"/>
      <c r="AZ208" s="86"/>
      <c r="BA208" s="86"/>
      <c r="BB208" s="83"/>
      <c r="BC208" s="83"/>
      <c r="BD208" s="83"/>
      <c r="BE208" s="83"/>
      <c r="BF208" s="83"/>
      <c r="BG208" s="83"/>
    </row>
    <row r="209" spans="1:59" x14ac:dyDescent="0.2">
      <c r="A209" s="86" t="s">
        <v>256</v>
      </c>
      <c r="B209" s="101">
        <v>36251</v>
      </c>
      <c r="C209" s="3">
        <v>0.77388167500000005</v>
      </c>
      <c r="E209" s="3">
        <v>1.0449659899999999</v>
      </c>
      <c r="F209" s="3">
        <v>1.8138161740000001</v>
      </c>
      <c r="H209" s="3">
        <v>8.9339538999999996E-2</v>
      </c>
      <c r="I209" s="3">
        <v>1.157924524</v>
      </c>
      <c r="J209" s="3">
        <v>0.90603632300000003</v>
      </c>
      <c r="K209" s="3">
        <v>0.99846124199999997</v>
      </c>
      <c r="M209" s="3">
        <v>1.649363081</v>
      </c>
      <c r="N209" s="3">
        <v>0.505126992</v>
      </c>
      <c r="O209" s="3">
        <v>0.58850909200000001</v>
      </c>
      <c r="P209" s="3">
        <v>0.76233132400000003</v>
      </c>
      <c r="Q209" s="3">
        <v>1.2856032999999999E-2</v>
      </c>
      <c r="R209" s="3">
        <v>6.2974148339999996</v>
      </c>
      <c r="S209" s="3">
        <v>-0.248516558</v>
      </c>
      <c r="T209" s="3">
        <v>-0.91209779300000005</v>
      </c>
      <c r="U209" s="3">
        <v>0.67064780000000002</v>
      </c>
      <c r="V209" s="3">
        <v>-1.3774337189999999</v>
      </c>
      <c r="W209" s="3">
        <v>3.03463255</v>
      </c>
      <c r="X209" s="3">
        <v>2.6408410299999998</v>
      </c>
      <c r="Y209" s="3">
        <v>2.7136511319999999</v>
      </c>
      <c r="Z209" s="3">
        <v>1.03531953</v>
      </c>
      <c r="AA209" s="3">
        <v>1.6667538310000001</v>
      </c>
      <c r="AB209" s="3">
        <v>0.72327446399999995</v>
      </c>
      <c r="AC209" s="3">
        <v>0.63473489800000005</v>
      </c>
      <c r="AD209" s="3">
        <v>0.58912516500000001</v>
      </c>
      <c r="AE209" s="3">
        <v>1.3291963899999999</v>
      </c>
      <c r="AF209" s="3">
        <v>-3.30779245</v>
      </c>
      <c r="AH209" s="3">
        <v>1.171848317</v>
      </c>
      <c r="AI209" s="3">
        <v>1.178048832</v>
      </c>
      <c r="AJ209" s="3">
        <v>0.94382661499999998</v>
      </c>
      <c r="AK209" s="3">
        <v>0.99405500000000002</v>
      </c>
      <c r="AN209" s="3">
        <v>0.21341890999999999</v>
      </c>
      <c r="AO209" s="3">
        <v>1.62415</v>
      </c>
      <c r="AP209" s="3">
        <v>0.919573584</v>
      </c>
      <c r="AS209" s="3">
        <v>-1.6858202179999999</v>
      </c>
      <c r="AT209" s="3">
        <v>0.33017513900000001</v>
      </c>
      <c r="AU209" s="86">
        <v>-1.245853391</v>
      </c>
      <c r="AV209" s="86"/>
      <c r="AW209" s="86"/>
      <c r="AX209" s="86"/>
      <c r="AY209" s="86"/>
      <c r="AZ209" s="86"/>
      <c r="BA209" s="86"/>
      <c r="BB209" s="83"/>
      <c r="BC209" s="83"/>
      <c r="BD209" s="83"/>
      <c r="BE209" s="83"/>
      <c r="BF209" s="83"/>
      <c r="BG209" s="83"/>
    </row>
    <row r="210" spans="1:59" x14ac:dyDescent="0.2">
      <c r="A210" s="86" t="s">
        <v>257</v>
      </c>
      <c r="B210" s="101">
        <v>36342</v>
      </c>
      <c r="C210" s="3">
        <v>0.32400801899999998</v>
      </c>
      <c r="E210" s="3">
        <v>1.3681735850000001</v>
      </c>
      <c r="F210" s="3">
        <v>0.83654469799999998</v>
      </c>
      <c r="H210" s="3">
        <v>0.34645823100000001</v>
      </c>
      <c r="I210" s="3">
        <v>8.1340000000000004E-6</v>
      </c>
      <c r="J210" s="3">
        <v>0.51638309299999996</v>
      </c>
      <c r="K210" s="3">
        <v>1.186014726</v>
      </c>
      <c r="M210" s="3">
        <v>0.531208499</v>
      </c>
      <c r="N210" s="3">
        <v>0.82852884000000004</v>
      </c>
      <c r="O210" s="3">
        <v>0.17445602199999999</v>
      </c>
      <c r="P210" s="3">
        <v>0.93320508999999996</v>
      </c>
      <c r="Q210" s="3">
        <v>1.1115366229999999</v>
      </c>
      <c r="R210" s="3">
        <v>1.6038046640000001</v>
      </c>
      <c r="S210" s="3">
        <v>-2.494298133</v>
      </c>
      <c r="T210" s="3">
        <v>4.2445717289999996</v>
      </c>
      <c r="U210" s="3">
        <v>0.35158379699999998</v>
      </c>
      <c r="V210" s="3">
        <v>0.38269410500000001</v>
      </c>
      <c r="W210" s="3">
        <v>4.3831648489999999</v>
      </c>
      <c r="X210" s="3">
        <v>2.702373337</v>
      </c>
      <c r="Y210" s="3">
        <v>-0.94472022700000002</v>
      </c>
      <c r="Z210" s="3">
        <v>0.61815780600000003</v>
      </c>
      <c r="AA210" s="3">
        <v>1.1129019090000001</v>
      </c>
      <c r="AB210" s="3">
        <v>4.5477926000000002E-2</v>
      </c>
      <c r="AC210" s="3">
        <v>0.73458485299999998</v>
      </c>
      <c r="AD210" s="3">
        <v>2.3212496790000001</v>
      </c>
      <c r="AE210" s="3">
        <v>0.52210511000000004</v>
      </c>
      <c r="AF210" s="3">
        <v>-1.6913015849999999</v>
      </c>
      <c r="AH210" s="3">
        <v>0.60176792000000001</v>
      </c>
      <c r="AI210" s="3">
        <v>0.84276173600000004</v>
      </c>
      <c r="AJ210" s="3">
        <v>0.83500003</v>
      </c>
      <c r="AK210" s="3">
        <v>0.57374099999999995</v>
      </c>
      <c r="AN210" s="3">
        <v>0.67284706699999997</v>
      </c>
      <c r="AO210" s="3">
        <v>2.58223</v>
      </c>
      <c r="AP210" s="3">
        <v>0.79585863999999995</v>
      </c>
      <c r="AS210" s="3">
        <v>-0.563715666</v>
      </c>
      <c r="AT210" s="3">
        <v>0.24084552400000001</v>
      </c>
      <c r="AU210" s="86">
        <v>-1.1299073589999999</v>
      </c>
      <c r="AV210" s="86"/>
      <c r="AW210" s="86"/>
      <c r="AX210" s="86"/>
      <c r="AY210" s="86"/>
      <c r="AZ210" s="86"/>
      <c r="BA210" s="86"/>
      <c r="BB210" s="83"/>
      <c r="BC210" s="83"/>
      <c r="BD210" s="83"/>
      <c r="BE210" s="83"/>
      <c r="BF210" s="83"/>
      <c r="BG210" s="83"/>
    </row>
    <row r="211" spans="1:59" x14ac:dyDescent="0.2">
      <c r="A211" s="86" t="s">
        <v>258</v>
      </c>
      <c r="B211" s="101">
        <v>36434</v>
      </c>
      <c r="C211" s="3">
        <v>1.176991597</v>
      </c>
      <c r="E211" s="3">
        <v>1.452361037</v>
      </c>
      <c r="F211" s="3">
        <v>1.5646760900000001</v>
      </c>
      <c r="H211" s="3">
        <v>0.98779551399999999</v>
      </c>
      <c r="I211" s="3">
        <v>1.1569204099999999</v>
      </c>
      <c r="J211" s="3">
        <v>0.61805336700000002</v>
      </c>
      <c r="K211" s="3">
        <v>1.329460179</v>
      </c>
      <c r="M211" s="3">
        <v>0.53320523600000003</v>
      </c>
      <c r="N211" s="3">
        <v>1.218785996</v>
      </c>
      <c r="O211" s="3">
        <v>1.71656729</v>
      </c>
      <c r="P211" s="3">
        <v>0.38279775599999999</v>
      </c>
      <c r="Q211" s="3">
        <v>1.822657959</v>
      </c>
      <c r="R211" s="3">
        <v>3.9019285190000002</v>
      </c>
      <c r="S211" s="3">
        <v>0.71985595899999999</v>
      </c>
      <c r="T211" s="3">
        <v>0.36045063999999999</v>
      </c>
      <c r="U211" s="3">
        <v>0.85572414699999999</v>
      </c>
      <c r="V211" s="3">
        <v>0.53028066699999998</v>
      </c>
      <c r="W211" s="3">
        <v>2.7811709840000001</v>
      </c>
      <c r="X211" s="3">
        <v>3.315802938</v>
      </c>
      <c r="Y211" s="3">
        <v>3.0729642130000001</v>
      </c>
      <c r="Z211" s="3">
        <v>0.81604600800000004</v>
      </c>
      <c r="AA211" s="3">
        <v>1.37722889</v>
      </c>
      <c r="AB211" s="3">
        <v>2.0548245820000002</v>
      </c>
      <c r="AC211" s="3">
        <v>1.1672232870000001</v>
      </c>
      <c r="AD211" s="3">
        <v>2.2126489220000001</v>
      </c>
      <c r="AE211" s="3">
        <v>0.98039887299999995</v>
      </c>
      <c r="AF211" s="3">
        <v>-0.62558349499999999</v>
      </c>
      <c r="AH211" s="3">
        <v>0.82199986800000002</v>
      </c>
      <c r="AI211" s="3">
        <v>2.766280627</v>
      </c>
      <c r="AJ211" s="3">
        <v>1.3230270260000001</v>
      </c>
      <c r="AK211" s="3">
        <v>1.1575439999999999</v>
      </c>
      <c r="AN211" s="3">
        <v>0.56112386199999997</v>
      </c>
      <c r="AO211" s="3">
        <v>1.24533</v>
      </c>
      <c r="AP211" s="3">
        <v>1.09208108</v>
      </c>
      <c r="AS211" s="3">
        <v>-1.6866180550000001</v>
      </c>
      <c r="AT211" s="3">
        <v>0.15948897000000001</v>
      </c>
      <c r="AU211" s="86">
        <v>-0.28815049799999998</v>
      </c>
      <c r="AV211" s="86"/>
      <c r="AW211" s="86"/>
      <c r="AX211" s="86"/>
      <c r="AY211" s="86"/>
      <c r="AZ211" s="86"/>
      <c r="BA211" s="86"/>
      <c r="BB211" s="83"/>
      <c r="BC211" s="83"/>
      <c r="BD211" s="83"/>
      <c r="BE211" s="83"/>
      <c r="BF211" s="83"/>
      <c r="BG211" s="83"/>
    </row>
    <row r="212" spans="1:59" x14ac:dyDescent="0.2">
      <c r="A212" s="86" t="s">
        <v>259</v>
      </c>
      <c r="B212" s="101">
        <v>36526</v>
      </c>
      <c r="C212" s="3">
        <v>1.7027803180000001</v>
      </c>
      <c r="E212" s="3">
        <v>1.1842302499999999</v>
      </c>
      <c r="F212" s="3">
        <v>1.4066963400000001</v>
      </c>
      <c r="H212" s="3">
        <v>1.045600273</v>
      </c>
      <c r="I212" s="3">
        <v>0.76650885599999996</v>
      </c>
      <c r="J212" s="3">
        <v>1.3987960589999999</v>
      </c>
      <c r="K212" s="3">
        <v>1.1342787249999999</v>
      </c>
      <c r="M212" s="3">
        <v>0.85290393499999995</v>
      </c>
      <c r="N212" s="3">
        <v>1.4021833450000001</v>
      </c>
      <c r="O212" s="3">
        <v>1.476713959</v>
      </c>
      <c r="P212" s="3">
        <v>1.5989245139999999</v>
      </c>
      <c r="Q212" s="3">
        <v>1.2093748929999999</v>
      </c>
      <c r="R212" s="3">
        <v>1.539373235</v>
      </c>
      <c r="S212" s="3">
        <v>4.6239183180000003</v>
      </c>
      <c r="T212" s="3">
        <v>1.9678014260000001</v>
      </c>
      <c r="U212" s="3">
        <v>1.43893614</v>
      </c>
      <c r="V212" s="3">
        <v>3.4854619000000003E-2</v>
      </c>
      <c r="W212" s="3">
        <v>2.8862553750000002</v>
      </c>
      <c r="X212" s="3">
        <v>0.60443921</v>
      </c>
      <c r="Y212" s="3">
        <v>3.6733367970000002</v>
      </c>
      <c r="Z212" s="3">
        <v>1.0524974060000001</v>
      </c>
      <c r="AA212" s="3">
        <v>1.406875109</v>
      </c>
      <c r="AB212" s="3">
        <v>1.720242493</v>
      </c>
      <c r="AC212" s="3">
        <v>1.3350037530000001</v>
      </c>
      <c r="AD212" s="3">
        <v>1.95364307</v>
      </c>
      <c r="AE212" s="3">
        <v>0.57433716000000001</v>
      </c>
      <c r="AF212" s="3">
        <v>-0.45263827299999998</v>
      </c>
      <c r="AH212" s="3">
        <v>1.842371588</v>
      </c>
      <c r="AI212" s="3">
        <v>1.2462059139999999</v>
      </c>
      <c r="AJ212" s="3">
        <v>1.642779005</v>
      </c>
      <c r="AK212" s="3">
        <v>1.131553</v>
      </c>
      <c r="AN212" s="3">
        <v>2.4382507919999998</v>
      </c>
      <c r="AO212" s="3">
        <v>1.65076</v>
      </c>
      <c r="AP212" s="3">
        <v>1.0996903629999999</v>
      </c>
      <c r="AS212" s="3">
        <v>2.9874202940000001</v>
      </c>
      <c r="AT212" s="3">
        <v>1.4033485640000001</v>
      </c>
      <c r="AU212" s="86">
        <v>1.6728210139999999</v>
      </c>
      <c r="AV212" s="86"/>
      <c r="AW212" s="86"/>
      <c r="AX212" s="86"/>
      <c r="AY212" s="86"/>
      <c r="AZ212" s="86"/>
      <c r="BA212" s="86"/>
      <c r="BB212" s="83"/>
      <c r="BC212" s="83"/>
      <c r="BD212" s="83"/>
      <c r="BE212" s="83"/>
      <c r="BF212" s="83"/>
      <c r="BG212" s="83"/>
    </row>
    <row r="213" spans="1:59" x14ac:dyDescent="0.2">
      <c r="A213" s="86" t="s">
        <v>260</v>
      </c>
      <c r="B213" s="101">
        <v>36617</v>
      </c>
      <c r="C213" s="3">
        <v>0.36249632599999998</v>
      </c>
      <c r="E213" s="3">
        <v>0.71111111100000002</v>
      </c>
      <c r="F213" s="3">
        <v>1.59973568</v>
      </c>
      <c r="H213" s="3">
        <v>1.357098004</v>
      </c>
      <c r="I213" s="3">
        <v>1.430876974</v>
      </c>
      <c r="J213" s="3">
        <v>0.97509966800000003</v>
      </c>
      <c r="K213" s="3">
        <v>1.5996598479999999</v>
      </c>
      <c r="M213" s="3">
        <v>2.9824228929999999</v>
      </c>
      <c r="N213" s="3">
        <v>0.908571621</v>
      </c>
      <c r="O213" s="3">
        <v>0.80528592700000001</v>
      </c>
      <c r="P213" s="3">
        <v>0.37966255999999998</v>
      </c>
      <c r="Q213" s="3">
        <v>0.87416371400000004</v>
      </c>
      <c r="R213" s="3">
        <v>1.3066733770000001</v>
      </c>
      <c r="S213" s="3">
        <v>-0.29046496500000002</v>
      </c>
      <c r="T213" s="3">
        <v>2.207206336</v>
      </c>
      <c r="U213" s="3">
        <v>1.1745673459999999</v>
      </c>
      <c r="V213" s="3">
        <v>1.707938256</v>
      </c>
      <c r="W213" s="3">
        <v>1.895051738</v>
      </c>
      <c r="X213" s="3">
        <v>5.0585319359999996</v>
      </c>
      <c r="Y213" s="3">
        <v>0.43245217400000002</v>
      </c>
      <c r="Z213" s="3">
        <v>1.9258357669999999</v>
      </c>
      <c r="AA213" s="3">
        <v>0.62271010999999998</v>
      </c>
      <c r="AB213" s="3">
        <v>1.4782468200000001</v>
      </c>
      <c r="AC213" s="3">
        <v>0.99267036099999995</v>
      </c>
      <c r="AD213" s="3">
        <v>-0.34101668200000002</v>
      </c>
      <c r="AE213" s="3">
        <v>2.2254685850000002</v>
      </c>
      <c r="AF213" s="3">
        <v>1.0602646490000001</v>
      </c>
      <c r="AH213" s="3">
        <v>0.70105533499999995</v>
      </c>
      <c r="AI213" s="3">
        <v>1.4553532410000001</v>
      </c>
      <c r="AJ213" s="3">
        <v>0.36444736100000003</v>
      </c>
      <c r="AK213" s="3">
        <v>1.2338100000000001</v>
      </c>
      <c r="AN213" s="3">
        <v>0.77786627100000005</v>
      </c>
      <c r="AO213" s="3">
        <v>2.0995300000000001</v>
      </c>
      <c r="AP213" s="3">
        <v>1.124813708</v>
      </c>
      <c r="AS213" s="3">
        <v>1.5748513790000001</v>
      </c>
      <c r="AT213" s="3">
        <v>1.0589441390000001</v>
      </c>
      <c r="AU213" s="86">
        <v>-0.34000240700000001</v>
      </c>
      <c r="AV213" s="86"/>
      <c r="AW213" s="86"/>
      <c r="AX213" s="86"/>
      <c r="AY213" s="86"/>
      <c r="AZ213" s="86"/>
      <c r="BA213" s="86"/>
      <c r="BB213" s="83"/>
      <c r="BC213" s="83"/>
      <c r="BD213" s="83"/>
      <c r="BE213" s="83"/>
      <c r="BF213" s="83"/>
      <c r="BG213" s="83"/>
    </row>
    <row r="214" spans="1:59" x14ac:dyDescent="0.2">
      <c r="A214" s="86" t="s">
        <v>261</v>
      </c>
      <c r="B214" s="101">
        <v>36708</v>
      </c>
      <c r="C214" s="3">
        <v>0.923188487</v>
      </c>
      <c r="E214" s="3">
        <v>0.71957438500000004</v>
      </c>
      <c r="F214" s="3">
        <v>1.1885847089999999</v>
      </c>
      <c r="H214" s="3">
        <v>1.0430145470000001</v>
      </c>
      <c r="I214" s="3">
        <v>0.821432516</v>
      </c>
      <c r="J214" s="3">
        <v>1.1384173420000001</v>
      </c>
      <c r="K214" s="3">
        <v>1.2522319770000001</v>
      </c>
      <c r="M214" s="3">
        <v>0.77059324200000001</v>
      </c>
      <c r="N214" s="3">
        <v>0.99096279200000004</v>
      </c>
      <c r="O214" s="3">
        <v>0.60596473399999995</v>
      </c>
      <c r="P214" s="3">
        <v>0.92199407799999999</v>
      </c>
      <c r="Q214" s="3">
        <v>0.96046884700000001</v>
      </c>
      <c r="R214" s="3">
        <v>3.2753115180000001</v>
      </c>
      <c r="S214" s="3">
        <v>1.042824234</v>
      </c>
      <c r="T214" s="3">
        <v>3.1358100530000002</v>
      </c>
      <c r="U214" s="3">
        <v>0.73143672699999995</v>
      </c>
      <c r="V214" s="3">
        <v>0.46580867599999998</v>
      </c>
      <c r="W214" s="3">
        <v>1.3325102150000001</v>
      </c>
      <c r="X214" s="3">
        <v>-0.96125758100000003</v>
      </c>
      <c r="Y214" s="3">
        <v>0.53172237200000005</v>
      </c>
      <c r="Z214" s="3">
        <v>1.5115141949999999</v>
      </c>
      <c r="AA214" s="3">
        <v>1.1168028889999999</v>
      </c>
      <c r="AB214" s="3">
        <v>-1.444214141</v>
      </c>
      <c r="AC214" s="3">
        <v>1.2518615360000001</v>
      </c>
      <c r="AD214" s="3">
        <v>1.2045631139999999</v>
      </c>
      <c r="AE214" s="3">
        <v>-0.52848783099999996</v>
      </c>
      <c r="AF214" s="3">
        <v>0.99119312500000001</v>
      </c>
      <c r="AH214" s="3">
        <v>2.4820457349999998</v>
      </c>
      <c r="AI214" s="3">
        <v>4.6932606000000002E-2</v>
      </c>
      <c r="AJ214" s="3">
        <v>1.8205830080000001</v>
      </c>
      <c r="AK214" s="3">
        <v>0.90307800000000005</v>
      </c>
      <c r="AN214" s="3">
        <v>0.42928196600000001</v>
      </c>
      <c r="AO214" s="3">
        <v>0.13491</v>
      </c>
      <c r="AP214" s="3">
        <v>0.92010312699999997</v>
      </c>
      <c r="AS214" s="3">
        <v>3.8933703569999998</v>
      </c>
      <c r="AT214" s="3">
        <v>1.401883497</v>
      </c>
      <c r="AU214" s="86">
        <v>-1.6088924600000001</v>
      </c>
      <c r="AV214" s="86"/>
      <c r="AW214" s="86"/>
      <c r="AX214" s="86"/>
      <c r="AY214" s="86"/>
      <c r="AZ214" s="86"/>
      <c r="BA214" s="86"/>
      <c r="BB214" s="83"/>
      <c r="BC214" s="83"/>
      <c r="BD214" s="83"/>
      <c r="BE214" s="83"/>
      <c r="BF214" s="83"/>
      <c r="BG214" s="83"/>
    </row>
    <row r="215" spans="1:59" x14ac:dyDescent="0.2">
      <c r="A215" s="86" t="s">
        <v>262</v>
      </c>
      <c r="B215" s="101">
        <v>36800</v>
      </c>
      <c r="C215" s="3">
        <v>0.19379577200000001</v>
      </c>
      <c r="E215" s="3">
        <v>0.46371237700000001</v>
      </c>
      <c r="F215" s="3">
        <v>1.0169817880000001</v>
      </c>
      <c r="H215" s="3">
        <v>1.3601614339999999</v>
      </c>
      <c r="I215" s="3">
        <v>-2.3611874000000001E-2</v>
      </c>
      <c r="J215" s="3">
        <v>0.27623821399999998</v>
      </c>
      <c r="K215" s="3">
        <v>1.0792242439999999</v>
      </c>
      <c r="M215" s="3">
        <v>1.5659240320000001</v>
      </c>
      <c r="N215" s="3">
        <v>0.61854990300000001</v>
      </c>
      <c r="O215" s="3">
        <v>0.29342246700000002</v>
      </c>
      <c r="P215" s="3">
        <v>1.8684096670000001</v>
      </c>
      <c r="Q215" s="3">
        <v>0.89046739699999999</v>
      </c>
      <c r="R215" s="3">
        <v>2.280912378</v>
      </c>
      <c r="S215" s="3">
        <v>2.967164183</v>
      </c>
      <c r="T215" s="3">
        <v>2.9788902849999999</v>
      </c>
      <c r="U215" s="3">
        <v>0.63995090700000001</v>
      </c>
      <c r="V215" s="3">
        <v>2.5885027000000001E-2</v>
      </c>
      <c r="W215" s="3">
        <v>2.754591172</v>
      </c>
      <c r="X215" s="3">
        <v>1.5374924700000001</v>
      </c>
      <c r="Y215" s="3">
        <v>2.309310725</v>
      </c>
      <c r="Z215" s="3">
        <v>0.77649150899999997</v>
      </c>
      <c r="AA215" s="3">
        <v>0.82516336300000004</v>
      </c>
      <c r="AB215" s="3">
        <v>0.97062753400000001</v>
      </c>
      <c r="AC215" s="3">
        <v>0.459770401</v>
      </c>
      <c r="AD215" s="3">
        <v>0.38726986099999999</v>
      </c>
      <c r="AE215" s="3">
        <v>1.4648645250000001</v>
      </c>
      <c r="AF215" s="3">
        <v>0.61340476899999996</v>
      </c>
      <c r="AH215" s="3">
        <v>0.81383961299999996</v>
      </c>
      <c r="AI215" s="3">
        <v>0.39260816100000001</v>
      </c>
      <c r="AJ215" s="3">
        <v>9.9774128000000004E-2</v>
      </c>
      <c r="AK215" s="3">
        <v>0.55272500000000002</v>
      </c>
      <c r="AN215" s="3">
        <v>0.77006441800000003</v>
      </c>
      <c r="AO215" s="3">
        <v>1.32769</v>
      </c>
      <c r="AP215" s="3">
        <v>0.99037339700000004</v>
      </c>
      <c r="AS215" s="3">
        <v>1.4893164219999999</v>
      </c>
      <c r="AT215" s="3">
        <v>1.197025912</v>
      </c>
      <c r="AU215" s="86">
        <v>-0.25518508200000001</v>
      </c>
      <c r="AV215" s="86"/>
      <c r="AW215" s="86"/>
      <c r="AX215" s="86"/>
      <c r="AY215" s="86"/>
      <c r="AZ215" s="86"/>
      <c r="BA215" s="86"/>
      <c r="BB215" s="83"/>
      <c r="BC215" s="83"/>
      <c r="BD215" s="83"/>
      <c r="BE215" s="83"/>
      <c r="BF215" s="83"/>
      <c r="BG215" s="83"/>
    </row>
    <row r="216" spans="1:59" x14ac:dyDescent="0.2">
      <c r="A216" s="86" t="s">
        <v>263</v>
      </c>
      <c r="B216" s="101">
        <v>36892</v>
      </c>
      <c r="C216" s="3">
        <v>-0.37477460099999998</v>
      </c>
      <c r="E216" s="3">
        <v>0.97766039900000001</v>
      </c>
      <c r="F216" s="3">
        <v>0.17120740000000001</v>
      </c>
      <c r="H216" s="3">
        <v>0.40518897100000001</v>
      </c>
      <c r="I216" s="3">
        <v>-0.30707993500000003</v>
      </c>
      <c r="J216" s="3">
        <v>0.97780016700000005</v>
      </c>
      <c r="K216" s="3">
        <v>1.0304453899999999</v>
      </c>
      <c r="M216" s="3">
        <v>1.0630646829999999</v>
      </c>
      <c r="N216" s="3">
        <v>0.818570876</v>
      </c>
      <c r="O216" s="3">
        <v>0.23617527499999999</v>
      </c>
      <c r="P216" s="3">
        <v>1.418925598</v>
      </c>
      <c r="Q216" s="3">
        <v>1.811619117</v>
      </c>
      <c r="R216" s="3">
        <v>9.7509050000000007E-3</v>
      </c>
      <c r="S216" s="3">
        <v>-0.77266578900000005</v>
      </c>
      <c r="T216" s="3">
        <v>-9.0673122999999994E-2</v>
      </c>
      <c r="U216" s="3">
        <v>1.4337667599999999</v>
      </c>
      <c r="V216" s="3">
        <v>0.969856724</v>
      </c>
      <c r="W216" s="3">
        <v>-0.32445797199999998</v>
      </c>
      <c r="X216" s="3">
        <v>0.807189088</v>
      </c>
      <c r="Y216" s="3">
        <v>-1.1145083119999999</v>
      </c>
      <c r="Z216" s="3">
        <v>-0.646374114</v>
      </c>
      <c r="AA216" s="3">
        <v>1.299729479</v>
      </c>
      <c r="AB216" s="3">
        <v>3.9175578000000003E-2</v>
      </c>
      <c r="AC216" s="3">
        <v>0.587509065</v>
      </c>
      <c r="AD216" s="3">
        <v>2.9321085180000002</v>
      </c>
      <c r="AE216" s="3">
        <v>0.66940159099999996</v>
      </c>
      <c r="AF216" s="3">
        <v>0.57139377000000002</v>
      </c>
      <c r="AH216" s="3">
        <v>-0.30527104399999999</v>
      </c>
      <c r="AI216" s="3">
        <v>0.19824834099999999</v>
      </c>
      <c r="AJ216" s="3">
        <v>0.59436175499999999</v>
      </c>
      <c r="AK216" s="3">
        <v>0.66166100000000005</v>
      </c>
      <c r="AN216" s="3">
        <v>1.077850258</v>
      </c>
      <c r="AO216" s="3">
        <v>4.1889999999999997E-2</v>
      </c>
      <c r="AP216" s="3">
        <v>0.85077141199999995</v>
      </c>
      <c r="AS216" s="3">
        <v>1.436633405</v>
      </c>
      <c r="AT216" s="3">
        <v>1.2295597629999999</v>
      </c>
      <c r="AU216" s="86">
        <v>0.30685813499999998</v>
      </c>
      <c r="AV216" s="86"/>
      <c r="AW216" s="86"/>
      <c r="AX216" s="86"/>
      <c r="AY216" s="86"/>
      <c r="AZ216" s="86"/>
      <c r="BA216" s="86"/>
      <c r="BB216" s="83"/>
      <c r="BC216" s="83"/>
      <c r="BD216" s="83"/>
      <c r="BE216" s="83"/>
      <c r="BF216" s="83"/>
      <c r="BG216" s="83"/>
    </row>
    <row r="217" spans="1:59" x14ac:dyDescent="0.2">
      <c r="A217" s="86" t="s">
        <v>264</v>
      </c>
      <c r="B217" s="101">
        <v>36982</v>
      </c>
      <c r="C217" s="3">
        <v>1.016078684</v>
      </c>
      <c r="E217" s="3">
        <v>5.6388045999999997E-2</v>
      </c>
      <c r="F217" s="3">
        <v>0.529651011</v>
      </c>
      <c r="H217" s="3">
        <v>1.1528293249999999</v>
      </c>
      <c r="I217" s="3">
        <v>2.010957903</v>
      </c>
      <c r="J217" s="3">
        <v>-1.085721803</v>
      </c>
      <c r="K217" s="3">
        <v>1.0617582640000001</v>
      </c>
      <c r="M217" s="3">
        <v>0.489247671</v>
      </c>
      <c r="N217" s="3">
        <v>0.54301662399999995</v>
      </c>
      <c r="O217" s="3">
        <v>1.1649760469999999</v>
      </c>
      <c r="P217" s="3">
        <v>1.237878102</v>
      </c>
      <c r="Q217" s="3">
        <v>0.73461248899999998</v>
      </c>
      <c r="R217" s="3">
        <v>2.370011495</v>
      </c>
      <c r="S217" s="3">
        <v>-8.1804200000000005E-4</v>
      </c>
      <c r="T217" s="3">
        <v>-1.196496166</v>
      </c>
      <c r="U217" s="3">
        <v>0.57305545099999999</v>
      </c>
      <c r="V217" s="3">
        <v>0.74209235699999998</v>
      </c>
      <c r="W217" s="3">
        <v>1.2255548009999999</v>
      </c>
      <c r="X217" s="3">
        <v>1.5796274809999999</v>
      </c>
      <c r="Y217" s="3">
        <v>2.1697471940000002</v>
      </c>
      <c r="Z217" s="3">
        <v>3.1771203999999997E-2</v>
      </c>
      <c r="AA217" s="3">
        <v>0.10852068400000001</v>
      </c>
      <c r="AB217" s="3">
        <v>1.1700241840000001</v>
      </c>
      <c r="AC217" s="3">
        <v>0.268469974</v>
      </c>
      <c r="AD217" s="3">
        <v>-1.348335096</v>
      </c>
      <c r="AE217" s="3">
        <v>-0.31268365599999998</v>
      </c>
      <c r="AF217" s="3">
        <v>0.70921292199999997</v>
      </c>
      <c r="AH217" s="3">
        <v>0.38952552099999999</v>
      </c>
      <c r="AI217" s="3">
        <v>0.33845222800000002</v>
      </c>
      <c r="AJ217" s="3">
        <v>-0.32422100300000001</v>
      </c>
      <c r="AK217" s="3">
        <v>1.003293</v>
      </c>
      <c r="AN217" s="3">
        <v>4.1755491999999998E-2</v>
      </c>
      <c r="AO217" s="3">
        <v>0.54066000000000003</v>
      </c>
      <c r="AP217" s="3">
        <v>0.64943987999999997</v>
      </c>
      <c r="AS217" s="3">
        <v>-5.1251296079999999</v>
      </c>
      <c r="AT217" s="3">
        <v>0.34800729499999999</v>
      </c>
      <c r="AU217" s="86">
        <v>0.16364615900000001</v>
      </c>
      <c r="AV217" s="86"/>
      <c r="AW217" s="86"/>
      <c r="AX217" s="86"/>
      <c r="AY217" s="86"/>
      <c r="AZ217" s="86"/>
      <c r="BA217" s="86"/>
      <c r="BB217" s="83"/>
      <c r="BC217" s="83"/>
      <c r="BD217" s="83"/>
      <c r="BE217" s="83"/>
      <c r="BF217" s="83"/>
      <c r="BG217" s="83"/>
    </row>
    <row r="218" spans="1:59" x14ac:dyDescent="0.2">
      <c r="A218" s="86" t="s">
        <v>265</v>
      </c>
      <c r="B218" s="101">
        <v>37073</v>
      </c>
      <c r="C218" s="3">
        <v>0.82770906799999999</v>
      </c>
      <c r="E218" s="3">
        <v>1.7986043E-2</v>
      </c>
      <c r="F218" s="3">
        <v>0.26949002500000002</v>
      </c>
      <c r="H218" s="3">
        <v>0.27706922299999998</v>
      </c>
      <c r="I218" s="3">
        <v>-5.8069487000000003E-2</v>
      </c>
      <c r="J218" s="3">
        <v>0.48818125099999998</v>
      </c>
      <c r="K218" s="3">
        <v>0.73911573100000005</v>
      </c>
      <c r="M218" s="3">
        <v>0.119503397</v>
      </c>
      <c r="N218" s="3">
        <v>0.189869871</v>
      </c>
      <c r="O218" s="3">
        <v>0.77227875800000001</v>
      </c>
      <c r="P218" s="3">
        <v>-0.26357386700000002</v>
      </c>
      <c r="Q218" s="3">
        <v>0.83497883399999995</v>
      </c>
      <c r="R218" s="3">
        <v>1.476057398</v>
      </c>
      <c r="S218" s="3">
        <v>3.4578017189999999</v>
      </c>
      <c r="T218" s="3">
        <v>-0.51371240699999998</v>
      </c>
      <c r="U218" s="3">
        <v>-0.30769237999999999</v>
      </c>
      <c r="V218" s="3">
        <v>-0.75061028699999999</v>
      </c>
      <c r="W218" s="3">
        <v>1.2988810260000001</v>
      </c>
      <c r="X218" s="3">
        <v>-1.9915494</v>
      </c>
      <c r="Y218" s="3">
        <v>5.5564360949999996</v>
      </c>
      <c r="Z218" s="3">
        <v>-0.53155255000000001</v>
      </c>
      <c r="AA218" s="3">
        <v>0.50566903500000004</v>
      </c>
      <c r="AB218" s="3">
        <v>-0.17758105599999999</v>
      </c>
      <c r="AC218" s="3">
        <v>0.16549665399999999</v>
      </c>
      <c r="AD218" s="3">
        <v>-0.45310335499999999</v>
      </c>
      <c r="AE218" s="3">
        <v>0.96744614500000004</v>
      </c>
      <c r="AF218" s="3">
        <v>1.047570675</v>
      </c>
      <c r="AH218" s="3">
        <v>-8.3693880000000002E-3</v>
      </c>
      <c r="AI218" s="3">
        <v>1.4197823119999999</v>
      </c>
      <c r="AJ218" s="3">
        <v>0.62138921499999999</v>
      </c>
      <c r="AK218" s="3">
        <v>0.107656</v>
      </c>
      <c r="AN218" s="3">
        <v>0.54764144599999998</v>
      </c>
      <c r="AO218" s="3">
        <v>2.0813700000000002</v>
      </c>
      <c r="AP218" s="3">
        <v>0.49991627</v>
      </c>
      <c r="AS218" s="3">
        <v>-4.8440387170000001</v>
      </c>
      <c r="AT218" s="3">
        <v>-0.48902766600000003</v>
      </c>
      <c r="AU218" s="86">
        <v>-0.82981777400000001</v>
      </c>
      <c r="AV218" s="86"/>
      <c r="AW218" s="86"/>
      <c r="AX218" s="86"/>
      <c r="AY218" s="86"/>
      <c r="AZ218" s="86"/>
      <c r="BA218" s="86"/>
      <c r="BB218" s="83"/>
      <c r="BC218" s="83"/>
      <c r="BD218" s="83"/>
      <c r="BE218" s="83"/>
      <c r="BF218" s="83"/>
      <c r="BG218" s="83"/>
    </row>
    <row r="219" spans="1:59" x14ac:dyDescent="0.2">
      <c r="A219" s="86" t="s">
        <v>266</v>
      </c>
      <c r="B219" s="101">
        <v>37165</v>
      </c>
      <c r="C219" s="3">
        <v>1.2099651380000001</v>
      </c>
      <c r="E219" s="3">
        <v>-0.19061776899999999</v>
      </c>
      <c r="F219" s="3">
        <v>-6.6614244000000003E-2</v>
      </c>
      <c r="H219" s="3">
        <v>0.496594761</v>
      </c>
      <c r="I219" s="3">
        <v>-0.162669071</v>
      </c>
      <c r="J219" s="3">
        <v>0.89782627400000004</v>
      </c>
      <c r="K219" s="3">
        <v>0.93202408199999998</v>
      </c>
      <c r="M219" s="3">
        <v>0.63216993399999999</v>
      </c>
      <c r="N219" s="3">
        <v>0.27039061399999997</v>
      </c>
      <c r="O219" s="3">
        <v>0.77155682299999995</v>
      </c>
      <c r="P219" s="3">
        <v>1.621616296</v>
      </c>
      <c r="Q219" s="3">
        <v>0.88748461499999998</v>
      </c>
      <c r="R219" s="3">
        <v>-9.6956127000000003E-2</v>
      </c>
      <c r="S219" s="3">
        <v>-2.580921955</v>
      </c>
      <c r="T219" s="3">
        <v>-1.126977785</v>
      </c>
      <c r="U219" s="3">
        <v>-0.23302297499999999</v>
      </c>
      <c r="V219" s="3">
        <v>-1.0849405190000001</v>
      </c>
      <c r="W219" s="3">
        <v>1.3501936240000001</v>
      </c>
      <c r="X219" s="3">
        <v>1.5118878330000001</v>
      </c>
      <c r="Y219" s="3">
        <v>-3.012342286</v>
      </c>
      <c r="Z219" s="3">
        <v>2.6607235999999999E-2</v>
      </c>
      <c r="AA219" s="3">
        <v>0.17378780599999999</v>
      </c>
      <c r="AB219" s="3">
        <v>1.2309226959999999</v>
      </c>
      <c r="AC219" s="3">
        <v>-6.9192855999999997E-2</v>
      </c>
      <c r="AD219" s="3">
        <v>0.78293147200000002</v>
      </c>
      <c r="AE219" s="3">
        <v>0.14634139500000001</v>
      </c>
      <c r="AF219" s="3">
        <v>0.400798082</v>
      </c>
      <c r="AH219" s="3">
        <v>0.38142026400000001</v>
      </c>
      <c r="AI219" s="3">
        <v>0.77224283500000002</v>
      </c>
      <c r="AJ219" s="3">
        <v>-0.400349016</v>
      </c>
      <c r="AK219" s="3">
        <v>0.121111</v>
      </c>
      <c r="AN219" s="3">
        <v>-0.16049245300000001</v>
      </c>
      <c r="AO219" s="3">
        <v>1.2368600000000001</v>
      </c>
      <c r="AP219" s="3">
        <v>0.26560010499999998</v>
      </c>
      <c r="AS219" s="3">
        <v>1.2517857720000001</v>
      </c>
      <c r="AT219" s="3">
        <v>-0.502577363</v>
      </c>
      <c r="AU219" s="86">
        <v>-4.6458788760000003</v>
      </c>
      <c r="AV219" s="86"/>
      <c r="AW219" s="86"/>
      <c r="AX219" s="86"/>
      <c r="AY219" s="86"/>
      <c r="AZ219" s="86"/>
      <c r="BA219" s="86"/>
      <c r="BB219" s="83"/>
      <c r="BC219" s="83"/>
      <c r="BD219" s="83"/>
      <c r="BE219" s="83"/>
      <c r="BF219" s="83"/>
      <c r="BG219" s="83"/>
    </row>
    <row r="220" spans="1:59" x14ac:dyDescent="0.2">
      <c r="A220" s="86" t="s">
        <v>267</v>
      </c>
      <c r="B220" s="101">
        <v>37257</v>
      </c>
      <c r="C220" s="3">
        <v>1.1985214879999999</v>
      </c>
      <c r="E220" s="3">
        <v>-9.9694909999999998E-2</v>
      </c>
      <c r="F220" s="3">
        <v>0.60882924699999996</v>
      </c>
      <c r="H220" s="3">
        <v>0.60274464500000002</v>
      </c>
      <c r="I220" s="3">
        <v>-0.11638810300000001</v>
      </c>
      <c r="J220" s="3">
        <v>-0.197216541</v>
      </c>
      <c r="K220" s="3">
        <v>0.69190674799999996</v>
      </c>
      <c r="M220" s="3">
        <v>-0.28115184399999998</v>
      </c>
      <c r="N220" s="3">
        <v>2.2954477000000001E-2</v>
      </c>
      <c r="O220" s="3">
        <v>0.3921559</v>
      </c>
      <c r="P220" s="3">
        <v>0.26489864099999999</v>
      </c>
      <c r="Q220" s="3">
        <v>0.744487444</v>
      </c>
      <c r="R220" s="3">
        <v>1.0812138549999999</v>
      </c>
      <c r="S220" s="3">
        <v>6.3123880019999996</v>
      </c>
      <c r="T220" s="3">
        <v>-0.50657629800000004</v>
      </c>
      <c r="U220" s="3">
        <v>-0.100776782</v>
      </c>
      <c r="V220" s="3">
        <v>-0.345049412</v>
      </c>
      <c r="W220" s="3">
        <v>1.762585517</v>
      </c>
      <c r="X220" s="3">
        <v>2.2428941419999999</v>
      </c>
      <c r="Y220" s="3">
        <v>3.360613775</v>
      </c>
      <c r="Z220" s="3">
        <v>-0.45449707700000003</v>
      </c>
      <c r="AA220" s="3">
        <v>0.32251530099999998</v>
      </c>
      <c r="AB220" s="3">
        <v>0.86916602499999995</v>
      </c>
      <c r="AC220" s="3">
        <v>0.202020119</v>
      </c>
      <c r="AD220" s="3">
        <v>0.295687861</v>
      </c>
      <c r="AE220" s="3">
        <v>1.3990396789999999</v>
      </c>
      <c r="AF220" s="3">
        <v>2.1378533700000002</v>
      </c>
      <c r="AH220" s="3">
        <v>0.87227717400000004</v>
      </c>
      <c r="AI220" s="3">
        <v>1.4878486280000001</v>
      </c>
      <c r="AJ220" s="3">
        <v>0.27731435799999998</v>
      </c>
      <c r="AK220" s="3">
        <v>0.121508</v>
      </c>
      <c r="AN220" s="3">
        <v>-0.12725755999999999</v>
      </c>
      <c r="AO220" s="3">
        <v>2.2958799999999999</v>
      </c>
      <c r="AP220" s="3">
        <v>0.76884925199999998</v>
      </c>
      <c r="AS220" s="3">
        <v>-1.6828962709999999</v>
      </c>
      <c r="AT220" s="3">
        <v>-0.29587292700000001</v>
      </c>
      <c r="AU220" s="86">
        <v>-5.6948729309999999</v>
      </c>
      <c r="AV220" s="86"/>
      <c r="AW220" s="86"/>
      <c r="AX220" s="86"/>
      <c r="AY220" s="86"/>
      <c r="AZ220" s="86"/>
      <c r="BA220" s="86"/>
      <c r="BB220" s="83"/>
      <c r="BC220" s="83"/>
      <c r="BD220" s="83"/>
      <c r="BE220" s="83"/>
      <c r="BF220" s="83"/>
      <c r="BG220" s="83"/>
    </row>
    <row r="221" spans="1:59" x14ac:dyDescent="0.2">
      <c r="A221" s="86" t="s">
        <v>268</v>
      </c>
      <c r="B221" s="101">
        <v>37347</v>
      </c>
      <c r="C221" s="3">
        <v>0.755713466</v>
      </c>
      <c r="E221" s="3">
        <v>0.85967464599999999</v>
      </c>
      <c r="F221" s="3">
        <v>1.4842260460000001</v>
      </c>
      <c r="H221" s="3">
        <v>-0.12518095500000001</v>
      </c>
      <c r="I221" s="3">
        <v>-0.52435598400000005</v>
      </c>
      <c r="J221" s="3">
        <v>-3.3566445E-2</v>
      </c>
      <c r="K221" s="3">
        <v>0.42550417200000001</v>
      </c>
      <c r="M221" s="3">
        <v>0.65419943199999997</v>
      </c>
      <c r="N221" s="3">
        <v>0.37169140000000001</v>
      </c>
      <c r="O221" s="3">
        <v>0.39160243900000002</v>
      </c>
      <c r="P221" s="3">
        <v>0.81704766799999995</v>
      </c>
      <c r="Q221" s="3">
        <v>2.232696561</v>
      </c>
      <c r="R221" s="3">
        <v>2.8500485420000001</v>
      </c>
      <c r="S221" s="3">
        <v>-6.4248600319999998</v>
      </c>
      <c r="T221" s="3">
        <v>0.389669655</v>
      </c>
      <c r="U221" s="3">
        <v>1.9412464000000001E-2</v>
      </c>
      <c r="V221" s="3">
        <v>0.16727735699999999</v>
      </c>
      <c r="W221" s="3">
        <v>2.5444815919999999</v>
      </c>
      <c r="X221" s="3">
        <v>1.274632545</v>
      </c>
      <c r="Y221" s="3">
        <v>-8.9195390999999999E-2</v>
      </c>
      <c r="Z221" s="3">
        <v>-0.70616957300000005</v>
      </c>
      <c r="AA221" s="3">
        <v>-0.61017998900000003</v>
      </c>
      <c r="AB221" s="3">
        <v>-1.02792441</v>
      </c>
      <c r="AC221" s="3">
        <v>0.53797982300000002</v>
      </c>
      <c r="AD221" s="3">
        <v>0.21151945899999999</v>
      </c>
      <c r="AE221" s="3">
        <v>0.17780853799999999</v>
      </c>
      <c r="AF221" s="3">
        <v>0.33660548699999998</v>
      </c>
      <c r="AH221" s="3">
        <v>-0.139606599</v>
      </c>
      <c r="AI221" s="3">
        <v>0.89170639900000004</v>
      </c>
      <c r="AJ221" s="3">
        <v>0.82822721600000004</v>
      </c>
      <c r="AK221" s="3">
        <v>7.9439999999999997E-2</v>
      </c>
      <c r="AN221" s="3">
        <v>-7.7915927999999995E-2</v>
      </c>
      <c r="AO221" s="3">
        <v>0.80710000000000004</v>
      </c>
      <c r="AP221" s="3">
        <v>1.2976100770000001</v>
      </c>
      <c r="AS221" s="3">
        <v>3.7775825539999999</v>
      </c>
      <c r="AT221" s="3">
        <v>2.30671618</v>
      </c>
      <c r="AU221" s="86">
        <v>-4.9310185359999998</v>
      </c>
      <c r="AV221" s="86"/>
      <c r="AW221" s="86"/>
      <c r="AX221" s="86"/>
      <c r="AY221" s="86"/>
      <c r="AZ221" s="86"/>
      <c r="BA221" s="86"/>
      <c r="BB221" s="83"/>
      <c r="BC221" s="83"/>
      <c r="BD221" s="83"/>
      <c r="BE221" s="83"/>
      <c r="BF221" s="83"/>
      <c r="BG221" s="83"/>
    </row>
    <row r="222" spans="1:59" x14ac:dyDescent="0.2">
      <c r="A222" s="86" t="s">
        <v>269</v>
      </c>
      <c r="B222" s="101">
        <v>37438</v>
      </c>
      <c r="C222" s="3">
        <v>1.6729499699999999</v>
      </c>
      <c r="E222" s="3">
        <v>0.85592351499999997</v>
      </c>
      <c r="F222" s="3">
        <v>0.58937331199999998</v>
      </c>
      <c r="H222" s="3">
        <v>0.51301652200000003</v>
      </c>
      <c r="I222" s="3">
        <v>0.445116442</v>
      </c>
      <c r="J222" s="3">
        <v>-9.9201529999999993E-3</v>
      </c>
      <c r="K222" s="3">
        <v>0.81494336899999997</v>
      </c>
      <c r="M222" s="3">
        <v>0.98914565799999998</v>
      </c>
      <c r="N222" s="3">
        <v>0.46412239799999999</v>
      </c>
      <c r="O222" s="3">
        <v>0.48996915499999999</v>
      </c>
      <c r="P222" s="3">
        <v>2.238306787</v>
      </c>
      <c r="Q222" s="3">
        <v>0.59669396500000005</v>
      </c>
      <c r="R222" s="3">
        <v>0.463489292</v>
      </c>
      <c r="S222" s="3">
        <v>4.1657627450000003</v>
      </c>
      <c r="T222" s="3">
        <v>0.43979481199999998</v>
      </c>
      <c r="U222" s="3">
        <v>0.38952470700000003</v>
      </c>
      <c r="V222" s="3">
        <v>0.810131712</v>
      </c>
      <c r="W222" s="3">
        <v>1.8121354160000001</v>
      </c>
      <c r="X222" s="3">
        <v>1.728260079</v>
      </c>
      <c r="Y222" s="3">
        <v>4.5978973600000002</v>
      </c>
      <c r="Z222" s="3">
        <v>0.93424689599999999</v>
      </c>
      <c r="AA222" s="3">
        <v>0.34826357800000002</v>
      </c>
      <c r="AB222" s="3">
        <v>2.0776402150000002</v>
      </c>
      <c r="AC222" s="3">
        <v>0.79359273699999999</v>
      </c>
      <c r="AD222" s="3">
        <v>0.90442432800000006</v>
      </c>
      <c r="AE222" s="3">
        <v>-0.46398581300000002</v>
      </c>
      <c r="AF222" s="3">
        <v>1.0099913949999999</v>
      </c>
      <c r="AH222" s="3">
        <v>1.556559359</v>
      </c>
      <c r="AI222" s="3">
        <v>1.33182921</v>
      </c>
      <c r="AJ222" s="3">
        <v>0.61550245599999998</v>
      </c>
      <c r="AK222" s="3">
        <v>0.53998000000000002</v>
      </c>
      <c r="AN222" s="3">
        <v>0.19115046499999999</v>
      </c>
      <c r="AO222" s="3">
        <v>0.62375999999999998</v>
      </c>
      <c r="AP222" s="3">
        <v>1.210937567</v>
      </c>
      <c r="AS222" s="3">
        <v>4.3164154459999997</v>
      </c>
      <c r="AT222" s="3">
        <v>0.57459292900000003</v>
      </c>
      <c r="AU222" s="86">
        <v>0.42398614800000001</v>
      </c>
      <c r="AV222" s="86"/>
      <c r="AW222" s="86"/>
      <c r="AX222" s="86"/>
      <c r="AY222" s="86"/>
      <c r="AZ222" s="86"/>
      <c r="BA222" s="86"/>
      <c r="BB222" s="83"/>
      <c r="BC222" s="83"/>
      <c r="BD222" s="83"/>
      <c r="BE222" s="83"/>
      <c r="BF222" s="83"/>
      <c r="BG222" s="83"/>
    </row>
    <row r="223" spans="1:59" x14ac:dyDescent="0.2">
      <c r="A223" s="86" t="s">
        <v>270</v>
      </c>
      <c r="B223" s="101">
        <v>37530</v>
      </c>
      <c r="C223" s="3">
        <v>0.34942162500000001</v>
      </c>
      <c r="E223" s="3">
        <v>0.53543567700000005</v>
      </c>
      <c r="F223" s="3">
        <v>0.86544944000000001</v>
      </c>
      <c r="H223" s="3">
        <v>0.52188020099999999</v>
      </c>
      <c r="I223" s="3">
        <v>0.48979764199999998</v>
      </c>
      <c r="J223" s="3">
        <v>0.34005229199999998</v>
      </c>
      <c r="K223" s="3">
        <v>0.61646246699999996</v>
      </c>
      <c r="M223" s="3">
        <v>-0.23402964400000001</v>
      </c>
      <c r="N223" s="3">
        <v>0.41752454500000002</v>
      </c>
      <c r="O223" s="3">
        <v>0.66481591500000004</v>
      </c>
      <c r="P223" s="3">
        <v>0.57704490600000002</v>
      </c>
      <c r="Q223" s="3">
        <v>0.94556830300000005</v>
      </c>
      <c r="R223" s="3">
        <v>2.6920250399999999</v>
      </c>
      <c r="S223" s="3">
        <v>-0.99177342400000001</v>
      </c>
      <c r="T223" s="3">
        <v>5.0339631000000003E-2</v>
      </c>
      <c r="U223" s="3">
        <v>0.22310115599999999</v>
      </c>
      <c r="V223" s="3">
        <v>0.32111837199999999</v>
      </c>
      <c r="W223" s="3">
        <v>2.0218129560000002</v>
      </c>
      <c r="X223" s="3">
        <v>-1.297104617</v>
      </c>
      <c r="Y223" s="3">
        <v>0.62731261599999999</v>
      </c>
      <c r="Z223" s="3">
        <v>0.68870581500000005</v>
      </c>
      <c r="AA223" s="3">
        <v>0.15526388299999999</v>
      </c>
      <c r="AB223" s="3">
        <v>-1.48401286</v>
      </c>
      <c r="AC223" s="3">
        <v>0.51152526300000001</v>
      </c>
      <c r="AD223" s="3">
        <v>1.2326704930000001</v>
      </c>
      <c r="AE223" s="3">
        <v>-0.45360012799999999</v>
      </c>
      <c r="AF223" s="3">
        <v>2.222608878</v>
      </c>
      <c r="AH223" s="3">
        <v>0.56942837499999999</v>
      </c>
      <c r="AI223" s="3">
        <v>1.130110183</v>
      </c>
      <c r="AJ223" s="3">
        <v>0.40352870400000002</v>
      </c>
      <c r="AK223" s="3">
        <v>0.42774600000000002</v>
      </c>
      <c r="AN223" s="3">
        <v>0.247882723</v>
      </c>
      <c r="AO223" s="3">
        <v>0.59355999999999998</v>
      </c>
      <c r="AP223" s="3">
        <v>0.82025836699999999</v>
      </c>
      <c r="AS223" s="3">
        <v>1.366468032</v>
      </c>
      <c r="AT223" s="3">
        <v>1.218307542</v>
      </c>
      <c r="AU223" s="86">
        <v>7.4497308999999998E-2</v>
      </c>
      <c r="AV223" s="86"/>
      <c r="AW223" s="86"/>
      <c r="AX223" s="86"/>
      <c r="AY223" s="86"/>
      <c r="AZ223" s="86"/>
      <c r="BA223" s="86"/>
      <c r="BB223" s="83"/>
      <c r="BC223" s="83"/>
      <c r="BD223" s="83"/>
      <c r="BE223" s="83"/>
      <c r="BF223" s="83"/>
      <c r="BG223" s="83"/>
    </row>
    <row r="224" spans="1:59" x14ac:dyDescent="0.2">
      <c r="A224" s="86" t="s">
        <v>271</v>
      </c>
      <c r="B224" s="101">
        <v>37622</v>
      </c>
      <c r="C224" s="3">
        <v>0.73481242400000002</v>
      </c>
      <c r="E224" s="3">
        <v>0.37386693599999998</v>
      </c>
      <c r="F224" s="3">
        <v>0.54862090500000005</v>
      </c>
      <c r="H224" s="3">
        <v>0.75339327899999997</v>
      </c>
      <c r="I224" s="3">
        <v>-0.13925285900000001</v>
      </c>
      <c r="J224" s="3">
        <v>-0.330022229</v>
      </c>
      <c r="K224" s="3">
        <v>0.76073692900000001</v>
      </c>
      <c r="M224" s="3">
        <v>1.138140747</v>
      </c>
      <c r="N224" s="3">
        <v>-5.0199634E-2</v>
      </c>
      <c r="O224" s="3">
        <v>0.78952375699999999</v>
      </c>
      <c r="P224" s="3">
        <v>0.77102046599999996</v>
      </c>
      <c r="Q224" s="3">
        <v>1.1901005899999999</v>
      </c>
      <c r="R224" s="3">
        <v>0.41720457300000002</v>
      </c>
      <c r="S224" s="3">
        <v>2.1044309120000002</v>
      </c>
      <c r="T224" s="3">
        <v>-0.169399613</v>
      </c>
      <c r="U224" s="3">
        <v>0.383239677</v>
      </c>
      <c r="V224" s="3">
        <v>0.273317221</v>
      </c>
      <c r="W224" s="3">
        <v>1.0973539919999999</v>
      </c>
      <c r="X224" s="3">
        <v>-0.15521395499999999</v>
      </c>
      <c r="Y224" s="3">
        <v>3.8780073449999999</v>
      </c>
      <c r="Z224" s="3">
        <v>0.31728298900000002</v>
      </c>
      <c r="AA224" s="3">
        <v>0.14965119700000001</v>
      </c>
      <c r="AB224" s="3">
        <v>1.1291931529999999</v>
      </c>
      <c r="AC224" s="3">
        <v>0.32012350000000001</v>
      </c>
      <c r="AD224" s="3">
        <v>9.4289651000000002E-2</v>
      </c>
      <c r="AE224" s="3">
        <v>-0.74644120800000002</v>
      </c>
      <c r="AF224" s="3">
        <v>0.68530194200000005</v>
      </c>
      <c r="AH224" s="3">
        <v>0.19023562199999999</v>
      </c>
      <c r="AI224" s="3">
        <v>1.343189527</v>
      </c>
      <c r="AJ224" s="3">
        <v>0.13065576700000001</v>
      </c>
      <c r="AK224" s="3">
        <v>0.14651</v>
      </c>
      <c r="AN224" s="3">
        <v>-0.46016599800000002</v>
      </c>
      <c r="AO224" s="3">
        <v>7.8240000000000004E-2</v>
      </c>
      <c r="AP224" s="3">
        <v>0.66806358899999996</v>
      </c>
      <c r="AS224" s="3">
        <v>2.13363529</v>
      </c>
      <c r="AT224" s="3">
        <v>1.0120638479999999</v>
      </c>
      <c r="AU224" s="86">
        <v>1.019056942</v>
      </c>
      <c r="AV224" s="86"/>
      <c r="AW224" s="86"/>
      <c r="AX224" s="86"/>
      <c r="AY224" s="86"/>
      <c r="AZ224" s="86"/>
      <c r="BA224" s="86"/>
      <c r="BB224" s="83"/>
      <c r="BC224" s="83"/>
      <c r="BD224" s="83"/>
      <c r="BE224" s="83"/>
      <c r="BF224" s="83"/>
      <c r="BG224" s="83"/>
    </row>
    <row r="225" spans="1:59" x14ac:dyDescent="0.2">
      <c r="A225" s="86" t="s">
        <v>272</v>
      </c>
      <c r="B225" s="101">
        <v>37712</v>
      </c>
      <c r="C225" s="3">
        <v>9.9310592000000003E-2</v>
      </c>
      <c r="E225" s="3">
        <v>-0.26354319199999998</v>
      </c>
      <c r="F225" s="3">
        <v>0.55332523499999997</v>
      </c>
      <c r="H225" s="3">
        <v>1.0777540880000001</v>
      </c>
      <c r="I225" s="3">
        <v>-1.4903972080000001</v>
      </c>
      <c r="J225" s="3">
        <v>0.53590578200000005</v>
      </c>
      <c r="K225" s="3">
        <v>0.93072099100000005</v>
      </c>
      <c r="M225" s="3">
        <v>-0.70655442000000002</v>
      </c>
      <c r="N225" s="3">
        <v>0.19687292100000001</v>
      </c>
      <c r="O225" s="3">
        <v>0.74438722499999999</v>
      </c>
      <c r="P225" s="3">
        <v>2.0819525830000001</v>
      </c>
      <c r="Q225" s="3">
        <v>0.76491156000000005</v>
      </c>
      <c r="R225" s="3">
        <v>-0.42042289500000002</v>
      </c>
      <c r="S225" s="3">
        <v>1.177886743</v>
      </c>
      <c r="T225" s="3">
        <v>1.2138590359999999</v>
      </c>
      <c r="U225" s="3">
        <v>-0.406413358</v>
      </c>
      <c r="V225" s="3">
        <v>5.9527741000000002E-2</v>
      </c>
      <c r="W225" s="3">
        <v>-0.65915983499999997</v>
      </c>
      <c r="X225" s="3">
        <v>-0.95910825099999997</v>
      </c>
      <c r="Y225" s="3">
        <v>0.84727154500000001</v>
      </c>
      <c r="Z225" s="3">
        <v>0.18683023700000001</v>
      </c>
      <c r="AA225" s="3">
        <v>1.7344153000000001E-2</v>
      </c>
      <c r="AB225" s="3">
        <v>2.3904187E-2</v>
      </c>
      <c r="AC225" s="3">
        <v>0.20372653299999999</v>
      </c>
      <c r="AD225" s="3">
        <v>0.34951182600000003</v>
      </c>
      <c r="AE225" s="3">
        <v>0.105061371</v>
      </c>
      <c r="AF225" s="3">
        <v>1.769383428</v>
      </c>
      <c r="AH225" s="3">
        <v>1.153178093</v>
      </c>
      <c r="AI225" s="3">
        <v>0.578324685</v>
      </c>
      <c r="AJ225" s="3">
        <v>0.51672318699999997</v>
      </c>
      <c r="AK225" s="3">
        <v>-0.313554</v>
      </c>
      <c r="AN225" s="3">
        <v>-0.76562759599999997</v>
      </c>
      <c r="AO225" s="3">
        <v>2.25109</v>
      </c>
      <c r="AP225" s="3">
        <v>0.92537758800000003</v>
      </c>
      <c r="AS225" s="3">
        <v>8.3600699000000001E-2</v>
      </c>
      <c r="AT225" s="3">
        <v>-0.40775379899999997</v>
      </c>
      <c r="AU225" s="86">
        <v>3.695017177</v>
      </c>
      <c r="AV225" s="86"/>
      <c r="AW225" s="86"/>
      <c r="AX225" s="86"/>
      <c r="AY225" s="86"/>
      <c r="AZ225" s="86"/>
      <c r="BA225" s="86"/>
      <c r="BB225" s="83"/>
      <c r="BC225" s="83"/>
      <c r="BD225" s="83"/>
      <c r="BE225" s="83"/>
      <c r="BF225" s="83"/>
      <c r="BG225" s="83"/>
    </row>
    <row r="226" spans="1:59" x14ac:dyDescent="0.2">
      <c r="A226" s="86" t="s">
        <v>273</v>
      </c>
      <c r="B226" s="101">
        <v>37803</v>
      </c>
      <c r="C226" s="3">
        <v>0.33508074599999998</v>
      </c>
      <c r="E226" s="3">
        <v>0.21374045799999999</v>
      </c>
      <c r="F226" s="3">
        <v>-0.14746372799999999</v>
      </c>
      <c r="H226" s="3">
        <v>1.0416591289999999</v>
      </c>
      <c r="I226" s="3">
        <v>0.117964262</v>
      </c>
      <c r="J226" s="3">
        <v>-0.93001758300000004</v>
      </c>
      <c r="K226" s="3">
        <v>0.52106276699999998</v>
      </c>
      <c r="M226" s="3">
        <v>1.4383043150000001</v>
      </c>
      <c r="N226" s="3">
        <v>-0.211502791</v>
      </c>
      <c r="O226" s="3">
        <v>0.91275677200000005</v>
      </c>
      <c r="P226" s="3">
        <v>1.771173645</v>
      </c>
      <c r="Q226" s="3">
        <v>1.064089641</v>
      </c>
      <c r="R226" s="3">
        <v>0.27184008500000001</v>
      </c>
      <c r="S226" s="3">
        <v>-2.6017932899999998</v>
      </c>
      <c r="T226" s="3">
        <v>-0.37122176200000001</v>
      </c>
      <c r="U226" s="3">
        <v>-6.9382339000000001E-2</v>
      </c>
      <c r="V226" s="3">
        <v>0.68803634300000005</v>
      </c>
      <c r="W226" s="3">
        <v>-0.154146863</v>
      </c>
      <c r="X226" s="3">
        <v>2.6934296830000002</v>
      </c>
      <c r="Y226" s="3">
        <v>2.5969013250000001</v>
      </c>
      <c r="Z226" s="3">
        <v>0.26311912399999998</v>
      </c>
      <c r="AA226" s="3">
        <v>-0.34532982099999998</v>
      </c>
      <c r="AB226" s="3">
        <v>-0.47624189300000003</v>
      </c>
      <c r="AC226" s="3">
        <v>0.52942233900000002</v>
      </c>
      <c r="AD226" s="3">
        <v>2.0967551950000001</v>
      </c>
      <c r="AE226" s="3">
        <v>-0.88876152200000003</v>
      </c>
      <c r="AF226" s="3">
        <v>1.5038219500000001</v>
      </c>
      <c r="AH226" s="3">
        <v>-0.54846799899999998</v>
      </c>
      <c r="AI226" s="3">
        <v>0.42312951700000001</v>
      </c>
      <c r="AJ226" s="3">
        <v>0.89337780099999997</v>
      </c>
      <c r="AK226" s="3">
        <v>9.7310999999999995E-2</v>
      </c>
      <c r="AN226" s="3">
        <v>7.9054218999999995E-2</v>
      </c>
      <c r="AO226" s="3">
        <v>2.5331999999999999</v>
      </c>
      <c r="AP226" s="3">
        <v>0.48835772100000002</v>
      </c>
      <c r="AQ226" s="3">
        <v>1.1154365420000001</v>
      </c>
      <c r="AS226" s="3">
        <v>0.336326982</v>
      </c>
      <c r="AT226" s="3">
        <v>-0.87958070700000002</v>
      </c>
      <c r="AU226" s="86">
        <v>3.1643250489999999</v>
      </c>
      <c r="AV226" s="86"/>
      <c r="AW226" s="86"/>
      <c r="AX226" s="86"/>
      <c r="AY226" s="86"/>
      <c r="AZ226" s="86"/>
      <c r="BA226" s="86"/>
      <c r="BB226" s="83"/>
      <c r="BC226" s="83"/>
      <c r="BD226" s="83"/>
      <c r="BE226" s="83"/>
      <c r="BF226" s="83"/>
      <c r="BG226" s="83"/>
    </row>
    <row r="227" spans="1:59" x14ac:dyDescent="0.2">
      <c r="A227" s="86" t="s">
        <v>274</v>
      </c>
      <c r="B227" s="101">
        <v>37895</v>
      </c>
      <c r="C227" s="3">
        <v>1.686075998</v>
      </c>
      <c r="E227" s="3">
        <v>0.40899076499999998</v>
      </c>
      <c r="F227" s="3">
        <v>0.373654347</v>
      </c>
      <c r="H227" s="3">
        <v>0.92743451600000004</v>
      </c>
      <c r="I227" s="3">
        <v>0.76587593499999995</v>
      </c>
      <c r="J227" s="3">
        <v>0.34346635599999997</v>
      </c>
      <c r="K227" s="3">
        <v>0.65942963499999996</v>
      </c>
      <c r="M227" s="3">
        <v>1.1961620470000001</v>
      </c>
      <c r="N227" s="3">
        <v>0.67124904900000004</v>
      </c>
      <c r="O227" s="3">
        <v>1.139088165</v>
      </c>
      <c r="P227" s="3">
        <v>0.62731859400000001</v>
      </c>
      <c r="Q227" s="3">
        <v>1.2190048899999999</v>
      </c>
      <c r="R227" s="3">
        <v>1.652961809</v>
      </c>
      <c r="S227" s="3">
        <v>3.4536046000000001E-2</v>
      </c>
      <c r="T227" s="3">
        <v>0.79768573799999998</v>
      </c>
      <c r="U227" s="3">
        <v>-5.6133803000000003E-2</v>
      </c>
      <c r="V227" s="3">
        <v>0.30286051000000003</v>
      </c>
      <c r="W227" s="3">
        <v>1.9326695089999999</v>
      </c>
      <c r="X227" s="3">
        <v>0.412566567</v>
      </c>
      <c r="Y227" s="3">
        <v>1.9739060289999999</v>
      </c>
      <c r="Z227" s="3">
        <v>1.705142E-3</v>
      </c>
      <c r="AA227" s="3">
        <v>8.8712713999999998E-2</v>
      </c>
      <c r="AB227" s="3">
        <v>1.405040091</v>
      </c>
      <c r="AC227" s="3">
        <v>1.060992524</v>
      </c>
      <c r="AD227" s="3">
        <v>1.113605548</v>
      </c>
      <c r="AE227" s="3">
        <v>0.88737015500000005</v>
      </c>
      <c r="AF227" s="3">
        <v>0.41559890900000002</v>
      </c>
      <c r="AH227" s="3">
        <v>1.411343462</v>
      </c>
      <c r="AI227" s="3">
        <v>2.121113496</v>
      </c>
      <c r="AJ227" s="3">
        <v>1.6668962700000001</v>
      </c>
      <c r="AK227" s="3">
        <v>0.55084599999999995</v>
      </c>
      <c r="AN227" s="3">
        <v>1.002901566</v>
      </c>
      <c r="AO227" s="3">
        <v>2.6321099999999999</v>
      </c>
      <c r="AP227" s="3">
        <v>0.54265429200000004</v>
      </c>
      <c r="AQ227" s="3">
        <v>1.6881671840000001</v>
      </c>
      <c r="AS227" s="3">
        <v>2.8512124029999999</v>
      </c>
      <c r="AT227" s="3">
        <v>0.94319987299999997</v>
      </c>
      <c r="AU227" s="86">
        <v>2.4436381310000002</v>
      </c>
      <c r="AV227" s="86"/>
      <c r="AW227" s="86"/>
      <c r="AX227" s="86"/>
      <c r="AY227" s="86"/>
      <c r="AZ227" s="86"/>
      <c r="BA227" s="86"/>
      <c r="BB227" s="83"/>
      <c r="BC227" s="83"/>
      <c r="BD227" s="83"/>
      <c r="BE227" s="83"/>
      <c r="BF227" s="83"/>
      <c r="BG227" s="83"/>
    </row>
    <row r="228" spans="1:59" x14ac:dyDescent="0.2">
      <c r="A228" s="86" t="s">
        <v>275</v>
      </c>
      <c r="B228" s="101">
        <v>37987</v>
      </c>
      <c r="C228" s="3">
        <v>1.662196709</v>
      </c>
      <c r="E228" s="3">
        <v>0.69560345899999998</v>
      </c>
      <c r="F228" s="3">
        <v>0.68995918099999998</v>
      </c>
      <c r="H228" s="3">
        <v>1.0113947480000001</v>
      </c>
      <c r="I228" s="3">
        <v>0.26894256</v>
      </c>
      <c r="J228" s="3">
        <v>1.8629828100000001</v>
      </c>
      <c r="K228" s="3">
        <v>0.86449595899999998</v>
      </c>
      <c r="M228" s="3">
        <v>0.18330840100000001</v>
      </c>
      <c r="N228" s="3">
        <v>0.72235532899999999</v>
      </c>
      <c r="O228" s="3">
        <v>0.93033741299999995</v>
      </c>
      <c r="P228" s="3">
        <v>2.1371795480000002</v>
      </c>
      <c r="Q228" s="3">
        <v>1.0153141000000001</v>
      </c>
      <c r="R228" s="3">
        <v>4.5625712729999996</v>
      </c>
      <c r="S228" s="3">
        <v>3.384300439</v>
      </c>
      <c r="T228" s="3">
        <v>0.35277102700000001</v>
      </c>
      <c r="U228" s="3">
        <v>0.86316747900000002</v>
      </c>
      <c r="V228" s="3">
        <v>1.082235485</v>
      </c>
      <c r="W228" s="3">
        <v>2.6394795860000002</v>
      </c>
      <c r="X228" s="3">
        <v>2.9734828310000001</v>
      </c>
      <c r="Y228" s="3">
        <v>1.109101806</v>
      </c>
      <c r="Z228" s="3">
        <v>1.0468015770000001</v>
      </c>
      <c r="AA228" s="3">
        <v>0.53539578399999999</v>
      </c>
      <c r="AB228" s="3">
        <v>3.1953895000000003E-2</v>
      </c>
      <c r="AC228" s="3">
        <v>1.068173198</v>
      </c>
      <c r="AD228" s="3">
        <v>0.28005457299999997</v>
      </c>
      <c r="AE228" s="3">
        <v>0.37779749600000001</v>
      </c>
      <c r="AF228" s="3">
        <v>1.670976813</v>
      </c>
      <c r="AH228" s="3">
        <v>0.65846204699999999</v>
      </c>
      <c r="AI228" s="3">
        <v>1.2772020749999999</v>
      </c>
      <c r="AJ228" s="3">
        <v>1.154045728</v>
      </c>
      <c r="AK228" s="3">
        <v>0.70654399999999995</v>
      </c>
      <c r="AN228" s="3">
        <v>1.2091690939999999</v>
      </c>
      <c r="AO228" s="3">
        <v>3.28321</v>
      </c>
      <c r="AP228" s="3">
        <v>0.57686703800000005</v>
      </c>
      <c r="AQ228" s="3">
        <v>1.8238187690000001</v>
      </c>
      <c r="AS228" s="3">
        <v>3.0230130769999999</v>
      </c>
      <c r="AT228" s="3">
        <v>1.036908103</v>
      </c>
      <c r="AU228" s="86">
        <v>1.8764988899999999</v>
      </c>
      <c r="AV228" s="86"/>
      <c r="AW228" s="86"/>
      <c r="AX228" s="86"/>
      <c r="AY228" s="86"/>
      <c r="AZ228" s="86"/>
      <c r="BA228" s="86"/>
      <c r="BB228" s="83"/>
      <c r="BC228" s="83"/>
      <c r="BD228" s="83"/>
      <c r="BE228" s="83"/>
      <c r="BF228" s="83"/>
      <c r="BG228" s="83"/>
    </row>
    <row r="229" spans="1:59" x14ac:dyDescent="0.2">
      <c r="A229" s="86" t="s">
        <v>276</v>
      </c>
      <c r="B229" s="101">
        <v>38078</v>
      </c>
      <c r="C229" s="3">
        <v>0.82445216499999996</v>
      </c>
      <c r="E229" s="3">
        <v>1.498661289</v>
      </c>
      <c r="F229" s="3">
        <v>0.72026758700000004</v>
      </c>
      <c r="H229" s="3">
        <v>0.973754181</v>
      </c>
      <c r="I229" s="3">
        <v>-0.17199453100000001</v>
      </c>
      <c r="J229" s="3">
        <v>0.48161750199999998</v>
      </c>
      <c r="K229" s="3">
        <v>0.60304358199999997</v>
      </c>
      <c r="M229" s="3">
        <v>1.276604694</v>
      </c>
      <c r="N229" s="3">
        <v>0.93059228100000002</v>
      </c>
      <c r="O229" s="3">
        <v>0.351158362</v>
      </c>
      <c r="P229" s="3">
        <v>1.8285645370000001</v>
      </c>
      <c r="Q229" s="3">
        <v>1.5198013159999999</v>
      </c>
      <c r="R229" s="3">
        <v>-7.1763377000000003E-2</v>
      </c>
      <c r="S229" s="3">
        <v>3.546260695</v>
      </c>
      <c r="T229" s="3">
        <v>2.500824744</v>
      </c>
      <c r="U229" s="3">
        <v>0.36107339300000002</v>
      </c>
      <c r="V229" s="3">
        <v>0.74175270299999996</v>
      </c>
      <c r="W229" s="3">
        <v>1.254800591</v>
      </c>
      <c r="X229" s="3">
        <v>-0.85148529399999995</v>
      </c>
      <c r="Y229" s="3">
        <v>3.8168986409999999</v>
      </c>
      <c r="Z229" s="3">
        <v>1.370845125</v>
      </c>
      <c r="AA229" s="3">
        <v>0.90523695299999996</v>
      </c>
      <c r="AB229" s="3">
        <v>3.5427546300000001</v>
      </c>
      <c r="AC229" s="3">
        <v>0.775955438</v>
      </c>
      <c r="AD229" s="3">
        <v>2.987164462</v>
      </c>
      <c r="AE229" s="3">
        <v>0.90289461599999998</v>
      </c>
      <c r="AF229" s="3">
        <v>1.2962439720000001</v>
      </c>
      <c r="AH229" s="3">
        <v>1.7851125379999999</v>
      </c>
      <c r="AI229" s="3">
        <v>1.713327668</v>
      </c>
      <c r="AJ229" s="3">
        <v>0.572916486</v>
      </c>
      <c r="AK229" s="3">
        <v>0.53049900000000005</v>
      </c>
      <c r="AN229" s="3">
        <v>0.55619308199999995</v>
      </c>
      <c r="AO229" s="3">
        <v>0.36448999999999998</v>
      </c>
      <c r="AP229" s="3">
        <v>1.513897692</v>
      </c>
      <c r="AQ229" s="3">
        <v>1.8786669309999999</v>
      </c>
      <c r="AS229" s="3">
        <v>2.7542829950000001</v>
      </c>
      <c r="AT229" s="3">
        <v>1.4201238599999999</v>
      </c>
      <c r="AU229" s="86">
        <v>3.2745832930000001</v>
      </c>
      <c r="AV229" s="86"/>
      <c r="AW229" s="86"/>
      <c r="AX229" s="86"/>
      <c r="AY229" s="86"/>
      <c r="AZ229" s="86"/>
      <c r="BA229" s="86"/>
      <c r="BB229" s="83"/>
      <c r="BC229" s="83"/>
      <c r="BD229" s="83"/>
      <c r="BE229" s="83"/>
      <c r="BF229" s="83"/>
      <c r="BG229" s="83"/>
    </row>
    <row r="230" spans="1:59" x14ac:dyDescent="0.2">
      <c r="A230" s="86" t="s">
        <v>277</v>
      </c>
      <c r="B230" s="101">
        <v>38169</v>
      </c>
      <c r="C230" s="3">
        <v>0.67051039599999995</v>
      </c>
      <c r="E230" s="3">
        <v>0.96151650099999997</v>
      </c>
      <c r="F230" s="3">
        <v>1.1878190150000001</v>
      </c>
      <c r="H230" s="3">
        <v>1.1687850900000001</v>
      </c>
      <c r="I230" s="3">
        <v>0.50232971599999998</v>
      </c>
      <c r="J230" s="3">
        <v>0.59538165200000004</v>
      </c>
      <c r="K230" s="3">
        <v>0.97698308</v>
      </c>
      <c r="M230" s="3">
        <v>0.85972380900000001</v>
      </c>
      <c r="N230" s="3">
        <v>0.65485226500000004</v>
      </c>
      <c r="O230" s="3">
        <v>0.36805705300000002</v>
      </c>
      <c r="P230" s="3">
        <v>-1.8592187999999999E-2</v>
      </c>
      <c r="Q230" s="3">
        <v>1.04507298</v>
      </c>
      <c r="R230" s="3">
        <v>2.0061647159999998</v>
      </c>
      <c r="S230" s="3">
        <v>-0.63823813200000001</v>
      </c>
      <c r="T230" s="3">
        <v>0.844120286</v>
      </c>
      <c r="U230" s="3">
        <v>0.28690599900000002</v>
      </c>
      <c r="V230" s="3">
        <v>7.1163329999999999E-3</v>
      </c>
      <c r="W230" s="3">
        <v>0.76349936900000004</v>
      </c>
      <c r="X230" s="3">
        <v>0.47911124599999999</v>
      </c>
      <c r="Y230" s="3">
        <v>1.2811963040000001</v>
      </c>
      <c r="Z230" s="3">
        <v>1.5826676129999999</v>
      </c>
      <c r="AA230" s="3">
        <v>0.47679610300000003</v>
      </c>
      <c r="AB230" s="3">
        <v>0.20590102699999999</v>
      </c>
      <c r="AC230" s="3">
        <v>0.684721833</v>
      </c>
      <c r="AD230" s="3">
        <v>0.80936053900000005</v>
      </c>
      <c r="AE230" s="3">
        <v>0.57209478999999996</v>
      </c>
      <c r="AF230" s="3">
        <v>0.68053163999999999</v>
      </c>
      <c r="AH230" s="3">
        <v>0.45779946700000002</v>
      </c>
      <c r="AI230" s="3">
        <v>0.87519769800000002</v>
      </c>
      <c r="AJ230" s="3">
        <v>0.77873875800000003</v>
      </c>
      <c r="AK230" s="3">
        <v>0.59959700000000005</v>
      </c>
      <c r="AN230" s="3">
        <v>0.74121019399999999</v>
      </c>
      <c r="AO230" s="3">
        <v>2.3781699999999999</v>
      </c>
      <c r="AP230" s="3">
        <v>1.3974109189999999</v>
      </c>
      <c r="AQ230" s="3">
        <v>1.9271840410000001</v>
      </c>
      <c r="AS230" s="3">
        <v>2.328300885</v>
      </c>
      <c r="AT230" s="3">
        <v>2.7344208210000001</v>
      </c>
      <c r="AU230" s="86">
        <v>-1.144049651</v>
      </c>
      <c r="AV230" s="86"/>
      <c r="AW230" s="86"/>
      <c r="AX230" s="86"/>
      <c r="AY230" s="86"/>
      <c r="AZ230" s="86"/>
      <c r="BA230" s="86"/>
      <c r="BB230" s="83"/>
      <c r="BC230" s="83"/>
      <c r="BD230" s="83"/>
      <c r="BE230" s="83"/>
      <c r="BF230" s="83"/>
      <c r="BG230" s="83"/>
    </row>
    <row r="231" spans="1:59" x14ac:dyDescent="0.2">
      <c r="A231" s="86" t="s">
        <v>278</v>
      </c>
      <c r="B231" s="101">
        <v>38261</v>
      </c>
      <c r="C231" s="3">
        <v>0.75663384600000005</v>
      </c>
      <c r="E231" s="3">
        <v>0.87205356700000003</v>
      </c>
      <c r="F231" s="3">
        <v>1.1804355769999999</v>
      </c>
      <c r="H231" s="3">
        <v>1.570060767</v>
      </c>
      <c r="I231" s="3">
        <v>-0.18597518800000001</v>
      </c>
      <c r="J231" s="3">
        <v>0.235625688</v>
      </c>
      <c r="K231" s="3">
        <v>0.94041857500000003</v>
      </c>
      <c r="M231" s="3">
        <v>1.085054253</v>
      </c>
      <c r="N231" s="3">
        <v>0.25863186399999999</v>
      </c>
      <c r="O231" s="3">
        <v>0.179467131</v>
      </c>
      <c r="P231" s="3">
        <v>1.334459386</v>
      </c>
      <c r="Q231" s="3">
        <v>1.1462548050000001</v>
      </c>
      <c r="R231" s="3">
        <v>0.29225087100000002</v>
      </c>
      <c r="S231" s="3">
        <v>4.7524337230000002</v>
      </c>
      <c r="T231" s="3">
        <v>1.2010403650000001</v>
      </c>
      <c r="U231" s="3">
        <v>-1.8031360999999999E-2</v>
      </c>
      <c r="V231" s="3">
        <v>0.619615044</v>
      </c>
      <c r="W231" s="3">
        <v>0.40558612900000002</v>
      </c>
      <c r="X231" s="3">
        <v>1.3449069570000001</v>
      </c>
      <c r="Y231" s="3">
        <v>0.43822314200000001</v>
      </c>
      <c r="Z231" s="3">
        <v>-0.12623029899999999</v>
      </c>
      <c r="AA231" s="3">
        <v>0.14938823900000001</v>
      </c>
      <c r="AB231" s="3">
        <v>-1.154662356</v>
      </c>
      <c r="AC231" s="3">
        <v>0.60648932099999997</v>
      </c>
      <c r="AD231" s="3">
        <v>-0.50367010899999998</v>
      </c>
      <c r="AE231" s="3">
        <v>3.9396611999999998E-2</v>
      </c>
      <c r="AF231" s="3">
        <v>2.2965925789999999</v>
      </c>
      <c r="AH231" s="3">
        <v>0.75681135600000005</v>
      </c>
      <c r="AI231" s="3">
        <v>0.28897252299999998</v>
      </c>
      <c r="AJ231" s="3">
        <v>0.94124722500000002</v>
      </c>
      <c r="AK231" s="3">
        <v>0.25078400000000001</v>
      </c>
      <c r="AN231" s="3">
        <v>4.6845380999999998E-2</v>
      </c>
      <c r="AO231" s="3">
        <v>2.39764</v>
      </c>
      <c r="AP231" s="3">
        <v>1.6351315710000001</v>
      </c>
      <c r="AQ231" s="3">
        <v>1.514535194</v>
      </c>
      <c r="AS231" s="3">
        <v>1.1277305360000001</v>
      </c>
      <c r="AT231" s="3">
        <v>1.2453975660000001</v>
      </c>
      <c r="AU231" s="86">
        <v>4.9805616769999999</v>
      </c>
      <c r="AV231" s="86"/>
      <c r="AW231" s="86"/>
      <c r="AX231" s="86"/>
      <c r="AY231" s="86"/>
      <c r="AZ231" s="86"/>
      <c r="BA231" s="86"/>
      <c r="BB231" s="83"/>
      <c r="BC231" s="83"/>
      <c r="BD231" s="83"/>
      <c r="BE231" s="83"/>
      <c r="BF231" s="83"/>
      <c r="BG231" s="83"/>
    </row>
    <row r="232" spans="1:59" x14ac:dyDescent="0.2">
      <c r="A232" s="86" t="s">
        <v>279</v>
      </c>
      <c r="B232" s="101">
        <v>38353</v>
      </c>
      <c r="C232" s="3">
        <v>0.77176975999999997</v>
      </c>
      <c r="E232" s="3">
        <v>0.356570198</v>
      </c>
      <c r="F232" s="3">
        <v>0.71842654399999994</v>
      </c>
      <c r="H232" s="3">
        <v>1.786929327</v>
      </c>
      <c r="I232" s="3">
        <v>-0.104814134</v>
      </c>
      <c r="J232" s="3">
        <v>1.0808733800000001</v>
      </c>
      <c r="K232" s="3">
        <v>0.68431095900000005</v>
      </c>
      <c r="M232" s="3">
        <v>1.5052142740000001</v>
      </c>
      <c r="N232" s="3">
        <v>0.74475246100000003</v>
      </c>
      <c r="O232" s="3">
        <v>0.25103208399999999</v>
      </c>
      <c r="P232" s="3">
        <v>-0.381337288</v>
      </c>
      <c r="Q232" s="3">
        <v>0.48126139099999998</v>
      </c>
      <c r="R232" s="3">
        <v>1.7456480400000001</v>
      </c>
      <c r="S232" s="3">
        <v>1.256097974</v>
      </c>
      <c r="T232" s="3">
        <v>1.230708594</v>
      </c>
      <c r="U232" s="3">
        <v>0.21611322899999999</v>
      </c>
      <c r="V232" s="3">
        <v>-0.19964057599999999</v>
      </c>
      <c r="W232" s="3">
        <v>0.75793377399999995</v>
      </c>
      <c r="X232" s="3">
        <v>1.423519778</v>
      </c>
      <c r="Y232" s="3">
        <v>2.3560589869999999</v>
      </c>
      <c r="Z232" s="3">
        <v>1.2206260920000001</v>
      </c>
      <c r="AA232" s="3">
        <v>0.21801400900000001</v>
      </c>
      <c r="AB232" s="3">
        <v>0.98252015199999998</v>
      </c>
      <c r="AC232" s="3">
        <v>0.67302635700000002</v>
      </c>
      <c r="AD232" s="3">
        <v>1.0601376849999999</v>
      </c>
      <c r="AE232" s="3">
        <v>-0.295723234</v>
      </c>
      <c r="AF232" s="3">
        <v>1.5359088089999999</v>
      </c>
      <c r="AH232" s="3">
        <v>0.85413719700000001</v>
      </c>
      <c r="AI232" s="3">
        <v>0.34204065</v>
      </c>
      <c r="AJ232" s="3">
        <v>1.0220273689999999</v>
      </c>
      <c r="AK232" s="3">
        <v>0.35061900000000001</v>
      </c>
      <c r="AN232" s="3">
        <v>0.16630550699999999</v>
      </c>
      <c r="AO232" s="3">
        <v>1.9366099999999999</v>
      </c>
      <c r="AP232" s="3">
        <v>1.0678750800000001</v>
      </c>
      <c r="AQ232" s="3">
        <v>1.1181707839999999</v>
      </c>
      <c r="AS232" s="3">
        <v>1.622484668</v>
      </c>
      <c r="AT232" s="3">
        <v>0.77048731199999998</v>
      </c>
      <c r="AU232" s="86">
        <v>1.494785552</v>
      </c>
      <c r="AV232" s="86"/>
      <c r="AW232" s="86"/>
      <c r="AX232" s="86"/>
      <c r="AY232" s="86"/>
      <c r="AZ232" s="86"/>
      <c r="BA232" s="86"/>
      <c r="BB232" s="83"/>
      <c r="BC232" s="83"/>
      <c r="BD232" s="83"/>
      <c r="BE232" s="83"/>
      <c r="BF232" s="83"/>
      <c r="BG232" s="83"/>
    </row>
    <row r="233" spans="1:59" x14ac:dyDescent="0.2">
      <c r="A233" s="86" t="s">
        <v>280</v>
      </c>
      <c r="B233" s="101">
        <v>38443</v>
      </c>
      <c r="C233" s="3">
        <v>0.78681692400000003</v>
      </c>
      <c r="E233" s="3">
        <v>0.526251103</v>
      </c>
      <c r="F233" s="3">
        <v>0.34606659499999998</v>
      </c>
      <c r="H233" s="3">
        <v>1.7874860459999999</v>
      </c>
      <c r="I233" s="3">
        <v>2.8892190000000002E-3</v>
      </c>
      <c r="J233" s="3">
        <v>-0.362985061</v>
      </c>
      <c r="K233" s="3">
        <v>0.97628954199999995</v>
      </c>
      <c r="M233" s="3">
        <v>0.98926457300000004</v>
      </c>
      <c r="N233" s="3">
        <v>0.27092818400000002</v>
      </c>
      <c r="O233" s="3">
        <v>0.79719366000000003</v>
      </c>
      <c r="P233" s="3">
        <v>-0.588090483</v>
      </c>
      <c r="Q233" s="3">
        <v>0.886576578</v>
      </c>
      <c r="R233" s="3">
        <v>2.013807629</v>
      </c>
      <c r="S233" s="3">
        <v>-3.2198668779999999</v>
      </c>
      <c r="T233" s="3">
        <v>0.67872995999999997</v>
      </c>
      <c r="U233" s="3">
        <v>-0.10463491900000001</v>
      </c>
      <c r="V233" s="3">
        <v>0.51063975100000003</v>
      </c>
      <c r="W233" s="3">
        <v>0.85090336899999997</v>
      </c>
      <c r="X233" s="3">
        <v>-0.61388170600000003</v>
      </c>
      <c r="Y233" s="3">
        <v>2.6698781540000001</v>
      </c>
      <c r="Z233" s="3">
        <v>0.13879014000000001</v>
      </c>
      <c r="AA233" s="3">
        <v>0.322858268</v>
      </c>
      <c r="AB233" s="3">
        <v>1.63004639</v>
      </c>
      <c r="AC233" s="3">
        <v>0.76979085400000002</v>
      </c>
      <c r="AD233" s="3">
        <v>1.1018808099999999</v>
      </c>
      <c r="AE233" s="3">
        <v>0.76901277800000001</v>
      </c>
      <c r="AF233" s="3">
        <v>1.2463583069999999</v>
      </c>
      <c r="AH233" s="3">
        <v>0.43382349100000001</v>
      </c>
      <c r="AI233" s="3">
        <v>1.148298746</v>
      </c>
      <c r="AJ233" s="3">
        <v>1.110882508</v>
      </c>
      <c r="AK233" s="3">
        <v>0.26292700000000002</v>
      </c>
      <c r="AN233" s="3">
        <v>0.77725560299999996</v>
      </c>
      <c r="AO233" s="3">
        <v>1.7509699999999999</v>
      </c>
      <c r="AP233" s="3">
        <v>1.016630342</v>
      </c>
      <c r="AQ233" s="3">
        <v>1.7480820589999999</v>
      </c>
      <c r="AS233" s="3">
        <v>4.6099516109999996</v>
      </c>
      <c r="AT233" s="3">
        <v>0.750144535</v>
      </c>
      <c r="AU233" s="86">
        <v>2.904430455</v>
      </c>
      <c r="AV233" s="86"/>
      <c r="AW233" s="86"/>
      <c r="AX233" s="86"/>
      <c r="AY233" s="86"/>
      <c r="AZ233" s="86"/>
      <c r="BA233" s="86"/>
      <c r="BB233" s="83"/>
      <c r="BC233" s="83"/>
      <c r="BD233" s="83"/>
      <c r="BE233" s="83"/>
      <c r="BF233" s="83"/>
      <c r="BG233" s="83"/>
    </row>
    <row r="234" spans="1:59" x14ac:dyDescent="0.2">
      <c r="A234" s="86" t="s">
        <v>281</v>
      </c>
      <c r="B234" s="101">
        <v>38534</v>
      </c>
      <c r="C234" s="3">
        <v>0.44796691900000002</v>
      </c>
      <c r="E234" s="3">
        <v>0.59907526799999999</v>
      </c>
      <c r="F234" s="3">
        <v>0.72552270699999999</v>
      </c>
      <c r="H234" s="3">
        <v>1.359003151</v>
      </c>
      <c r="I234" s="3">
        <v>0.52459768399999995</v>
      </c>
      <c r="J234" s="3">
        <v>1.968906957</v>
      </c>
      <c r="K234" s="3">
        <v>0.88207344399999998</v>
      </c>
      <c r="M234" s="3">
        <v>-1.1961532349999999</v>
      </c>
      <c r="N234" s="3">
        <v>0.18751206200000001</v>
      </c>
      <c r="O234" s="3">
        <v>1.1750411590000001</v>
      </c>
      <c r="P234" s="3">
        <v>0.23781521799999999</v>
      </c>
      <c r="Q234" s="3">
        <v>1.9764679000000001</v>
      </c>
      <c r="R234" s="3">
        <v>1.6091750890000001</v>
      </c>
      <c r="S234" s="3">
        <v>7.6245016039999998</v>
      </c>
      <c r="T234" s="3">
        <v>1.029346213</v>
      </c>
      <c r="U234" s="3">
        <v>0.66349802099999999</v>
      </c>
      <c r="V234" s="3">
        <v>0.78315941600000005</v>
      </c>
      <c r="W234" s="3">
        <v>1.8870628620000001</v>
      </c>
      <c r="X234" s="3">
        <v>1.295327506</v>
      </c>
      <c r="Y234" s="3">
        <v>2.4130800039999998</v>
      </c>
      <c r="Z234" s="3">
        <v>0.31505251499999998</v>
      </c>
      <c r="AA234" s="3">
        <v>0.703469864</v>
      </c>
      <c r="AB234" s="3">
        <v>0.52433695800000002</v>
      </c>
      <c r="AC234" s="3">
        <v>0.67434944200000002</v>
      </c>
      <c r="AD234" s="3">
        <v>0.14736906699999999</v>
      </c>
      <c r="AE234" s="3">
        <v>0.368647118</v>
      </c>
      <c r="AF234" s="3">
        <v>2.0849921899999999</v>
      </c>
      <c r="AH234" s="3">
        <v>0.64918249299999997</v>
      </c>
      <c r="AI234" s="3">
        <v>1.5972829690000001</v>
      </c>
      <c r="AJ234" s="3">
        <v>0.48660447800000001</v>
      </c>
      <c r="AK234" s="3">
        <v>0.54738900000000001</v>
      </c>
      <c r="AN234" s="3">
        <v>1.189680858</v>
      </c>
      <c r="AO234" s="3">
        <v>3.1669</v>
      </c>
      <c r="AP234" s="3">
        <v>1.794559875</v>
      </c>
      <c r="AQ234" s="3">
        <v>1.522295172</v>
      </c>
      <c r="AS234" s="3">
        <v>0.42215947599999998</v>
      </c>
      <c r="AT234" s="3">
        <v>1.393544852</v>
      </c>
      <c r="AU234" s="86">
        <v>2.0959281559999998</v>
      </c>
      <c r="AV234" s="86"/>
      <c r="AW234" s="86"/>
      <c r="AX234" s="86"/>
      <c r="AY234" s="86"/>
      <c r="AZ234" s="86"/>
      <c r="BA234" s="86"/>
      <c r="BB234" s="83"/>
      <c r="BC234" s="83"/>
      <c r="BD234" s="83"/>
      <c r="BE234" s="83"/>
      <c r="BF234" s="83"/>
      <c r="BG234" s="83"/>
    </row>
    <row r="235" spans="1:59" x14ac:dyDescent="0.2">
      <c r="A235" s="86" t="s">
        <v>282</v>
      </c>
      <c r="B235" s="101">
        <v>38626</v>
      </c>
      <c r="C235" s="3">
        <v>1.0729283730000001</v>
      </c>
      <c r="E235" s="3">
        <v>0.395532035</v>
      </c>
      <c r="F235" s="3">
        <v>1.211374835</v>
      </c>
      <c r="H235" s="3">
        <v>1.6727000780000001</v>
      </c>
      <c r="I235" s="3">
        <v>0.85817236299999999</v>
      </c>
      <c r="J235" s="3">
        <v>0.11133501699999999</v>
      </c>
      <c r="K235" s="3">
        <v>0.96699551299999997</v>
      </c>
      <c r="M235" s="3">
        <v>1.4479346820000001</v>
      </c>
      <c r="N235" s="3">
        <v>0.50795079899999995</v>
      </c>
      <c r="O235" s="3">
        <v>1.054696917</v>
      </c>
      <c r="P235" s="3">
        <v>1.3908431649999999</v>
      </c>
      <c r="Q235" s="3">
        <v>0.71248008399999996</v>
      </c>
      <c r="R235" s="3">
        <v>-0.103677083</v>
      </c>
      <c r="S235" s="3">
        <v>0.29295166</v>
      </c>
      <c r="T235" s="3">
        <v>1.267830346</v>
      </c>
      <c r="U235" s="3">
        <v>0.71039076800000001</v>
      </c>
      <c r="V235" s="3">
        <v>1.0235183489999999</v>
      </c>
      <c r="W235" s="3">
        <v>1.5053308940000001</v>
      </c>
      <c r="X235" s="3">
        <v>1.878367981</v>
      </c>
      <c r="Y235" s="3">
        <v>4.7726131540000001</v>
      </c>
      <c r="Z235" s="3">
        <v>0.93712956800000002</v>
      </c>
      <c r="AA235" s="3">
        <v>1.342952261</v>
      </c>
      <c r="AB235" s="3">
        <v>0.82971109700000001</v>
      </c>
      <c r="AC235" s="3">
        <v>0.92264603000000001</v>
      </c>
      <c r="AD235" s="3">
        <v>1.9325990209999999</v>
      </c>
      <c r="AE235" s="3">
        <v>-0.47193728299999999</v>
      </c>
      <c r="AF235" s="3">
        <v>1.637233282</v>
      </c>
      <c r="AH235" s="3">
        <v>1.1896788250000001</v>
      </c>
      <c r="AI235" s="3">
        <v>0.51362587900000001</v>
      </c>
      <c r="AJ235" s="3">
        <v>0.78562198000000005</v>
      </c>
      <c r="AK235" s="3">
        <v>0.77927299999999999</v>
      </c>
      <c r="AN235" s="3">
        <v>1.159493656</v>
      </c>
      <c r="AO235" s="3">
        <v>1.3914200000000001</v>
      </c>
      <c r="AP235" s="3">
        <v>1.363637094</v>
      </c>
      <c r="AQ235" s="3">
        <v>1.762204946</v>
      </c>
      <c r="AS235" s="3">
        <v>1.4119712600000001</v>
      </c>
      <c r="AT235" s="3">
        <v>-0.78654068799999999</v>
      </c>
      <c r="AU235" s="86">
        <v>0.66211545299999996</v>
      </c>
      <c r="AV235" s="86"/>
      <c r="AW235" s="86"/>
      <c r="AX235" s="86"/>
      <c r="AY235" s="86"/>
      <c r="AZ235" s="86"/>
      <c r="BA235" s="86"/>
      <c r="BB235" s="83"/>
      <c r="BC235" s="83"/>
      <c r="BD235" s="83"/>
      <c r="BE235" s="83"/>
      <c r="BF235" s="83"/>
      <c r="BG235" s="83"/>
    </row>
    <row r="236" spans="1:59" x14ac:dyDescent="0.2">
      <c r="A236" s="86" t="s">
        <v>283</v>
      </c>
      <c r="B236" s="101">
        <v>38718</v>
      </c>
      <c r="C236" s="3">
        <v>0.83536200000000005</v>
      </c>
      <c r="E236" s="3">
        <v>0.76703826399999997</v>
      </c>
      <c r="F236" s="3">
        <v>0.988734322</v>
      </c>
      <c r="H236" s="3">
        <v>1.8274858439999999</v>
      </c>
      <c r="I236" s="3">
        <v>0.47142782</v>
      </c>
      <c r="J236" s="3">
        <v>0.32472337200000001</v>
      </c>
      <c r="K236" s="3">
        <v>1.0138666300000001</v>
      </c>
      <c r="M236" s="3">
        <v>0.28743606999999999</v>
      </c>
      <c r="N236" s="3">
        <v>0.77209717099999997</v>
      </c>
      <c r="O236" s="3">
        <v>1.370380433</v>
      </c>
      <c r="P236" s="3">
        <v>0.50101551600000005</v>
      </c>
      <c r="Q236" s="3">
        <v>1.1124568020000001</v>
      </c>
      <c r="R236" s="3">
        <v>2.5563876969999999</v>
      </c>
      <c r="S236" s="3">
        <v>1.7357564080000001</v>
      </c>
      <c r="T236" s="3">
        <v>1.76861461</v>
      </c>
      <c r="U236" s="3">
        <v>8.5092565999999994E-2</v>
      </c>
      <c r="V236" s="3">
        <v>0.16483012399999999</v>
      </c>
      <c r="W236" s="3">
        <v>1.0124646660000001</v>
      </c>
      <c r="X236" s="3">
        <v>4.8737992000000001E-2</v>
      </c>
      <c r="Y236" s="3">
        <v>3.6708469589999999</v>
      </c>
      <c r="Z236" s="3">
        <v>1.574801237</v>
      </c>
      <c r="AA236" s="3">
        <v>0.63055092499999998</v>
      </c>
      <c r="AB236" s="3">
        <v>0.22496962300000001</v>
      </c>
      <c r="AC236" s="3">
        <v>0.76205039500000005</v>
      </c>
      <c r="AD236" s="3">
        <v>1.8394077980000001</v>
      </c>
      <c r="AE236" s="3">
        <v>0.13303493999999999</v>
      </c>
      <c r="AF236" s="3">
        <v>1.469374202</v>
      </c>
      <c r="AH236" s="3">
        <v>0.69227981900000002</v>
      </c>
      <c r="AI236" s="3">
        <v>-0.41290206699999998</v>
      </c>
      <c r="AJ236" s="3">
        <v>0.56792823800000003</v>
      </c>
      <c r="AK236" s="3">
        <v>0.608074</v>
      </c>
      <c r="AN236" s="3">
        <v>0.95146476000000002</v>
      </c>
      <c r="AO236" s="3">
        <v>2.5279099999999999</v>
      </c>
      <c r="AP236" s="3">
        <v>0.66957880800000003</v>
      </c>
      <c r="AQ236" s="3">
        <v>2.0628404740000001</v>
      </c>
      <c r="AS236" s="3">
        <v>3.3068041410000002</v>
      </c>
      <c r="AT236" s="3">
        <v>1.280380386</v>
      </c>
      <c r="AU236" s="86">
        <v>2.008210933</v>
      </c>
      <c r="AV236" s="86"/>
      <c r="AW236" s="86"/>
      <c r="AX236" s="86"/>
      <c r="AY236" s="86"/>
      <c r="AZ236" s="86"/>
      <c r="BA236" s="86"/>
      <c r="BB236" s="83"/>
      <c r="BC236" s="83"/>
      <c r="BD236" s="83"/>
      <c r="BE236" s="83"/>
      <c r="BF236" s="83"/>
      <c r="BG236" s="83"/>
    </row>
    <row r="237" spans="1:59" x14ac:dyDescent="0.2">
      <c r="A237" s="86" t="s">
        <v>284</v>
      </c>
      <c r="B237" s="101">
        <v>38808</v>
      </c>
      <c r="C237" s="3">
        <v>0.20863378199999999</v>
      </c>
      <c r="E237" s="3">
        <v>0.61485704299999999</v>
      </c>
      <c r="F237" s="3">
        <v>0.81099541100000005</v>
      </c>
      <c r="H237" s="3">
        <v>1.7578437170000001</v>
      </c>
      <c r="I237" s="3">
        <v>0.96704201899999997</v>
      </c>
      <c r="J237" s="3">
        <v>1.2566610410000001</v>
      </c>
      <c r="K237" s="3">
        <v>1.145103991</v>
      </c>
      <c r="M237" s="3">
        <v>2.4945148349999999</v>
      </c>
      <c r="N237" s="3">
        <v>0.76738273000000001</v>
      </c>
      <c r="O237" s="3">
        <v>0.464999728</v>
      </c>
      <c r="P237" s="3">
        <v>3.2582208709999998</v>
      </c>
      <c r="Q237" s="3">
        <v>0.90508339100000001</v>
      </c>
      <c r="R237" s="3">
        <v>1.7966630020000001</v>
      </c>
      <c r="S237" s="3">
        <v>-0.57156575300000001</v>
      </c>
      <c r="T237" s="3">
        <v>1.791819533</v>
      </c>
      <c r="U237" s="3">
        <v>0.28523871899999997</v>
      </c>
      <c r="V237" s="3">
        <v>0.14840895100000001</v>
      </c>
      <c r="W237" s="3">
        <v>1.639117138</v>
      </c>
      <c r="X237" s="3">
        <v>2.5929306909999998</v>
      </c>
      <c r="Y237" s="3">
        <v>-0.45230008700000002</v>
      </c>
      <c r="Z237" s="3">
        <v>1.734497197</v>
      </c>
      <c r="AA237" s="3">
        <v>0.62393787499999998</v>
      </c>
      <c r="AB237" s="3">
        <v>0.63991763000000002</v>
      </c>
      <c r="AC237" s="3">
        <v>1.033646464</v>
      </c>
      <c r="AD237" s="3">
        <v>1.5032987330000001</v>
      </c>
      <c r="AE237" s="3">
        <v>0.81739264499999997</v>
      </c>
      <c r="AF237" s="3">
        <v>2.370611646</v>
      </c>
      <c r="AH237" s="3">
        <v>1.5364671990000001</v>
      </c>
      <c r="AI237" s="3">
        <v>1.6604771089999999</v>
      </c>
      <c r="AJ237" s="3">
        <v>1.3486661200000001</v>
      </c>
      <c r="AK237" s="3">
        <v>0.89577600000000002</v>
      </c>
      <c r="AN237" s="3">
        <v>1.091663085</v>
      </c>
      <c r="AO237" s="3">
        <v>2.5055700000000001</v>
      </c>
      <c r="AP237" s="3">
        <v>1.7568341940000001</v>
      </c>
      <c r="AQ237" s="3">
        <v>1.930605205</v>
      </c>
      <c r="AS237" s="3">
        <v>1.1451332700000001</v>
      </c>
      <c r="AT237" s="3">
        <v>1.687680056</v>
      </c>
      <c r="AU237" s="86">
        <v>2.6214561710000002</v>
      </c>
      <c r="AV237" s="86"/>
      <c r="AW237" s="86"/>
      <c r="AX237" s="86"/>
      <c r="AY237" s="86"/>
      <c r="AZ237" s="86"/>
      <c r="BA237" s="86"/>
      <c r="BB237" s="83"/>
      <c r="BC237" s="83"/>
      <c r="BD237" s="83"/>
      <c r="BE237" s="83"/>
      <c r="BF237" s="83"/>
      <c r="BG237" s="83"/>
    </row>
    <row r="238" spans="1:59" x14ac:dyDescent="0.2">
      <c r="A238" s="86" t="s">
        <v>285</v>
      </c>
      <c r="B238" s="101">
        <v>38899</v>
      </c>
      <c r="C238" s="3">
        <v>0.17316167700000001</v>
      </c>
      <c r="E238" s="3">
        <v>0.35493709899999998</v>
      </c>
      <c r="F238" s="3">
        <v>5.1646385000000003E-2</v>
      </c>
      <c r="H238" s="3">
        <v>2.0356021279999998</v>
      </c>
      <c r="I238" s="3">
        <v>1.722767803</v>
      </c>
      <c r="J238" s="3">
        <v>2.982414581</v>
      </c>
      <c r="K238" s="3">
        <v>0.96921473899999999</v>
      </c>
      <c r="M238" s="3">
        <v>0.24492314800000001</v>
      </c>
      <c r="N238" s="3">
        <v>1.003133177</v>
      </c>
      <c r="O238" s="3">
        <v>0.27024740899999999</v>
      </c>
      <c r="P238" s="3">
        <v>0.30705051100000003</v>
      </c>
      <c r="Q238" s="3">
        <v>1.3398550899999999</v>
      </c>
      <c r="R238" s="3">
        <v>-9.3960840000000007E-3</v>
      </c>
      <c r="S238" s="3">
        <v>4.1018727310000003</v>
      </c>
      <c r="T238" s="3">
        <v>1.833348016</v>
      </c>
      <c r="U238" s="3">
        <v>0.66821165900000001</v>
      </c>
      <c r="V238" s="3">
        <v>0.169709691</v>
      </c>
      <c r="W238" s="3">
        <v>0.73060202799999996</v>
      </c>
      <c r="X238" s="3">
        <v>4.3084867999999998E-2</v>
      </c>
      <c r="Y238" s="3">
        <v>4.8707733299999996</v>
      </c>
      <c r="Z238" s="3">
        <v>1.01114557</v>
      </c>
      <c r="AA238" s="3">
        <v>1.497031303</v>
      </c>
      <c r="AB238" s="3">
        <v>0.12496985100000001</v>
      </c>
      <c r="AC238" s="3">
        <v>0.67640239899999999</v>
      </c>
      <c r="AD238" s="3">
        <v>2.2997835499999999</v>
      </c>
      <c r="AE238" s="3">
        <v>0.96512187999999999</v>
      </c>
      <c r="AF238" s="3">
        <v>2.333985282</v>
      </c>
      <c r="AH238" s="3">
        <v>1.6719996939999999</v>
      </c>
      <c r="AI238" s="3">
        <v>0.45313727599999998</v>
      </c>
      <c r="AJ238" s="3">
        <v>0.245583731</v>
      </c>
      <c r="AK238" s="3">
        <v>1.091936</v>
      </c>
      <c r="AN238" s="3">
        <v>0.865362513</v>
      </c>
      <c r="AO238" s="3">
        <v>1.43638</v>
      </c>
      <c r="AP238" s="3">
        <v>1.4202996349999999</v>
      </c>
      <c r="AQ238" s="3">
        <v>1.9251039539999999</v>
      </c>
      <c r="AS238" s="3">
        <v>3.0461220990000002</v>
      </c>
      <c r="AT238" s="3">
        <v>0.25488619400000001</v>
      </c>
      <c r="AU238" s="86">
        <v>1.1874912360000001</v>
      </c>
      <c r="AV238" s="86"/>
      <c r="AW238" s="86"/>
      <c r="AX238" s="86"/>
      <c r="AY238" s="86"/>
      <c r="AZ238" s="86"/>
      <c r="BA238" s="86"/>
      <c r="BB238" s="83"/>
      <c r="BC238" s="83"/>
      <c r="BD238" s="83"/>
      <c r="BE238" s="83"/>
      <c r="BF238" s="83"/>
      <c r="BG238" s="83"/>
    </row>
    <row r="239" spans="1:59" x14ac:dyDescent="0.2">
      <c r="A239" s="86" t="s">
        <v>286</v>
      </c>
      <c r="B239" s="101">
        <v>38991</v>
      </c>
      <c r="C239" s="3">
        <v>1.4823379779999999</v>
      </c>
      <c r="E239" s="3">
        <v>0.880418794</v>
      </c>
      <c r="F239" s="3">
        <v>0.27924548500000002</v>
      </c>
      <c r="H239" s="3">
        <v>1.269985656</v>
      </c>
      <c r="I239" s="3">
        <v>0.76880583300000005</v>
      </c>
      <c r="J239" s="3">
        <v>-0.66682256699999998</v>
      </c>
      <c r="K239" s="3">
        <v>0.92913994499999997</v>
      </c>
      <c r="M239" s="3">
        <v>0.95036552500000004</v>
      </c>
      <c r="N239" s="3">
        <v>1.4359563000000001E-2</v>
      </c>
      <c r="O239" s="3">
        <v>9.2795881999999996E-2</v>
      </c>
      <c r="P239" s="3">
        <v>0.47743896299999999</v>
      </c>
      <c r="Q239" s="3">
        <v>0.58560636399999999</v>
      </c>
      <c r="R239" s="3">
        <v>1.979004832</v>
      </c>
      <c r="S239" s="3">
        <v>0.37411886500000002</v>
      </c>
      <c r="T239" s="3">
        <v>-0.701297006</v>
      </c>
      <c r="U239" s="3">
        <v>0.41058533699999999</v>
      </c>
      <c r="V239" s="3">
        <v>-0.188860256</v>
      </c>
      <c r="W239" s="3">
        <v>1.613954951</v>
      </c>
      <c r="X239" s="3">
        <v>1.1029599210000001</v>
      </c>
      <c r="Y239" s="3">
        <v>3.2116019759999999</v>
      </c>
      <c r="Z239" s="3">
        <v>0.31779876699999998</v>
      </c>
      <c r="AA239" s="3">
        <v>0.59815274699999998</v>
      </c>
      <c r="AB239" s="3">
        <v>1.0263062110000001</v>
      </c>
      <c r="AC239" s="3">
        <v>0.36965136999999998</v>
      </c>
      <c r="AD239" s="3">
        <v>1.6510472629999999</v>
      </c>
      <c r="AE239" s="3">
        <v>-0.112732238</v>
      </c>
      <c r="AF239" s="3">
        <v>1.9224611030000001</v>
      </c>
      <c r="AH239" s="3">
        <v>1.1536084799999999</v>
      </c>
      <c r="AI239" s="3">
        <v>0.62024140400000005</v>
      </c>
      <c r="AJ239" s="3">
        <v>0.15045618799999999</v>
      </c>
      <c r="AK239" s="3">
        <v>0.59592599999999996</v>
      </c>
      <c r="AN239" s="3">
        <v>0.85251641099999997</v>
      </c>
      <c r="AO239" s="3">
        <v>3.3029999999999999</v>
      </c>
      <c r="AP239" s="3">
        <v>1.3811317599999999</v>
      </c>
      <c r="AQ239" s="3">
        <v>2.2961291660000001</v>
      </c>
      <c r="AS239" s="3">
        <v>-0.75348610900000002</v>
      </c>
      <c r="AT239" s="3">
        <v>1.639590256</v>
      </c>
      <c r="AU239" s="86">
        <v>2.7768106399999999</v>
      </c>
      <c r="AV239" s="86"/>
      <c r="AW239" s="86"/>
      <c r="AX239" s="86"/>
      <c r="AY239" s="86"/>
      <c r="AZ239" s="86"/>
      <c r="BA239" s="86"/>
      <c r="BB239" s="83"/>
      <c r="BC239" s="83"/>
      <c r="BD239" s="83"/>
      <c r="BE239" s="83"/>
      <c r="BF239" s="83"/>
      <c r="BG239" s="83"/>
    </row>
    <row r="240" spans="1:59" x14ac:dyDescent="0.2">
      <c r="A240" s="86" t="s">
        <v>287</v>
      </c>
      <c r="B240" s="101">
        <v>39083</v>
      </c>
      <c r="C240" s="3">
        <v>1.302596648</v>
      </c>
      <c r="E240" s="3">
        <v>1.135413316</v>
      </c>
      <c r="F240" s="3">
        <v>0.39859824199999999</v>
      </c>
      <c r="H240" s="3">
        <v>1.2799202460000001</v>
      </c>
      <c r="I240" s="3">
        <v>1.514812212</v>
      </c>
      <c r="J240" s="3">
        <v>-0.27102131099999999</v>
      </c>
      <c r="K240" s="3">
        <v>0.96148483600000001</v>
      </c>
      <c r="M240" s="3">
        <v>0.78515074100000004</v>
      </c>
      <c r="N240" s="3">
        <v>0.78867920800000002</v>
      </c>
      <c r="O240" s="3">
        <v>0.46614253500000002</v>
      </c>
      <c r="P240" s="3">
        <v>2.5429404259999999</v>
      </c>
      <c r="Q240" s="3">
        <v>0.91646923700000005</v>
      </c>
      <c r="R240" s="3">
        <v>-0.201266734</v>
      </c>
      <c r="S240" s="3">
        <v>1.06885349</v>
      </c>
      <c r="T240" s="3">
        <v>1.4887576819999999</v>
      </c>
      <c r="U240" s="3">
        <v>1.164244646</v>
      </c>
      <c r="V240" s="3">
        <v>1.325935074</v>
      </c>
      <c r="W240" s="3">
        <v>0.779357615</v>
      </c>
      <c r="X240" s="3">
        <v>2.4805858509999998</v>
      </c>
      <c r="Y240" s="3">
        <v>4.4606217880000001</v>
      </c>
      <c r="Z240" s="3">
        <v>0.204020958</v>
      </c>
      <c r="AA240" s="3">
        <v>0.82450046799999999</v>
      </c>
      <c r="AB240" s="3">
        <v>1.8302612810000001</v>
      </c>
      <c r="AC240" s="3">
        <v>0.95768519799999996</v>
      </c>
      <c r="AD240" s="3">
        <v>-1.498644847</v>
      </c>
      <c r="AE240" s="3">
        <v>0.71199907699999998</v>
      </c>
      <c r="AF240" s="3">
        <v>2.7982368370000001</v>
      </c>
      <c r="AH240" s="3">
        <v>0.65172888799999995</v>
      </c>
      <c r="AI240" s="3">
        <v>0.90672530200000001</v>
      </c>
      <c r="AJ240" s="3">
        <v>0.84371169599999996</v>
      </c>
      <c r="AK240" s="3">
        <v>1.1491340000000001</v>
      </c>
      <c r="AN240" s="3">
        <v>1.3074776029999999</v>
      </c>
      <c r="AO240" s="3">
        <v>1.71129</v>
      </c>
      <c r="AP240" s="3">
        <v>1.3827690800000001</v>
      </c>
      <c r="AQ240" s="3">
        <v>1.8992405130000001</v>
      </c>
      <c r="AS240" s="3">
        <v>2.2587130449999999</v>
      </c>
      <c r="AT240" s="3">
        <v>1.190865241</v>
      </c>
      <c r="AU240" s="86">
        <v>2.1974619909999999</v>
      </c>
      <c r="AV240" s="86"/>
      <c r="AW240" s="86"/>
      <c r="AX240" s="86"/>
      <c r="AY240" s="86"/>
      <c r="AZ240" s="86"/>
      <c r="BA240" s="86"/>
      <c r="BB240" s="83"/>
      <c r="BC240" s="83"/>
      <c r="BD240" s="83"/>
      <c r="BE240" s="83"/>
      <c r="BF240" s="83"/>
      <c r="BG240" s="83"/>
    </row>
    <row r="241" spans="1:59" x14ac:dyDescent="0.2">
      <c r="A241" s="86" t="s">
        <v>288</v>
      </c>
      <c r="B241" s="101">
        <v>39173</v>
      </c>
      <c r="C241" s="3">
        <v>1.478457208</v>
      </c>
      <c r="E241" s="3">
        <v>1.417379597</v>
      </c>
      <c r="F241" s="3">
        <v>0.63962664400000002</v>
      </c>
      <c r="H241" s="3">
        <v>1.6834019280000001</v>
      </c>
      <c r="I241" s="3">
        <v>7.6329825000000004E-2</v>
      </c>
      <c r="J241" s="3">
        <v>0.33129798999999999</v>
      </c>
      <c r="K241" s="3">
        <v>0.914765508</v>
      </c>
      <c r="M241" s="3">
        <v>1.932458496</v>
      </c>
      <c r="N241" s="3">
        <v>0.74504102800000005</v>
      </c>
      <c r="O241" s="3">
        <v>0.94280164600000005</v>
      </c>
      <c r="P241" s="3">
        <v>-0.78528566200000005</v>
      </c>
      <c r="Q241" s="3">
        <v>-1.294945888</v>
      </c>
      <c r="R241" s="3">
        <v>5.9200323929999996</v>
      </c>
      <c r="S241" s="3">
        <v>1.740620192</v>
      </c>
      <c r="T241" s="3">
        <v>2.1046887179999998</v>
      </c>
      <c r="U241" s="3">
        <v>-3.1234790000000002E-3</v>
      </c>
      <c r="V241" s="3">
        <v>0.65529408600000005</v>
      </c>
      <c r="W241" s="3">
        <v>1.674043596</v>
      </c>
      <c r="X241" s="3">
        <v>3.9497578579999999</v>
      </c>
      <c r="Y241" s="3">
        <v>1.910673026</v>
      </c>
      <c r="Z241" s="3">
        <v>0.68926328000000003</v>
      </c>
      <c r="AA241" s="3">
        <v>1.1456973779999999</v>
      </c>
      <c r="AB241" s="3">
        <v>7.5136797000000005E-2</v>
      </c>
      <c r="AC241" s="3">
        <v>0.69396253500000005</v>
      </c>
      <c r="AD241" s="3">
        <v>4.5899590239999997</v>
      </c>
      <c r="AE241" s="3">
        <v>1.0522705670000001</v>
      </c>
      <c r="AF241" s="3">
        <v>2.1154767090000002</v>
      </c>
      <c r="AH241" s="3">
        <v>0.98230317499999997</v>
      </c>
      <c r="AI241" s="3">
        <v>1.2043074810000001</v>
      </c>
      <c r="AJ241" s="3">
        <v>0.29359886099999999</v>
      </c>
      <c r="AK241" s="3">
        <v>0.64771800000000002</v>
      </c>
      <c r="AN241" s="3">
        <v>0.55033844700000001</v>
      </c>
      <c r="AO241" s="3">
        <v>2.7934000000000001</v>
      </c>
      <c r="AP241" s="3">
        <v>1.623794669</v>
      </c>
      <c r="AQ241" s="3">
        <v>1.8136509329999999</v>
      </c>
      <c r="AS241" s="3">
        <v>1.8230804439999999</v>
      </c>
      <c r="AT241" s="3">
        <v>1.970567051</v>
      </c>
      <c r="AU241" s="86">
        <v>2.3385317940000001</v>
      </c>
      <c r="AV241" s="86"/>
      <c r="AW241" s="86"/>
      <c r="AX241" s="86"/>
      <c r="AY241" s="86"/>
      <c r="AZ241" s="86"/>
      <c r="BA241" s="86"/>
      <c r="BB241" s="83"/>
      <c r="BC241" s="83"/>
      <c r="BD241" s="83"/>
      <c r="BE241" s="83"/>
      <c r="BF241" s="83"/>
      <c r="BG241" s="83"/>
    </row>
    <row r="242" spans="1:59" x14ac:dyDescent="0.2">
      <c r="A242" s="86" t="s">
        <v>289</v>
      </c>
      <c r="B242" s="101">
        <v>39264</v>
      </c>
      <c r="C242" s="3">
        <v>0.58991573799999997</v>
      </c>
      <c r="E242" s="3">
        <v>0.45679760800000002</v>
      </c>
      <c r="F242" s="3">
        <v>0.96890726299999996</v>
      </c>
      <c r="H242" s="3">
        <v>0.84880433200000005</v>
      </c>
      <c r="I242" s="3">
        <v>0.838052558</v>
      </c>
      <c r="J242" s="3">
        <v>-0.44788676500000002</v>
      </c>
      <c r="K242" s="3">
        <v>0.89625550600000004</v>
      </c>
      <c r="M242" s="3">
        <v>1.797506864</v>
      </c>
      <c r="N242" s="3">
        <v>0.76238734200000002</v>
      </c>
      <c r="O242" s="3">
        <v>0.56384969100000004</v>
      </c>
      <c r="P242" s="3">
        <v>2.9117218239999998</v>
      </c>
      <c r="Q242" s="3">
        <v>-0.111081083</v>
      </c>
      <c r="R242" s="3">
        <v>-1.7830174400000001</v>
      </c>
      <c r="S242" s="3">
        <v>4.7327718489999997</v>
      </c>
      <c r="T242" s="3">
        <v>1.7677192070000001</v>
      </c>
      <c r="U242" s="3">
        <v>0.12081549499999999</v>
      </c>
      <c r="V242" s="3">
        <v>5.8422424000000001E-2</v>
      </c>
      <c r="W242" s="3">
        <v>1.730290857</v>
      </c>
      <c r="X242" s="3">
        <v>2.079867439</v>
      </c>
      <c r="Y242" s="3">
        <v>1.999167551</v>
      </c>
      <c r="Z242" s="3">
        <v>0.79612424900000001</v>
      </c>
      <c r="AA242" s="3">
        <v>0.51164677300000005</v>
      </c>
      <c r="AB242" s="3">
        <v>-1.542748E-3</v>
      </c>
      <c r="AC242" s="3">
        <v>0.65473724899999997</v>
      </c>
      <c r="AD242" s="3">
        <v>1.139746207</v>
      </c>
      <c r="AE242" s="3">
        <v>0.44312117400000001</v>
      </c>
      <c r="AF242" s="3">
        <v>2.474420598</v>
      </c>
      <c r="AH242" s="3">
        <v>0.537183356</v>
      </c>
      <c r="AI242" s="3">
        <v>0.906147916</v>
      </c>
      <c r="AJ242" s="3">
        <v>0.63843452999999994</v>
      </c>
      <c r="AK242" s="3">
        <v>0.70404199999999995</v>
      </c>
      <c r="AN242" s="3">
        <v>1.4512371420000001</v>
      </c>
      <c r="AO242" s="3">
        <v>2.5201500000000001</v>
      </c>
      <c r="AP242" s="3">
        <v>0.819510093</v>
      </c>
      <c r="AQ242" s="3">
        <v>2.5237981899999999</v>
      </c>
      <c r="AS242" s="3">
        <v>3.0535506E-2</v>
      </c>
      <c r="AT242" s="3">
        <v>1.5650135590000001</v>
      </c>
      <c r="AU242" s="86">
        <v>2.164104939</v>
      </c>
      <c r="AV242" s="86"/>
      <c r="AW242" s="86"/>
      <c r="AX242" s="86"/>
      <c r="AY242" s="86"/>
      <c r="AZ242" s="86"/>
      <c r="BA242" s="86"/>
      <c r="BB242" s="83"/>
      <c r="BC242" s="83"/>
      <c r="BD242" s="83"/>
      <c r="BE242" s="83"/>
      <c r="BF242" s="83"/>
      <c r="BG242" s="83"/>
    </row>
    <row r="243" spans="1:59" x14ac:dyDescent="0.2">
      <c r="A243" s="86" t="s">
        <v>290</v>
      </c>
      <c r="B243" s="101">
        <v>39356</v>
      </c>
      <c r="C243" s="3">
        <v>1.1120354349999999</v>
      </c>
      <c r="E243" s="3">
        <v>0.77208827999999996</v>
      </c>
      <c r="F243" s="3">
        <v>0.41985457500000001</v>
      </c>
      <c r="H243" s="3">
        <v>1.4618810390000001</v>
      </c>
      <c r="I243" s="3">
        <v>0.49649168999999999</v>
      </c>
      <c r="J243" s="3">
        <v>0.93951537100000004</v>
      </c>
      <c r="K243" s="3">
        <v>0.76676854100000003</v>
      </c>
      <c r="M243" s="3">
        <v>0.91841755199999997</v>
      </c>
      <c r="N243" s="3">
        <v>0.36100874799999999</v>
      </c>
      <c r="O243" s="3">
        <v>0.76496016300000003</v>
      </c>
      <c r="P243" s="3">
        <v>-0.62311345799999995</v>
      </c>
      <c r="Q243" s="3">
        <v>0.509592763</v>
      </c>
      <c r="R243" s="3">
        <v>-1.946816906</v>
      </c>
      <c r="S243" s="3">
        <v>-0.35169616500000001</v>
      </c>
      <c r="T243" s="3">
        <v>1.8884438509999999</v>
      </c>
      <c r="U243" s="3">
        <v>0.185361149</v>
      </c>
      <c r="V243" s="3">
        <v>-0.52907656400000003</v>
      </c>
      <c r="W243" s="3">
        <v>1.173831453</v>
      </c>
      <c r="X243" s="3">
        <v>0.310197473</v>
      </c>
      <c r="Y243" s="3">
        <v>1.769923242</v>
      </c>
      <c r="Z243" s="3">
        <v>0.62756930499999997</v>
      </c>
      <c r="AA243" s="3">
        <v>1.1175019079999999</v>
      </c>
      <c r="AB243" s="3">
        <v>1.283200119</v>
      </c>
      <c r="AC243" s="3">
        <v>0.52776699999999999</v>
      </c>
      <c r="AD243" s="3">
        <v>1.6971584660000001</v>
      </c>
      <c r="AE243" s="3">
        <v>0.205999342</v>
      </c>
      <c r="AF243" s="3">
        <v>2.365599086</v>
      </c>
      <c r="AH243" s="3">
        <v>0.75926688799999997</v>
      </c>
      <c r="AI243" s="3">
        <v>0.76177660199999997</v>
      </c>
      <c r="AJ243" s="3">
        <v>0.60230665699999997</v>
      </c>
      <c r="AK243" s="3">
        <v>0.44444800000000001</v>
      </c>
      <c r="AN243" s="3">
        <v>0.94499572099999996</v>
      </c>
      <c r="AO243" s="3">
        <v>1.7944800000000001</v>
      </c>
      <c r="AP243" s="3">
        <v>1.1719308260000001</v>
      </c>
      <c r="AQ243" s="3">
        <v>2.2051103799999998</v>
      </c>
      <c r="AS243" s="3">
        <v>0.58639459900000002</v>
      </c>
      <c r="AT243" s="3">
        <v>1.041483634</v>
      </c>
      <c r="AU243" s="86">
        <v>1.316499198</v>
      </c>
      <c r="AV243" s="86"/>
      <c r="AW243" s="86"/>
      <c r="AX243" s="86"/>
      <c r="AY243" s="86"/>
      <c r="AZ243" s="86"/>
      <c r="BA243" s="86"/>
      <c r="BB243" s="83"/>
      <c r="BC243" s="83"/>
      <c r="BD243" s="83"/>
      <c r="BE243" s="83"/>
      <c r="BF243" s="83"/>
      <c r="BG243" s="83"/>
    </row>
    <row r="244" spans="1:59" x14ac:dyDescent="0.2">
      <c r="A244" s="86" t="s">
        <v>291</v>
      </c>
      <c r="B244" s="101">
        <v>39448</v>
      </c>
      <c r="C244" s="3">
        <v>0.49582499000000002</v>
      </c>
      <c r="E244" s="3">
        <v>0.40580308700000001</v>
      </c>
      <c r="F244" s="3">
        <v>0.113617046</v>
      </c>
      <c r="H244" s="3">
        <v>1.1864127360000001</v>
      </c>
      <c r="I244" s="3">
        <v>0.66588292599999999</v>
      </c>
      <c r="J244" s="3">
        <v>1.0059885079999999</v>
      </c>
      <c r="K244" s="3">
        <v>0.64284560599999996</v>
      </c>
      <c r="M244" s="3">
        <v>1.319947274</v>
      </c>
      <c r="N244" s="3">
        <v>0.225632893</v>
      </c>
      <c r="O244" s="3">
        <v>0.510588186</v>
      </c>
      <c r="P244" s="3">
        <v>-0.49587677200000002</v>
      </c>
      <c r="Q244" s="3">
        <v>0.41744387399999999</v>
      </c>
      <c r="R244" s="3">
        <v>3.7489912059999999</v>
      </c>
      <c r="S244" s="3">
        <v>4.4337057719999997</v>
      </c>
      <c r="T244" s="3">
        <v>1.4688560850000001</v>
      </c>
      <c r="U244" s="3">
        <v>-0.31794302800000002</v>
      </c>
      <c r="V244" s="3">
        <v>0.40180436600000002</v>
      </c>
      <c r="W244" s="3">
        <v>2.156948555</v>
      </c>
      <c r="X244" s="3">
        <v>0.175789682</v>
      </c>
      <c r="Y244" s="3">
        <v>-1.167661413</v>
      </c>
      <c r="Z244" s="3">
        <v>0.39112810399999998</v>
      </c>
      <c r="AA244" s="3">
        <v>1.3530236470000001</v>
      </c>
      <c r="AB244" s="3">
        <v>1.0880906619999999</v>
      </c>
      <c r="AC244" s="3">
        <v>0.70406613799999995</v>
      </c>
      <c r="AD244" s="3">
        <v>1.3435121000000001</v>
      </c>
      <c r="AE244" s="3">
        <v>1.118249303</v>
      </c>
      <c r="AF244" s="3">
        <v>6.352342385</v>
      </c>
      <c r="AH244" s="3">
        <v>1.1045978160000001</v>
      </c>
      <c r="AI244" s="3">
        <v>0.16597260799999999</v>
      </c>
      <c r="AJ244" s="3">
        <v>0.60964400299999999</v>
      </c>
      <c r="AK244" s="3">
        <v>0.52684600000000004</v>
      </c>
      <c r="AN244" s="3">
        <v>1.0669332090000001</v>
      </c>
      <c r="AO244" s="3">
        <v>3.3768799999999999</v>
      </c>
      <c r="AP244" s="3">
        <v>1.416846767</v>
      </c>
      <c r="AQ244" s="3">
        <v>3.193832161</v>
      </c>
      <c r="AS244" s="3">
        <v>3.432599138</v>
      </c>
      <c r="AT244" s="3">
        <v>1.533870938</v>
      </c>
      <c r="AU244" s="86">
        <v>3.083338983</v>
      </c>
      <c r="AV244" s="86"/>
      <c r="AW244" s="86"/>
      <c r="AX244" s="86"/>
      <c r="AY244" s="86"/>
      <c r="AZ244" s="86"/>
      <c r="BA244" s="86"/>
      <c r="BB244" s="83"/>
      <c r="BC244" s="83"/>
      <c r="BD244" s="83"/>
      <c r="BE244" s="83"/>
      <c r="BF244" s="83"/>
      <c r="BG244" s="83"/>
    </row>
    <row r="245" spans="1:59" x14ac:dyDescent="0.2">
      <c r="A245" s="86" t="s">
        <v>292</v>
      </c>
      <c r="B245" s="101">
        <v>39539</v>
      </c>
      <c r="C245" s="3">
        <v>1.13368665</v>
      </c>
      <c r="E245" s="3">
        <v>0.43192990399999998</v>
      </c>
      <c r="F245" s="3">
        <v>7.6640567000000007E-2</v>
      </c>
      <c r="H245" s="3">
        <v>0.530801089</v>
      </c>
      <c r="I245" s="3">
        <v>0.62947670200000005</v>
      </c>
      <c r="J245" s="3">
        <v>-4.1561001E-2</v>
      </c>
      <c r="K245" s="3">
        <v>0.21576627300000001</v>
      </c>
      <c r="M245" s="3">
        <v>-0.122968349</v>
      </c>
      <c r="N245" s="3">
        <v>0.40209071899999999</v>
      </c>
      <c r="O245" s="3">
        <v>0.53665803300000003</v>
      </c>
      <c r="P245" s="3">
        <v>0.61159760600000002</v>
      </c>
      <c r="Q245" s="3">
        <v>0.97642158700000004</v>
      </c>
      <c r="R245" s="3">
        <v>-2.5974923510000001</v>
      </c>
      <c r="S245" s="3">
        <v>-2.6771164170000001</v>
      </c>
      <c r="T245" s="3">
        <v>0.81533604500000001</v>
      </c>
      <c r="U245" s="3">
        <v>1.059917706</v>
      </c>
      <c r="V245" s="3">
        <v>0.35776681700000001</v>
      </c>
      <c r="W245" s="3">
        <v>0.40239485800000002</v>
      </c>
      <c r="X245" s="3">
        <v>-0.399173787</v>
      </c>
      <c r="Y245" s="3">
        <v>1.9363386520000001</v>
      </c>
      <c r="Z245" s="3">
        <v>-0.18280496800000001</v>
      </c>
      <c r="AA245" s="3">
        <v>0.327531403</v>
      </c>
      <c r="AB245" s="3">
        <v>-1.2563192670000001</v>
      </c>
      <c r="AC245" s="3">
        <v>0.18624486400000001</v>
      </c>
      <c r="AD245" s="3">
        <v>1.9176713990000001</v>
      </c>
      <c r="AE245" s="3">
        <v>7.6731840000000004E-3</v>
      </c>
      <c r="AF245" s="3">
        <v>-2.7742638579999999</v>
      </c>
      <c r="AH245" s="3">
        <v>-0.73863550899999997</v>
      </c>
      <c r="AI245" s="3">
        <v>-0.307069798</v>
      </c>
      <c r="AJ245" s="3">
        <v>-0.40742947400000001</v>
      </c>
      <c r="AK245" s="3">
        <v>0.45720899999999998</v>
      </c>
      <c r="AN245" s="3">
        <v>0.85943336699999995</v>
      </c>
      <c r="AO245" s="3">
        <v>0.60589999999999999</v>
      </c>
      <c r="AP245" s="3">
        <v>0.42021155199999999</v>
      </c>
      <c r="AQ245" s="3">
        <v>2.653171822</v>
      </c>
      <c r="AS245" s="3">
        <v>2.1064921079999999</v>
      </c>
      <c r="AT245" s="3">
        <v>1.1348539099999999</v>
      </c>
      <c r="AU245" s="86">
        <v>0.92097468999999998</v>
      </c>
      <c r="AV245" s="86"/>
      <c r="AW245" s="86"/>
      <c r="AX245" s="86"/>
      <c r="AY245" s="86"/>
      <c r="AZ245" s="86"/>
      <c r="BA245" s="86"/>
      <c r="BB245" s="83"/>
      <c r="BC245" s="83"/>
      <c r="BD245" s="83"/>
      <c r="BE245" s="83"/>
      <c r="BF245" s="83"/>
      <c r="BG245" s="83"/>
    </row>
    <row r="246" spans="1:59" x14ac:dyDescent="0.2">
      <c r="A246" s="86" t="s">
        <v>293</v>
      </c>
      <c r="B246" s="101">
        <v>39630</v>
      </c>
      <c r="C246" s="3">
        <v>0.23722280400000001</v>
      </c>
      <c r="E246" s="3">
        <v>6.3486862000000005E-2</v>
      </c>
      <c r="F246" s="3">
        <v>0.36167189700000002</v>
      </c>
      <c r="H246" s="3">
        <v>0.68159132499999997</v>
      </c>
      <c r="I246" s="3">
        <v>-0.23324228799999999</v>
      </c>
      <c r="J246" s="3">
        <v>-0.92268398500000004</v>
      </c>
      <c r="K246" s="3">
        <v>0.10925227999999999</v>
      </c>
      <c r="M246" s="3">
        <v>-0.80295487399999999</v>
      </c>
      <c r="N246" s="3">
        <v>-0.43017383999999997</v>
      </c>
      <c r="O246" s="3">
        <v>-0.55959860400000005</v>
      </c>
      <c r="P246" s="3">
        <v>-0.63973648299999997</v>
      </c>
      <c r="Q246" s="3">
        <v>0.52041128599999997</v>
      </c>
      <c r="R246" s="3">
        <v>-2.753503673</v>
      </c>
      <c r="S246" s="3">
        <v>2.7555525840000001</v>
      </c>
      <c r="T246" s="3">
        <v>0.185667845</v>
      </c>
      <c r="U246" s="3">
        <v>-0.91916943799999995</v>
      </c>
      <c r="V246" s="3">
        <v>-0.56103813999999996</v>
      </c>
      <c r="W246" s="3">
        <v>0.52347300299999999</v>
      </c>
      <c r="X246" s="3">
        <v>-0.63309796600000001</v>
      </c>
      <c r="Y246" s="3">
        <v>-3.5330128969999999</v>
      </c>
      <c r="Z246" s="3">
        <v>0.74889984399999998</v>
      </c>
      <c r="AA246" s="3">
        <v>0.492586831</v>
      </c>
      <c r="AB246" s="3">
        <v>4.9849371000000003E-2</v>
      </c>
      <c r="AC246" s="3">
        <v>1.2180836E-2</v>
      </c>
      <c r="AD246" s="3">
        <v>0.243076973</v>
      </c>
      <c r="AE246" s="3">
        <v>-0.49260607499999998</v>
      </c>
      <c r="AF246" s="3">
        <v>1.244439627</v>
      </c>
      <c r="AH246" s="3">
        <v>-8.5650021000000007E-2</v>
      </c>
      <c r="AI246" s="3">
        <v>-0.30784092499999999</v>
      </c>
      <c r="AJ246" s="3">
        <v>0.57229534500000001</v>
      </c>
      <c r="AK246" s="3">
        <v>-0.32083</v>
      </c>
      <c r="AN246" s="3">
        <v>0.87411832</v>
      </c>
      <c r="AO246" s="3">
        <v>1.04386</v>
      </c>
      <c r="AP246" s="3">
        <v>1.220867522</v>
      </c>
      <c r="AQ246" s="3">
        <v>0.62160239399999995</v>
      </c>
      <c r="AS246" s="3">
        <v>-3.5485985709999999</v>
      </c>
      <c r="AT246" s="3">
        <v>2.3363141569999999</v>
      </c>
      <c r="AU246" s="86">
        <v>0.593733654</v>
      </c>
      <c r="AV246" s="86"/>
      <c r="AW246" s="86"/>
      <c r="AX246" s="86"/>
      <c r="AY246" s="86"/>
      <c r="AZ246" s="86"/>
      <c r="BA246" s="86"/>
      <c r="BB246" s="83"/>
      <c r="BC246" s="83"/>
      <c r="BD246" s="83"/>
      <c r="BE246" s="83"/>
      <c r="BF246" s="83"/>
      <c r="BG246" s="83"/>
    </row>
    <row r="247" spans="1:59" x14ac:dyDescent="0.2">
      <c r="A247" s="86" t="s">
        <v>294</v>
      </c>
      <c r="B247" s="101">
        <v>39722</v>
      </c>
      <c r="C247" s="3">
        <v>0.74929402700000003</v>
      </c>
      <c r="E247" s="3">
        <v>-0.58432255399999999</v>
      </c>
      <c r="F247" s="3">
        <v>0.82004401199999999</v>
      </c>
      <c r="H247" s="3">
        <v>0.163162275</v>
      </c>
      <c r="I247" s="3">
        <v>-0.64824918200000003</v>
      </c>
      <c r="J247" s="3">
        <v>-0.58413666200000003</v>
      </c>
      <c r="K247" s="3">
        <v>-0.18413980399999999</v>
      </c>
      <c r="M247" s="3">
        <v>0.34536722199999997</v>
      </c>
      <c r="N247" s="3">
        <v>-0.27413024800000002</v>
      </c>
      <c r="O247" s="3">
        <v>-1.5624673</v>
      </c>
      <c r="P247" s="3">
        <v>-9.7483140999999995E-2</v>
      </c>
      <c r="Q247" s="3">
        <v>-0.227096297</v>
      </c>
      <c r="R247" s="3">
        <v>-0.40573951800000002</v>
      </c>
      <c r="S247" s="3">
        <v>-5.2806888650000001</v>
      </c>
      <c r="T247" s="3">
        <v>0.156891957</v>
      </c>
      <c r="U247" s="3">
        <v>-1.1837941809999999</v>
      </c>
      <c r="V247" s="3">
        <v>-1.2325694819999999</v>
      </c>
      <c r="W247" s="3">
        <v>0.81588104299999997</v>
      </c>
      <c r="X247" s="3">
        <v>-0.881684515</v>
      </c>
      <c r="Y247" s="3">
        <v>-4.1041876390000001</v>
      </c>
      <c r="Z247" s="3">
        <v>0.29651686900000002</v>
      </c>
      <c r="AA247" s="3">
        <v>-0.122148031</v>
      </c>
      <c r="AB247" s="3">
        <v>-0.18277469299999999</v>
      </c>
      <c r="AC247" s="3">
        <v>-0.50062158400000001</v>
      </c>
      <c r="AD247" s="3">
        <v>-0.33652505900000002</v>
      </c>
      <c r="AE247" s="3">
        <v>-8.2530827000000001E-2</v>
      </c>
      <c r="AF247" s="3">
        <v>1.3967151929999999</v>
      </c>
      <c r="AH247" s="3">
        <v>-0.48778915099999998</v>
      </c>
      <c r="AI247" s="3">
        <v>-0.36114984900000002</v>
      </c>
      <c r="AJ247" s="3">
        <v>-0.52689290200000005</v>
      </c>
      <c r="AK247" s="3">
        <v>-0.516544</v>
      </c>
      <c r="AN247" s="3">
        <v>0.395900001</v>
      </c>
      <c r="AO247" s="3">
        <v>0.87024000000000001</v>
      </c>
      <c r="AP247" s="3">
        <v>0.23897622800000001</v>
      </c>
      <c r="AQ247" s="3">
        <v>-1.490668597</v>
      </c>
      <c r="AS247" s="3">
        <v>-1.8168699740000001</v>
      </c>
      <c r="AT247" s="3">
        <v>1.4432612950000001</v>
      </c>
      <c r="AU247" s="86">
        <v>0.74147043899999998</v>
      </c>
      <c r="AV247" s="86"/>
      <c r="AW247" s="86"/>
      <c r="AX247" s="86"/>
      <c r="AY247" s="86"/>
      <c r="AZ247" s="86"/>
      <c r="BA247" s="86"/>
      <c r="BB247" s="83"/>
      <c r="BC247" s="83"/>
      <c r="BD247" s="83"/>
      <c r="BE247" s="83"/>
      <c r="BF247" s="83"/>
      <c r="BG247" s="83"/>
    </row>
    <row r="248" spans="1:59" x14ac:dyDescent="0.2">
      <c r="A248" s="86" t="s">
        <v>295</v>
      </c>
      <c r="B248" s="101">
        <v>39814</v>
      </c>
      <c r="C248" s="3">
        <v>-0.44883398699999999</v>
      </c>
      <c r="E248" s="3">
        <v>-2.1688334409999999</v>
      </c>
      <c r="F248" s="3">
        <v>-1.1595184890000001</v>
      </c>
      <c r="H248" s="3">
        <v>-1.8149627370000001</v>
      </c>
      <c r="I248" s="3">
        <v>-1.593756296</v>
      </c>
      <c r="J248" s="3">
        <v>-2.3614806979999998</v>
      </c>
      <c r="K248" s="3">
        <v>-1.614017593</v>
      </c>
      <c r="M248" s="3">
        <v>-2.1457381020000001</v>
      </c>
      <c r="N248" s="3">
        <v>-1.4599127810000001</v>
      </c>
      <c r="O248" s="3">
        <v>-2.0605143209999999</v>
      </c>
      <c r="P248" s="3">
        <v>-1.397015176</v>
      </c>
      <c r="Q248" s="3">
        <v>-3.3343861750000001</v>
      </c>
      <c r="R248" s="3">
        <v>-4.3288415499999999</v>
      </c>
      <c r="S248" s="3">
        <v>5.592803119</v>
      </c>
      <c r="T248" s="3">
        <v>-0.749352185</v>
      </c>
      <c r="U248" s="3">
        <v>-2.4993967389999998</v>
      </c>
      <c r="V248" s="3">
        <v>-2.500176637</v>
      </c>
      <c r="W248" s="3">
        <v>-3.2838893470000001</v>
      </c>
      <c r="X248" s="3">
        <v>-3.1821216259999998</v>
      </c>
      <c r="Y248" s="3">
        <v>-2.43692172</v>
      </c>
      <c r="Z248" s="3">
        <v>-1.6040196680000001</v>
      </c>
      <c r="AA248" s="3">
        <v>-0.65994078300000003</v>
      </c>
      <c r="AB248" s="3">
        <v>0.31337424200000003</v>
      </c>
      <c r="AC248" s="3">
        <v>-1.9922812329999999</v>
      </c>
      <c r="AD248" s="3">
        <v>0.4048969</v>
      </c>
      <c r="AE248" s="3">
        <v>-1.2917566469999999</v>
      </c>
      <c r="AF248" s="3">
        <v>1.1719237</v>
      </c>
      <c r="AH248" s="3">
        <v>-3.5617156310000002</v>
      </c>
      <c r="AI248" s="3">
        <v>-0.65844901700000003</v>
      </c>
      <c r="AJ248" s="3">
        <v>-2.1830971479999999</v>
      </c>
      <c r="AK248" s="3">
        <v>-1.7661009999999999</v>
      </c>
      <c r="AN248" s="3">
        <v>-2.8119474809999998</v>
      </c>
      <c r="AO248" s="3">
        <v>0.12257</v>
      </c>
      <c r="AP248" s="3">
        <v>-0.56932697799999998</v>
      </c>
      <c r="AQ248" s="3">
        <v>-3.252211484</v>
      </c>
      <c r="AS248" s="3">
        <v>-2.5400315510000002</v>
      </c>
      <c r="AT248" s="3">
        <v>-3.7761032650000002</v>
      </c>
      <c r="AU248" s="86">
        <v>-4.7219664970000004</v>
      </c>
      <c r="AV248" s="86"/>
      <c r="AW248" s="86"/>
      <c r="AX248" s="86"/>
      <c r="AY248" s="86"/>
      <c r="AZ248" s="86"/>
      <c r="BA248" s="86"/>
      <c r="BB248" s="83"/>
      <c r="BC248" s="83"/>
      <c r="BD248" s="83"/>
      <c r="BE248" s="83"/>
      <c r="BF248" s="83"/>
      <c r="BG248" s="83"/>
    </row>
    <row r="249" spans="1:59" x14ac:dyDescent="0.2">
      <c r="A249" s="86" t="s">
        <v>296</v>
      </c>
      <c r="B249" s="101">
        <v>39904</v>
      </c>
      <c r="C249" s="3">
        <v>1.0120966339999999</v>
      </c>
      <c r="E249" s="3">
        <v>-0.97325393000000004</v>
      </c>
      <c r="F249" s="3">
        <v>-2.2596861829999999</v>
      </c>
      <c r="H249" s="3">
        <v>-3.3816703659999998</v>
      </c>
      <c r="I249" s="3">
        <v>-4.6822270550000002</v>
      </c>
      <c r="J249" s="3">
        <v>-1.423447795</v>
      </c>
      <c r="K249" s="3">
        <v>-2.6055354049999999</v>
      </c>
      <c r="M249" s="3">
        <v>-6.4776141279999999</v>
      </c>
      <c r="N249" s="3">
        <v>-1.637555222</v>
      </c>
      <c r="O249" s="3">
        <v>-1.6888225130000001</v>
      </c>
      <c r="P249" s="3">
        <v>-4.7477806170000001</v>
      </c>
      <c r="Q249" s="3">
        <v>-4.3500149739999996</v>
      </c>
      <c r="R249" s="3">
        <v>0.49996375799999998</v>
      </c>
      <c r="S249" s="3">
        <v>-9.874681056</v>
      </c>
      <c r="T249" s="3">
        <v>-4.3184211E-2</v>
      </c>
      <c r="U249" s="3">
        <v>-2.775615771</v>
      </c>
      <c r="V249" s="3">
        <v>-4.813080781</v>
      </c>
      <c r="W249" s="3">
        <v>8.9986722000000005E-2</v>
      </c>
      <c r="X249" s="3">
        <v>-1.3945596650000001</v>
      </c>
      <c r="Y249" s="3">
        <v>-3.6660899140000001</v>
      </c>
      <c r="Z249" s="3">
        <v>-5.121011706</v>
      </c>
      <c r="AA249" s="3">
        <v>-3.5936407930000001</v>
      </c>
      <c r="AB249" s="3">
        <v>-0.82586089600000001</v>
      </c>
      <c r="AC249" s="3">
        <v>-2.3107835090000002</v>
      </c>
      <c r="AD249" s="3">
        <v>1.5786300680000001</v>
      </c>
      <c r="AE249" s="3">
        <v>-2.5166704719999999</v>
      </c>
      <c r="AF249" s="3">
        <v>-9.4711839280000003</v>
      </c>
      <c r="AH249" s="3">
        <v>-1.448668176</v>
      </c>
      <c r="AI249" s="3">
        <v>-0.99967020900000003</v>
      </c>
      <c r="AJ249" s="3">
        <v>-1.1657225309999999</v>
      </c>
      <c r="AK249" s="3">
        <v>-3.1192549999999999</v>
      </c>
      <c r="AN249" s="3">
        <v>-1.5617559519999999</v>
      </c>
      <c r="AO249" s="3">
        <v>-1.8461399999999999</v>
      </c>
      <c r="AP249" s="3">
        <v>-1.555488239</v>
      </c>
      <c r="AQ249" s="3">
        <v>-3.5269817579999998</v>
      </c>
      <c r="AS249" s="3">
        <v>-5.6640195660000003</v>
      </c>
      <c r="AT249" s="3">
        <v>-1.3657896249999999</v>
      </c>
      <c r="AU249" s="86">
        <v>-3.652029894</v>
      </c>
      <c r="AV249" s="86"/>
      <c r="AW249" s="86"/>
      <c r="AX249" s="86"/>
      <c r="AY249" s="86"/>
      <c r="AZ249" s="86"/>
      <c r="BA249" s="86"/>
      <c r="BB249" s="83"/>
      <c r="BC249" s="83"/>
      <c r="BD249" s="83"/>
      <c r="BE249" s="83"/>
      <c r="BF249" s="83"/>
      <c r="BG249" s="83"/>
    </row>
    <row r="250" spans="1:59" x14ac:dyDescent="0.2">
      <c r="A250" s="86" t="s">
        <v>297</v>
      </c>
      <c r="B250" s="101">
        <v>39995</v>
      </c>
      <c r="C250" s="3">
        <v>0.56934110100000002</v>
      </c>
      <c r="E250" s="3">
        <v>4.7812829000000001E-2</v>
      </c>
      <c r="F250" s="3">
        <v>-1.0912585960000001</v>
      </c>
      <c r="H250" s="3">
        <v>-0.38789759499999998</v>
      </c>
      <c r="I250" s="3">
        <v>0.159652865</v>
      </c>
      <c r="J250" s="3">
        <v>-1.938341181</v>
      </c>
      <c r="K250" s="3">
        <v>-1.0778265E-2</v>
      </c>
      <c r="M250" s="3">
        <v>-0.436809528</v>
      </c>
      <c r="N250" s="3">
        <v>-0.102048687</v>
      </c>
      <c r="O250" s="3">
        <v>-0.18988906899999999</v>
      </c>
      <c r="P250" s="3">
        <v>2.7768419029999998</v>
      </c>
      <c r="Q250" s="3">
        <v>1.7728671000000001E-2</v>
      </c>
      <c r="R250" s="3">
        <v>-0.73748988699999996</v>
      </c>
      <c r="S250" s="3">
        <v>-0.38336279099999998</v>
      </c>
      <c r="T250" s="3">
        <v>1.0707506979999999</v>
      </c>
      <c r="U250" s="3">
        <v>-0.30760812700000001</v>
      </c>
      <c r="V250" s="3">
        <v>1.9829471240000001</v>
      </c>
      <c r="W250" s="3">
        <v>1.332777638</v>
      </c>
      <c r="X250" s="3">
        <v>-1.7619443239999999</v>
      </c>
      <c r="Y250" s="3">
        <v>-5.6599957749999996</v>
      </c>
      <c r="Z250" s="3">
        <v>-1.4733920309999999</v>
      </c>
      <c r="AA250" s="3">
        <v>2.5085789999999999E-3</v>
      </c>
      <c r="AB250" s="3">
        <v>-0.879584476</v>
      </c>
      <c r="AC250" s="3">
        <v>0.19771687499999999</v>
      </c>
      <c r="AD250" s="3">
        <v>4.6176223000000002E-2</v>
      </c>
      <c r="AE250" s="3">
        <v>8.9438207000000006E-2</v>
      </c>
      <c r="AF250" s="3">
        <v>1.5918286180000001</v>
      </c>
      <c r="AH250" s="3">
        <v>4.6622523999999999E-2</v>
      </c>
      <c r="AI250" s="3">
        <v>-4.7966138999999998E-2</v>
      </c>
      <c r="AJ250" s="3">
        <v>-0.16923813900000001</v>
      </c>
      <c r="AK250" s="3">
        <v>-3.6669E-2</v>
      </c>
      <c r="AN250" s="3">
        <v>0.60193611300000005</v>
      </c>
      <c r="AO250" s="3">
        <v>5.8036599999999998</v>
      </c>
      <c r="AP250" s="3">
        <v>-0.343174588</v>
      </c>
      <c r="AQ250" s="3">
        <v>-1.4588607810000001</v>
      </c>
      <c r="AS250" s="3">
        <v>4.0069981370000001</v>
      </c>
      <c r="AT250" s="3">
        <v>1.7811715050000001</v>
      </c>
      <c r="AU250" s="86">
        <v>-2.1627157829999999</v>
      </c>
      <c r="AV250" s="86"/>
      <c r="AW250" s="86"/>
      <c r="AX250" s="86"/>
      <c r="AY250" s="86"/>
      <c r="AZ250" s="86"/>
      <c r="BA250" s="86"/>
      <c r="BB250" s="83"/>
      <c r="BC250" s="83"/>
      <c r="BD250" s="83"/>
      <c r="BE250" s="83"/>
      <c r="BF250" s="83"/>
      <c r="BG250" s="83"/>
    </row>
    <row r="251" spans="1:59" x14ac:dyDescent="0.2">
      <c r="A251" s="86" t="s">
        <v>298</v>
      </c>
      <c r="B251" s="101">
        <v>40087</v>
      </c>
      <c r="C251" s="3">
        <v>0.29106389199999999</v>
      </c>
      <c r="E251" s="3">
        <v>1.2637794440000001</v>
      </c>
      <c r="F251" s="3">
        <v>0.44993852000000001</v>
      </c>
      <c r="H251" s="3">
        <v>0.44110371599999998</v>
      </c>
      <c r="I251" s="3">
        <v>0.55789132299999999</v>
      </c>
      <c r="J251" s="3">
        <v>0.345762915</v>
      </c>
      <c r="K251" s="3">
        <v>0.21112808599999999</v>
      </c>
      <c r="M251" s="3">
        <v>0.92466898799999997</v>
      </c>
      <c r="N251" s="3">
        <v>0.16490967600000001</v>
      </c>
      <c r="O251" s="3">
        <v>0.12366271700000001</v>
      </c>
      <c r="P251" s="3">
        <v>-0.72543689099999997</v>
      </c>
      <c r="Q251" s="3">
        <v>-3.9057771999999998E-2</v>
      </c>
      <c r="R251" s="3">
        <v>-1.2148104289999999</v>
      </c>
      <c r="S251" s="3">
        <v>1.542428176</v>
      </c>
      <c r="T251" s="3">
        <v>1.0813342829999999</v>
      </c>
      <c r="U251" s="3">
        <v>0.48514844400000001</v>
      </c>
      <c r="V251" s="3">
        <v>-3.3623228999999998E-2</v>
      </c>
      <c r="W251" s="3">
        <v>2.9926747850000002</v>
      </c>
      <c r="X251" s="3">
        <v>1.692246921</v>
      </c>
      <c r="Y251" s="3">
        <v>-4.9755525409999999</v>
      </c>
      <c r="Z251" s="3">
        <v>3.2392361360000002</v>
      </c>
      <c r="AA251" s="3">
        <v>0.400707908</v>
      </c>
      <c r="AB251" s="3">
        <v>6.4436484000000002E-2</v>
      </c>
      <c r="AC251" s="3">
        <v>0.58199314999999996</v>
      </c>
      <c r="AD251" s="3">
        <v>0.57841743599999995</v>
      </c>
      <c r="AE251" s="3">
        <v>0.88222418300000005</v>
      </c>
      <c r="AF251" s="3">
        <v>1.644679972</v>
      </c>
      <c r="AH251" s="3">
        <v>-4.1289309000000003E-2</v>
      </c>
      <c r="AI251" s="3">
        <v>0.49781108600000001</v>
      </c>
      <c r="AJ251" s="3">
        <v>0.36192999100000001</v>
      </c>
      <c r="AK251" s="3">
        <v>0.37625999999999998</v>
      </c>
      <c r="AN251" s="3">
        <v>1.135507874</v>
      </c>
      <c r="AO251" s="3">
        <v>2.5538799999999999</v>
      </c>
      <c r="AP251" s="3">
        <v>0.23190428099999999</v>
      </c>
      <c r="AQ251" s="3">
        <v>0.41042516099999998</v>
      </c>
      <c r="AS251" s="3">
        <v>2.3957610740000002</v>
      </c>
      <c r="AT251" s="3">
        <v>2.3453161260000002</v>
      </c>
      <c r="AU251" s="86">
        <v>3.8680236560000001</v>
      </c>
      <c r="AV251" s="86"/>
      <c r="AW251" s="86"/>
      <c r="AX251" s="86"/>
      <c r="AY251" s="86"/>
      <c r="AZ251" s="86"/>
      <c r="BA251" s="86"/>
      <c r="BB251" s="83"/>
      <c r="BC251" s="83"/>
      <c r="BD251" s="83"/>
      <c r="BE251" s="83"/>
      <c r="BF251" s="83"/>
      <c r="BG251" s="83"/>
    </row>
    <row r="252" spans="1:59" x14ac:dyDescent="0.2">
      <c r="A252" s="86" t="s">
        <v>299</v>
      </c>
      <c r="B252" s="101">
        <v>40179</v>
      </c>
      <c r="C252" s="3">
        <v>0.74635263299999999</v>
      </c>
      <c r="E252" s="3">
        <v>0.80229046100000001</v>
      </c>
      <c r="F252" s="3">
        <v>1.1661570240000001</v>
      </c>
      <c r="H252" s="3">
        <v>9.6491573999999997E-2</v>
      </c>
      <c r="I252" s="3">
        <v>0.73596276800000004</v>
      </c>
      <c r="J252" s="3">
        <v>9.0743262000000005E-2</v>
      </c>
      <c r="K252" s="3">
        <v>-2.0400669E-2</v>
      </c>
      <c r="M252" s="3">
        <v>-0.77194487199999995</v>
      </c>
      <c r="N252" s="3">
        <v>0.69175702299999997</v>
      </c>
      <c r="O252" s="3">
        <v>0.34246953699999999</v>
      </c>
      <c r="P252" s="3">
        <v>0.128217041</v>
      </c>
      <c r="Q252" s="3">
        <v>0.135542207</v>
      </c>
      <c r="R252" s="3">
        <v>-1.18231398</v>
      </c>
      <c r="S252" s="3">
        <v>-0.31473661600000002</v>
      </c>
      <c r="T252" s="3">
        <v>1.3904068350000001</v>
      </c>
      <c r="U252" s="3">
        <v>0.292177258</v>
      </c>
      <c r="V252" s="3">
        <v>1.2091748840000001</v>
      </c>
      <c r="W252" s="3">
        <v>0.74686754499999997</v>
      </c>
      <c r="X252" s="3">
        <v>1.8691332899999999</v>
      </c>
      <c r="Y252" s="3">
        <v>0.26376934699999999</v>
      </c>
      <c r="Z252" s="3">
        <v>1.7158085670000001</v>
      </c>
      <c r="AA252" s="3">
        <v>0.60232846100000004</v>
      </c>
      <c r="AB252" s="3">
        <v>5.3296855999999997E-2</v>
      </c>
      <c r="AC252" s="3">
        <v>0.90112067100000004</v>
      </c>
      <c r="AD252" s="3">
        <v>2.3966944579999998</v>
      </c>
      <c r="AE252" s="3">
        <v>4.7782666000000001E-2</v>
      </c>
      <c r="AF252" s="3">
        <v>1.841457312</v>
      </c>
      <c r="AH252" s="3">
        <v>0.46479685199999998</v>
      </c>
      <c r="AI252" s="3">
        <v>1.2448338329999999</v>
      </c>
      <c r="AJ252" s="3">
        <v>1.0679619499999999</v>
      </c>
      <c r="AK252" s="3">
        <v>0.45238400000000001</v>
      </c>
      <c r="AN252" s="3">
        <v>0.83910744800000003</v>
      </c>
      <c r="AO252" s="3">
        <v>2.1267299999999998</v>
      </c>
      <c r="AP252" s="3">
        <v>0.66676856900000003</v>
      </c>
      <c r="AQ252" s="3">
        <v>1.0817084560000001</v>
      </c>
      <c r="AS252" s="3">
        <v>1.9523571850000001</v>
      </c>
      <c r="AT252" s="3">
        <v>2.5385634659999998</v>
      </c>
      <c r="AU252" s="86">
        <v>1.88827776</v>
      </c>
      <c r="AV252" s="86"/>
      <c r="AW252" s="86"/>
      <c r="AX252" s="86"/>
      <c r="AY252" s="86"/>
      <c r="AZ252" s="86"/>
      <c r="BA252" s="86"/>
      <c r="BB252" s="83"/>
      <c r="BC252" s="83"/>
      <c r="BD252" s="83"/>
      <c r="BE252" s="83"/>
      <c r="BF252" s="83"/>
      <c r="BG252" s="83"/>
    </row>
    <row r="253" spans="1:59" x14ac:dyDescent="0.2">
      <c r="A253" s="86" t="s">
        <v>300</v>
      </c>
      <c r="B253" s="101">
        <v>40269</v>
      </c>
      <c r="C253" s="3">
        <v>0.50054938299999996</v>
      </c>
      <c r="E253" s="3">
        <v>0.51811854300000004</v>
      </c>
      <c r="F253" s="3">
        <v>1.206341487</v>
      </c>
      <c r="H253" s="3">
        <v>0.69997078199999996</v>
      </c>
      <c r="I253" s="3">
        <v>0.80651542499999995</v>
      </c>
      <c r="J253" s="3">
        <v>0.86356907900000002</v>
      </c>
      <c r="K253" s="3">
        <v>-2.8195768E-2</v>
      </c>
      <c r="M253" s="3">
        <v>1.001905585</v>
      </c>
      <c r="N253" s="3">
        <v>0.36686046700000002</v>
      </c>
      <c r="O253" s="3">
        <v>0.64142509599999997</v>
      </c>
      <c r="P253" s="3">
        <v>-5.7774323680000004</v>
      </c>
      <c r="Q253" s="3">
        <v>-5.8023710999999999E-2</v>
      </c>
      <c r="R253" s="3">
        <v>2.9171060849999999</v>
      </c>
      <c r="S253" s="3">
        <v>-6.0010445209999999</v>
      </c>
      <c r="T253" s="3">
        <v>1.3517862540000001</v>
      </c>
      <c r="U253" s="3">
        <v>0.35149509699999998</v>
      </c>
      <c r="V253" s="3">
        <v>1.0489308740000001</v>
      </c>
      <c r="W253" s="3">
        <v>1.9590767389999999</v>
      </c>
      <c r="X253" s="3">
        <v>1.3611045340000001</v>
      </c>
      <c r="Y253" s="3">
        <v>-0.73500597099999998</v>
      </c>
      <c r="Z253" s="3">
        <v>1.045357826</v>
      </c>
      <c r="AA253" s="3">
        <v>-0.18847002199999999</v>
      </c>
      <c r="AB253" s="3">
        <v>1.951199379</v>
      </c>
      <c r="AC253" s="3">
        <v>0.60107286900000001</v>
      </c>
      <c r="AD253" s="3">
        <v>-0.42273933899999999</v>
      </c>
      <c r="AE253" s="3">
        <v>0.82301842700000005</v>
      </c>
      <c r="AF253" s="3">
        <v>1.6337571099999999</v>
      </c>
      <c r="AH253" s="3">
        <v>2.6720928169999998</v>
      </c>
      <c r="AI253" s="3">
        <v>0.31692231300000001</v>
      </c>
      <c r="AJ253" s="3">
        <v>0.50005348100000002</v>
      </c>
      <c r="AK253" s="3">
        <v>0.41639500000000002</v>
      </c>
      <c r="AN253" s="3">
        <v>0.71753288599999998</v>
      </c>
      <c r="AO253" s="3">
        <v>2.6001799999999999</v>
      </c>
      <c r="AP253" s="3">
        <v>0.65125735100000004</v>
      </c>
      <c r="AQ253" s="3">
        <v>2.138462021</v>
      </c>
      <c r="AS253" s="3">
        <v>-0.29499498200000002</v>
      </c>
      <c r="AT253" s="3">
        <v>2.2858084710000002</v>
      </c>
      <c r="AU253" s="86">
        <v>3.0309790990000001</v>
      </c>
      <c r="AV253" s="86"/>
      <c r="AW253" s="86"/>
      <c r="AX253" s="86"/>
      <c r="AY253" s="86"/>
      <c r="AZ253" s="86"/>
      <c r="BA253" s="86"/>
      <c r="BB253" s="83"/>
      <c r="BC253" s="83"/>
      <c r="BD253" s="83"/>
      <c r="BE253" s="83"/>
      <c r="BF253" s="83"/>
      <c r="BG253" s="83"/>
    </row>
    <row r="254" spans="1:59" x14ac:dyDescent="0.2">
      <c r="A254" s="86" t="s">
        <v>301</v>
      </c>
      <c r="B254" s="101">
        <v>40360</v>
      </c>
      <c r="C254" s="3">
        <v>0.52622872899999995</v>
      </c>
      <c r="E254" s="3">
        <v>0.98535424100000002</v>
      </c>
      <c r="F254" s="3">
        <v>0.523260909</v>
      </c>
      <c r="H254" s="3">
        <v>1.123545104</v>
      </c>
      <c r="I254" s="3">
        <v>2.2410465359999998</v>
      </c>
      <c r="J254" s="3">
        <v>0.68351791900000003</v>
      </c>
      <c r="K254" s="3">
        <v>0.14992503700000001</v>
      </c>
      <c r="M254" s="3">
        <v>2.7619473669999999</v>
      </c>
      <c r="N254" s="3">
        <v>0.50711188699999998</v>
      </c>
      <c r="O254" s="3">
        <v>1.0298474150000001</v>
      </c>
      <c r="P254" s="3">
        <v>-3.32727342</v>
      </c>
      <c r="Q254" s="3">
        <v>0.84958822899999997</v>
      </c>
      <c r="R254" s="3">
        <v>-9.2085236000000001E-2</v>
      </c>
      <c r="S254" s="3">
        <v>3.967660907</v>
      </c>
      <c r="T254" s="3">
        <v>1.404836277</v>
      </c>
      <c r="U254" s="3">
        <v>0.74878237000000003</v>
      </c>
      <c r="V254" s="3">
        <v>1.217462687</v>
      </c>
      <c r="W254" s="3">
        <v>1.899801372</v>
      </c>
      <c r="X254" s="3">
        <v>2.019286132</v>
      </c>
      <c r="Y254" s="3">
        <v>-0.59469321100000005</v>
      </c>
      <c r="Z254" s="3">
        <v>1.0988013919999999</v>
      </c>
      <c r="AA254" s="3">
        <v>0.43866366299999998</v>
      </c>
      <c r="AB254" s="3">
        <v>-1.062944211</v>
      </c>
      <c r="AC254" s="3">
        <v>1.1013428789999999</v>
      </c>
      <c r="AD254" s="3">
        <v>1.5260695339999999</v>
      </c>
      <c r="AE254" s="3">
        <v>0.55242860400000005</v>
      </c>
      <c r="AF254" s="3">
        <v>1.0979311039999999</v>
      </c>
      <c r="AH254" s="3">
        <v>2.0202422740000001</v>
      </c>
      <c r="AI254" s="3">
        <v>0.72093674799999996</v>
      </c>
      <c r="AJ254" s="3">
        <v>0.96770463900000003</v>
      </c>
      <c r="AK254" s="3">
        <v>0.96942600000000001</v>
      </c>
      <c r="AN254" s="3">
        <v>0.82775425499999999</v>
      </c>
      <c r="AO254" s="3">
        <v>2.4025599999999998</v>
      </c>
      <c r="AP254" s="3">
        <v>0.83941199600000005</v>
      </c>
      <c r="AQ254" s="3">
        <v>0.95009906200000005</v>
      </c>
      <c r="AS254" s="3">
        <v>3.8007093269999999</v>
      </c>
      <c r="AT254" s="3">
        <v>0.96937898499999997</v>
      </c>
      <c r="AU254" s="86">
        <v>4.5331810509999997</v>
      </c>
      <c r="AV254" s="86"/>
      <c r="AW254" s="86"/>
      <c r="AX254" s="86"/>
      <c r="AY254" s="86"/>
      <c r="AZ254" s="86"/>
      <c r="BA254" s="86"/>
      <c r="BB254" s="83"/>
      <c r="BC254" s="83"/>
      <c r="BD254" s="83"/>
      <c r="BE254" s="83"/>
      <c r="BF254" s="83"/>
      <c r="BG254" s="83"/>
    </row>
    <row r="255" spans="1:59" x14ac:dyDescent="0.2">
      <c r="A255" s="86" t="s">
        <v>302</v>
      </c>
      <c r="B255" s="101">
        <v>40452</v>
      </c>
      <c r="C255" s="3">
        <v>0.67876793300000005</v>
      </c>
      <c r="E255" s="3">
        <v>0.417149241</v>
      </c>
      <c r="F255" s="3">
        <v>0.70869492199999995</v>
      </c>
      <c r="H255" s="3">
        <v>0.83801545399999999</v>
      </c>
      <c r="I255" s="3">
        <v>0.83969932899999999</v>
      </c>
      <c r="J255" s="3">
        <v>1.5853732760000001</v>
      </c>
      <c r="K255" s="3">
        <v>-5.1135353000000001E-2</v>
      </c>
      <c r="M255" s="3">
        <v>-0.41072814299999999</v>
      </c>
      <c r="N255" s="3">
        <v>0.64873910300000004</v>
      </c>
      <c r="O255" s="3">
        <v>0.72959189199999996</v>
      </c>
      <c r="P255" s="3">
        <v>-3.1617154460000001</v>
      </c>
      <c r="Q255" s="3">
        <v>0.96363616900000004</v>
      </c>
      <c r="R255" s="3">
        <v>0.387170087</v>
      </c>
      <c r="S255" s="3">
        <v>-1.947419445</v>
      </c>
      <c r="T255" s="3">
        <v>1.2395398740000001</v>
      </c>
      <c r="U255" s="3">
        <v>0.44389743500000001</v>
      </c>
      <c r="V255" s="3">
        <v>1.8226659949999999</v>
      </c>
      <c r="W255" s="3">
        <v>1.1552150800000001</v>
      </c>
      <c r="X255" s="3">
        <v>-0.142508677</v>
      </c>
      <c r="Y255" s="3">
        <v>-0.30595260699999999</v>
      </c>
      <c r="Z255" s="3">
        <v>0.90955951499999999</v>
      </c>
      <c r="AA255" s="3">
        <v>0.44162399299999999</v>
      </c>
      <c r="AB255" s="3">
        <v>-2.4815739269999999</v>
      </c>
      <c r="AC255" s="3">
        <v>0.85665501499999996</v>
      </c>
      <c r="AD255" s="3">
        <v>1.3189086860000001</v>
      </c>
      <c r="AE255" s="3">
        <v>8.3833036E-2</v>
      </c>
      <c r="AF255" s="3">
        <v>1.068071859</v>
      </c>
      <c r="AH255" s="3">
        <v>1.220248813</v>
      </c>
      <c r="AI255" s="3">
        <v>-0.23655885099999999</v>
      </c>
      <c r="AJ255" s="3">
        <v>0.77314415000000003</v>
      </c>
      <c r="AK255" s="3">
        <v>0.43879899999999999</v>
      </c>
      <c r="AN255" s="3">
        <v>0.57457835700000004</v>
      </c>
      <c r="AO255" s="3">
        <v>2.9559799999999998</v>
      </c>
      <c r="AP255" s="3">
        <v>0.89024629399999999</v>
      </c>
      <c r="AQ255" s="3">
        <v>0.52351252500000001</v>
      </c>
      <c r="AS255" s="3">
        <v>2.7707017839999999</v>
      </c>
      <c r="AT255" s="3">
        <v>1.015484402</v>
      </c>
      <c r="AU255" s="86">
        <v>0.46685105500000001</v>
      </c>
      <c r="AV255" s="86"/>
      <c r="AW255" s="86"/>
      <c r="AX255" s="86"/>
      <c r="AY255" s="86"/>
      <c r="AZ255" s="86"/>
      <c r="BA255" s="86"/>
      <c r="BB255" s="83"/>
      <c r="BC255" s="83"/>
      <c r="BD255" s="83"/>
      <c r="BE255" s="83"/>
      <c r="BF255" s="83"/>
      <c r="BG255" s="83"/>
    </row>
    <row r="256" spans="1:59" x14ac:dyDescent="0.2">
      <c r="A256" s="86" t="s">
        <v>303</v>
      </c>
      <c r="B256" s="101">
        <v>40544</v>
      </c>
      <c r="C256" s="3">
        <v>1.028397773</v>
      </c>
      <c r="E256" s="3">
        <v>0.505236083</v>
      </c>
      <c r="F256" s="3">
        <v>1.1175051540000001</v>
      </c>
      <c r="H256" s="3">
        <v>0.37569987399999999</v>
      </c>
      <c r="I256" s="3">
        <v>0.811076295</v>
      </c>
      <c r="J256" s="3">
        <v>-0.22504965299999999</v>
      </c>
      <c r="K256" s="3">
        <v>6.7103146000000002E-2</v>
      </c>
      <c r="M256" s="3">
        <v>2.1001216359999999</v>
      </c>
      <c r="N256" s="3">
        <v>0.70912936400000004</v>
      </c>
      <c r="O256" s="3">
        <v>3.3538722E-2</v>
      </c>
      <c r="P256" s="3">
        <v>-1.207721888</v>
      </c>
      <c r="Q256" s="3">
        <v>-0.30311346900000002</v>
      </c>
      <c r="R256" s="3">
        <v>-7.3184680000000002E-2</v>
      </c>
      <c r="S256" s="3">
        <v>3.776963254</v>
      </c>
      <c r="T256" s="3">
        <v>1.5669827679999999</v>
      </c>
      <c r="U256" s="3">
        <v>0.57118433800000001</v>
      </c>
      <c r="V256" s="3">
        <v>-0.83693219600000002</v>
      </c>
      <c r="W256" s="3">
        <v>1.2193187110000001</v>
      </c>
      <c r="X256" s="3">
        <v>0.73184012700000001</v>
      </c>
      <c r="Y256" s="3">
        <v>1.2222051350000001</v>
      </c>
      <c r="Z256" s="3">
        <v>0.80837059200000005</v>
      </c>
      <c r="AA256" s="3">
        <v>1.1273414900000001</v>
      </c>
      <c r="AB256" s="3">
        <v>2.8073644469999999</v>
      </c>
      <c r="AC256" s="3">
        <v>0.56441138199999996</v>
      </c>
      <c r="AD256" s="3">
        <v>0.97765783799999995</v>
      </c>
      <c r="AE256" s="3">
        <v>-0.194037196</v>
      </c>
      <c r="AF256" s="3">
        <v>0.67197327600000001</v>
      </c>
      <c r="AH256" s="3">
        <v>1.6557326130000001</v>
      </c>
      <c r="AI256" s="3">
        <v>-0.51325874699999996</v>
      </c>
      <c r="AJ256" s="3">
        <v>0.51959515899999997</v>
      </c>
      <c r="AK256" s="3">
        <v>0.63650499999999999</v>
      </c>
      <c r="AN256" s="3">
        <v>0.75492131500000004</v>
      </c>
      <c r="AO256" s="3">
        <v>2.3210700000000002</v>
      </c>
      <c r="AP256" s="3">
        <v>0.93078135500000003</v>
      </c>
      <c r="AQ256" s="3">
        <v>1.25698003</v>
      </c>
      <c r="AS256" s="3">
        <v>3.0231894029999999</v>
      </c>
      <c r="AT256" s="3">
        <v>1.3645668900000001</v>
      </c>
      <c r="AU256" s="86">
        <v>1.374888085</v>
      </c>
      <c r="AV256" s="86"/>
      <c r="AW256" s="86"/>
      <c r="AX256" s="86"/>
      <c r="AY256" s="86"/>
      <c r="AZ256" s="86"/>
      <c r="BA256" s="86"/>
      <c r="BB256" s="83"/>
      <c r="BC256" s="83"/>
      <c r="BD256" s="83"/>
      <c r="BE256" s="83"/>
      <c r="BF256" s="83"/>
      <c r="BG256" s="83"/>
    </row>
    <row r="257" spans="1:59" x14ac:dyDescent="0.2">
      <c r="A257" s="86" t="s">
        <v>304</v>
      </c>
      <c r="B257" s="101">
        <v>40634</v>
      </c>
      <c r="C257" s="3">
        <v>-0.266931576</v>
      </c>
      <c r="E257" s="3">
        <v>0.481369771</v>
      </c>
      <c r="F257" s="3">
        <v>0.75534704399999997</v>
      </c>
      <c r="H257" s="3">
        <v>0.59780682900000004</v>
      </c>
      <c r="I257" s="3">
        <v>1.9310182810000001</v>
      </c>
      <c r="J257" s="3">
        <v>0.217842912</v>
      </c>
      <c r="K257" s="3">
        <v>-0.15597502899999999</v>
      </c>
      <c r="M257" s="3">
        <v>0.55844083300000003</v>
      </c>
      <c r="N257" s="3">
        <v>0.99247104200000003</v>
      </c>
      <c r="O257" s="3">
        <v>0.36106514200000001</v>
      </c>
      <c r="P257" s="3">
        <v>-3.5968093649999999</v>
      </c>
      <c r="Q257" s="3">
        <v>1.048304728</v>
      </c>
      <c r="R257" s="3">
        <v>0.56790918000000001</v>
      </c>
      <c r="S257" s="3">
        <v>-4.1508705050000003</v>
      </c>
      <c r="T257" s="3">
        <v>1.4336291670000001</v>
      </c>
      <c r="U257" s="3">
        <v>0.37956202999999999</v>
      </c>
      <c r="V257" s="3">
        <v>-1.0554912590000001</v>
      </c>
      <c r="W257" s="3">
        <v>0.933130719</v>
      </c>
      <c r="X257" s="3">
        <v>1.9632841750000001</v>
      </c>
      <c r="Y257" s="3">
        <v>1.781307119</v>
      </c>
      <c r="Z257" s="3">
        <v>0.76221265500000002</v>
      </c>
      <c r="AA257" s="3">
        <v>0.57785964400000001</v>
      </c>
      <c r="AB257" s="3">
        <v>9.3489293000000001E-2</v>
      </c>
      <c r="AC257" s="3">
        <v>0.27670249299999999</v>
      </c>
      <c r="AD257" s="3">
        <v>1.127451005</v>
      </c>
      <c r="AE257" s="3">
        <v>-0.66076831199999997</v>
      </c>
      <c r="AF257" s="3">
        <v>0.426962748</v>
      </c>
      <c r="AH257" s="3">
        <v>0.34388220200000003</v>
      </c>
      <c r="AI257" s="3">
        <v>1.0874168790000001</v>
      </c>
      <c r="AJ257" s="3">
        <v>-0.24091606800000001</v>
      </c>
      <c r="AK257" s="3">
        <v>0.83768799999999999</v>
      </c>
      <c r="AN257" s="3">
        <v>0.658978748</v>
      </c>
      <c r="AO257" s="3">
        <v>1.83064</v>
      </c>
      <c r="AP257" s="3">
        <v>0.98480168000000001</v>
      </c>
      <c r="AQ257" s="3">
        <v>1.067089035</v>
      </c>
      <c r="AR257" s="3">
        <v>2.5</v>
      </c>
      <c r="AS257" s="3">
        <v>2.2538581770000001</v>
      </c>
      <c r="AT257" s="3">
        <v>1.4620784600000001</v>
      </c>
      <c r="AU257" s="86">
        <v>2.3887166880000001</v>
      </c>
      <c r="AV257" s="86"/>
      <c r="AW257" s="86"/>
      <c r="AX257" s="86"/>
      <c r="AY257" s="86"/>
      <c r="AZ257" s="86"/>
      <c r="BA257" s="86"/>
      <c r="BB257" s="83"/>
      <c r="BC257" s="83"/>
      <c r="BD257" s="83"/>
      <c r="BE257" s="83"/>
      <c r="BF257" s="83"/>
      <c r="BG257" s="83"/>
    </row>
    <row r="258" spans="1:59" x14ac:dyDescent="0.2">
      <c r="A258" s="86" t="s">
        <v>305</v>
      </c>
      <c r="B258" s="101">
        <v>40725</v>
      </c>
      <c r="C258" s="3">
        <v>1.1803290319999999</v>
      </c>
      <c r="E258" s="3">
        <v>0.20718999799999999</v>
      </c>
      <c r="F258" s="3">
        <v>0.19480650999999999</v>
      </c>
      <c r="H258" s="3">
        <v>0.26102327400000003</v>
      </c>
      <c r="I258" s="3">
        <v>8.4194172999999997E-2</v>
      </c>
      <c r="J258" s="3">
        <v>1.002326552</v>
      </c>
      <c r="K258" s="3">
        <v>-0.31689017200000003</v>
      </c>
      <c r="M258" s="3">
        <v>-0.174006405</v>
      </c>
      <c r="N258" s="3">
        <v>2.8892285E-2</v>
      </c>
      <c r="O258" s="3">
        <v>8.5658607999999997E-2</v>
      </c>
      <c r="P258" s="3">
        <v>-2.0598755670000002</v>
      </c>
      <c r="Q258" s="3">
        <v>-2.0112927999999999E-2</v>
      </c>
      <c r="R258" s="3">
        <v>1.361979904</v>
      </c>
      <c r="S258" s="3">
        <v>2.7599604329999998</v>
      </c>
      <c r="T258" s="3">
        <v>0.97431044200000005</v>
      </c>
      <c r="U258" s="3">
        <v>0.113477307</v>
      </c>
      <c r="V258" s="3">
        <v>-0.85248764499999996</v>
      </c>
      <c r="W258" s="3">
        <v>0.49079106099999997</v>
      </c>
      <c r="X258" s="3">
        <v>-1.0065335689999999</v>
      </c>
      <c r="Y258" s="3">
        <v>3.5045938259999998</v>
      </c>
      <c r="Z258" s="3">
        <v>0.52111697800000001</v>
      </c>
      <c r="AA258" s="3">
        <v>-8.9510834999999997E-2</v>
      </c>
      <c r="AB258" s="3">
        <v>-0.41336425500000001</v>
      </c>
      <c r="AC258" s="3">
        <v>0.37647893799999999</v>
      </c>
      <c r="AD258" s="3">
        <v>1.335057816</v>
      </c>
      <c r="AE258" s="3">
        <v>-0.42891552799999999</v>
      </c>
      <c r="AF258" s="3">
        <v>0.76711333100000001</v>
      </c>
      <c r="AH258" s="3">
        <v>0.31022344000000002</v>
      </c>
      <c r="AI258" s="3">
        <v>0.49243511899999998</v>
      </c>
      <c r="AJ258" s="3">
        <v>0.67805075100000001</v>
      </c>
      <c r="AK258" s="3">
        <v>7.1980000000000004E-3</v>
      </c>
      <c r="AN258" s="3">
        <v>0.47149383</v>
      </c>
      <c r="AO258" s="3">
        <v>1.2116499999999999</v>
      </c>
      <c r="AP258" s="3">
        <v>0.559671531</v>
      </c>
      <c r="AQ258" s="3">
        <v>1.0166108920000001</v>
      </c>
      <c r="AR258" s="3">
        <v>2.2999999999999998</v>
      </c>
      <c r="AS258" s="3">
        <v>2.7476908170000001</v>
      </c>
      <c r="AT258" s="3">
        <v>0.94349560300000002</v>
      </c>
      <c r="AU258" s="86">
        <v>0.97230518399999999</v>
      </c>
      <c r="AV258" s="86"/>
      <c r="AW258" s="86"/>
      <c r="AX258" s="86"/>
      <c r="AY258" s="86"/>
      <c r="AZ258" s="86"/>
      <c r="BA258" s="86"/>
      <c r="BB258" s="83"/>
      <c r="BC258" s="83"/>
      <c r="BD258" s="83"/>
      <c r="BE258" s="83"/>
      <c r="BF258" s="83"/>
      <c r="BG258" s="83"/>
    </row>
    <row r="259" spans="1:59" x14ac:dyDescent="0.2">
      <c r="A259" s="86" t="s">
        <v>306</v>
      </c>
      <c r="B259" s="101">
        <v>40817</v>
      </c>
      <c r="C259" s="3">
        <v>1.338400032</v>
      </c>
      <c r="E259" s="3">
        <v>0.28644047299999997</v>
      </c>
      <c r="F259" s="3">
        <v>1.3796395619999999</v>
      </c>
      <c r="H259" s="3">
        <v>-8.1080056999999997E-2</v>
      </c>
      <c r="I259" s="3">
        <v>0.89379265900000004</v>
      </c>
      <c r="J259" s="3">
        <v>-1.243706016</v>
      </c>
      <c r="K259" s="3">
        <v>-0.64807921400000001</v>
      </c>
      <c r="M259" s="3">
        <v>0.122387672</v>
      </c>
      <c r="N259" s="3">
        <v>0.36617994700000001</v>
      </c>
      <c r="O259" s="3">
        <v>0.33635021500000001</v>
      </c>
      <c r="P259" s="3">
        <v>-1.9618114600000001</v>
      </c>
      <c r="Q259" s="3">
        <v>0.346942733</v>
      </c>
      <c r="R259" s="3">
        <v>-1.9938893360000001</v>
      </c>
      <c r="S259" s="3">
        <v>1.8052009579999999</v>
      </c>
      <c r="T259" s="3">
        <v>2.195837805</v>
      </c>
      <c r="U259" s="3">
        <v>-0.470836535</v>
      </c>
      <c r="V259" s="3">
        <v>2.4373071249999998</v>
      </c>
      <c r="W259" s="3">
        <v>0.52632363800000004</v>
      </c>
      <c r="X259" s="3">
        <v>0.71364271400000001</v>
      </c>
      <c r="Y259" s="3">
        <v>1.924649941</v>
      </c>
      <c r="Z259" s="3">
        <v>1.918052235</v>
      </c>
      <c r="AA259" s="3">
        <v>4.7358799999999999E-4</v>
      </c>
      <c r="AB259" s="3">
        <v>1.611186177</v>
      </c>
      <c r="AC259" s="3">
        <v>0.59648310100000002</v>
      </c>
      <c r="AD259" s="3">
        <v>1.2889032949999999</v>
      </c>
      <c r="AE259" s="3">
        <v>-0.78083623800000002</v>
      </c>
      <c r="AF259" s="3">
        <v>0.56804886099999996</v>
      </c>
      <c r="AH259" s="3">
        <v>1.280290535</v>
      </c>
      <c r="AI259" s="3">
        <v>1.073224511</v>
      </c>
      <c r="AJ259" s="3">
        <v>-3.8767163E-2</v>
      </c>
      <c r="AK259" s="3">
        <v>0.13039899999999999</v>
      </c>
      <c r="AN259" s="3">
        <v>-0.37544433700000002</v>
      </c>
      <c r="AO259" s="3">
        <v>-3.8500000000000001E-3</v>
      </c>
      <c r="AP259" s="3">
        <v>0.413771114</v>
      </c>
      <c r="AQ259" s="3">
        <v>1.210094209</v>
      </c>
      <c r="AR259" s="3">
        <v>1.9</v>
      </c>
      <c r="AS259" s="3">
        <v>2.6588431219999999</v>
      </c>
      <c r="AT259" s="3">
        <v>-0.20888242000000001</v>
      </c>
      <c r="AU259" s="86">
        <v>0.76072387200000002</v>
      </c>
      <c r="AV259" s="86"/>
      <c r="AW259" s="86"/>
      <c r="AX259" s="86"/>
      <c r="AY259" s="86"/>
      <c r="AZ259" s="86"/>
      <c r="BA259" s="86"/>
      <c r="BB259" s="83"/>
      <c r="BC259" s="83"/>
      <c r="BD259" s="83"/>
      <c r="BE259" s="83"/>
      <c r="BF259" s="83"/>
      <c r="BG259" s="83"/>
    </row>
    <row r="260" spans="1:59" x14ac:dyDescent="0.2">
      <c r="A260" s="86" t="s">
        <v>307</v>
      </c>
      <c r="B260" s="101">
        <v>40909</v>
      </c>
      <c r="C260" s="3">
        <v>1.152388698</v>
      </c>
      <c r="E260" s="3">
        <v>0.29165660999999998</v>
      </c>
      <c r="F260" s="3">
        <v>0.78751324</v>
      </c>
      <c r="H260" s="3">
        <v>8.3829122000000006E-2</v>
      </c>
      <c r="I260" s="3">
        <v>-0.312652447</v>
      </c>
      <c r="J260" s="3">
        <v>0.81718773300000003</v>
      </c>
      <c r="K260" s="3">
        <v>-0.648559942</v>
      </c>
      <c r="M260" s="3">
        <v>2.7781378999999998E-2</v>
      </c>
      <c r="N260" s="3">
        <v>0.17058869199999999</v>
      </c>
      <c r="O260" s="3">
        <v>0.130933036</v>
      </c>
      <c r="P260" s="3">
        <v>-4.0483122590000002</v>
      </c>
      <c r="Q260" s="3">
        <v>1.0583242799999999</v>
      </c>
      <c r="R260" s="3">
        <v>0.852546943</v>
      </c>
      <c r="S260" s="3">
        <v>1.449036515</v>
      </c>
      <c r="T260" s="3">
        <v>0.79161047699999998</v>
      </c>
      <c r="U260" s="3">
        <v>-0.88444496500000003</v>
      </c>
      <c r="V260" s="3">
        <v>-0.15931716800000001</v>
      </c>
      <c r="W260" s="3">
        <v>0.47229806800000002</v>
      </c>
      <c r="X260" s="3">
        <v>1.9354969999999999E-2</v>
      </c>
      <c r="Y260" s="3">
        <v>0.30289954400000002</v>
      </c>
      <c r="Z260" s="3">
        <v>0.69829966200000004</v>
      </c>
      <c r="AA260" s="3">
        <v>-0.60298726899999999</v>
      </c>
      <c r="AB260" s="3">
        <v>5.1628957000000003E-2</v>
      </c>
      <c r="AC260" s="3">
        <v>0.43704708399999997</v>
      </c>
      <c r="AD260" s="3">
        <v>0.63386428500000003</v>
      </c>
      <c r="AE260" s="3">
        <v>-1.478454706</v>
      </c>
      <c r="AF260" s="3">
        <v>0.887954295</v>
      </c>
      <c r="AH260" s="3">
        <v>-1.3300454580000001</v>
      </c>
      <c r="AI260" s="3">
        <v>0.56173321799999998</v>
      </c>
      <c r="AJ260" s="3">
        <v>1.121678183</v>
      </c>
      <c r="AK260" s="3">
        <v>-0.38142700000000002</v>
      </c>
      <c r="AN260" s="3">
        <v>0.109660523</v>
      </c>
      <c r="AO260" s="3">
        <v>1.6288899999999999</v>
      </c>
      <c r="AP260" s="3">
        <v>0.68408623999999996</v>
      </c>
      <c r="AQ260" s="3">
        <v>1.232644265</v>
      </c>
      <c r="AR260" s="3">
        <v>1.5</v>
      </c>
      <c r="AS260" s="3">
        <v>1.357311969</v>
      </c>
      <c r="AT260" s="3">
        <v>0.84932239300000001</v>
      </c>
      <c r="AU260" s="86">
        <v>9.8930445000000006E-2</v>
      </c>
      <c r="AV260" s="86"/>
      <c r="AW260" s="86"/>
      <c r="AX260" s="86"/>
      <c r="AY260" s="86"/>
      <c r="AZ260" s="86"/>
      <c r="BA260" s="86"/>
      <c r="BB260" s="83"/>
      <c r="BC260" s="83"/>
      <c r="BD260" s="83"/>
      <c r="BE260" s="83"/>
      <c r="BF260" s="83"/>
      <c r="BG260" s="83"/>
    </row>
    <row r="261" spans="1:59" x14ac:dyDescent="0.2">
      <c r="A261" s="86" t="s">
        <v>308</v>
      </c>
      <c r="B261" s="101">
        <v>41000</v>
      </c>
      <c r="C261" s="3">
        <v>0.926168035</v>
      </c>
      <c r="E261" s="3">
        <v>0.21459657800000001</v>
      </c>
      <c r="F261" s="3">
        <v>6.4087343000000005E-2</v>
      </c>
      <c r="H261" s="3">
        <v>-0.23528302400000001</v>
      </c>
      <c r="I261" s="3">
        <v>0.21171714999999999</v>
      </c>
      <c r="J261" s="3">
        <v>-6.9457024000000006E-2</v>
      </c>
      <c r="K261" s="3">
        <v>-0.93714173700000003</v>
      </c>
      <c r="M261" s="3">
        <v>-0.43697229999999998</v>
      </c>
      <c r="N261" s="3">
        <v>9.6962227999999998E-2</v>
      </c>
      <c r="O261" s="3">
        <v>0.692782118</v>
      </c>
      <c r="P261" s="3">
        <v>-0.72443650299999995</v>
      </c>
      <c r="Q261" s="3">
        <v>-1.7231463119999999</v>
      </c>
      <c r="R261" s="3">
        <v>-0.99874443899999998</v>
      </c>
      <c r="S261" s="3">
        <v>-3.3032695209999998</v>
      </c>
      <c r="T261" s="3">
        <v>0.47033230300000001</v>
      </c>
      <c r="U261" s="3">
        <v>-1.178549294</v>
      </c>
      <c r="V261" s="3">
        <v>1.3988497040000001</v>
      </c>
      <c r="W261" s="3">
        <v>0.86566595300000004</v>
      </c>
      <c r="X261" s="3">
        <v>-1.290207747</v>
      </c>
      <c r="Y261" s="3">
        <v>2.0983512879999999</v>
      </c>
      <c r="Z261" s="3">
        <v>0.65745846799999996</v>
      </c>
      <c r="AA261" s="3">
        <v>-0.209129697</v>
      </c>
      <c r="AB261" s="3">
        <v>2.1695626890000002</v>
      </c>
      <c r="AC261" s="3">
        <v>0.473995993</v>
      </c>
      <c r="AD261" s="3">
        <v>6.7737774000000001E-2</v>
      </c>
      <c r="AE261" s="3">
        <v>-0.54580160799999999</v>
      </c>
      <c r="AF261" s="3">
        <v>0.48473651899999998</v>
      </c>
      <c r="AH261" s="3">
        <v>0.12942171699999999</v>
      </c>
      <c r="AI261" s="3">
        <v>0.57054854700000002</v>
      </c>
      <c r="AJ261" s="3">
        <v>0.81792284500000001</v>
      </c>
      <c r="AK261" s="3">
        <v>-0.250338</v>
      </c>
      <c r="AN261" s="3">
        <v>1.037240819</v>
      </c>
      <c r="AO261" s="3">
        <v>1.3807799999999999</v>
      </c>
      <c r="AP261" s="3">
        <v>0.56684324500000005</v>
      </c>
      <c r="AQ261" s="3">
        <v>1.5122627790000001</v>
      </c>
      <c r="AR261" s="3">
        <v>1.9</v>
      </c>
      <c r="AS261" s="3">
        <v>-0.88977375700000005</v>
      </c>
      <c r="AT261" s="3">
        <v>-1.3025220870000001</v>
      </c>
      <c r="AU261" s="86">
        <v>-1.0880453910000001</v>
      </c>
      <c r="AV261" s="86"/>
      <c r="AW261" s="86"/>
      <c r="AX261" s="86"/>
      <c r="AY261" s="86"/>
      <c r="AZ261" s="86"/>
      <c r="BA261" s="86"/>
      <c r="BB261" s="83"/>
      <c r="BC261" s="83"/>
      <c r="BD261" s="83"/>
      <c r="BE261" s="83"/>
      <c r="BF261" s="83"/>
      <c r="BG261" s="83"/>
    </row>
    <row r="262" spans="1:59" x14ac:dyDescent="0.2">
      <c r="A262" s="86" t="s">
        <v>309</v>
      </c>
      <c r="B262" s="101">
        <v>41091</v>
      </c>
      <c r="C262" s="3">
        <v>0.75520032500000001</v>
      </c>
      <c r="E262" s="3">
        <v>-1.0006399999999999E-3</v>
      </c>
      <c r="F262" s="3">
        <v>0.32616373700000001</v>
      </c>
      <c r="H262" s="3">
        <v>-0.46222377100000001</v>
      </c>
      <c r="I262" s="3">
        <v>0.18778914499999999</v>
      </c>
      <c r="J262" s="3">
        <v>7.5250259E-2</v>
      </c>
      <c r="K262" s="3">
        <v>-0.96123464400000003</v>
      </c>
      <c r="M262" s="3">
        <v>-1.0581715389999999</v>
      </c>
      <c r="N262" s="3">
        <v>-0.161447171</v>
      </c>
      <c r="O262" s="3">
        <v>-0.146993818</v>
      </c>
      <c r="P262" s="3">
        <v>-1.6974590469999999</v>
      </c>
      <c r="Q262" s="3">
        <v>-0.71843593100000003</v>
      </c>
      <c r="R262" s="3">
        <v>2.0897422240000001</v>
      </c>
      <c r="S262" s="3">
        <v>1.4364357910000001</v>
      </c>
      <c r="T262" s="3">
        <v>-9.1212495000000005E-2</v>
      </c>
      <c r="U262" s="3">
        <v>-0.71350862199999998</v>
      </c>
      <c r="V262" s="3">
        <v>-0.914024379</v>
      </c>
      <c r="W262" s="3">
        <v>0.56597461800000004</v>
      </c>
      <c r="X262" s="3">
        <v>1.0053838230000001</v>
      </c>
      <c r="Y262" s="3">
        <v>-0.30762637399999998</v>
      </c>
      <c r="Z262" s="3">
        <v>0.82570109599999997</v>
      </c>
      <c r="AA262" s="3">
        <v>5.1637012000000003E-2</v>
      </c>
      <c r="AB262" s="3">
        <v>0.23577932800000001</v>
      </c>
      <c r="AC262" s="3">
        <v>0.13498790699999999</v>
      </c>
      <c r="AD262" s="3">
        <v>-0.24515648500000001</v>
      </c>
      <c r="AE262" s="3">
        <v>-1.3479545129999999</v>
      </c>
      <c r="AF262" s="3">
        <v>0.26988224599999999</v>
      </c>
      <c r="AH262" s="3">
        <v>0.16271717499999999</v>
      </c>
      <c r="AI262" s="3">
        <v>0.34558434700000001</v>
      </c>
      <c r="AJ262" s="3">
        <v>0.45585998700000002</v>
      </c>
      <c r="AK262" s="3">
        <v>-0.25517299999999998</v>
      </c>
      <c r="AN262" s="3">
        <v>-5.4220098000000001E-2</v>
      </c>
      <c r="AO262" s="3">
        <v>1.15795</v>
      </c>
      <c r="AP262" s="3">
        <v>0.83473351900000003</v>
      </c>
      <c r="AQ262" s="3">
        <v>0.403925378</v>
      </c>
      <c r="AR262" s="3">
        <v>2.1</v>
      </c>
      <c r="AS262" s="3">
        <v>1.727526866</v>
      </c>
      <c r="AT262" s="3">
        <v>1.7047362939999999</v>
      </c>
      <c r="AU262" s="86">
        <v>-3.4283747349999998</v>
      </c>
      <c r="AV262" s="86"/>
      <c r="AW262" s="86"/>
      <c r="AX262" s="86"/>
      <c r="AY262" s="86"/>
      <c r="AZ262" s="86"/>
      <c r="BA262" s="86"/>
      <c r="BB262" s="83"/>
      <c r="BC262" s="83"/>
      <c r="BD262" s="83"/>
      <c r="BE262" s="83"/>
      <c r="BF262" s="83"/>
      <c r="BG262" s="83"/>
    </row>
    <row r="263" spans="1:59" x14ac:dyDescent="0.2">
      <c r="A263" s="86" t="s">
        <v>310</v>
      </c>
      <c r="B263" s="101">
        <v>41183</v>
      </c>
      <c r="C263" s="3">
        <v>0.59477749300000005</v>
      </c>
      <c r="E263" s="3">
        <v>0.24315805300000001</v>
      </c>
      <c r="F263" s="3">
        <v>0.136217106</v>
      </c>
      <c r="H263" s="3">
        <v>-0.306104494</v>
      </c>
      <c r="I263" s="3">
        <v>0.29157197200000001</v>
      </c>
      <c r="J263" s="3">
        <v>9.3894243000000002E-2</v>
      </c>
      <c r="K263" s="3">
        <v>-0.50969026500000003</v>
      </c>
      <c r="M263" s="3">
        <v>-0.38531661699999997</v>
      </c>
      <c r="N263" s="3">
        <v>0.195941218</v>
      </c>
      <c r="O263" s="3">
        <v>1.2189852450000001</v>
      </c>
      <c r="P263" s="3">
        <v>-1.402713469</v>
      </c>
      <c r="Q263" s="3">
        <v>0.165445225</v>
      </c>
      <c r="R263" s="3">
        <v>-2.2605503979999999</v>
      </c>
      <c r="S263" s="3">
        <v>0.64794760799999995</v>
      </c>
      <c r="T263" s="3">
        <v>0.950260204</v>
      </c>
      <c r="U263" s="3">
        <v>-0.54127134399999999</v>
      </c>
      <c r="V263" s="3">
        <v>-0.370654757</v>
      </c>
      <c r="W263" s="3">
        <v>0.45177694000000002</v>
      </c>
      <c r="X263" s="3">
        <v>-0.32099315099999998</v>
      </c>
      <c r="Y263" s="3">
        <v>1.032776199</v>
      </c>
      <c r="Z263" s="3">
        <v>0.60375866899999997</v>
      </c>
      <c r="AA263" s="3">
        <v>-0.42865471599999999</v>
      </c>
      <c r="AB263" s="3">
        <v>-1.449446349</v>
      </c>
      <c r="AC263" s="3">
        <v>0.177033686</v>
      </c>
      <c r="AD263" s="3">
        <v>0.43944236399999997</v>
      </c>
      <c r="AE263" s="3">
        <v>-1.129418955</v>
      </c>
      <c r="AF263" s="3">
        <v>0.16076196600000001</v>
      </c>
      <c r="AH263" s="3">
        <v>-0.150245928</v>
      </c>
      <c r="AI263" s="3">
        <v>0.248395804</v>
      </c>
      <c r="AJ263" s="3">
        <v>0.17488297799999999</v>
      </c>
      <c r="AK263" s="3">
        <v>-0.13004499999999999</v>
      </c>
      <c r="AN263" s="3">
        <v>0.70895317300000005</v>
      </c>
      <c r="AO263" s="3">
        <v>1.794</v>
      </c>
      <c r="AP263" s="3">
        <v>0.406558429</v>
      </c>
      <c r="AQ263" s="3">
        <v>0.51581707799999998</v>
      </c>
      <c r="AR263" s="3">
        <v>1.9</v>
      </c>
      <c r="AS263" s="3">
        <v>1.7647938809999999</v>
      </c>
      <c r="AT263" s="3">
        <v>1.76155332</v>
      </c>
      <c r="AU263" s="86">
        <v>3.1397639210000001</v>
      </c>
      <c r="AV263" s="86"/>
      <c r="AW263" s="86"/>
      <c r="AX263" s="86"/>
      <c r="AY263" s="86"/>
      <c r="AZ263" s="86"/>
      <c r="BA263" s="86"/>
      <c r="BB263" s="83"/>
      <c r="BC263" s="83"/>
      <c r="BD263" s="83"/>
      <c r="BE263" s="83"/>
      <c r="BF263" s="83"/>
      <c r="BG263" s="83"/>
    </row>
    <row r="264" spans="1:59" x14ac:dyDescent="0.2">
      <c r="A264" s="86" t="s">
        <v>311</v>
      </c>
      <c r="B264" s="101">
        <v>41275</v>
      </c>
      <c r="C264" s="3">
        <v>0.530104134</v>
      </c>
      <c r="E264" s="3">
        <v>-4.5918265E-2</v>
      </c>
      <c r="F264" s="3">
        <v>0.20678147</v>
      </c>
      <c r="H264" s="3">
        <v>-0.235886278</v>
      </c>
      <c r="I264" s="3">
        <v>-0.44647446200000002</v>
      </c>
      <c r="J264" s="3">
        <v>-0.16162989</v>
      </c>
      <c r="K264" s="3">
        <v>-0.76265685900000002</v>
      </c>
      <c r="M264" s="3">
        <v>-7.7361410000000005E-2</v>
      </c>
      <c r="N264" s="3">
        <v>-7.2862358000000002E-2</v>
      </c>
      <c r="O264" s="3">
        <v>-0.21658655399999999</v>
      </c>
      <c r="P264" s="3">
        <v>-0.56854787799999995</v>
      </c>
      <c r="Q264" s="3">
        <v>-2.2468940000000001E-3</v>
      </c>
      <c r="R264" s="3">
        <v>1.93695354</v>
      </c>
      <c r="S264" s="3">
        <v>1.5578069050000001</v>
      </c>
      <c r="T264" s="3">
        <v>0.64771661400000002</v>
      </c>
      <c r="U264" s="3">
        <v>-0.76501461900000001</v>
      </c>
      <c r="V264" s="3">
        <v>-8.3660580999999998E-2</v>
      </c>
      <c r="W264" s="3">
        <v>0.50224872499999995</v>
      </c>
      <c r="X264" s="3">
        <v>0.92529278100000001</v>
      </c>
      <c r="Y264" s="3">
        <v>0.26622267100000002</v>
      </c>
      <c r="Z264" s="3">
        <v>0.84259984600000004</v>
      </c>
      <c r="AA264" s="3">
        <v>-0.70003889200000002</v>
      </c>
      <c r="AB264" s="3">
        <v>0.817188264</v>
      </c>
      <c r="AC264" s="3">
        <v>4.3099160999999997E-2</v>
      </c>
      <c r="AD264" s="3">
        <v>-0.52653950800000004</v>
      </c>
      <c r="AE264" s="3">
        <v>-1.5804573770000001</v>
      </c>
      <c r="AF264" s="3">
        <v>-8.4742970000000001E-2</v>
      </c>
      <c r="AH264" s="3">
        <v>-0.62845272100000005</v>
      </c>
      <c r="AI264" s="3">
        <v>1.5804091760000001</v>
      </c>
      <c r="AJ264" s="3">
        <v>0.109838067</v>
      </c>
      <c r="AK264" s="3">
        <v>-0.40759200000000001</v>
      </c>
      <c r="AN264" s="3">
        <v>-0.108379633</v>
      </c>
      <c r="AO264" s="3">
        <v>1.18686</v>
      </c>
      <c r="AP264" s="3">
        <v>0.47694278299999998</v>
      </c>
      <c r="AQ264" s="3">
        <v>6.7202082999999996E-2</v>
      </c>
      <c r="AR264" s="3">
        <v>1.9</v>
      </c>
      <c r="AS264" s="3">
        <v>1.602891829</v>
      </c>
      <c r="AT264" s="3">
        <v>-3.5533143000000003E-2</v>
      </c>
      <c r="AU264" s="86">
        <v>1.7154769240000001</v>
      </c>
      <c r="AV264" s="86"/>
      <c r="AW264" s="86"/>
      <c r="AX264" s="86"/>
      <c r="AY264" s="86"/>
      <c r="AZ264" s="86"/>
      <c r="BA264" s="86"/>
      <c r="BB264" s="83"/>
      <c r="BC264" s="83"/>
      <c r="BD264" s="83"/>
      <c r="BE264" s="83"/>
      <c r="BF264" s="83"/>
      <c r="BG264" s="83"/>
    </row>
    <row r="265" spans="1:59" x14ac:dyDescent="0.2">
      <c r="A265" s="86" t="s">
        <v>312</v>
      </c>
      <c r="B265" s="101">
        <v>41365</v>
      </c>
      <c r="C265" s="3">
        <v>0.29585377000000002</v>
      </c>
      <c r="E265" s="3">
        <v>-0.27463747900000002</v>
      </c>
      <c r="F265" s="3">
        <v>0.89700485500000005</v>
      </c>
      <c r="H265" s="3">
        <v>-0.36177993899999999</v>
      </c>
      <c r="I265" s="3">
        <v>-0.46675698900000001</v>
      </c>
      <c r="J265" s="3">
        <v>0.563835211</v>
      </c>
      <c r="K265" s="3">
        <v>-0.31963185900000002</v>
      </c>
      <c r="M265" s="3">
        <v>-0.85729931800000003</v>
      </c>
      <c r="N265" s="3">
        <v>-7.1782080000000002E-3</v>
      </c>
      <c r="O265" s="3">
        <v>0.52911495399999997</v>
      </c>
      <c r="P265" s="3">
        <v>-1.176640634</v>
      </c>
      <c r="Q265" s="3">
        <v>0.23759544599999999</v>
      </c>
      <c r="R265" s="3">
        <v>-2.3907323069999999</v>
      </c>
      <c r="S265" s="3">
        <v>0.65645257199999996</v>
      </c>
      <c r="T265" s="3">
        <v>1.3980791480000001</v>
      </c>
      <c r="U265" s="3">
        <v>-0.904199529</v>
      </c>
      <c r="V265" s="3">
        <v>1.3939132329999999</v>
      </c>
      <c r="W265" s="3">
        <v>0.86312085000000005</v>
      </c>
      <c r="X265" s="3">
        <v>0.561083263</v>
      </c>
      <c r="Y265" s="3">
        <v>0.75684363799999999</v>
      </c>
      <c r="Z265" s="3">
        <v>0.26227172199999998</v>
      </c>
      <c r="AA265" s="3">
        <v>0.32313016999999999</v>
      </c>
      <c r="AB265" s="3">
        <v>0.15065885400000001</v>
      </c>
      <c r="AC265" s="3">
        <v>0.584467827</v>
      </c>
      <c r="AD265" s="3">
        <v>7.2602238999999999E-2</v>
      </c>
      <c r="AE265" s="3">
        <v>0.41614735800000002</v>
      </c>
      <c r="AF265" s="3">
        <v>-1.9482436999999998E-2</v>
      </c>
      <c r="AH265" s="3">
        <v>1.321834881</v>
      </c>
      <c r="AI265" s="3">
        <v>-0.32117589699999999</v>
      </c>
      <c r="AJ265" s="3">
        <v>0.86778954799999997</v>
      </c>
      <c r="AK265" s="3">
        <v>-0.38519300000000001</v>
      </c>
      <c r="AN265" s="3">
        <v>0.45353749599999998</v>
      </c>
      <c r="AO265" s="3">
        <v>1.59873</v>
      </c>
      <c r="AP265" s="3">
        <v>0.77602471200000001</v>
      </c>
      <c r="AQ265" s="3">
        <v>0.74064461699999995</v>
      </c>
      <c r="AR265" s="3">
        <v>1.8</v>
      </c>
      <c r="AS265" s="3">
        <v>2.9298856400000002</v>
      </c>
      <c r="AT265" s="3">
        <v>0.451898415</v>
      </c>
      <c r="AU265" s="86">
        <v>-3.4304701999999999E-2</v>
      </c>
      <c r="AV265" s="86"/>
      <c r="AW265" s="86"/>
      <c r="AX265" s="86"/>
      <c r="AY265" s="86"/>
      <c r="AZ265" s="86"/>
      <c r="BA265" s="86"/>
      <c r="BB265" s="83"/>
      <c r="BC265" s="83"/>
      <c r="BD265" s="83"/>
      <c r="BE265" s="83"/>
      <c r="BF265" s="83"/>
      <c r="BG265" s="83"/>
    </row>
    <row r="266" spans="1:59" x14ac:dyDescent="0.2">
      <c r="A266" s="86" t="s">
        <v>313</v>
      </c>
      <c r="B266" s="101">
        <v>41456</v>
      </c>
      <c r="C266" s="3">
        <v>0.43145422100000003</v>
      </c>
      <c r="E266" s="3">
        <v>0.58383488400000005</v>
      </c>
      <c r="F266" s="3">
        <v>0.58035719100000005</v>
      </c>
      <c r="H266" s="3">
        <v>0.360650994</v>
      </c>
      <c r="I266" s="3">
        <v>1.068846451</v>
      </c>
      <c r="J266" s="3">
        <v>7.4281939000000005E-2</v>
      </c>
      <c r="K266" s="3">
        <v>-8.7487355000000003E-2</v>
      </c>
      <c r="M266" s="3">
        <v>0.46092604199999998</v>
      </c>
      <c r="N266" s="3">
        <v>0.65458625999999998</v>
      </c>
      <c r="O266" s="3">
        <v>0.80399368299999996</v>
      </c>
      <c r="P266" s="3">
        <v>0.12750734699999999</v>
      </c>
      <c r="Q266" s="3">
        <v>1.0041191629999999</v>
      </c>
      <c r="R266" s="3">
        <v>3.0365588830000001</v>
      </c>
      <c r="S266" s="3">
        <v>1.616430195</v>
      </c>
      <c r="T266" s="3">
        <v>2.0066721699999999</v>
      </c>
      <c r="U266" s="3">
        <v>-1.145437E-3</v>
      </c>
      <c r="V266" s="3">
        <v>0.88744308800000005</v>
      </c>
      <c r="W266" s="3">
        <v>1.165850338</v>
      </c>
      <c r="X266" s="3">
        <v>2.3916887660000001</v>
      </c>
      <c r="Y266" s="3">
        <v>0.10379155299999999</v>
      </c>
      <c r="Z266" s="3">
        <v>-0.60089846999999996</v>
      </c>
      <c r="AA266" s="3">
        <v>-0.18116626799999999</v>
      </c>
      <c r="AB266" s="3">
        <v>0.72239575</v>
      </c>
      <c r="AC266" s="3">
        <v>0.54416115499999995</v>
      </c>
      <c r="AD266" s="3">
        <v>1.076289313</v>
      </c>
      <c r="AE266" s="3">
        <v>0.75837043999999998</v>
      </c>
      <c r="AF266" s="3">
        <v>0.31047256000000001</v>
      </c>
      <c r="AH266" s="3">
        <v>-0.10827460899999999</v>
      </c>
      <c r="AI266" s="3">
        <v>1.169165292</v>
      </c>
      <c r="AJ266" s="3">
        <v>0.13938522</v>
      </c>
      <c r="AK266" s="3">
        <v>0.53985799999999995</v>
      </c>
      <c r="AN266" s="3">
        <v>0.88171730299999995</v>
      </c>
      <c r="AO266" s="3">
        <v>1.40381</v>
      </c>
      <c r="AP266" s="3">
        <v>0.72737858399999999</v>
      </c>
      <c r="AQ266" s="3">
        <v>0.340534385</v>
      </c>
      <c r="AR266" s="3">
        <v>1.8</v>
      </c>
      <c r="AS266" s="3">
        <v>2.9357761130000002</v>
      </c>
      <c r="AT266" s="3">
        <v>1.69626005</v>
      </c>
      <c r="AU266" s="86">
        <v>0.55113596099999995</v>
      </c>
      <c r="AV266" s="86"/>
      <c r="AW266" s="86"/>
      <c r="AX266" s="86"/>
      <c r="AY266" s="86"/>
      <c r="AZ266" s="86"/>
      <c r="BA266" s="86"/>
      <c r="BB266" s="83"/>
      <c r="BC266" s="83"/>
      <c r="BD266" s="83"/>
      <c r="BE266" s="83"/>
      <c r="BF266" s="83"/>
      <c r="BG266" s="83"/>
    </row>
    <row r="267" spans="1:59" x14ac:dyDescent="0.2">
      <c r="A267" s="86" t="s">
        <v>314</v>
      </c>
      <c r="B267" s="101">
        <v>41548</v>
      </c>
      <c r="C267" s="3">
        <v>0.81437758599999999</v>
      </c>
      <c r="E267" s="3">
        <v>0.30963759499999999</v>
      </c>
      <c r="F267" s="3">
        <v>0.81497340200000001</v>
      </c>
      <c r="H267" s="3">
        <v>0.35242810299999999</v>
      </c>
      <c r="I267" s="3">
        <v>0.58060600600000001</v>
      </c>
      <c r="J267" s="3">
        <v>0.63338186699999999</v>
      </c>
      <c r="K267" s="3">
        <v>-5.4727476999999997E-2</v>
      </c>
      <c r="M267" s="3">
        <v>0.34884823199999998</v>
      </c>
      <c r="N267" s="3">
        <v>1.4827132999999999E-2</v>
      </c>
      <c r="O267" s="3">
        <v>0.93478832199999995</v>
      </c>
      <c r="P267" s="3">
        <v>-7.6074418000000005E-2</v>
      </c>
      <c r="Q267" s="3">
        <v>1.478762036</v>
      </c>
      <c r="R267" s="3">
        <v>1.4251797230000001</v>
      </c>
      <c r="S267" s="3">
        <v>-0.239216334</v>
      </c>
      <c r="T267" s="3">
        <v>1.1508244240000001</v>
      </c>
      <c r="U267" s="3">
        <v>0.21039717399999999</v>
      </c>
      <c r="V267" s="3">
        <v>0.966932923</v>
      </c>
      <c r="W267" s="3">
        <v>0.89904854700000003</v>
      </c>
      <c r="X267" s="3">
        <v>1.6851294880000001</v>
      </c>
      <c r="Y267" s="3">
        <v>1.3330151020000001</v>
      </c>
      <c r="Z267" s="3">
        <v>0.95152773000000002</v>
      </c>
      <c r="AA267" s="3">
        <v>0.60299548999999997</v>
      </c>
      <c r="AB267" s="3">
        <v>0.98085138699999996</v>
      </c>
      <c r="AC267" s="3">
        <v>0.72574738800000005</v>
      </c>
      <c r="AD267" s="3">
        <v>0.75869672899999996</v>
      </c>
      <c r="AE267" s="3">
        <v>-0.13929644699999999</v>
      </c>
      <c r="AF267" s="3">
        <v>0.44953411599999998</v>
      </c>
      <c r="AH267" s="3">
        <v>0.45669028</v>
      </c>
      <c r="AI267" s="3">
        <v>0.56122781899999996</v>
      </c>
      <c r="AJ267" s="3">
        <v>0.79165341099999997</v>
      </c>
      <c r="AK267" s="3">
        <v>0.30561300000000002</v>
      </c>
      <c r="AN267" s="3">
        <v>0.773395901</v>
      </c>
      <c r="AO267" s="3">
        <v>1.6011200000000001</v>
      </c>
      <c r="AP267" s="3">
        <v>0.474459609</v>
      </c>
      <c r="AQ267" s="3">
        <v>4.0524088E-2</v>
      </c>
      <c r="AR267" s="3">
        <v>2.2000000000000002</v>
      </c>
      <c r="AS267" s="3">
        <v>1.4659761549999999</v>
      </c>
      <c r="AT267" s="3">
        <v>0.309453282</v>
      </c>
      <c r="AU267" s="86">
        <v>0.62904878900000005</v>
      </c>
      <c r="AV267" s="86"/>
      <c r="AW267" s="86"/>
      <c r="AX267" s="86"/>
      <c r="AY267" s="86"/>
      <c r="AZ267" s="86"/>
      <c r="BA267" s="86"/>
      <c r="BB267" s="83"/>
      <c r="BC267" s="83"/>
      <c r="BD267" s="83"/>
      <c r="BE267" s="83"/>
      <c r="BF267" s="83"/>
      <c r="BG267" s="83"/>
    </row>
    <row r="268" spans="1:59" x14ac:dyDescent="0.2">
      <c r="A268" s="86" t="s">
        <v>315</v>
      </c>
      <c r="B268" s="101">
        <v>41640</v>
      </c>
      <c r="C268" s="3">
        <v>0.82511571699999997</v>
      </c>
      <c r="E268" s="3">
        <v>0.21836011599999999</v>
      </c>
      <c r="F268" s="3">
        <v>1.050559545</v>
      </c>
      <c r="H268" s="3">
        <v>1.2759451829999999</v>
      </c>
      <c r="I268" s="3">
        <v>0.29894409</v>
      </c>
      <c r="J268" s="3">
        <v>0.201104009</v>
      </c>
      <c r="K268" s="3">
        <v>0.16661908</v>
      </c>
      <c r="M268" s="3">
        <v>-0.17948572600000001</v>
      </c>
      <c r="N268" s="3">
        <v>0.47927699400000001</v>
      </c>
      <c r="O268" s="3">
        <v>0.64195617199999999</v>
      </c>
      <c r="P268" s="3">
        <v>0.41135451499999998</v>
      </c>
      <c r="Q268" s="3">
        <v>0.90873259100000003</v>
      </c>
      <c r="R268" s="3">
        <v>0.85989386099999998</v>
      </c>
      <c r="S268" s="3">
        <v>3.5349816139999999</v>
      </c>
      <c r="T268" s="3">
        <v>0.74429729700000002</v>
      </c>
      <c r="U268" s="3">
        <v>-0.190207511</v>
      </c>
      <c r="V268" s="3">
        <v>-0.117114648</v>
      </c>
      <c r="W268" s="3">
        <v>0.77583265899999998</v>
      </c>
      <c r="X268" s="3">
        <v>-1.454084741</v>
      </c>
      <c r="Y268" s="3">
        <v>0.842232545</v>
      </c>
      <c r="Z268" s="3">
        <v>0.58337855599999999</v>
      </c>
      <c r="AA268" s="3">
        <v>0.63501236500000002</v>
      </c>
      <c r="AB268" s="3">
        <v>-0.17716738600000001</v>
      </c>
      <c r="AC268" s="3">
        <v>0.494504571</v>
      </c>
      <c r="AD268" s="3">
        <v>0.26344673600000001</v>
      </c>
      <c r="AE268" s="3">
        <v>1.0949673310000001</v>
      </c>
      <c r="AF268" s="3">
        <v>0.56890434300000003</v>
      </c>
      <c r="AH268" s="3">
        <v>0.76448314799999995</v>
      </c>
      <c r="AI268" s="3">
        <v>0.25853180100000001</v>
      </c>
      <c r="AJ268" s="3">
        <v>0.71117100200000005</v>
      </c>
      <c r="AK268" s="3">
        <v>0.28534700000000002</v>
      </c>
      <c r="AN268" s="3">
        <v>0.32705823499999997</v>
      </c>
      <c r="AO268" s="3">
        <v>2.20113</v>
      </c>
      <c r="AP268" s="3">
        <v>0.53835203600000003</v>
      </c>
      <c r="AQ268" s="3">
        <v>0.577422247</v>
      </c>
      <c r="AR268" s="3">
        <v>1.6</v>
      </c>
      <c r="AS268" s="3">
        <v>0.19382951800000001</v>
      </c>
      <c r="AT268" s="3">
        <v>0.115453844</v>
      </c>
      <c r="AU268" s="86">
        <v>-0.99314948999999997</v>
      </c>
      <c r="AV268" s="86"/>
      <c r="AW268" s="86"/>
      <c r="AX268" s="86"/>
      <c r="AY268" s="86"/>
      <c r="AZ268" s="86"/>
      <c r="BA268" s="86"/>
      <c r="BB268" s="83"/>
      <c r="BC268" s="83"/>
      <c r="BD268" s="83"/>
      <c r="BE268" s="83"/>
      <c r="BF268" s="83"/>
      <c r="BG268" s="83"/>
    </row>
    <row r="269" spans="1:59" x14ac:dyDescent="0.2">
      <c r="A269" s="86" t="s">
        <v>316</v>
      </c>
      <c r="B269" s="101">
        <v>41730</v>
      </c>
      <c r="C269" s="3">
        <v>0.67725015099999997</v>
      </c>
      <c r="E269" s="3">
        <v>0.429826386</v>
      </c>
      <c r="F269" s="3">
        <v>0.163447761</v>
      </c>
      <c r="H269" s="3">
        <v>-0.59157428000000001</v>
      </c>
      <c r="I269" s="3">
        <v>0.93519777199999998</v>
      </c>
      <c r="J269" s="3">
        <v>0.25325559199999997</v>
      </c>
      <c r="K269" s="3">
        <v>0.367436031</v>
      </c>
      <c r="M269" s="3">
        <v>-0.772230003</v>
      </c>
      <c r="N269" s="3">
        <v>7.3584341999999997E-2</v>
      </c>
      <c r="O269" s="3">
        <v>0.76804133200000002</v>
      </c>
      <c r="P269" s="3">
        <v>0.51111501999999998</v>
      </c>
      <c r="Q269" s="3">
        <v>0.81429540300000003</v>
      </c>
      <c r="R269" s="3">
        <v>2.7038955630000001</v>
      </c>
      <c r="S269" s="3">
        <v>-2.8889849810000001</v>
      </c>
      <c r="T269" s="3">
        <v>1.097064217</v>
      </c>
      <c r="U269" s="3">
        <v>8.4454108999999999E-2</v>
      </c>
      <c r="V269" s="3">
        <v>0.82915100200000003</v>
      </c>
      <c r="W269" s="3">
        <v>0.93068836200000005</v>
      </c>
      <c r="X269" s="3">
        <v>4.1899782219999997</v>
      </c>
      <c r="Y269" s="3">
        <v>-0.88233371800000004</v>
      </c>
      <c r="Z269" s="3">
        <v>0.68866612900000002</v>
      </c>
      <c r="AA269" s="3">
        <v>-9.4722217999999997E-2</v>
      </c>
      <c r="AB269" s="3">
        <v>0.52076744200000002</v>
      </c>
      <c r="AC269" s="3">
        <v>0.34939840300000002</v>
      </c>
      <c r="AD269" s="3">
        <v>1.0325908210000001</v>
      </c>
      <c r="AE269" s="3">
        <v>-0.64183926700000005</v>
      </c>
      <c r="AF269" s="3">
        <v>0.63234895899999999</v>
      </c>
      <c r="AH269" s="3">
        <v>0.769427317</v>
      </c>
      <c r="AI269" s="3">
        <v>1.4661394160000001</v>
      </c>
      <c r="AJ269" s="3">
        <v>-0.35010973699999998</v>
      </c>
      <c r="AK269" s="3">
        <v>0.39911999999999997</v>
      </c>
      <c r="AN269" s="3">
        <v>0.64450071200000003</v>
      </c>
      <c r="AO269" s="3">
        <v>1.15903</v>
      </c>
      <c r="AP269" s="3">
        <v>-0.13793496</v>
      </c>
      <c r="AQ269" s="3">
        <v>-7.2306979999999998E-3</v>
      </c>
      <c r="AR269" s="3">
        <v>1.8</v>
      </c>
      <c r="AS269" s="3">
        <v>2.901075638</v>
      </c>
      <c r="AT269" s="3">
        <v>0.91981693399999997</v>
      </c>
      <c r="AU269" s="86">
        <v>-1.5064902010000001</v>
      </c>
      <c r="AV269" s="86"/>
      <c r="AW269" s="86"/>
      <c r="AX269" s="86"/>
      <c r="AY269" s="86"/>
      <c r="AZ269" s="86"/>
      <c r="BA269" s="86"/>
      <c r="BB269" s="83"/>
      <c r="BC269" s="83"/>
      <c r="BD269" s="83"/>
      <c r="BE269" s="83"/>
      <c r="BF269" s="83"/>
      <c r="BG269" s="83"/>
    </row>
    <row r="270" spans="1:59" x14ac:dyDescent="0.2">
      <c r="A270" s="86" t="s">
        <v>317</v>
      </c>
      <c r="B270" s="101">
        <v>41821</v>
      </c>
      <c r="C270" s="3">
        <v>0.52976407299999995</v>
      </c>
      <c r="E270" s="3">
        <v>0.26527291600000003</v>
      </c>
      <c r="F270" s="3">
        <v>0.913329104</v>
      </c>
      <c r="H270" s="3">
        <v>1.0075751120000001</v>
      </c>
      <c r="I270" s="3">
        <v>0</v>
      </c>
      <c r="J270" s="3">
        <v>-7.2441775E-2</v>
      </c>
      <c r="K270" s="3">
        <v>0.46335200700000001</v>
      </c>
      <c r="M270" s="3">
        <v>0.16213329300000001</v>
      </c>
      <c r="N270" s="3">
        <v>0.1255986</v>
      </c>
      <c r="O270" s="3">
        <v>0.65099296600000001</v>
      </c>
      <c r="P270" s="3">
        <v>-0.280985708</v>
      </c>
      <c r="Q270" s="3">
        <v>1.314972654</v>
      </c>
      <c r="R270" s="3">
        <v>4.2902459540000004</v>
      </c>
      <c r="S270" s="3">
        <v>5.7761748000000002E-2</v>
      </c>
      <c r="T270" s="3">
        <v>0.92973250500000004</v>
      </c>
      <c r="U270" s="3">
        <v>1.3219817E-2</v>
      </c>
      <c r="V270" s="3">
        <v>-1.8458141720000001</v>
      </c>
      <c r="W270" s="3">
        <v>0.84974263400000005</v>
      </c>
      <c r="X270" s="3">
        <v>-1.9476474290000001</v>
      </c>
      <c r="Y270" s="3">
        <v>0.55583726200000005</v>
      </c>
      <c r="Z270" s="3">
        <v>1.239802646</v>
      </c>
      <c r="AA270" s="3">
        <v>0.58525191899999995</v>
      </c>
      <c r="AB270" s="3">
        <v>0.73904472399999999</v>
      </c>
      <c r="AC270" s="3">
        <v>0.47459610800000002</v>
      </c>
      <c r="AD270" s="3">
        <v>1.136289119</v>
      </c>
      <c r="AE270" s="3">
        <v>0.33271702800000003</v>
      </c>
      <c r="AF270" s="3">
        <v>0.72701780800000004</v>
      </c>
      <c r="AH270" s="3">
        <v>0.83039228600000003</v>
      </c>
      <c r="AI270" s="3">
        <v>0.55187943900000003</v>
      </c>
      <c r="AJ270" s="3">
        <v>1.2841289069999999</v>
      </c>
      <c r="AK270" s="3">
        <v>0.23510400000000001</v>
      </c>
      <c r="AN270" s="3">
        <v>0.66653914000000003</v>
      </c>
      <c r="AO270" s="3">
        <v>2.2896899999999998</v>
      </c>
      <c r="AP270" s="3">
        <v>0.39466660199999998</v>
      </c>
      <c r="AQ270" s="3">
        <v>0.48178079000000001</v>
      </c>
      <c r="AR270" s="3">
        <v>1.8</v>
      </c>
      <c r="AS270" s="3">
        <v>-1.62240622</v>
      </c>
      <c r="AT270" s="3">
        <v>-1.5418673439999999</v>
      </c>
      <c r="AU270" s="86">
        <v>-0.58772028899999995</v>
      </c>
      <c r="AV270" s="86"/>
      <c r="AW270" s="86"/>
      <c r="AX270" s="86"/>
      <c r="AY270" s="86"/>
      <c r="AZ270" s="86"/>
      <c r="BA270" s="86"/>
      <c r="BB270" s="83"/>
      <c r="BC270" s="83"/>
      <c r="BD270" s="83"/>
      <c r="BE270" s="83"/>
      <c r="BF270" s="83"/>
      <c r="BG270" s="83"/>
    </row>
    <row r="271" spans="1:59" x14ac:dyDescent="0.2">
      <c r="A271" s="86" t="s">
        <v>318</v>
      </c>
      <c r="B271" s="101">
        <v>41913</v>
      </c>
      <c r="C271" s="3">
        <v>0.50289399099999998</v>
      </c>
      <c r="E271" s="3">
        <v>0.69044200099999997</v>
      </c>
      <c r="F271" s="3">
        <v>0.95905130800000005</v>
      </c>
      <c r="H271" s="3">
        <v>1.085489897</v>
      </c>
      <c r="I271" s="3">
        <v>0.53965720100000003</v>
      </c>
      <c r="J271" s="3">
        <v>1.673875429</v>
      </c>
      <c r="K271" s="3">
        <v>0.74003508500000004</v>
      </c>
      <c r="M271" s="3">
        <v>0.38658566799999999</v>
      </c>
      <c r="N271" s="3">
        <v>0.50977899599999998</v>
      </c>
      <c r="O271" s="3">
        <v>0.56422730600000004</v>
      </c>
      <c r="P271" s="3">
        <v>0.76256776100000001</v>
      </c>
      <c r="Q271" s="3">
        <v>0.920948137</v>
      </c>
      <c r="R271" s="3">
        <v>-0.31144669200000002</v>
      </c>
      <c r="S271" s="3">
        <v>3.5354499659999998</v>
      </c>
      <c r="T271" s="3">
        <v>0.93346970900000004</v>
      </c>
      <c r="U271" s="3">
        <v>0.13371427999999999</v>
      </c>
      <c r="V271" s="3">
        <v>0.10143020799999999</v>
      </c>
      <c r="W271" s="3">
        <v>0.34353096500000002</v>
      </c>
      <c r="X271" s="3">
        <v>2.1407318700000002</v>
      </c>
      <c r="Y271" s="3">
        <v>0.45785841999999999</v>
      </c>
      <c r="Z271" s="3">
        <v>0.35505460799999999</v>
      </c>
      <c r="AA271" s="3">
        <v>0.249815431</v>
      </c>
      <c r="AB271" s="3">
        <v>0.42032857499999998</v>
      </c>
      <c r="AC271" s="3">
        <v>0.76958693</v>
      </c>
      <c r="AD271" s="3">
        <v>0.83971959900000004</v>
      </c>
      <c r="AE271" s="3">
        <v>9.4687166000000003E-2</v>
      </c>
      <c r="AF271" s="3">
        <v>0.90237653900000003</v>
      </c>
      <c r="AH271" s="3">
        <v>0.71434474299999995</v>
      </c>
      <c r="AI271" s="3">
        <v>1.2702156760000001</v>
      </c>
      <c r="AJ271" s="3">
        <v>1.1649616439999999</v>
      </c>
      <c r="AK271" s="3">
        <v>0.44042799999999999</v>
      </c>
      <c r="AN271" s="3">
        <v>0.552616353</v>
      </c>
      <c r="AO271" s="3">
        <v>1.82579</v>
      </c>
      <c r="AP271" s="3">
        <v>0.48057925200000001</v>
      </c>
      <c r="AQ271" s="3">
        <v>-0.31806822099999998</v>
      </c>
      <c r="AR271" s="3">
        <v>1.8</v>
      </c>
      <c r="AS271" s="3">
        <v>2.4581843989999999</v>
      </c>
      <c r="AT271" s="3">
        <v>-2.4833983E-2</v>
      </c>
      <c r="AU271" s="86">
        <v>-0.82013561099999999</v>
      </c>
      <c r="AV271" s="86"/>
      <c r="AW271" s="86"/>
      <c r="AX271" s="86"/>
      <c r="AY271" s="86"/>
      <c r="AZ271" s="86"/>
      <c r="BA271" s="86"/>
      <c r="BB271" s="83"/>
      <c r="BC271" s="83"/>
      <c r="BD271" s="83"/>
      <c r="BE271" s="83"/>
      <c r="BF271" s="83"/>
      <c r="BG271" s="83"/>
    </row>
    <row r="272" spans="1:59" x14ac:dyDescent="0.2">
      <c r="A272" s="86" t="s">
        <v>319</v>
      </c>
      <c r="B272" s="101">
        <v>42005</v>
      </c>
      <c r="C272" s="3">
        <v>0.35868382199999999</v>
      </c>
      <c r="E272" s="3">
        <v>0.52258341799999997</v>
      </c>
      <c r="F272" s="3">
        <v>0.69197566799999999</v>
      </c>
      <c r="H272" s="3">
        <v>1.2736460700000001</v>
      </c>
      <c r="I272" s="3">
        <v>0.81021354599999995</v>
      </c>
      <c r="J272" s="3">
        <v>0.35869336200000002</v>
      </c>
      <c r="K272" s="3">
        <v>0.85837734799999998</v>
      </c>
      <c r="M272" s="3">
        <v>-0.23902568599999999</v>
      </c>
      <c r="N272" s="3">
        <v>7.7145326E-2</v>
      </c>
      <c r="O272" s="3">
        <v>0.58542957500000004</v>
      </c>
      <c r="P272" s="3">
        <v>-0.94663776399999999</v>
      </c>
      <c r="Q272" s="3">
        <v>0.61555619800000005</v>
      </c>
      <c r="R272" s="3">
        <v>1.5172192259999999</v>
      </c>
      <c r="S272" s="3">
        <v>-0.243336363</v>
      </c>
      <c r="T272" s="3">
        <v>1.5137227129999999</v>
      </c>
      <c r="U272" s="3">
        <v>-0.21470735699999999</v>
      </c>
      <c r="V272" s="3">
        <v>0.49033137399999999</v>
      </c>
      <c r="W272" s="3">
        <v>0.42744270699999998</v>
      </c>
      <c r="X272" s="3">
        <v>0.79457567699999998</v>
      </c>
      <c r="Y272" s="3">
        <v>0.56021402600000003</v>
      </c>
      <c r="Z272" s="3">
        <v>1.0758637069999999</v>
      </c>
      <c r="AA272" s="3">
        <v>0.89585285000000003</v>
      </c>
      <c r="AB272" s="3">
        <v>1.2225713949999999</v>
      </c>
      <c r="AC272" s="3">
        <v>0.55826789700000001</v>
      </c>
      <c r="AD272" s="3">
        <v>0.65181464300000003</v>
      </c>
      <c r="AE272" s="3">
        <v>0.80896891900000001</v>
      </c>
      <c r="AF272" s="3">
        <v>1.0196583880000001</v>
      </c>
      <c r="AH272" s="3">
        <v>0.80880108299999998</v>
      </c>
      <c r="AI272" s="3">
        <v>1.579920376</v>
      </c>
      <c r="AJ272" s="3">
        <v>0.44899340199999999</v>
      </c>
      <c r="AK272" s="3">
        <v>0.427261</v>
      </c>
      <c r="AN272" s="3">
        <v>0.51655923100000001</v>
      </c>
      <c r="AO272" s="3">
        <v>1.5339</v>
      </c>
      <c r="AP272" s="3">
        <v>0.74877564299999999</v>
      </c>
      <c r="AQ272" s="3">
        <v>-0.235634331</v>
      </c>
      <c r="AR272" s="3">
        <v>1.7</v>
      </c>
      <c r="AS272" s="3">
        <v>1.3475593850000001</v>
      </c>
      <c r="AT272" s="3">
        <v>0.49986798599999999</v>
      </c>
      <c r="AU272" s="86">
        <v>0.49892276699999999</v>
      </c>
      <c r="AV272" s="86"/>
      <c r="AW272" s="86"/>
      <c r="AX272" s="86"/>
      <c r="AY272" s="86"/>
      <c r="AZ272" s="86"/>
      <c r="BA272" s="86"/>
      <c r="BB272" s="83"/>
      <c r="BC272" s="83"/>
      <c r="BD272" s="83"/>
      <c r="BE272" s="83"/>
      <c r="BF272" s="83"/>
      <c r="BG272" s="83"/>
    </row>
    <row r="273" spans="1:59" x14ac:dyDescent="0.2">
      <c r="A273" s="86" t="s">
        <v>320</v>
      </c>
      <c r="B273" s="101">
        <v>42095</v>
      </c>
      <c r="C273" s="3">
        <v>0.83848481600000002</v>
      </c>
      <c r="E273" s="3">
        <v>0.519866681</v>
      </c>
      <c r="F273" s="3">
        <v>-0.54951940799999999</v>
      </c>
      <c r="H273" s="3">
        <v>1.81529995</v>
      </c>
      <c r="I273" s="3">
        <v>-0.52742190799999999</v>
      </c>
      <c r="J273" s="3">
        <v>0.684680081</v>
      </c>
      <c r="K273" s="3">
        <v>1.1475940920000001</v>
      </c>
      <c r="M273" s="3">
        <v>-0.77774397200000001</v>
      </c>
      <c r="N273" s="3">
        <v>0.46529468699999998</v>
      </c>
      <c r="O273" s="3">
        <v>0.54111587000000005</v>
      </c>
      <c r="P273" s="3">
        <v>0.35172937300000001</v>
      </c>
      <c r="Q273" s="3">
        <v>1.7348204389999999</v>
      </c>
      <c r="R273" s="3">
        <v>22.604269552000002</v>
      </c>
      <c r="S273" s="3">
        <v>-1.7657294480000001</v>
      </c>
      <c r="T273" s="3">
        <v>3.8889865000000003E-2</v>
      </c>
      <c r="U273" s="3">
        <v>0.21495007899999999</v>
      </c>
      <c r="V273" s="3">
        <v>1.548952275</v>
      </c>
      <c r="W273" s="3">
        <v>0.83787297199999999</v>
      </c>
      <c r="X273" s="3">
        <v>2.906998867</v>
      </c>
      <c r="Y273" s="3">
        <v>1.6113314009999999</v>
      </c>
      <c r="Z273" s="3">
        <v>0.54650601200000004</v>
      </c>
      <c r="AA273" s="3">
        <v>0.59573971299999995</v>
      </c>
      <c r="AB273" s="3">
        <v>-0.25680631300000001</v>
      </c>
      <c r="AC273" s="3">
        <v>0.80946030899999999</v>
      </c>
      <c r="AD273" s="3">
        <v>1.41864725</v>
      </c>
      <c r="AE273" s="3">
        <v>0.64483628199999998</v>
      </c>
      <c r="AF273" s="3">
        <v>1.6999392069999999</v>
      </c>
      <c r="AH273" s="3">
        <v>1.3786427649999999</v>
      </c>
      <c r="AI273" s="3">
        <v>0.33463493900000002</v>
      </c>
      <c r="AJ273" s="3">
        <v>0.81331362600000001</v>
      </c>
      <c r="AK273" s="3">
        <v>0.64798199999999995</v>
      </c>
      <c r="AN273" s="3">
        <v>-0.147906697</v>
      </c>
      <c r="AO273" s="3">
        <v>1.6841900000000001</v>
      </c>
      <c r="AP273" s="3">
        <v>0.72235217600000001</v>
      </c>
      <c r="AQ273" s="3">
        <v>-1.0177602530000001</v>
      </c>
      <c r="AR273" s="3">
        <v>1.9</v>
      </c>
      <c r="AS273" s="3">
        <v>1.890749754</v>
      </c>
      <c r="AT273" s="3">
        <v>-0.64391525999999999</v>
      </c>
      <c r="AU273" s="86">
        <v>1.462516779</v>
      </c>
      <c r="AV273" s="86"/>
      <c r="AW273" s="86"/>
      <c r="AX273" s="86"/>
      <c r="AY273" s="86"/>
      <c r="AZ273" s="86"/>
      <c r="BA273" s="86"/>
      <c r="BB273" s="83"/>
      <c r="BC273" s="83"/>
      <c r="BD273" s="83"/>
      <c r="BE273" s="83"/>
      <c r="BF273" s="83"/>
      <c r="BG273" s="83"/>
    </row>
    <row r="274" spans="1:59" x14ac:dyDescent="0.2">
      <c r="A274" s="86" t="s">
        <v>321</v>
      </c>
      <c r="B274" s="101">
        <v>42186</v>
      </c>
      <c r="C274" s="3">
        <v>0.17360758800000001</v>
      </c>
      <c r="E274" s="3">
        <v>0.671848114</v>
      </c>
      <c r="F274" s="3">
        <v>-0.27217208300000001</v>
      </c>
      <c r="H274" s="3">
        <v>1.4529242849999999</v>
      </c>
      <c r="I274" s="3">
        <v>0.70693694699999998</v>
      </c>
      <c r="J274" s="3">
        <v>0.46777307499999998</v>
      </c>
      <c r="K274" s="3">
        <v>1.072777012</v>
      </c>
      <c r="M274" s="3">
        <v>1.5216849690000001</v>
      </c>
      <c r="N274" s="3">
        <v>2.2686653000000001E-2</v>
      </c>
      <c r="O274" s="3">
        <v>0.74676979099999996</v>
      </c>
      <c r="P274" s="3">
        <v>-0.140479463</v>
      </c>
      <c r="Q274" s="3">
        <v>0.145293807</v>
      </c>
      <c r="R274" s="3">
        <v>-1.9815901140000001</v>
      </c>
      <c r="S274" s="3">
        <v>6.2324120949999999</v>
      </c>
      <c r="T274" s="3">
        <v>6.7190522000000003E-2</v>
      </c>
      <c r="U274" s="3">
        <v>0.38220521400000002</v>
      </c>
      <c r="V274" s="3">
        <v>8.8785116999999997E-2</v>
      </c>
      <c r="W274" s="3">
        <v>0.41966879299999998</v>
      </c>
      <c r="X274" s="3">
        <v>0.39818029199999999</v>
      </c>
      <c r="Y274" s="3">
        <v>1.3954164019999999</v>
      </c>
      <c r="Z274" s="3">
        <v>1.1634377979999999</v>
      </c>
      <c r="AA274" s="3">
        <v>0.308836534</v>
      </c>
      <c r="AB274" s="3">
        <v>0.53010106800000001</v>
      </c>
      <c r="AC274" s="3">
        <v>0.54538763499999998</v>
      </c>
      <c r="AD274" s="3">
        <v>0.78094839000000005</v>
      </c>
      <c r="AE274" s="3">
        <v>0.29763900999999998</v>
      </c>
      <c r="AF274" s="3">
        <v>1.1811180649999999</v>
      </c>
      <c r="AH274" s="3">
        <v>0.97615090800000004</v>
      </c>
      <c r="AI274" s="3">
        <v>0.67785295599999995</v>
      </c>
      <c r="AJ274" s="3">
        <v>0.58000143199999998</v>
      </c>
      <c r="AK274" s="3">
        <v>0.44514199999999998</v>
      </c>
      <c r="AN274" s="3">
        <v>0.70856637200000006</v>
      </c>
      <c r="AO274" s="3">
        <v>2.14161</v>
      </c>
      <c r="AP274" s="3">
        <v>-0.84426263300000004</v>
      </c>
      <c r="AQ274" s="3">
        <v>-0.67014953200000005</v>
      </c>
      <c r="AR274" s="3">
        <v>1.8</v>
      </c>
      <c r="AS274" s="3">
        <v>1.5237694049999999</v>
      </c>
      <c r="AT274" s="3">
        <v>-2.6160085909999999</v>
      </c>
      <c r="AU274" s="86">
        <v>2.352208911</v>
      </c>
      <c r="AV274" s="86"/>
      <c r="AW274" s="86"/>
      <c r="AX274" s="86"/>
      <c r="AY274" s="86"/>
      <c r="AZ274" s="86"/>
      <c r="BA274" s="86"/>
      <c r="BB274" s="83"/>
      <c r="BC274" s="83"/>
      <c r="BD274" s="83"/>
      <c r="BE274" s="83"/>
      <c r="BF274" s="83"/>
      <c r="BG274" s="83"/>
    </row>
    <row r="275" spans="1:59" x14ac:dyDescent="0.2">
      <c r="A275" s="86" t="s">
        <v>322</v>
      </c>
      <c r="B275" s="101">
        <v>42278</v>
      </c>
      <c r="C275" s="3">
        <v>1.082829356</v>
      </c>
      <c r="E275" s="3">
        <v>0.19108708399999999</v>
      </c>
      <c r="F275" s="3">
        <v>0.35370182900000002</v>
      </c>
      <c r="H275" s="3">
        <v>1.0965971830000001</v>
      </c>
      <c r="I275" s="3">
        <v>0.501395916</v>
      </c>
      <c r="J275" s="3">
        <v>0.30165290099999997</v>
      </c>
      <c r="K275" s="3">
        <v>0.91002971300000002</v>
      </c>
      <c r="M275" s="3">
        <v>-9.4387710000000003E-3</v>
      </c>
      <c r="N275" s="3">
        <v>0.35534361599999997</v>
      </c>
      <c r="O275" s="3">
        <v>0.38718278</v>
      </c>
      <c r="P275" s="3">
        <v>-1.6024228540000001</v>
      </c>
      <c r="Q275" s="3">
        <v>0.72612946</v>
      </c>
      <c r="R275" s="3">
        <v>2.2840738100000002</v>
      </c>
      <c r="S275" s="3">
        <v>-0.80590505300000004</v>
      </c>
      <c r="T275" s="3">
        <v>0.109239542</v>
      </c>
      <c r="U275" s="3">
        <v>0.22837248399999999</v>
      </c>
      <c r="V275" s="3">
        <v>0.109335745</v>
      </c>
      <c r="W275" s="3">
        <v>1.513074861</v>
      </c>
      <c r="X275" s="3">
        <v>-0.99577660899999998</v>
      </c>
      <c r="Y275" s="3">
        <v>0.81166468400000003</v>
      </c>
      <c r="Z275" s="3">
        <v>1.2530257339999999</v>
      </c>
      <c r="AA275" s="3">
        <v>0.34295192600000002</v>
      </c>
      <c r="AB275" s="3">
        <v>1.1717645059999999</v>
      </c>
      <c r="AC275" s="3">
        <v>0.52460840900000005</v>
      </c>
      <c r="AD275" s="3">
        <v>1.2739392860000001</v>
      </c>
      <c r="AE275" s="3">
        <v>0.113767651</v>
      </c>
      <c r="AF275" s="3">
        <v>1.1247728159999999</v>
      </c>
      <c r="AH275" s="3">
        <v>1.402919893</v>
      </c>
      <c r="AI275" s="3">
        <v>1.0679662759999999</v>
      </c>
      <c r="AJ275" s="3">
        <v>0.323372673</v>
      </c>
      <c r="AK275" s="3">
        <v>0.43703599999999998</v>
      </c>
      <c r="AN275" s="3">
        <v>0.62397201700000005</v>
      </c>
      <c r="AO275" s="3">
        <v>1.84626</v>
      </c>
      <c r="AP275" s="3">
        <v>0.45042400900000001</v>
      </c>
      <c r="AQ275" s="3">
        <v>0.19352244399999999</v>
      </c>
      <c r="AR275" s="3">
        <v>1.7</v>
      </c>
      <c r="AS275" s="3">
        <v>1.401513902</v>
      </c>
      <c r="AT275" s="3">
        <v>-1.504456579</v>
      </c>
      <c r="AU275" s="86">
        <v>-7.3229084999999999E-2</v>
      </c>
      <c r="AV275" s="86"/>
      <c r="AW275" s="86"/>
      <c r="AX275" s="86"/>
      <c r="AY275" s="86"/>
      <c r="AZ275" s="86"/>
      <c r="BA275" s="86"/>
      <c r="BB275" s="83"/>
      <c r="BC275" s="83"/>
      <c r="BD275" s="83"/>
      <c r="BE275" s="83"/>
      <c r="BF275" s="83"/>
      <c r="BG275" s="83"/>
    </row>
    <row r="276" spans="1:59" x14ac:dyDescent="0.2">
      <c r="A276" s="86" t="s">
        <v>323</v>
      </c>
      <c r="B276" s="101">
        <v>42370</v>
      </c>
      <c r="C276" s="3">
        <v>0.56957092899999995</v>
      </c>
      <c r="E276" s="3">
        <v>0.41690626800000002</v>
      </c>
      <c r="F276" s="3">
        <v>7.4877375999999995E-2</v>
      </c>
      <c r="H276" s="3">
        <v>0.64299632500000004</v>
      </c>
      <c r="I276" s="3">
        <v>0.42905977699999998</v>
      </c>
      <c r="J276" s="3">
        <v>0.22282512400000001</v>
      </c>
      <c r="K276" s="3">
        <v>0.96906241500000001</v>
      </c>
      <c r="M276" s="3">
        <v>0.56071590400000004</v>
      </c>
      <c r="N276" s="3">
        <v>0.139098414</v>
      </c>
      <c r="O276" s="3">
        <v>0.65616029099999995</v>
      </c>
      <c r="P276" s="3">
        <v>1.1284365519999999</v>
      </c>
      <c r="Q276" s="3">
        <v>1.092078393</v>
      </c>
      <c r="R276" s="3">
        <v>2.3341627749999998</v>
      </c>
      <c r="S276" s="3">
        <v>1.623472577</v>
      </c>
      <c r="T276" s="3">
        <v>0.82274322</v>
      </c>
      <c r="U276" s="3">
        <v>0.53568205499999999</v>
      </c>
      <c r="V276" s="3">
        <v>-9.3250660999999999E-2</v>
      </c>
      <c r="W276" s="3">
        <v>0.65931548799999995</v>
      </c>
      <c r="X276" s="3">
        <v>1.6186170849999999</v>
      </c>
      <c r="Y276" s="3">
        <v>-0.13931832</v>
      </c>
      <c r="Z276" s="3">
        <v>-0.26103737999999999</v>
      </c>
      <c r="AA276" s="3">
        <v>1.5287607E-2</v>
      </c>
      <c r="AB276" s="3">
        <v>-0.87813924899999996</v>
      </c>
      <c r="AC276" s="3">
        <v>0.31450229800000001</v>
      </c>
      <c r="AD276" s="3">
        <v>1.237785117</v>
      </c>
      <c r="AE276" s="3">
        <v>0.47925993700000002</v>
      </c>
      <c r="AF276" s="3">
        <v>0.73953220799999997</v>
      </c>
      <c r="AH276" s="3">
        <v>0.74584268200000003</v>
      </c>
      <c r="AI276" s="3">
        <v>1.078187341</v>
      </c>
      <c r="AJ276" s="3">
        <v>0.14623434699999999</v>
      </c>
      <c r="AK276" s="3">
        <v>0.47174500000000003</v>
      </c>
      <c r="AN276" s="3">
        <v>0.39272922300000002</v>
      </c>
      <c r="AO276" s="3">
        <v>2.0327500000000001</v>
      </c>
      <c r="AP276" s="3">
        <v>0.433466201</v>
      </c>
      <c r="AQ276" s="3">
        <v>-0.25767536699999999</v>
      </c>
      <c r="AR276" s="3">
        <v>1.6</v>
      </c>
      <c r="AS276" s="3">
        <v>1.166866867</v>
      </c>
      <c r="AT276" s="3">
        <v>-0.78324414399999998</v>
      </c>
      <c r="AU276" s="86">
        <v>-1.120988718</v>
      </c>
      <c r="AV276" s="86"/>
      <c r="AW276" s="86"/>
      <c r="AX276" s="86"/>
      <c r="AY276" s="86"/>
      <c r="AZ276" s="86"/>
      <c r="BA276" s="86"/>
      <c r="BB276" s="83"/>
      <c r="BC276" s="83"/>
      <c r="BD276" s="83"/>
      <c r="BE276" s="83"/>
      <c r="BF276" s="83"/>
      <c r="BG276" s="83"/>
    </row>
    <row r="277" spans="1:59" x14ac:dyDescent="0.2">
      <c r="A277" s="86" t="s">
        <v>324</v>
      </c>
      <c r="B277" s="101">
        <v>42461</v>
      </c>
      <c r="C277" s="3">
        <v>0.83424107999999997</v>
      </c>
      <c r="E277" s="3">
        <v>5.7265569000000002E-2</v>
      </c>
      <c r="F277" s="3">
        <v>0.54850083999999999</v>
      </c>
      <c r="H277" s="3">
        <v>0.16334534000000001</v>
      </c>
      <c r="I277" s="3">
        <v>0.81722940200000005</v>
      </c>
      <c r="J277" s="3">
        <v>1.152059046</v>
      </c>
      <c r="K277" s="3">
        <v>0.67765105400000003</v>
      </c>
      <c r="M277" s="3">
        <v>1.233455365</v>
      </c>
      <c r="N277" s="3">
        <v>0.61543994599999996</v>
      </c>
      <c r="O277" s="3">
        <v>0.19905709799999999</v>
      </c>
      <c r="P277" s="3">
        <v>-0.58198619500000004</v>
      </c>
      <c r="Q277" s="3">
        <v>-0.57846809600000004</v>
      </c>
      <c r="R277" s="3">
        <v>-3.7257686780000001</v>
      </c>
      <c r="S277" s="3">
        <v>-2.9645559889999999</v>
      </c>
      <c r="T277" s="3">
        <v>0.938403027</v>
      </c>
      <c r="U277" s="3">
        <v>0.29164931199999999</v>
      </c>
      <c r="V277" s="3">
        <v>0.71676588900000004</v>
      </c>
      <c r="W277" s="3">
        <v>0.30727754299999999</v>
      </c>
      <c r="X277" s="3">
        <v>1.1349861590000001</v>
      </c>
      <c r="Y277" s="3">
        <v>1.628354179</v>
      </c>
      <c r="Z277" s="3">
        <v>0.57989068200000005</v>
      </c>
      <c r="AA277" s="3">
        <v>0.920561776</v>
      </c>
      <c r="AB277" s="3">
        <v>0.90425306900000002</v>
      </c>
      <c r="AC277" s="3">
        <v>0.53331386199999997</v>
      </c>
      <c r="AD277" s="3">
        <v>-0.29376580699999999</v>
      </c>
      <c r="AE277" s="3">
        <v>0.46678752499999998</v>
      </c>
      <c r="AF277" s="3">
        <v>0.14849562299999999</v>
      </c>
      <c r="AH277" s="3">
        <v>-5.3143100999999998E-2</v>
      </c>
      <c r="AI277" s="3">
        <v>1.184209244</v>
      </c>
      <c r="AJ277" s="3">
        <v>0.58917986899999997</v>
      </c>
      <c r="AK277" s="3">
        <v>0.53545200000000004</v>
      </c>
      <c r="AN277" s="3">
        <v>0.456421676</v>
      </c>
      <c r="AO277" s="3">
        <v>2.9028200000000002</v>
      </c>
      <c r="AP277" s="3">
        <v>0.23886475900000001</v>
      </c>
      <c r="AQ277" s="3">
        <v>0.19006200100000001</v>
      </c>
      <c r="AR277" s="3">
        <v>1.6</v>
      </c>
      <c r="AS277" s="3">
        <v>0.36153796799999999</v>
      </c>
      <c r="AT277" s="3">
        <v>-1.5870664130000001</v>
      </c>
      <c r="AU277" s="86">
        <v>-0.92189638699999998</v>
      </c>
      <c r="AV277" s="86"/>
      <c r="AW277" s="86"/>
      <c r="AX277" s="86"/>
      <c r="AY277" s="86"/>
      <c r="AZ277" s="86"/>
      <c r="BA277" s="86"/>
      <c r="BB277" s="83"/>
      <c r="BC277" s="83"/>
      <c r="BD277" s="83"/>
      <c r="BE277" s="83"/>
      <c r="BF277" s="83"/>
      <c r="BG277" s="83"/>
    </row>
    <row r="278" spans="1:59" x14ac:dyDescent="0.2">
      <c r="A278" s="86" t="s">
        <v>325</v>
      </c>
      <c r="B278" s="101">
        <v>42552</v>
      </c>
      <c r="C278" s="3">
        <v>0.70613653700000001</v>
      </c>
      <c r="E278" s="3">
        <v>0.54943482600000004</v>
      </c>
      <c r="F278" s="3">
        <v>-0.49171172400000002</v>
      </c>
      <c r="H278" s="3">
        <v>0.33620140100000001</v>
      </c>
      <c r="I278" s="3">
        <v>0.41391166099999999</v>
      </c>
      <c r="J278" s="3">
        <v>1.352637774</v>
      </c>
      <c r="K278" s="3">
        <v>0.41940912000000002</v>
      </c>
      <c r="M278" s="3">
        <v>0.15578057200000001</v>
      </c>
      <c r="N278" s="3">
        <v>-0.15301004900000001</v>
      </c>
      <c r="O278" s="3">
        <v>0.452700714</v>
      </c>
      <c r="P278" s="3">
        <v>-0.34934807499999998</v>
      </c>
      <c r="Q278" s="3">
        <v>1.3675069500000001</v>
      </c>
      <c r="R278" s="3">
        <v>2.01943246</v>
      </c>
      <c r="S278" s="3">
        <v>6.9798222550000002</v>
      </c>
      <c r="T278" s="3">
        <v>2.3268234529999998</v>
      </c>
      <c r="U278" s="3">
        <v>0.21124124499999999</v>
      </c>
      <c r="V278" s="3">
        <v>-0.22765233200000001</v>
      </c>
      <c r="W278" s="3">
        <v>1.146251409</v>
      </c>
      <c r="X278" s="3">
        <v>2.2789484980000001</v>
      </c>
      <c r="Y278" s="3">
        <v>-0.66431596299999995</v>
      </c>
      <c r="Z278" s="3">
        <v>0.39809902899999999</v>
      </c>
      <c r="AA278" s="3">
        <v>0.23526467500000001</v>
      </c>
      <c r="AB278" s="3">
        <v>-0.66227016800000005</v>
      </c>
      <c r="AC278" s="3">
        <v>0.34908160500000002</v>
      </c>
      <c r="AD278" s="3">
        <v>1.299752593</v>
      </c>
      <c r="AE278" s="3">
        <v>0.29956189700000002</v>
      </c>
      <c r="AF278" s="3">
        <v>0.27213154899999997</v>
      </c>
      <c r="AH278" s="3">
        <v>-2.7129951999999999E-2</v>
      </c>
      <c r="AI278" s="3">
        <v>0.86278159300000001</v>
      </c>
      <c r="AJ278" s="3">
        <v>0.30238880699999998</v>
      </c>
      <c r="AK278" s="3">
        <v>0.26972800000000002</v>
      </c>
      <c r="AN278" s="3">
        <v>0.495322963</v>
      </c>
      <c r="AO278" s="3">
        <v>1.7815099999999999</v>
      </c>
      <c r="AP278" s="3">
        <v>9.6213854000000001E-2</v>
      </c>
      <c r="AQ278" s="3">
        <v>5.3808426999999999E-2</v>
      </c>
      <c r="AR278" s="3">
        <v>1.8</v>
      </c>
      <c r="AS278" s="3">
        <v>1.4308864020000001</v>
      </c>
      <c r="AT278" s="3">
        <v>0.57468498099999998</v>
      </c>
      <c r="AU278" s="86">
        <v>-1.5750218949999999</v>
      </c>
      <c r="AV278" s="86"/>
      <c r="AW278" s="86"/>
      <c r="AX278" s="86"/>
      <c r="AY278" s="86"/>
      <c r="AZ278" s="86"/>
      <c r="BA278" s="86"/>
      <c r="BB278" s="83"/>
      <c r="BC278" s="83"/>
      <c r="BD278" s="83"/>
      <c r="BE278" s="83"/>
      <c r="BF278" s="83"/>
      <c r="BG278" s="83"/>
    </row>
    <row r="279" spans="1:59" x14ac:dyDescent="0.2">
      <c r="A279" s="86" t="s">
        <v>326</v>
      </c>
      <c r="B279" s="101">
        <v>42644</v>
      </c>
      <c r="C279" s="3">
        <v>0.146298283</v>
      </c>
      <c r="E279" s="3">
        <v>0.175503505</v>
      </c>
      <c r="F279" s="3">
        <v>1.031213682</v>
      </c>
      <c r="H279" s="3">
        <v>0.80409486900000005</v>
      </c>
      <c r="I279" s="3">
        <v>0.34351193000000002</v>
      </c>
      <c r="J279" s="3">
        <v>0.84838182900000003</v>
      </c>
      <c r="K279" s="3">
        <v>0.88706963000000005</v>
      </c>
      <c r="M279" s="3">
        <v>1.1295041290000001</v>
      </c>
      <c r="N279" s="3">
        <v>0.207126692</v>
      </c>
      <c r="O279" s="3">
        <v>0.30551625500000001</v>
      </c>
      <c r="P279" s="3">
        <v>0.49718688900000002</v>
      </c>
      <c r="Q279" s="3">
        <v>0.45134796399999999</v>
      </c>
      <c r="R279" s="3">
        <v>-1.7454238099999999</v>
      </c>
      <c r="S279" s="3">
        <v>1.748545381</v>
      </c>
      <c r="T279" s="3">
        <v>1.249971468</v>
      </c>
      <c r="U279" s="3">
        <v>0.53116276900000003</v>
      </c>
      <c r="V279" s="3">
        <v>0.191816661</v>
      </c>
      <c r="W279" s="3">
        <v>0.494029045</v>
      </c>
      <c r="X279" s="3">
        <v>1.0279371580000001</v>
      </c>
      <c r="Y279" s="3">
        <v>0.22141376400000001</v>
      </c>
      <c r="Z279" s="3">
        <v>1.039858583</v>
      </c>
      <c r="AA279" s="3">
        <v>1.1173845609999999</v>
      </c>
      <c r="AB279" s="3">
        <v>-0.86214174200000004</v>
      </c>
      <c r="AC279" s="3">
        <v>0.38371856199999999</v>
      </c>
      <c r="AD279" s="3">
        <v>0.26941303300000002</v>
      </c>
      <c r="AE279" s="3">
        <v>1.17409239</v>
      </c>
      <c r="AF279" s="3">
        <v>0.40482025199999999</v>
      </c>
      <c r="AH279" s="3">
        <v>0.397343893</v>
      </c>
      <c r="AI279" s="3">
        <v>0.92675954800000004</v>
      </c>
      <c r="AJ279" s="3">
        <v>0.60111537900000001</v>
      </c>
      <c r="AK279" s="3">
        <v>0.444102</v>
      </c>
      <c r="AN279" s="3">
        <v>0.56558911499999998</v>
      </c>
      <c r="AO279" s="3">
        <v>2.29115</v>
      </c>
      <c r="AP279" s="3">
        <v>-1.2183121999999999E-2</v>
      </c>
      <c r="AQ279" s="3">
        <v>0.10076613299999999</v>
      </c>
      <c r="AR279" s="3">
        <v>1.7</v>
      </c>
      <c r="AS279" s="3">
        <v>-2.8676734260000001</v>
      </c>
      <c r="AT279" s="3">
        <v>-0.65802279200000002</v>
      </c>
      <c r="AU279" s="86">
        <v>0.311218777</v>
      </c>
      <c r="AV279" s="86"/>
      <c r="AW279" s="86"/>
      <c r="AX279" s="86"/>
      <c r="AY279" s="86"/>
      <c r="AZ279" s="86"/>
      <c r="BA279" s="86"/>
      <c r="BB279" s="83"/>
      <c r="BC279" s="83"/>
      <c r="BD279" s="83"/>
      <c r="BE279" s="83"/>
      <c r="BF279" s="83"/>
      <c r="BG279" s="83"/>
    </row>
    <row r="280" spans="1:59" x14ac:dyDescent="0.2">
      <c r="A280" s="86" t="s">
        <v>327</v>
      </c>
      <c r="B280" s="101">
        <v>42736</v>
      </c>
      <c r="C280" s="3">
        <v>1.019761693</v>
      </c>
      <c r="E280" s="3">
        <v>0.51327701800000003</v>
      </c>
      <c r="F280" s="3">
        <v>0.56148308700000005</v>
      </c>
      <c r="H280" s="3">
        <v>0.85128584900000004</v>
      </c>
      <c r="I280" s="3">
        <v>0.31298723099999998</v>
      </c>
      <c r="J280" s="3">
        <v>0.72049697400000001</v>
      </c>
      <c r="K280" s="3">
        <v>0.46456732499999998</v>
      </c>
      <c r="M280" s="3">
        <v>0.30760216800000001</v>
      </c>
      <c r="N280" s="3">
        <v>0.52658919999999998</v>
      </c>
      <c r="O280" s="3">
        <v>0.59668049599999995</v>
      </c>
      <c r="P280" s="3">
        <v>0.44038931100000001</v>
      </c>
      <c r="Q280" s="3">
        <v>0.874417322</v>
      </c>
      <c r="R280" s="3">
        <v>12.896013349</v>
      </c>
      <c r="S280" s="3">
        <v>3.35360222</v>
      </c>
      <c r="T280" s="3">
        <v>1.0833942599999999</v>
      </c>
      <c r="U280" s="3">
        <v>0.284301951</v>
      </c>
      <c r="V280" s="3">
        <v>0.30052743199999998</v>
      </c>
      <c r="W280" s="3">
        <v>0.60212118699999995</v>
      </c>
      <c r="X280" s="3">
        <v>1.3386354469999999</v>
      </c>
      <c r="Y280" s="3">
        <v>1.187257979</v>
      </c>
      <c r="Z280" s="3">
        <v>1.0547832029999999</v>
      </c>
      <c r="AA280" s="3">
        <v>0.83741936500000003</v>
      </c>
      <c r="AB280" s="3">
        <v>2.3700124069999999</v>
      </c>
      <c r="AC280" s="3">
        <v>0.82934864799999997</v>
      </c>
      <c r="AD280" s="3">
        <v>2.2828653390000002</v>
      </c>
      <c r="AE280" s="3">
        <v>0.93197542899999997</v>
      </c>
      <c r="AF280" s="3">
        <v>0.62621076499999995</v>
      </c>
      <c r="AH280" s="3">
        <v>0.86136991600000001</v>
      </c>
      <c r="AI280" s="3">
        <v>0.36385884299999999</v>
      </c>
      <c r="AJ280" s="3">
        <v>0.49688879600000002</v>
      </c>
      <c r="AK280" s="3">
        <v>0.77044999999999997</v>
      </c>
      <c r="AN280" s="3">
        <v>0.32085865099999999</v>
      </c>
      <c r="AO280" s="3">
        <v>1.36239</v>
      </c>
      <c r="AP280" s="3">
        <v>8.4913574000000006E-2</v>
      </c>
      <c r="AQ280" s="3">
        <v>0.82521758099999998</v>
      </c>
      <c r="AR280" s="3">
        <v>1.6</v>
      </c>
      <c r="AS280" s="3">
        <v>5.5096115960000001</v>
      </c>
      <c r="AT280" s="3">
        <v>-0.15232727200000001</v>
      </c>
      <c r="AU280" s="86">
        <v>0.65298054900000002</v>
      </c>
      <c r="AV280" s="86"/>
      <c r="AW280" s="86"/>
      <c r="AX280" s="86"/>
      <c r="AY280" s="86"/>
      <c r="AZ280" s="86"/>
      <c r="BA280" s="86"/>
      <c r="BB280" s="83"/>
      <c r="BC280" s="83"/>
      <c r="BD280" s="83"/>
      <c r="BE280" s="83"/>
      <c r="BF280" s="83"/>
      <c r="BG280" s="83"/>
    </row>
    <row r="281" spans="1:59" x14ac:dyDescent="0.2">
      <c r="A281" s="86" t="s">
        <v>328</v>
      </c>
      <c r="B281" s="101">
        <v>42826</v>
      </c>
      <c r="C281" s="3">
        <v>0.23534127699999999</v>
      </c>
      <c r="E281" s="3">
        <v>0.65386572200000004</v>
      </c>
      <c r="F281" s="3">
        <v>1.08691958</v>
      </c>
      <c r="H281" s="3">
        <v>1.5355847119999999</v>
      </c>
      <c r="I281" s="3">
        <v>1.218802299</v>
      </c>
      <c r="J281" s="3">
        <v>0.65439062699999995</v>
      </c>
      <c r="K281" s="3">
        <v>0.79378965800000001</v>
      </c>
      <c r="M281" s="3">
        <v>1.171875</v>
      </c>
      <c r="N281" s="3">
        <v>0.80233684000000005</v>
      </c>
      <c r="O281" s="3">
        <v>0.49609921200000001</v>
      </c>
      <c r="P281" s="3">
        <v>-0.146969509</v>
      </c>
      <c r="Q281" s="3">
        <v>1.4755973600000001</v>
      </c>
      <c r="R281" s="3">
        <v>-5.2971096710000003</v>
      </c>
      <c r="S281" s="3">
        <v>-3.9471041160000002</v>
      </c>
      <c r="T281" s="3">
        <v>0.15078926200000001</v>
      </c>
      <c r="U281" s="3">
        <v>0.55010361900000004</v>
      </c>
      <c r="V281" s="3">
        <v>0.74664766699999996</v>
      </c>
      <c r="W281" s="3">
        <v>0.96244083499999999</v>
      </c>
      <c r="X281" s="3">
        <v>-1.658470771</v>
      </c>
      <c r="Y281" s="3">
        <v>1.302459928</v>
      </c>
      <c r="Z281" s="3">
        <v>0.47997794700000002</v>
      </c>
      <c r="AA281" s="3">
        <v>0.51737801900000002</v>
      </c>
      <c r="AB281" s="3">
        <v>0.67828763299999995</v>
      </c>
      <c r="AC281" s="3">
        <v>0.62521755800000001</v>
      </c>
      <c r="AD281" s="3">
        <v>0.94827806199999998</v>
      </c>
      <c r="AE281" s="3">
        <v>1.170816047</v>
      </c>
      <c r="AF281" s="3">
        <v>0.83167565700000001</v>
      </c>
      <c r="AH281" s="3">
        <v>0.44747836400000002</v>
      </c>
      <c r="AI281" s="3">
        <v>1.030611191</v>
      </c>
      <c r="AJ281" s="3">
        <v>0.47193104200000002</v>
      </c>
      <c r="AK281" s="3">
        <v>0.68848799999999999</v>
      </c>
      <c r="AN281" s="3">
        <v>0.172687919</v>
      </c>
      <c r="AO281" s="3">
        <v>0.79986000000000002</v>
      </c>
      <c r="AP281" s="3">
        <v>0.47212569100000001</v>
      </c>
      <c r="AQ281" s="3">
        <v>0.201805652</v>
      </c>
      <c r="AR281" s="3">
        <v>1.8</v>
      </c>
      <c r="AS281" s="3">
        <v>1.368865306</v>
      </c>
      <c r="AT281" s="3">
        <v>1.119380883</v>
      </c>
      <c r="AU281" s="86">
        <v>0.87168599899999999</v>
      </c>
      <c r="AV281" s="86"/>
      <c r="AW281" s="86"/>
      <c r="AX281" s="86"/>
      <c r="AY281" s="86"/>
      <c r="AZ281" s="86"/>
      <c r="BA281" s="86"/>
      <c r="BB281" s="83"/>
      <c r="BC281" s="83"/>
      <c r="BD281" s="83"/>
      <c r="BE281" s="83"/>
      <c r="BF281" s="83"/>
      <c r="BG281" s="83"/>
    </row>
    <row r="282" spans="1:59" x14ac:dyDescent="0.2">
      <c r="A282" s="86" t="s">
        <v>329</v>
      </c>
      <c r="B282" s="101">
        <v>42917</v>
      </c>
      <c r="C282" s="3">
        <v>0.66458969000000001</v>
      </c>
      <c r="E282" s="3">
        <v>0.24337277199999999</v>
      </c>
      <c r="F282" s="3">
        <v>1.0230442129999999</v>
      </c>
      <c r="H282" s="3">
        <v>2.8172173969999998</v>
      </c>
      <c r="I282" s="3">
        <v>0.780268505</v>
      </c>
      <c r="J282" s="3">
        <v>1.1177776779999999</v>
      </c>
      <c r="K282" s="3">
        <v>1.073786986</v>
      </c>
      <c r="M282" s="3">
        <v>0.98870566199999999</v>
      </c>
      <c r="N282" s="3">
        <v>0.83084654999999996</v>
      </c>
      <c r="O282" s="3">
        <v>0.29292067199999999</v>
      </c>
      <c r="P282" s="3">
        <v>0.81195138499999997</v>
      </c>
      <c r="Q282" s="3">
        <v>1.2009727029999999</v>
      </c>
      <c r="R282" s="3">
        <v>3.8017406880000002</v>
      </c>
      <c r="S282" s="3">
        <v>3.5299654579999999</v>
      </c>
      <c r="T282" s="3">
        <v>1.440202827</v>
      </c>
      <c r="U282" s="3">
        <v>0.40253590099999997</v>
      </c>
      <c r="V282" s="3">
        <v>0.247945205</v>
      </c>
      <c r="W282" s="3">
        <v>0.67128347899999996</v>
      </c>
      <c r="X282" s="3">
        <v>0.42605732899999998</v>
      </c>
      <c r="Y282" s="3">
        <v>0.86648283699999995</v>
      </c>
      <c r="Z282" s="3">
        <v>0.34995137799999998</v>
      </c>
      <c r="AA282" s="3">
        <v>0.87906757300000005</v>
      </c>
      <c r="AB282" s="3">
        <v>0.74543883499999997</v>
      </c>
      <c r="AC282" s="3">
        <v>0.71221852399999996</v>
      </c>
      <c r="AD282" s="3">
        <v>0.85574899100000001</v>
      </c>
      <c r="AE282" s="3">
        <v>0.50524784899999997</v>
      </c>
      <c r="AF282" s="3">
        <v>0.94297979700000001</v>
      </c>
      <c r="AH282" s="3">
        <v>1.213843464</v>
      </c>
      <c r="AI282" s="3">
        <v>1.0630279540000001</v>
      </c>
      <c r="AJ282" s="3">
        <v>0.55976482299999997</v>
      </c>
      <c r="AK282" s="3">
        <v>0.81742099999999995</v>
      </c>
      <c r="AN282" s="3">
        <v>0.31518087099999997</v>
      </c>
      <c r="AO282" s="3">
        <v>2.0440900000000002</v>
      </c>
      <c r="AP282" s="3">
        <v>0.54530292599999997</v>
      </c>
      <c r="AQ282" s="3">
        <v>0.690515031</v>
      </c>
      <c r="AR282" s="3">
        <v>1.8</v>
      </c>
      <c r="AS282" s="3">
        <v>2.2803188200000002</v>
      </c>
      <c r="AT282" s="3">
        <v>0.72903608600000003</v>
      </c>
      <c r="AU282" s="86">
        <v>1.038779189</v>
      </c>
      <c r="AV282" s="86"/>
      <c r="AW282" s="86"/>
      <c r="AX282" s="86"/>
      <c r="AY282" s="86"/>
      <c r="AZ282" s="86"/>
      <c r="BA282" s="86"/>
      <c r="BB282" s="83"/>
      <c r="BC282" s="83"/>
      <c r="BD282" s="83"/>
      <c r="BE282" s="83"/>
      <c r="BF282" s="83"/>
      <c r="BG282" s="83"/>
    </row>
    <row r="283" spans="1:59" x14ac:dyDescent="0.2">
      <c r="A283" s="86" t="s">
        <v>330</v>
      </c>
      <c r="B283" s="101">
        <v>43009</v>
      </c>
      <c r="C283" s="3">
        <v>1.0673017359999999</v>
      </c>
      <c r="E283" s="3">
        <v>-5.6026593999999999E-2</v>
      </c>
      <c r="F283" s="3">
        <v>0.42187302100000001</v>
      </c>
      <c r="H283" s="3">
        <v>0.56477396300000005</v>
      </c>
      <c r="I283" s="3">
        <v>0.87937751600000003</v>
      </c>
      <c r="J283" s="3">
        <v>-0.36677410100000002</v>
      </c>
      <c r="K283" s="3">
        <v>0.57728099600000005</v>
      </c>
      <c r="M283" s="3">
        <v>0.394826169</v>
      </c>
      <c r="N283" s="3">
        <v>0.64739063600000002</v>
      </c>
      <c r="O283" s="3">
        <v>0.42340918300000002</v>
      </c>
      <c r="P283" s="3">
        <v>0.81524771699999998</v>
      </c>
      <c r="Q283" s="3">
        <v>0.81538208999999995</v>
      </c>
      <c r="R283" s="3">
        <v>2.424140119</v>
      </c>
      <c r="S283" s="3">
        <v>-0.39925686500000002</v>
      </c>
      <c r="T283" s="3">
        <v>1.51233719</v>
      </c>
      <c r="U283" s="3">
        <v>0.411001485</v>
      </c>
      <c r="V283" s="3">
        <v>0.79166268100000003</v>
      </c>
      <c r="W283" s="3">
        <v>1.482113673</v>
      </c>
      <c r="X283" s="3">
        <v>1.6768916089999999</v>
      </c>
      <c r="Y283" s="3">
        <v>0.543011719</v>
      </c>
      <c r="Z283" s="3">
        <v>-0.309813793</v>
      </c>
      <c r="AA283" s="3">
        <v>0.72740721699999999</v>
      </c>
      <c r="AB283" s="3">
        <v>0.73194985000000001</v>
      </c>
      <c r="AC283" s="3">
        <v>0.72880910300000001</v>
      </c>
      <c r="AD283" s="3">
        <v>1.1579256819999999</v>
      </c>
      <c r="AE283" s="3">
        <v>0.69498998999999995</v>
      </c>
      <c r="AF283" s="3">
        <v>0.795882486</v>
      </c>
      <c r="AH283" s="3">
        <v>1.1094676960000001</v>
      </c>
      <c r="AI283" s="3">
        <v>0.96744985500000003</v>
      </c>
      <c r="AJ283" s="3">
        <v>0.71914999099999999</v>
      </c>
      <c r="AK283" s="3">
        <v>0.69295399999999996</v>
      </c>
      <c r="AN283" s="3">
        <v>0.64751725800000004</v>
      </c>
      <c r="AO283" s="3">
        <v>1.6615800000000001</v>
      </c>
      <c r="AP283" s="3">
        <v>0.18389597199999999</v>
      </c>
      <c r="AQ283" s="3">
        <v>0.67943519799999996</v>
      </c>
      <c r="AR283" s="3">
        <v>1.6</v>
      </c>
      <c r="AS283" s="3">
        <v>1.5159185209999999</v>
      </c>
      <c r="AT283" s="3">
        <v>0.289334657</v>
      </c>
      <c r="AU283" s="86">
        <v>1.2252821629999999</v>
      </c>
      <c r="AV283" s="86"/>
      <c r="AW283" s="86"/>
      <c r="AX283" s="86"/>
      <c r="AY283" s="86"/>
      <c r="AZ283" s="86"/>
      <c r="BA283" s="86"/>
      <c r="BB283" s="83"/>
      <c r="BC283" s="83"/>
      <c r="BD283" s="83"/>
      <c r="BE283" s="83"/>
      <c r="BF283" s="83"/>
      <c r="BG283" s="83"/>
    </row>
    <row r="284" spans="1:59" x14ac:dyDescent="0.2">
      <c r="A284" s="86" t="s">
        <v>331</v>
      </c>
      <c r="B284" s="101">
        <v>43101</v>
      </c>
      <c r="C284" s="3">
        <v>0.46429847000000002</v>
      </c>
      <c r="E284" s="3">
        <v>0.78014051900000003</v>
      </c>
      <c r="F284" s="3">
        <v>0.51799067899999995</v>
      </c>
      <c r="H284" s="3">
        <v>0.86600868200000003</v>
      </c>
      <c r="I284" s="3">
        <v>0.80537773800000001</v>
      </c>
      <c r="J284" s="3">
        <v>0.75496244999999995</v>
      </c>
      <c r="K284" s="3">
        <v>0.62554452000000005</v>
      </c>
      <c r="M284" s="3">
        <v>0.85238900299999998</v>
      </c>
      <c r="N284" s="3">
        <v>0.83553857099999995</v>
      </c>
      <c r="O284" s="3">
        <v>0.35500211399999998</v>
      </c>
      <c r="P284" s="3">
        <v>-0.35195157199999999</v>
      </c>
      <c r="Q284" s="3">
        <v>1.4360722850000001</v>
      </c>
      <c r="R284" s="3">
        <v>6.24710184</v>
      </c>
      <c r="S284" s="3">
        <v>3.1482139560000002</v>
      </c>
      <c r="T284" s="3">
        <v>1.4160449159999999</v>
      </c>
      <c r="U284" s="3">
        <v>0.56426753299999999</v>
      </c>
      <c r="V284" s="3">
        <v>0.41313977899999998</v>
      </c>
      <c r="W284" s="3">
        <v>-0.26575232700000001</v>
      </c>
      <c r="X284" s="3">
        <v>0.998686874</v>
      </c>
      <c r="Y284" s="3">
        <v>0.52631797400000002</v>
      </c>
      <c r="Z284" s="3">
        <v>1.259218194</v>
      </c>
      <c r="AA284" s="3">
        <v>0.78173193799999996</v>
      </c>
      <c r="AB284" s="3">
        <v>-0.208739703</v>
      </c>
      <c r="AC284" s="3">
        <v>0.83013195399999995</v>
      </c>
      <c r="AD284" s="3">
        <v>1.74566921</v>
      </c>
      <c r="AE284" s="3">
        <v>0.82544668200000004</v>
      </c>
      <c r="AF284" s="3">
        <v>1.105399646</v>
      </c>
      <c r="AH284" s="3">
        <v>0.14845689300000001</v>
      </c>
      <c r="AI284" s="3">
        <v>0.84098101999999997</v>
      </c>
      <c r="AJ284" s="3">
        <v>0.94039983800000004</v>
      </c>
      <c r="AK284" s="3">
        <v>0.88004400000000005</v>
      </c>
      <c r="AN284" s="3">
        <v>1.063181846</v>
      </c>
      <c r="AO284" s="3">
        <v>1.87721</v>
      </c>
      <c r="AP284" s="3">
        <v>0.39336109899999999</v>
      </c>
      <c r="AQ284" s="3">
        <v>2.1038896000000001E-2</v>
      </c>
      <c r="AR284" s="3">
        <v>1.5</v>
      </c>
      <c r="AS284" s="3">
        <v>1.882761165</v>
      </c>
      <c r="AT284" s="3">
        <v>0.43029738499999998</v>
      </c>
      <c r="AU284" s="86">
        <v>1.1057664570000001</v>
      </c>
      <c r="AV284" s="86"/>
      <c r="AW284" s="86"/>
      <c r="AX284" s="86"/>
      <c r="AY284" s="86"/>
      <c r="AZ284" s="86"/>
      <c r="BA284" s="86"/>
      <c r="BB284" s="83"/>
      <c r="BC284" s="83"/>
      <c r="BD284" s="83"/>
      <c r="BE284" s="83"/>
      <c r="BF284" s="83"/>
      <c r="BG284" s="83"/>
    </row>
    <row r="285" spans="1:59" x14ac:dyDescent="0.2">
      <c r="A285" s="86" t="s">
        <v>332</v>
      </c>
      <c r="B285" s="101">
        <v>43191</v>
      </c>
      <c r="C285" s="3">
        <v>0.84710465599999996</v>
      </c>
      <c r="E285" s="3">
        <v>0.41347214599999998</v>
      </c>
      <c r="F285" s="3">
        <v>0.65709378799999996</v>
      </c>
      <c r="H285" s="3">
        <v>0.49011805400000003</v>
      </c>
      <c r="I285" s="3">
        <v>-0.43237680299999998</v>
      </c>
      <c r="J285" s="3">
        <v>0.51205513599999997</v>
      </c>
      <c r="K285" s="3">
        <v>0.37784204100000002</v>
      </c>
      <c r="M285" s="3">
        <v>6.8814624000000005E-2</v>
      </c>
      <c r="N285" s="3">
        <v>1.9862858000000001E-2</v>
      </c>
      <c r="O285" s="3">
        <v>6.9019082999999995E-2</v>
      </c>
      <c r="P285" s="3">
        <v>0.76139313099999995</v>
      </c>
      <c r="Q285" s="3">
        <v>1.876041238</v>
      </c>
      <c r="R285" s="3">
        <v>-0.16529801799999999</v>
      </c>
      <c r="S285" s="3">
        <v>0.60422431700000001</v>
      </c>
      <c r="T285" s="3">
        <v>1.1594262129999999</v>
      </c>
      <c r="U285" s="3">
        <v>9.8655189999999997E-3</v>
      </c>
      <c r="V285" s="3">
        <v>-1.9262339E-2</v>
      </c>
      <c r="W285" s="3">
        <v>1.1485185410000001</v>
      </c>
      <c r="X285" s="3">
        <v>1.494795801</v>
      </c>
      <c r="Y285" s="3">
        <v>1.014454671</v>
      </c>
      <c r="Z285" s="3">
        <v>1.181899509</v>
      </c>
      <c r="AA285" s="3">
        <v>0.39897174800000001</v>
      </c>
      <c r="AB285" s="3">
        <v>0.45914545899999998</v>
      </c>
      <c r="AC285" s="3">
        <v>0.54037515800000002</v>
      </c>
      <c r="AD285" s="3">
        <v>1.2736043130000001</v>
      </c>
      <c r="AE285" s="3">
        <v>0.72736810900000004</v>
      </c>
      <c r="AF285" s="3">
        <v>0.72305366299999996</v>
      </c>
      <c r="AH285" s="3">
        <v>0.26658525</v>
      </c>
      <c r="AI285" s="3">
        <v>0.66284735400000006</v>
      </c>
      <c r="AJ285" s="3">
        <v>0.76285403600000001</v>
      </c>
      <c r="AK285" s="3">
        <v>6.6053000000000001E-2</v>
      </c>
      <c r="AN285" s="3">
        <v>1.0756680940000001</v>
      </c>
      <c r="AO285" s="3">
        <v>2.1688499999999999</v>
      </c>
      <c r="AP285" s="3">
        <v>0.43900617800000002</v>
      </c>
      <c r="AQ285" s="3">
        <v>1.3562336260000001</v>
      </c>
      <c r="AR285" s="3">
        <v>2</v>
      </c>
      <c r="AS285" s="3">
        <v>1.4914625379999999</v>
      </c>
      <c r="AT285" s="3">
        <v>0.54939462699999997</v>
      </c>
      <c r="AU285" s="86">
        <v>-0.38724825200000002</v>
      </c>
      <c r="AV285" s="86"/>
      <c r="AW285" s="86"/>
      <c r="AX285" s="86"/>
      <c r="AY285" s="86"/>
      <c r="AZ285" s="86"/>
      <c r="BA285" s="86"/>
      <c r="BB285" s="83"/>
      <c r="BC285" s="83"/>
      <c r="BD285" s="83"/>
      <c r="BE285" s="83"/>
      <c r="BF285" s="83"/>
      <c r="BG285" s="83"/>
    </row>
    <row r="286" spans="1:59" x14ac:dyDescent="0.2">
      <c r="A286" s="86" t="s">
        <v>333</v>
      </c>
      <c r="B286" s="101">
        <v>43282</v>
      </c>
      <c r="C286" s="3">
        <v>0.83081114099999998</v>
      </c>
      <c r="E286" s="3">
        <v>0.46993435700000002</v>
      </c>
      <c r="F286" s="3">
        <v>0.64708433200000004</v>
      </c>
      <c r="H286" s="3">
        <v>0.734727931</v>
      </c>
      <c r="I286" s="3">
        <v>0.55697716399999997</v>
      </c>
      <c r="J286" s="3">
        <v>0.50259883100000002</v>
      </c>
      <c r="K286" s="3">
        <v>0.586193572</v>
      </c>
      <c r="M286" s="3">
        <v>-2.4685697999999999E-2</v>
      </c>
      <c r="N286" s="3">
        <v>0.36167827200000002</v>
      </c>
      <c r="O286" s="3">
        <v>0.38263196700000002</v>
      </c>
      <c r="P286" s="3">
        <v>0.208714855</v>
      </c>
      <c r="Q286" s="3">
        <v>1.073153604</v>
      </c>
      <c r="R286" s="3">
        <v>3.52993822</v>
      </c>
      <c r="S286" s="3">
        <v>1.8792319179999999</v>
      </c>
      <c r="T286" s="3">
        <v>0.28867569799999998</v>
      </c>
      <c r="U286" s="3">
        <v>-1.7007036E-2</v>
      </c>
      <c r="V286" s="3">
        <v>4.4618010999999999E-2</v>
      </c>
      <c r="W286" s="3">
        <v>0.63360855100000002</v>
      </c>
      <c r="X286" s="3">
        <v>-0.74191134999999997</v>
      </c>
      <c r="Y286" s="3">
        <v>1.775280797</v>
      </c>
      <c r="Z286" s="3">
        <v>3.8909697E-2</v>
      </c>
      <c r="AA286" s="3">
        <v>0.62600515800000001</v>
      </c>
      <c r="AB286" s="3">
        <v>0.16321494</v>
      </c>
      <c r="AC286" s="3">
        <v>0.59587850399999998</v>
      </c>
      <c r="AD286" s="3">
        <v>1.2698908019999999</v>
      </c>
      <c r="AE286" s="3">
        <v>0.77953652299999998</v>
      </c>
      <c r="AF286" s="3">
        <v>1.087857742</v>
      </c>
      <c r="AH286" s="3">
        <v>0.87896290600000004</v>
      </c>
      <c r="AI286" s="3">
        <v>1.153712759</v>
      </c>
      <c r="AJ286" s="3">
        <v>0.83391090899999998</v>
      </c>
      <c r="AK286" s="3">
        <v>0.50512400000000002</v>
      </c>
      <c r="AN286" s="3">
        <v>0.92108435300000002</v>
      </c>
      <c r="AO286" s="3">
        <v>1.3220499999999999</v>
      </c>
      <c r="AP286" s="3">
        <v>-0.134146881</v>
      </c>
      <c r="AQ286" s="3">
        <v>0.55809545299999996</v>
      </c>
      <c r="AR286" s="3">
        <v>1.6</v>
      </c>
      <c r="AS286" s="3">
        <v>0.50844589500000004</v>
      </c>
      <c r="AT286" s="3">
        <v>0.16616619199999999</v>
      </c>
      <c r="AU286" s="86">
        <v>-4.6814343359999997</v>
      </c>
      <c r="AV286" s="86"/>
      <c r="AW286" s="86"/>
      <c r="AX286" s="86"/>
      <c r="AY286" s="86"/>
      <c r="AZ286" s="86"/>
      <c r="BA286" s="86"/>
      <c r="BB286" s="83"/>
      <c r="BC286" s="83"/>
      <c r="BD286" s="83"/>
      <c r="BE286" s="83"/>
      <c r="BF286" s="83"/>
      <c r="BG286" s="83"/>
    </row>
    <row r="287" spans="1:59" x14ac:dyDescent="0.2">
      <c r="A287" s="86" t="s">
        <v>334</v>
      </c>
      <c r="B287" s="101">
        <v>43374</v>
      </c>
      <c r="C287" s="3">
        <v>0.53393298199999994</v>
      </c>
      <c r="E287" s="3">
        <v>0.34551836899999999</v>
      </c>
      <c r="F287" s="3">
        <v>0.68430902900000001</v>
      </c>
      <c r="H287" s="3">
        <v>0.61144011899999995</v>
      </c>
      <c r="I287" s="3">
        <v>-0.42245680400000002</v>
      </c>
      <c r="J287" s="3">
        <v>0.60213307800000004</v>
      </c>
      <c r="K287" s="3">
        <v>0.51760508999999999</v>
      </c>
      <c r="M287" s="3">
        <v>-7.7602779999999996E-2</v>
      </c>
      <c r="N287" s="3">
        <v>0.434971422</v>
      </c>
      <c r="O287" s="3">
        <v>0.59647283500000003</v>
      </c>
      <c r="P287" s="3">
        <v>9.0628873999999998E-2</v>
      </c>
      <c r="Q287" s="3">
        <v>1.154578951</v>
      </c>
      <c r="R287" s="3">
        <v>-1.5442522299999999</v>
      </c>
      <c r="S287" s="3">
        <v>-1.059301018</v>
      </c>
      <c r="T287" s="3">
        <v>0.850000953</v>
      </c>
      <c r="U287" s="3">
        <v>7.1204353999999997E-2</v>
      </c>
      <c r="V287" s="3">
        <v>-0.67217525899999997</v>
      </c>
      <c r="W287" s="3">
        <v>0.688281747</v>
      </c>
      <c r="X287" s="3">
        <v>0.77643280199999998</v>
      </c>
      <c r="Y287" s="3">
        <v>1.3754623669999999</v>
      </c>
      <c r="Z287" s="3">
        <v>0.31047283799999997</v>
      </c>
      <c r="AA287" s="3">
        <v>0.28702064500000002</v>
      </c>
      <c r="AB287" s="3">
        <v>0.68535418599999998</v>
      </c>
      <c r="AC287" s="3">
        <v>0.21522213500000001</v>
      </c>
      <c r="AD287" s="3">
        <v>1.45223529</v>
      </c>
      <c r="AE287" s="3">
        <v>0.52572394200000006</v>
      </c>
      <c r="AF287" s="3">
        <v>0.95176376200000001</v>
      </c>
      <c r="AH287" s="3">
        <v>-0.39772280500000001</v>
      </c>
      <c r="AI287" s="3">
        <v>0.40312269499999998</v>
      </c>
      <c r="AJ287" s="3">
        <v>0.481952559</v>
      </c>
      <c r="AK287" s="3">
        <v>7.3769000000000001E-2</v>
      </c>
      <c r="AN287" s="3">
        <v>-0.19585664899999999</v>
      </c>
      <c r="AO287" s="3">
        <v>1.409</v>
      </c>
      <c r="AP287" s="3">
        <v>1.096245511</v>
      </c>
      <c r="AQ287" s="3">
        <v>0.24126583400000001</v>
      </c>
      <c r="AR287" s="3">
        <v>1.3</v>
      </c>
      <c r="AS287" s="3">
        <v>-1.5905484480000001</v>
      </c>
      <c r="AT287" s="3">
        <v>0.848845242</v>
      </c>
      <c r="AU287" s="86">
        <v>-0.102073763</v>
      </c>
      <c r="AV287" s="86"/>
      <c r="AW287" s="86"/>
      <c r="AX287" s="86"/>
      <c r="AY287" s="86"/>
      <c r="AZ287" s="86"/>
      <c r="BA287" s="86"/>
      <c r="BB287" s="83"/>
      <c r="BC287" s="83"/>
      <c r="BD287" s="83"/>
      <c r="BE287" s="83"/>
      <c r="BF287" s="83"/>
      <c r="BG287" s="83"/>
    </row>
    <row r="288" spans="1:59" x14ac:dyDescent="0.2">
      <c r="A288" s="86" t="s">
        <v>335</v>
      </c>
      <c r="B288" s="101">
        <v>43466</v>
      </c>
      <c r="C288" s="3">
        <v>0.14321724399999999</v>
      </c>
      <c r="E288" s="3">
        <v>0.87730544499999996</v>
      </c>
      <c r="F288" s="3">
        <v>0.27643673499999999</v>
      </c>
      <c r="H288" s="3">
        <v>0.69801249799999998</v>
      </c>
      <c r="I288" s="3">
        <v>0.38653663199999999</v>
      </c>
      <c r="J288" s="3">
        <v>0.49934343599999997</v>
      </c>
      <c r="K288" s="3">
        <v>0.67498396100000002</v>
      </c>
      <c r="M288" s="3">
        <v>0.187097344</v>
      </c>
      <c r="N288" s="3">
        <v>0.661661634</v>
      </c>
      <c r="O288" s="3">
        <v>0.166751655</v>
      </c>
      <c r="P288" s="3">
        <v>0.56164619800000004</v>
      </c>
      <c r="Q288" s="3">
        <v>1.137247159</v>
      </c>
      <c r="R288" s="3">
        <v>2.1366727430000001</v>
      </c>
      <c r="S288" s="3">
        <v>1.362119047</v>
      </c>
      <c r="T288" s="3">
        <v>0.72285828100000005</v>
      </c>
      <c r="U288" s="3">
        <v>0.218809222</v>
      </c>
      <c r="V288" s="3">
        <v>0.44566520999999998</v>
      </c>
      <c r="W288" s="3">
        <v>0.82200018100000005</v>
      </c>
      <c r="X288" s="3">
        <v>0.37384851400000002</v>
      </c>
      <c r="Y288" s="3">
        <v>0.87029566999999997</v>
      </c>
      <c r="Z288" s="3">
        <v>-0.302174779</v>
      </c>
      <c r="AA288" s="3">
        <v>0.483386704</v>
      </c>
      <c r="AB288" s="3">
        <v>0.148865779</v>
      </c>
      <c r="AC288" s="3">
        <v>0.25069659399999999</v>
      </c>
      <c r="AD288" s="3">
        <v>0.84575586000000003</v>
      </c>
      <c r="AE288" s="3">
        <v>0.60899499199999996</v>
      </c>
      <c r="AF288" s="3">
        <v>0.50028382199999999</v>
      </c>
      <c r="AH288" s="3">
        <v>1.34906014</v>
      </c>
      <c r="AI288" s="3">
        <v>1.100270954</v>
      </c>
      <c r="AJ288" s="3">
        <v>0.22314183500000001</v>
      </c>
      <c r="AK288" s="3">
        <v>0.53893899999999995</v>
      </c>
      <c r="AN288" s="3">
        <v>0.188723586</v>
      </c>
      <c r="AO288" s="3">
        <v>1.5560799999999999</v>
      </c>
      <c r="AP288" s="3">
        <v>0.28418581300000001</v>
      </c>
      <c r="AQ288" s="3">
        <v>0.66387083999999996</v>
      </c>
      <c r="AR288" s="3">
        <v>1.3</v>
      </c>
      <c r="AS288" s="3">
        <v>-2.9894645959999999</v>
      </c>
      <c r="AT288" s="3">
        <v>-0.33974079299999999</v>
      </c>
      <c r="AU288" s="86">
        <v>-1.3093883420000001</v>
      </c>
      <c r="AV288" s="86"/>
      <c r="AW288" s="86"/>
      <c r="AX288" s="86"/>
      <c r="AY288" s="86"/>
      <c r="AZ288" s="86"/>
      <c r="BA288" s="86"/>
      <c r="BB288" s="83"/>
      <c r="BC288" s="83"/>
      <c r="BD288" s="83"/>
      <c r="BE288" s="83"/>
      <c r="BF288" s="83"/>
      <c r="BG288" s="83"/>
    </row>
    <row r="289" spans="1:59" x14ac:dyDescent="0.2">
      <c r="A289" s="86" t="s">
        <v>336</v>
      </c>
      <c r="B289" s="101">
        <v>43556</v>
      </c>
      <c r="C289" s="3">
        <v>0.40992785700000001</v>
      </c>
      <c r="E289" s="3">
        <v>0.18700751700000001</v>
      </c>
      <c r="F289" s="3">
        <v>8.8235138000000005E-2</v>
      </c>
      <c r="H289" s="3">
        <v>0.89070791800000004</v>
      </c>
      <c r="I289" s="3">
        <v>1.054195089</v>
      </c>
      <c r="J289" s="3">
        <v>0.72325425700000001</v>
      </c>
      <c r="K289" s="3">
        <v>0.60131108899999997</v>
      </c>
      <c r="M289" s="3">
        <v>0.729374042</v>
      </c>
      <c r="N289" s="3">
        <v>0.64865220599999995</v>
      </c>
      <c r="O289" s="3">
        <v>0.55237429900000001</v>
      </c>
      <c r="P289" s="3">
        <v>0.96417776300000002</v>
      </c>
      <c r="Q289" s="3">
        <v>1.770586148</v>
      </c>
      <c r="R289" s="3">
        <v>1.032527999</v>
      </c>
      <c r="S289" s="3">
        <v>1.7291037359999999</v>
      </c>
      <c r="T289" s="3">
        <v>1.418521626</v>
      </c>
      <c r="U289" s="3">
        <v>4.4455169000000003E-2</v>
      </c>
      <c r="V289" s="3">
        <v>0.296146666</v>
      </c>
      <c r="W289" s="3">
        <v>-0.199687643</v>
      </c>
      <c r="X289" s="3">
        <v>-6.8429964999999995E-2</v>
      </c>
      <c r="Y289" s="3">
        <v>-0.45099793100000002</v>
      </c>
      <c r="Z289" s="3">
        <v>0.21109630500000001</v>
      </c>
      <c r="AA289" s="3">
        <v>0.61096022800000005</v>
      </c>
      <c r="AB289" s="3">
        <v>-0.14708099499999999</v>
      </c>
      <c r="AC289" s="3">
        <v>0.59708523400000002</v>
      </c>
      <c r="AD289" s="3">
        <v>1.8745316839999999</v>
      </c>
      <c r="AE289" s="3">
        <v>0.88151028200000003</v>
      </c>
      <c r="AF289" s="3">
        <v>0.85468327799999999</v>
      </c>
      <c r="AH289" s="3">
        <v>0.50935375900000002</v>
      </c>
      <c r="AI289" s="3">
        <v>0.26297166399999999</v>
      </c>
      <c r="AJ289" s="3">
        <v>0.59779028999999995</v>
      </c>
      <c r="AK289" s="3">
        <v>0.66777399999999998</v>
      </c>
      <c r="AN289" s="3">
        <v>0.266060132</v>
      </c>
      <c r="AO289" s="3">
        <v>1.01885</v>
      </c>
      <c r="AP289" s="3">
        <v>-0.97645799499999997</v>
      </c>
      <c r="AQ289" s="3">
        <v>-3.7485913000000003E-2</v>
      </c>
      <c r="AR289" s="3">
        <v>2</v>
      </c>
      <c r="AS289" s="3">
        <v>1.7859176940000001</v>
      </c>
      <c r="AT289" s="3">
        <v>0.71597309499999995</v>
      </c>
      <c r="AU289" s="86">
        <v>-2.9007512999999999E-2</v>
      </c>
      <c r="AV289" s="86"/>
      <c r="AW289" s="86"/>
      <c r="AX289" s="86"/>
      <c r="AY289" s="86"/>
      <c r="AZ289" s="86"/>
      <c r="BA289" s="86"/>
      <c r="BB289" s="83"/>
      <c r="BC289" s="83"/>
      <c r="BD289" s="83"/>
      <c r="BE289" s="83"/>
      <c r="BF289" s="83"/>
      <c r="BG289" s="83"/>
    </row>
    <row r="290" spans="1:59" x14ac:dyDescent="0.2">
      <c r="A290" s="86" t="s">
        <v>337</v>
      </c>
      <c r="B290" s="101">
        <v>43647</v>
      </c>
      <c r="C290" s="3">
        <v>0.55313854500000004</v>
      </c>
      <c r="E290" s="3">
        <v>0.32257479900000002</v>
      </c>
      <c r="F290" s="3">
        <v>1.0691362259999999</v>
      </c>
      <c r="H290" s="3">
        <v>0.78597744999999997</v>
      </c>
      <c r="I290" s="3">
        <v>-0.49256605199999998</v>
      </c>
      <c r="J290" s="3">
        <v>0.48079922200000003</v>
      </c>
      <c r="K290" s="3">
        <v>0.36557096500000003</v>
      </c>
      <c r="M290" s="3">
        <v>0.82203760400000003</v>
      </c>
      <c r="N290" s="3">
        <v>0.51919132099999998</v>
      </c>
      <c r="O290" s="3">
        <v>0.13839743500000001</v>
      </c>
      <c r="P290" s="3">
        <v>0.62382847100000005</v>
      </c>
      <c r="Q290" s="3">
        <v>0.72317933599999995</v>
      </c>
      <c r="R290" s="3">
        <v>2.8015706819999999</v>
      </c>
      <c r="S290" s="3">
        <v>-0.45372744500000001</v>
      </c>
      <c r="T290" s="3">
        <v>0.37089413999999998</v>
      </c>
      <c r="U290" s="3">
        <v>7.3796185E-2</v>
      </c>
      <c r="V290" s="3">
        <v>0.20316714899999999</v>
      </c>
      <c r="W290" s="3">
        <v>1.046022679</v>
      </c>
      <c r="X290" s="3">
        <v>2.0427821810000002</v>
      </c>
      <c r="Y290" s="3">
        <v>0.65696006900000004</v>
      </c>
      <c r="Z290" s="3">
        <v>-0.181768764</v>
      </c>
      <c r="AA290" s="3">
        <v>0.41704029100000001</v>
      </c>
      <c r="AB290" s="3">
        <v>0.113744648</v>
      </c>
      <c r="AC290" s="3">
        <v>0.558417312</v>
      </c>
      <c r="AD290" s="3">
        <v>0.62159427199999995</v>
      </c>
      <c r="AE290" s="3">
        <v>0.56465027000000001</v>
      </c>
      <c r="AF290" s="3">
        <v>0.36938834399999998</v>
      </c>
      <c r="AH290" s="3">
        <v>0.18061550200000001</v>
      </c>
      <c r="AI290" s="3">
        <v>0.44004046299999999</v>
      </c>
      <c r="AJ290" s="3">
        <v>0.79292440799999997</v>
      </c>
      <c r="AK290" s="3">
        <v>0.187107</v>
      </c>
      <c r="AN290" s="3">
        <v>0.39659368099999998</v>
      </c>
      <c r="AO290" s="3">
        <v>1.37263</v>
      </c>
      <c r="AP290" s="3">
        <v>0.48806038899999998</v>
      </c>
      <c r="AQ290" s="3">
        <v>2.2623863289999999</v>
      </c>
      <c r="AR290" s="3">
        <v>1.2</v>
      </c>
      <c r="AS290" s="3">
        <v>2.3799511469999999</v>
      </c>
      <c r="AT290" s="3">
        <v>0.53897455000000005</v>
      </c>
      <c r="AU290" s="86">
        <v>0.44048637499999999</v>
      </c>
      <c r="AV290" s="86"/>
      <c r="AW290" s="86"/>
      <c r="AX290" s="86"/>
      <c r="AY290" s="86"/>
      <c r="AZ290" s="86"/>
      <c r="BA290" s="86"/>
      <c r="BB290" s="83"/>
      <c r="BC290" s="83"/>
      <c r="BD290" s="83"/>
      <c r="BE290" s="83"/>
      <c r="BF290" s="83"/>
      <c r="BG290" s="83"/>
    </row>
    <row r="291" spans="1:59" x14ac:dyDescent="0.2">
      <c r="A291" s="86" t="s">
        <v>338</v>
      </c>
      <c r="B291" s="101">
        <v>43739</v>
      </c>
      <c r="C291" s="3">
        <v>0.807132725</v>
      </c>
      <c r="E291" s="3">
        <v>0.50127350599999998</v>
      </c>
      <c r="F291" s="3">
        <v>0.45210412</v>
      </c>
      <c r="H291" s="3">
        <v>0.54848529999999995</v>
      </c>
      <c r="I291" s="3">
        <v>0.41094913500000002</v>
      </c>
      <c r="J291" s="3">
        <v>0.39188081000000002</v>
      </c>
      <c r="K291" s="3">
        <v>0.37901041000000002</v>
      </c>
      <c r="M291" s="3">
        <v>-3.8164627999999999E-2</v>
      </c>
      <c r="N291" s="3">
        <v>0.16195496400000001</v>
      </c>
      <c r="O291" s="3">
        <v>0.49728385200000003</v>
      </c>
      <c r="P291" s="3">
        <v>-0.58568077200000002</v>
      </c>
      <c r="Q291" s="3">
        <v>0.72984954899999999</v>
      </c>
      <c r="R291" s="3">
        <v>-0.41354170699999998</v>
      </c>
      <c r="S291" s="3">
        <v>-1.625665771</v>
      </c>
      <c r="T291" s="3">
        <v>1.059416202</v>
      </c>
      <c r="U291" s="3">
        <v>0.18896617399999999</v>
      </c>
      <c r="V291" s="3">
        <v>0.120062823</v>
      </c>
      <c r="W291" s="3">
        <v>0.405037445</v>
      </c>
      <c r="X291" s="3">
        <v>0.66367798200000006</v>
      </c>
      <c r="Y291" s="3">
        <v>0.44729655400000001</v>
      </c>
      <c r="Z291" s="3">
        <v>0.14891812700000001</v>
      </c>
      <c r="AA291" s="3">
        <v>0.36447797999999998</v>
      </c>
      <c r="AB291" s="3">
        <v>-4.0776428000000003E-2</v>
      </c>
      <c r="AC291" s="3">
        <v>0.46491221199999999</v>
      </c>
      <c r="AD291" s="3">
        <v>1.1912122810000001</v>
      </c>
      <c r="AE291" s="3">
        <v>0.46238778000000003</v>
      </c>
      <c r="AF291" s="3">
        <v>0.22942505699999999</v>
      </c>
      <c r="AH291" s="3">
        <v>0.63699294900000003</v>
      </c>
      <c r="AI291" s="3">
        <v>0.88388476599999999</v>
      </c>
      <c r="AJ291" s="3">
        <v>0.685498791</v>
      </c>
      <c r="AK291" s="3">
        <v>0.27629700000000001</v>
      </c>
      <c r="AN291" s="3">
        <v>0.57408286799999997</v>
      </c>
      <c r="AO291" s="3">
        <v>0.48303000000000001</v>
      </c>
      <c r="AP291" s="3">
        <v>-1.9313640999999999E-2</v>
      </c>
      <c r="AQ291" s="3">
        <v>-0.978145343</v>
      </c>
      <c r="AR291" s="3">
        <v>1.2</v>
      </c>
      <c r="AS291" s="3">
        <v>5.0625441E-2</v>
      </c>
      <c r="AT291" s="3">
        <v>-2.9661964999999998E-2</v>
      </c>
      <c r="AU291" s="86">
        <v>0.65097211399999999</v>
      </c>
      <c r="AV291" s="86"/>
      <c r="AW291" s="86"/>
      <c r="AX291" s="86"/>
      <c r="AY291" s="86"/>
      <c r="AZ291" s="86"/>
      <c r="BA291" s="86"/>
      <c r="BB291" s="83"/>
      <c r="BC291" s="83"/>
      <c r="BD291" s="83"/>
      <c r="BE291" s="83"/>
      <c r="BF291" s="83"/>
      <c r="BG291" s="83"/>
    </row>
    <row r="292" spans="1:59" x14ac:dyDescent="0.2">
      <c r="A292" s="86" t="s">
        <v>581</v>
      </c>
      <c r="B292" s="101">
        <v>43831</v>
      </c>
      <c r="C292" s="3">
        <v>0.35188306899999999</v>
      </c>
      <c r="E292" s="3">
        <v>0.586844967</v>
      </c>
      <c r="F292" s="3">
        <v>9.4407559000000002E-2</v>
      </c>
      <c r="H292" s="3">
        <v>0.62913215499999997</v>
      </c>
      <c r="I292" s="3">
        <v>-7.4416587000000006E-2</v>
      </c>
      <c r="J292" s="3">
        <v>7.4882841000000006E-2</v>
      </c>
      <c r="K292" s="3">
        <v>0.376576034</v>
      </c>
      <c r="M292" s="3">
        <v>-0.33493570299999997</v>
      </c>
      <c r="N292" s="3">
        <v>-0.38167090799999998</v>
      </c>
      <c r="O292" s="3">
        <v>1.7259139E-2</v>
      </c>
      <c r="P292" s="3">
        <v>-4.1841863E-2</v>
      </c>
      <c r="Q292" s="3">
        <v>0.76863141800000001</v>
      </c>
      <c r="R292" s="3">
        <v>1.6661183989999999</v>
      </c>
      <c r="S292" s="3">
        <v>3.6643133670000001</v>
      </c>
      <c r="T292" s="3">
        <v>1.096246646</v>
      </c>
      <c r="U292" s="3">
        <v>-0.42190852499999998</v>
      </c>
      <c r="V292" s="3">
        <v>-1.935661182</v>
      </c>
      <c r="W292" s="3">
        <v>1.2884548549999999</v>
      </c>
      <c r="X292" s="3">
        <v>4.5838830999999997E-2</v>
      </c>
      <c r="Y292" s="3">
        <v>-4.5691180999999997E-2</v>
      </c>
      <c r="Z292" s="3">
        <v>-1.03536016</v>
      </c>
      <c r="AA292" s="3">
        <v>0.50434208599999997</v>
      </c>
      <c r="AB292" s="3">
        <v>1.79299477</v>
      </c>
      <c r="AC292" s="3">
        <v>7.8392791000000003E-2</v>
      </c>
      <c r="AD292" s="3">
        <v>0.28295600599999998</v>
      </c>
      <c r="AE292" s="3">
        <v>0.82461398200000002</v>
      </c>
      <c r="AF292" s="3">
        <v>0.49670866000000002</v>
      </c>
      <c r="AH292" s="3">
        <v>9.4117135000000005E-2</v>
      </c>
      <c r="AI292" s="3">
        <v>0.24521996300000001</v>
      </c>
      <c r="AJ292" s="3">
        <v>0.46909761799999999</v>
      </c>
      <c r="AK292" s="3">
        <v>-1.3009E-2</v>
      </c>
      <c r="AN292" s="3">
        <v>0.46198475100000003</v>
      </c>
      <c r="AO292" s="3">
        <v>0.41259000000000001</v>
      </c>
      <c r="AP292" s="3">
        <v>6.3450117E-2</v>
      </c>
      <c r="AQ292" s="3">
        <v>-0.45300510799999999</v>
      </c>
      <c r="AR292" s="3">
        <v>1.2</v>
      </c>
      <c r="AS292" s="3">
        <v>1.3646299630000001</v>
      </c>
      <c r="AT292" s="3">
        <v>0.34997720999999998</v>
      </c>
      <c r="AU292" s="86">
        <v>-1.6156795100000001</v>
      </c>
      <c r="AV292" s="86"/>
      <c r="AW292" s="86"/>
      <c r="AX292" s="86"/>
      <c r="AY292" s="86"/>
      <c r="AZ292" s="86"/>
      <c r="BA292" s="86"/>
      <c r="BB292" s="83"/>
      <c r="BC292" s="83"/>
      <c r="BD292" s="83"/>
      <c r="BE292" s="83"/>
      <c r="BF292" s="83"/>
      <c r="BG292" s="83"/>
    </row>
    <row r="293" spans="1:59" x14ac:dyDescent="0.2">
      <c r="A293" s="86" t="s">
        <v>582</v>
      </c>
      <c r="B293" s="101">
        <v>43922</v>
      </c>
      <c r="C293" s="3">
        <v>-0.32650811299999999</v>
      </c>
      <c r="E293" s="3">
        <v>-3.346854172</v>
      </c>
      <c r="F293" s="3">
        <v>-2.037734028</v>
      </c>
      <c r="H293" s="3">
        <v>-3.3722800639999999</v>
      </c>
      <c r="I293" s="3">
        <v>-1.7639736049999999</v>
      </c>
      <c r="J293" s="3">
        <v>-0.72308311800000002</v>
      </c>
      <c r="K293" s="3">
        <v>-5.3912226460000001</v>
      </c>
      <c r="M293" s="3">
        <v>-0.38307504799999997</v>
      </c>
      <c r="N293" s="3">
        <v>-5.6965543749999998</v>
      </c>
      <c r="O293" s="3">
        <v>-2.8472664590000001</v>
      </c>
      <c r="P293" s="3">
        <v>-0.43034244999999999</v>
      </c>
      <c r="Q293" s="3">
        <v>-0.27733449700000001</v>
      </c>
      <c r="R293" s="3">
        <v>2.641664966</v>
      </c>
      <c r="S293" s="3">
        <v>-4.8177250919999999</v>
      </c>
      <c r="T293" s="3">
        <v>-1.2052381059999999</v>
      </c>
      <c r="U293" s="3">
        <v>-5.6481668169999999</v>
      </c>
      <c r="V293" s="3">
        <v>-0.58521355399999997</v>
      </c>
      <c r="W293" s="3">
        <v>-1.2615067280000001</v>
      </c>
      <c r="X293" s="3">
        <v>-1.600145897</v>
      </c>
      <c r="Y293" s="3">
        <v>-2.2043310630000001</v>
      </c>
      <c r="Z293" s="3">
        <v>-0.91987699700000003</v>
      </c>
      <c r="AA293" s="3">
        <v>-1.6433908070000001</v>
      </c>
      <c r="AB293" s="3">
        <v>-1.4705704749999999</v>
      </c>
      <c r="AC293" s="3">
        <v>-1.820413002</v>
      </c>
      <c r="AD293" s="3">
        <v>-6.4121703000000002E-2</v>
      </c>
      <c r="AE293" s="3">
        <v>-4.4145278609999998</v>
      </c>
      <c r="AF293" s="3">
        <v>-4.2806587949999999</v>
      </c>
      <c r="AH293" s="3">
        <v>-0.78908026499999995</v>
      </c>
      <c r="AI293" s="3">
        <v>-1.409541784</v>
      </c>
      <c r="AJ293" s="3">
        <v>-1.303582746</v>
      </c>
      <c r="AK293" s="3">
        <v>-3.4747810000000001</v>
      </c>
      <c r="AN293" s="3">
        <v>-1.588562279</v>
      </c>
      <c r="AO293" s="3">
        <v>0.63836000000000004</v>
      </c>
      <c r="AP293" s="3">
        <v>0.136212206</v>
      </c>
      <c r="AQ293" s="3">
        <v>-0.19797387699999999</v>
      </c>
      <c r="AR293" s="3">
        <v>-8.6999999999999993</v>
      </c>
      <c r="AS293" s="3">
        <v>0.44624292300000001</v>
      </c>
      <c r="AT293" s="3">
        <v>-2.3406391420000001</v>
      </c>
      <c r="AU293" s="86">
        <v>-4.3189565080000003</v>
      </c>
      <c r="AV293" s="86"/>
      <c r="AW293" s="86"/>
      <c r="AX293" s="86"/>
      <c r="AY293" s="86"/>
      <c r="AZ293" s="86"/>
      <c r="BA293" s="86"/>
      <c r="BB293" s="83"/>
      <c r="BC293" s="83"/>
      <c r="BD293" s="83"/>
      <c r="BE293" s="83"/>
      <c r="BF293" s="83"/>
      <c r="BG293" s="83"/>
    </row>
    <row r="294" spans="1:59" x14ac:dyDescent="0.2">
      <c r="A294" s="86" t="s">
        <v>583</v>
      </c>
      <c r="B294" s="101">
        <v>44013</v>
      </c>
      <c r="C294" s="3">
        <v>-6.9776266260000002</v>
      </c>
      <c r="E294" s="3">
        <v>-11.932889628</v>
      </c>
      <c r="F294" s="3">
        <v>-11.280023061</v>
      </c>
      <c r="H294" s="3">
        <v>-8.9098688030000002</v>
      </c>
      <c r="I294" s="3">
        <v>-9.9962156110000002</v>
      </c>
      <c r="J294" s="3">
        <v>-6.4037078120000004</v>
      </c>
      <c r="K294" s="3">
        <v>-17.652092760999999</v>
      </c>
      <c r="M294" s="3">
        <v>-6.3467925190000001</v>
      </c>
      <c r="N294" s="3">
        <v>-13.490288832999999</v>
      </c>
      <c r="O294" s="3">
        <v>-19.467407879</v>
      </c>
      <c r="P294" s="3">
        <v>-12.990475420999999</v>
      </c>
      <c r="Q294" s="3">
        <v>-14.391513163999999</v>
      </c>
      <c r="R294" s="3">
        <v>-2.9254753469999999</v>
      </c>
      <c r="S294" s="3">
        <v>-7.7461709589999996</v>
      </c>
      <c r="T294" s="3">
        <v>-9.2284975239999998</v>
      </c>
      <c r="U294" s="3">
        <v>-13.060475352999999</v>
      </c>
      <c r="V294" s="3">
        <v>-7.9322973809999997</v>
      </c>
      <c r="W294" s="3">
        <v>-3.1507382079999999</v>
      </c>
      <c r="X294" s="3">
        <v>-7.1169850490000002</v>
      </c>
      <c r="Y294" s="3">
        <v>-6.8951658040000003</v>
      </c>
      <c r="Z294" s="3">
        <v>-17.307458528000002</v>
      </c>
      <c r="AA294" s="3">
        <v>-8.3759053439999995</v>
      </c>
      <c r="AB294" s="3">
        <v>-4.5663682889999997</v>
      </c>
      <c r="AC294" s="3">
        <v>-10.442847561000001</v>
      </c>
      <c r="AD294" s="3">
        <v>-9.2378443059999995</v>
      </c>
      <c r="AE294" s="3">
        <v>-15.249695489</v>
      </c>
      <c r="AF294" s="3">
        <v>-7.1367805930000001</v>
      </c>
      <c r="AH294" s="3">
        <v>-8.0999501089999999</v>
      </c>
      <c r="AI294" s="3">
        <v>-9.9061124889999999</v>
      </c>
      <c r="AJ294" s="3">
        <v>-8.9372505009999994</v>
      </c>
      <c r="AK294" s="3">
        <v>-11.676441000000001</v>
      </c>
      <c r="AN294" s="3">
        <v>-6.1682247630000004</v>
      </c>
      <c r="AO294" s="3">
        <v>-24.4909</v>
      </c>
      <c r="AP294" s="3">
        <v>-17.394100259999998</v>
      </c>
      <c r="AQ294" s="3">
        <v>-4.3865124099999999</v>
      </c>
      <c r="AR294" s="3">
        <v>10</v>
      </c>
      <c r="AS294" s="3">
        <v>-10.769850757</v>
      </c>
      <c r="AT294" s="3">
        <v>-8.9609775379999999</v>
      </c>
      <c r="AU294" s="86">
        <v>-15.470492227999999</v>
      </c>
      <c r="AV294" s="86"/>
      <c r="AW294" s="86"/>
      <c r="AX294" s="86"/>
      <c r="AY294" s="86"/>
      <c r="AZ294" s="86"/>
      <c r="BA294" s="86"/>
      <c r="BB294" s="83"/>
      <c r="BC294" s="83"/>
      <c r="BD294" s="83"/>
      <c r="BE294" s="83"/>
      <c r="BF294" s="83"/>
      <c r="BG294" s="83"/>
    </row>
    <row r="295" spans="1:59" x14ac:dyDescent="0.2">
      <c r="A295" s="86" t="s">
        <v>584</v>
      </c>
      <c r="B295" s="101">
        <v>44105</v>
      </c>
      <c r="C295" s="3">
        <v>3.5568602949999999</v>
      </c>
      <c r="E295" s="3">
        <v>11.77693107</v>
      </c>
      <c r="F295" s="3">
        <v>9.0959062159999995</v>
      </c>
      <c r="H295" s="3">
        <v>6.7526521910000001</v>
      </c>
      <c r="I295" s="3">
        <v>9.043062505</v>
      </c>
      <c r="J295" s="3">
        <v>6.1274891949999999</v>
      </c>
      <c r="K295" s="3">
        <v>16.798457004999999</v>
      </c>
      <c r="M295" s="3">
        <v>4.6230799380000001</v>
      </c>
      <c r="N295" s="3">
        <v>18.59198829</v>
      </c>
      <c r="O295" s="3">
        <v>16.948031074999999</v>
      </c>
      <c r="P295" s="3">
        <v>3.8877735069999999</v>
      </c>
      <c r="Q295" s="3">
        <v>10.582227037999999</v>
      </c>
      <c r="R295" s="3">
        <v>9.8489940849999993</v>
      </c>
      <c r="S295" s="3">
        <v>2.3856141900000001</v>
      </c>
      <c r="T295" s="3">
        <v>8.8946005830000008</v>
      </c>
      <c r="U295" s="3">
        <v>16.017151626</v>
      </c>
      <c r="V295" s="3">
        <v>5.3639763330000001</v>
      </c>
      <c r="W295" s="3">
        <v>2.2334243909999998</v>
      </c>
      <c r="X295" s="3">
        <v>9.2146430039999991</v>
      </c>
      <c r="Y295" s="3">
        <v>6.773246705</v>
      </c>
      <c r="Z295" s="3">
        <v>12.660986414</v>
      </c>
      <c r="AA295" s="3">
        <v>7.5056897879999998</v>
      </c>
      <c r="AB295" s="3">
        <v>4.3102179979999997</v>
      </c>
      <c r="AC295" s="3">
        <v>9.3957907610000007</v>
      </c>
      <c r="AD295" s="3">
        <v>7.6809579010000002</v>
      </c>
      <c r="AE295" s="3">
        <v>14.672635056000001</v>
      </c>
      <c r="AF295" s="3">
        <v>8.9503223139999992</v>
      </c>
      <c r="AH295" s="3">
        <v>7.5035567929999996</v>
      </c>
      <c r="AI295" s="3">
        <v>13.925321823999999</v>
      </c>
      <c r="AJ295" s="3">
        <v>7.547534636</v>
      </c>
      <c r="AK295" s="3">
        <v>12.629339</v>
      </c>
      <c r="AN295" s="3">
        <v>6.3700234389999997</v>
      </c>
      <c r="AO295" s="3">
        <v>21.17632</v>
      </c>
      <c r="AP295" s="3">
        <v>13.892531694000001</v>
      </c>
      <c r="AQ295" s="3">
        <v>2.360610753</v>
      </c>
      <c r="AR295" s="3">
        <v>2.8</v>
      </c>
      <c r="AS295" s="3">
        <v>16.400501818999999</v>
      </c>
      <c r="AT295" s="3">
        <v>7.7144445529999999</v>
      </c>
      <c r="AU295" s="86">
        <v>12.878151215000001</v>
      </c>
      <c r="AV295" s="86"/>
      <c r="AW295" s="86"/>
      <c r="AX295" s="86"/>
      <c r="AY295" s="86"/>
      <c r="AZ295" s="86"/>
      <c r="BA295" s="86"/>
      <c r="BB295" s="83"/>
      <c r="BC295" s="83"/>
      <c r="BD295" s="83"/>
      <c r="BE295" s="83"/>
      <c r="BF295" s="83"/>
      <c r="BG295" s="83"/>
    </row>
    <row r="296" spans="1:59" x14ac:dyDescent="0.2">
      <c r="A296" s="81" t="s">
        <v>585</v>
      </c>
      <c r="B296" s="101">
        <v>44197</v>
      </c>
      <c r="C296" s="3">
        <v>3.180961999</v>
      </c>
      <c r="E296" s="3">
        <v>-6.6672301000000003E-2</v>
      </c>
      <c r="F296" s="3">
        <v>2.2392058069999998</v>
      </c>
      <c r="H296" s="3">
        <v>0.73714194</v>
      </c>
      <c r="I296" s="3">
        <v>0.743386255</v>
      </c>
      <c r="J296" s="3">
        <v>0.890784774</v>
      </c>
      <c r="K296" s="3">
        <v>0.22262010700000001</v>
      </c>
      <c r="M296" s="3">
        <v>0.67432567399999999</v>
      </c>
      <c r="N296" s="3">
        <v>-1.0892388449999999</v>
      </c>
      <c r="O296" s="3">
        <v>1.2665795929999999</v>
      </c>
      <c r="P296" s="3">
        <v>3.49964108</v>
      </c>
      <c r="Q296" s="3">
        <v>1.5970808359999999</v>
      </c>
      <c r="R296" s="3">
        <v>-4.5752755360000004</v>
      </c>
      <c r="S296" s="3">
        <v>5.1929841960000003</v>
      </c>
      <c r="T296" s="3">
        <v>2.3794326429999999</v>
      </c>
      <c r="U296" s="3">
        <v>-1.7755669160000001</v>
      </c>
      <c r="V296" s="3">
        <v>2.8488067460000002</v>
      </c>
      <c r="W296" s="3">
        <v>1.142221229</v>
      </c>
      <c r="X296" s="3">
        <v>1.915603913</v>
      </c>
      <c r="Y296" s="3">
        <v>0.95935229</v>
      </c>
      <c r="Z296" s="3">
        <v>3.3430223190000001</v>
      </c>
      <c r="AA296" s="3">
        <v>2.8003799999999998E-4</v>
      </c>
      <c r="AB296" s="3">
        <v>0.83125873100000003</v>
      </c>
      <c r="AC296" s="3">
        <v>1.090462367</v>
      </c>
      <c r="AD296" s="3">
        <v>-0.312034749</v>
      </c>
      <c r="AE296" s="3">
        <v>0.27510552300000002</v>
      </c>
      <c r="AF296" s="3">
        <v>0.50957306700000005</v>
      </c>
      <c r="AH296" s="3">
        <v>0.155216206</v>
      </c>
      <c r="AI296" s="3">
        <v>-1.043790464</v>
      </c>
      <c r="AJ296" s="3">
        <v>1.115276766</v>
      </c>
      <c r="AK296" s="3">
        <v>-0.42332900000000001</v>
      </c>
      <c r="AN296" s="3">
        <v>-5.8929416999999998E-2</v>
      </c>
      <c r="AO296" s="3">
        <v>8.6137200000000007</v>
      </c>
      <c r="AP296" s="3">
        <v>2.5487169120000002</v>
      </c>
      <c r="AQ296" s="3">
        <v>1.0593091670000001</v>
      </c>
      <c r="AR296" s="3">
        <v>3</v>
      </c>
      <c r="AS296" s="3">
        <v>1.202524785</v>
      </c>
      <c r="AT296" s="3">
        <v>3.1191938700000001</v>
      </c>
      <c r="AU296" s="81">
        <v>4.519210266</v>
      </c>
    </row>
    <row r="297" spans="1:59" x14ac:dyDescent="0.2">
      <c r="A297" s="81" t="s">
        <v>586</v>
      </c>
      <c r="B297" s="101">
        <v>44287</v>
      </c>
      <c r="C297" s="3">
        <v>1.8943709019999999</v>
      </c>
      <c r="E297" s="3">
        <v>1.113512498</v>
      </c>
      <c r="F297" s="3">
        <v>1.3538846790000001</v>
      </c>
      <c r="H297" s="3">
        <v>-0.42279645300000002</v>
      </c>
      <c r="I297" s="3">
        <v>-2.0028757769999999</v>
      </c>
      <c r="J297" s="3">
        <v>-0.87682130800000002</v>
      </c>
      <c r="K297" s="3">
        <v>-0.63203504300000002</v>
      </c>
      <c r="M297" s="3">
        <v>0.131126626</v>
      </c>
      <c r="N297" s="3">
        <v>4.6078982999999997E-2</v>
      </c>
      <c r="O297" s="3">
        <v>-1.5859587669999999</v>
      </c>
      <c r="P297" s="3">
        <v>4.4769775269999998</v>
      </c>
      <c r="Q297" s="3">
        <v>2.0207136979999998</v>
      </c>
      <c r="R297" s="3">
        <v>8.7275205059999994</v>
      </c>
      <c r="S297" s="3">
        <v>-3.2612097950000001</v>
      </c>
      <c r="T297" s="3">
        <v>-0.36023702000000002</v>
      </c>
      <c r="U297" s="3">
        <v>0.22720038100000001</v>
      </c>
      <c r="V297" s="3">
        <v>-1.057740071</v>
      </c>
      <c r="W297" s="3">
        <v>1.740407308</v>
      </c>
      <c r="X297" s="3">
        <v>1.4379647929999999</v>
      </c>
      <c r="Y297" s="3">
        <v>-1.5524526830000001</v>
      </c>
      <c r="Z297" s="3">
        <v>1.1103811610000001</v>
      </c>
      <c r="AA297" s="3">
        <v>-0.77668177699999996</v>
      </c>
      <c r="AB297" s="3">
        <v>-0.57406441200000002</v>
      </c>
      <c r="AC297" s="3">
        <v>0.64338147400000001</v>
      </c>
      <c r="AD297" s="3">
        <v>1.2913474469999999</v>
      </c>
      <c r="AE297" s="3">
        <v>-3.2769848960000001</v>
      </c>
      <c r="AF297" s="3">
        <v>-1.3711769730000001</v>
      </c>
      <c r="AH297" s="3">
        <v>0.81557817499999996</v>
      </c>
      <c r="AI297" s="3">
        <v>1.350892953</v>
      </c>
      <c r="AJ297" s="3">
        <v>1.533889627</v>
      </c>
      <c r="AK297" s="3">
        <v>-0.28747699999999998</v>
      </c>
      <c r="AN297" s="3">
        <v>-0.44872004999999998</v>
      </c>
      <c r="AO297" s="3">
        <v>2.27406</v>
      </c>
      <c r="AP297" s="3">
        <v>1.025108624</v>
      </c>
      <c r="AQ297" s="3">
        <v>0.97422422500000005</v>
      </c>
      <c r="AR297" s="3">
        <v>0.4</v>
      </c>
      <c r="AS297" s="3">
        <v>2.1708995029999998</v>
      </c>
      <c r="AT297" s="3">
        <v>1.2106820730000001</v>
      </c>
      <c r="AU297" s="81">
        <v>2.7871224940000001</v>
      </c>
    </row>
    <row r="298" spans="1:59" x14ac:dyDescent="0.2">
      <c r="A298" s="81" t="s">
        <v>587</v>
      </c>
      <c r="B298" s="101">
        <v>44378</v>
      </c>
      <c r="C298" s="3">
        <v>0.66681546800000002</v>
      </c>
      <c r="E298" s="3">
        <v>1.7108870410000001</v>
      </c>
      <c r="F298" s="3">
        <v>-0.28851574499999999</v>
      </c>
      <c r="H298" s="3">
        <v>1.0243599430000001</v>
      </c>
      <c r="I298" s="3">
        <v>1.63309185</v>
      </c>
      <c r="J298" s="3">
        <v>2.2514159729999998</v>
      </c>
      <c r="K298" s="3">
        <v>1.0573957039999999</v>
      </c>
      <c r="M298" s="3">
        <v>2.1766829479999998</v>
      </c>
      <c r="N298" s="3">
        <v>1.1066407410000001</v>
      </c>
      <c r="O298" s="3">
        <v>4.8162307220000002</v>
      </c>
      <c r="P298" s="3">
        <v>3.4341762810000001</v>
      </c>
      <c r="Q298" s="3">
        <v>2.7113142080000001</v>
      </c>
      <c r="R298" s="3">
        <v>6.2787132999999997</v>
      </c>
      <c r="S298" s="3">
        <v>4.1899566769999996</v>
      </c>
      <c r="T298" s="3">
        <v>3.9192347010000002</v>
      </c>
      <c r="U298" s="3">
        <v>2.679711921</v>
      </c>
      <c r="V298" s="3">
        <v>0.46655693100000001</v>
      </c>
      <c r="W298" s="3">
        <v>0.77071160500000002</v>
      </c>
      <c r="Y298" s="3">
        <v>4.4030050770000004</v>
      </c>
      <c r="Z298" s="3">
        <v>1.474270245</v>
      </c>
      <c r="AA298" s="3">
        <v>3.1180832249999999</v>
      </c>
      <c r="AB298" s="3">
        <v>1.089326808</v>
      </c>
      <c r="AC298" s="3">
        <v>1.7</v>
      </c>
      <c r="AD298" s="3">
        <v>2.05334547</v>
      </c>
      <c r="AE298" s="3">
        <v>4.5146568120000001</v>
      </c>
      <c r="AF298" s="3">
        <v>2.0100445809999998</v>
      </c>
      <c r="AH298" s="3">
        <v>0.88572369200000001</v>
      </c>
      <c r="AI298" s="3">
        <v>2.7507312160000001</v>
      </c>
      <c r="AJ298" s="3">
        <v>1.600286109</v>
      </c>
      <c r="AK298" s="3">
        <v>2.2283309999999998</v>
      </c>
      <c r="AN298" s="3">
        <v>1.7947387340000001</v>
      </c>
      <c r="AO298" s="3">
        <v>-10.18507</v>
      </c>
      <c r="AP298" s="3">
        <v>1.1631861189999999</v>
      </c>
      <c r="AQ298" s="3">
        <v>3.4590701109999999</v>
      </c>
      <c r="AR298" s="3">
        <v>1.3</v>
      </c>
      <c r="AS298" s="3">
        <v>0.90061849900000002</v>
      </c>
      <c r="AT298" s="3">
        <v>-5.401044E-2</v>
      </c>
      <c r="AU298" s="81">
        <v>-1.392679684</v>
      </c>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725CB-B3CD-4BDF-9189-014F950F1CDE}">
  <sheetPr codeName="Sheet4">
    <tabColor theme="6"/>
  </sheetPr>
  <dimension ref="A1:AU298"/>
  <sheetViews>
    <sheetView topLeftCell="A26" workbookViewId="0">
      <selection activeCell="I14" sqref="I14"/>
    </sheetView>
  </sheetViews>
  <sheetFormatPr baseColWidth="10" defaultColWidth="9.1640625" defaultRowHeight="15" x14ac:dyDescent="0.2"/>
  <cols>
    <col min="1" max="1" width="9.1640625" style="88"/>
    <col min="2" max="2" width="11.1640625" style="88" customWidth="1"/>
    <col min="3" max="5" width="9.1640625" style="3"/>
    <col min="6" max="6" width="10.6640625" style="3" bestFit="1" customWidth="1"/>
    <col min="7" max="7" width="10.6640625" style="3" customWidth="1"/>
    <col min="8" max="46" width="9.1640625" style="3"/>
    <col min="47" max="16384" width="9.1640625" style="88"/>
  </cols>
  <sheetData>
    <row r="1" spans="1:47" x14ac:dyDescent="0.2">
      <c r="A1" s="88" t="s">
        <v>588</v>
      </c>
      <c r="B1" s="88" t="s">
        <v>589</v>
      </c>
      <c r="C1" s="3" t="s">
        <v>2</v>
      </c>
      <c r="D1" s="3" t="s">
        <v>3</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c r="U1" s="3" t="s">
        <v>20</v>
      </c>
      <c r="V1" s="3" t="s">
        <v>21</v>
      </c>
      <c r="W1" s="3" t="s">
        <v>22</v>
      </c>
      <c r="X1" s="3" t="s">
        <v>23</v>
      </c>
      <c r="Y1" s="3" t="s">
        <v>24</v>
      </c>
      <c r="Z1" s="3" t="s">
        <v>25</v>
      </c>
      <c r="AA1" s="3" t="s">
        <v>26</v>
      </c>
      <c r="AB1" s="3" t="s">
        <v>27</v>
      </c>
      <c r="AC1" s="3" t="s">
        <v>28</v>
      </c>
      <c r="AD1" s="3" t="s">
        <v>29</v>
      </c>
      <c r="AE1" s="3" t="s">
        <v>30</v>
      </c>
      <c r="AF1" s="3" t="s">
        <v>31</v>
      </c>
      <c r="AG1" s="3" t="s">
        <v>32</v>
      </c>
      <c r="AH1" s="3" t="s">
        <v>33</v>
      </c>
      <c r="AI1" s="3" t="s">
        <v>46</v>
      </c>
      <c r="AJ1" s="3" t="s">
        <v>34</v>
      </c>
      <c r="AK1" s="3" t="s">
        <v>35</v>
      </c>
      <c r="AL1" s="3" t="s">
        <v>36</v>
      </c>
      <c r="AM1" s="3" t="s">
        <v>37</v>
      </c>
      <c r="AN1" s="3" t="s">
        <v>38</v>
      </c>
      <c r="AO1" s="3" t="s">
        <v>39</v>
      </c>
      <c r="AP1" s="3" t="s">
        <v>40</v>
      </c>
      <c r="AQ1" s="3" t="s">
        <v>41</v>
      </c>
      <c r="AR1" s="3" t="s">
        <v>47</v>
      </c>
      <c r="AS1" s="3" t="s">
        <v>43</v>
      </c>
      <c r="AT1" s="3" t="s">
        <v>44</v>
      </c>
      <c r="AU1" s="3" t="s">
        <v>48</v>
      </c>
    </row>
    <row r="2" spans="1:47" x14ac:dyDescent="0.2">
      <c r="A2" s="88" t="s">
        <v>49</v>
      </c>
      <c r="B2" s="4">
        <v>17349</v>
      </c>
    </row>
    <row r="3" spans="1:47" x14ac:dyDescent="0.2">
      <c r="A3" s="88" t="s">
        <v>50</v>
      </c>
      <c r="B3" s="4">
        <v>17441</v>
      </c>
    </row>
    <row r="4" spans="1:47" x14ac:dyDescent="0.2">
      <c r="A4" s="88" t="s">
        <v>51</v>
      </c>
      <c r="B4" s="4">
        <v>17533</v>
      </c>
    </row>
    <row r="5" spans="1:47" x14ac:dyDescent="0.2">
      <c r="A5" s="88" t="s">
        <v>52</v>
      </c>
      <c r="B5" s="4">
        <v>17624</v>
      </c>
      <c r="AJ5" s="3">
        <v>2.6047334659999999</v>
      </c>
    </row>
    <row r="6" spans="1:47" x14ac:dyDescent="0.2">
      <c r="A6" s="88" t="s">
        <v>53</v>
      </c>
      <c r="B6" s="4">
        <v>17715</v>
      </c>
      <c r="AJ6" s="3">
        <v>4.5773238760000003</v>
      </c>
    </row>
    <row r="7" spans="1:47" x14ac:dyDescent="0.2">
      <c r="A7" s="88" t="s">
        <v>54</v>
      </c>
      <c r="B7" s="4">
        <v>17807</v>
      </c>
      <c r="AJ7" s="3">
        <v>5.3941211969999996</v>
      </c>
    </row>
    <row r="8" spans="1:47" x14ac:dyDescent="0.2">
      <c r="A8" s="88" t="s">
        <v>55</v>
      </c>
      <c r="B8" s="4">
        <v>17899</v>
      </c>
      <c r="AJ8" s="3">
        <v>3.8867828379999998</v>
      </c>
    </row>
    <row r="9" spans="1:47" x14ac:dyDescent="0.2">
      <c r="A9" s="88" t="s">
        <v>56</v>
      </c>
      <c r="B9" s="4">
        <v>17989</v>
      </c>
      <c r="AJ9" s="3">
        <v>0.93698411699999995</v>
      </c>
    </row>
    <row r="10" spans="1:47" x14ac:dyDescent="0.2">
      <c r="A10" s="88" t="s">
        <v>57</v>
      </c>
      <c r="B10" s="4">
        <v>18080</v>
      </c>
      <c r="AJ10" s="3">
        <v>-1.0408129699999999</v>
      </c>
    </row>
    <row r="11" spans="1:47" x14ac:dyDescent="0.2">
      <c r="A11" s="88" t="s">
        <v>58</v>
      </c>
      <c r="B11" s="4">
        <v>18172</v>
      </c>
      <c r="AJ11" s="3">
        <v>-0.58869120600000002</v>
      </c>
    </row>
    <row r="12" spans="1:47" x14ac:dyDescent="0.2">
      <c r="A12" s="88" t="s">
        <v>59</v>
      </c>
      <c r="B12" s="4">
        <v>18264</v>
      </c>
      <c r="AJ12" s="3">
        <v>-1.5330175429999999</v>
      </c>
    </row>
    <row r="13" spans="1:47" x14ac:dyDescent="0.2">
      <c r="A13" s="88" t="s">
        <v>60</v>
      </c>
      <c r="B13" s="4">
        <v>18354</v>
      </c>
      <c r="AJ13" s="3">
        <v>3.7666806990000001</v>
      </c>
    </row>
    <row r="14" spans="1:47" x14ac:dyDescent="0.2">
      <c r="A14" s="88" t="s">
        <v>61</v>
      </c>
      <c r="B14" s="4">
        <v>18445</v>
      </c>
      <c r="AJ14" s="3">
        <v>7.2973606230000003</v>
      </c>
    </row>
    <row r="15" spans="1:47" x14ac:dyDescent="0.2">
      <c r="A15" s="88" t="s">
        <v>62</v>
      </c>
      <c r="B15" s="4">
        <v>18537</v>
      </c>
      <c r="AJ15" s="3">
        <v>10.304959761999999</v>
      </c>
    </row>
    <row r="16" spans="1:47" x14ac:dyDescent="0.2">
      <c r="A16" s="88" t="s">
        <v>63</v>
      </c>
      <c r="B16" s="4">
        <v>18629</v>
      </c>
      <c r="AJ16" s="3">
        <v>13.368522327999999</v>
      </c>
    </row>
    <row r="17" spans="1:36" x14ac:dyDescent="0.2">
      <c r="A17" s="88" t="s">
        <v>64</v>
      </c>
      <c r="B17" s="4">
        <v>18719</v>
      </c>
      <c r="AJ17" s="3">
        <v>10.563012123</v>
      </c>
    </row>
    <row r="18" spans="1:36" x14ac:dyDescent="0.2">
      <c r="A18" s="88" t="s">
        <v>65</v>
      </c>
      <c r="B18" s="4">
        <v>18810</v>
      </c>
      <c r="AJ18" s="3">
        <v>9.1498838239999998</v>
      </c>
    </row>
    <row r="19" spans="1:36" x14ac:dyDescent="0.2">
      <c r="A19" s="88" t="s">
        <v>66</v>
      </c>
      <c r="B19" s="4">
        <v>18902</v>
      </c>
      <c r="AJ19" s="3">
        <v>7.2546955019999997</v>
      </c>
    </row>
    <row r="20" spans="1:36" x14ac:dyDescent="0.2">
      <c r="A20" s="88" t="s">
        <v>67</v>
      </c>
      <c r="B20" s="4">
        <v>18994</v>
      </c>
      <c r="AJ20" s="3">
        <v>5.4713784949999997</v>
      </c>
    </row>
    <row r="21" spans="1:36" x14ac:dyDescent="0.2">
      <c r="A21" s="88" t="s">
        <v>68</v>
      </c>
      <c r="B21" s="4">
        <v>19085</v>
      </c>
      <c r="AJ21" s="3">
        <v>5.170000881</v>
      </c>
    </row>
    <row r="22" spans="1:36" x14ac:dyDescent="0.2">
      <c r="A22" s="88" t="s">
        <v>69</v>
      </c>
      <c r="B22" s="4">
        <v>19176</v>
      </c>
      <c r="AJ22" s="3">
        <v>3.6014209519999998</v>
      </c>
    </row>
    <row r="23" spans="1:36" x14ac:dyDescent="0.2">
      <c r="A23" s="88" t="s">
        <v>70</v>
      </c>
      <c r="B23" s="4">
        <v>19268</v>
      </c>
      <c r="AJ23" s="3">
        <v>2.2420593809999998</v>
      </c>
    </row>
    <row r="24" spans="1:36" x14ac:dyDescent="0.2">
      <c r="A24" s="88" t="s">
        <v>71</v>
      </c>
      <c r="B24" s="4">
        <v>19360</v>
      </c>
      <c r="AJ24" s="3">
        <v>5.3678369469999998</v>
      </c>
    </row>
    <row r="25" spans="1:36" x14ac:dyDescent="0.2">
      <c r="A25" s="88" t="s">
        <v>72</v>
      </c>
      <c r="B25" s="4">
        <v>19450</v>
      </c>
      <c r="AJ25" s="3">
        <v>6.1917895940000003</v>
      </c>
    </row>
    <row r="26" spans="1:36" x14ac:dyDescent="0.2">
      <c r="A26" s="88" t="s">
        <v>73</v>
      </c>
      <c r="B26" s="4">
        <v>19541</v>
      </c>
      <c r="AJ26" s="3">
        <v>6.7825801630000004</v>
      </c>
    </row>
    <row r="27" spans="1:36" x14ac:dyDescent="0.2">
      <c r="A27" s="88" t="s">
        <v>74</v>
      </c>
      <c r="B27" s="4">
        <v>19633</v>
      </c>
      <c r="AJ27" s="3">
        <v>5.4207601810000003</v>
      </c>
    </row>
    <row r="28" spans="1:36" x14ac:dyDescent="0.2">
      <c r="A28" s="88" t="s">
        <v>75</v>
      </c>
      <c r="B28" s="4">
        <v>19725</v>
      </c>
      <c r="AJ28" s="3">
        <v>0.52334884400000004</v>
      </c>
    </row>
    <row r="29" spans="1:36" x14ac:dyDescent="0.2">
      <c r="A29" s="88" t="s">
        <v>76</v>
      </c>
      <c r="B29" s="4">
        <v>19815</v>
      </c>
      <c r="AJ29" s="3">
        <v>-1.782902464</v>
      </c>
    </row>
    <row r="30" spans="1:36" x14ac:dyDescent="0.2">
      <c r="A30" s="88" t="s">
        <v>77</v>
      </c>
      <c r="B30" s="4">
        <v>19906</v>
      </c>
      <c r="AJ30" s="3">
        <v>-2.4300090499999998</v>
      </c>
    </row>
    <row r="31" spans="1:36" x14ac:dyDescent="0.2">
      <c r="A31" s="88" t="s">
        <v>78</v>
      </c>
      <c r="B31" s="4">
        <v>19998</v>
      </c>
      <c r="AJ31" s="3">
        <v>-0.76976022300000002</v>
      </c>
    </row>
    <row r="32" spans="1:36" x14ac:dyDescent="0.2">
      <c r="A32" s="88" t="s">
        <v>79</v>
      </c>
      <c r="B32" s="4">
        <v>20090</v>
      </c>
      <c r="AJ32" s="3">
        <v>2.7270932499999998</v>
      </c>
    </row>
    <row r="33" spans="1:36" x14ac:dyDescent="0.2">
      <c r="A33" s="88" t="s">
        <v>80</v>
      </c>
      <c r="B33" s="4">
        <v>20180</v>
      </c>
      <c r="AJ33" s="3">
        <v>6.1687319870000001</v>
      </c>
    </row>
    <row r="34" spans="1:36" x14ac:dyDescent="0.2">
      <c r="A34" s="88" t="s">
        <v>81</v>
      </c>
      <c r="B34" s="4">
        <v>20271</v>
      </c>
      <c r="AJ34" s="3">
        <v>7.7788443279999999</v>
      </c>
    </row>
    <row r="35" spans="1:36" x14ac:dyDescent="0.2">
      <c r="A35" s="88" t="s">
        <v>82</v>
      </c>
      <c r="B35" s="4">
        <v>20363</v>
      </c>
      <c r="AJ35" s="3">
        <v>8.0145013810000005</v>
      </c>
    </row>
    <row r="36" spans="1:36" x14ac:dyDescent="0.2">
      <c r="A36" s="88" t="s">
        <v>83</v>
      </c>
      <c r="B36" s="4">
        <v>20455</v>
      </c>
      <c r="AJ36" s="3">
        <v>6.5775531980000004</v>
      </c>
    </row>
    <row r="37" spans="1:36" x14ac:dyDescent="0.2">
      <c r="A37" s="88" t="s">
        <v>84</v>
      </c>
      <c r="B37" s="4">
        <v>20546</v>
      </c>
      <c r="O37" s="3">
        <v>2.748601243</v>
      </c>
      <c r="AJ37" s="3">
        <v>3.2155485320000001</v>
      </c>
    </row>
    <row r="38" spans="1:36" x14ac:dyDescent="0.2">
      <c r="A38" s="88" t="s">
        <v>85</v>
      </c>
      <c r="B38" s="4">
        <v>20637</v>
      </c>
      <c r="O38" s="3">
        <v>2.433190154</v>
      </c>
      <c r="AJ38" s="3">
        <v>2.4021458670000002</v>
      </c>
    </row>
    <row r="39" spans="1:36" x14ac:dyDescent="0.2">
      <c r="A39" s="88" t="s">
        <v>86</v>
      </c>
      <c r="B39" s="4">
        <v>20729</v>
      </c>
      <c r="O39" s="3">
        <v>0.30252863499999999</v>
      </c>
      <c r="AJ39" s="3">
        <v>0.94689641000000002</v>
      </c>
    </row>
    <row r="40" spans="1:36" x14ac:dyDescent="0.2">
      <c r="A40" s="88" t="s">
        <v>87</v>
      </c>
      <c r="B40" s="4">
        <v>20821</v>
      </c>
      <c r="O40" s="3">
        <v>1.3012141850000001</v>
      </c>
      <c r="AJ40" s="3">
        <v>1.9960335760000001</v>
      </c>
    </row>
    <row r="41" spans="1:36" x14ac:dyDescent="0.2">
      <c r="A41" s="88" t="s">
        <v>88</v>
      </c>
      <c r="B41" s="4">
        <v>20911</v>
      </c>
      <c r="O41" s="3">
        <v>2.1338789829999998</v>
      </c>
      <c r="AJ41" s="3">
        <v>3.0493286199999998</v>
      </c>
    </row>
    <row r="42" spans="1:36" x14ac:dyDescent="0.2">
      <c r="A42" s="88" t="s">
        <v>89</v>
      </c>
      <c r="B42" s="4">
        <v>21002</v>
      </c>
      <c r="O42" s="3">
        <v>2.3670223899999998</v>
      </c>
      <c r="AJ42" s="3">
        <v>1.9808742699999999</v>
      </c>
    </row>
    <row r="43" spans="1:36" x14ac:dyDescent="0.2">
      <c r="A43" s="88" t="s">
        <v>90</v>
      </c>
      <c r="B43" s="4">
        <v>21094</v>
      </c>
      <c r="O43" s="3">
        <v>1.8398585759999999</v>
      </c>
      <c r="AJ43" s="3">
        <v>3.0729058839999999</v>
      </c>
    </row>
    <row r="44" spans="1:36" x14ac:dyDescent="0.2">
      <c r="A44" s="88" t="s">
        <v>91</v>
      </c>
      <c r="B44" s="4">
        <v>21186</v>
      </c>
      <c r="O44" s="3">
        <v>1.5705932890000001</v>
      </c>
      <c r="AJ44" s="3">
        <v>0.35513471499999999</v>
      </c>
    </row>
    <row r="45" spans="1:36" x14ac:dyDescent="0.2">
      <c r="A45" s="88" t="s">
        <v>92</v>
      </c>
      <c r="B45" s="4">
        <v>21276</v>
      </c>
      <c r="O45" s="3">
        <v>1.7344018320000001</v>
      </c>
      <c r="AJ45" s="3">
        <v>-2.8714282899999999</v>
      </c>
    </row>
    <row r="46" spans="1:36" x14ac:dyDescent="0.2">
      <c r="A46" s="88" t="s">
        <v>93</v>
      </c>
      <c r="B46" s="4">
        <v>21367</v>
      </c>
      <c r="O46" s="3">
        <v>-0.64021324099999999</v>
      </c>
      <c r="AJ46" s="3">
        <v>-2.0184094849999998</v>
      </c>
    </row>
    <row r="47" spans="1:36" x14ac:dyDescent="0.2">
      <c r="A47" s="88" t="s">
        <v>94</v>
      </c>
      <c r="B47" s="4">
        <v>21459</v>
      </c>
      <c r="O47" s="3">
        <v>2.1751828419999999</v>
      </c>
      <c r="AJ47" s="3">
        <v>-0.72479788599999995</v>
      </c>
    </row>
    <row r="48" spans="1:36" x14ac:dyDescent="0.2">
      <c r="A48" s="88" t="s">
        <v>95</v>
      </c>
      <c r="B48" s="4">
        <v>21551</v>
      </c>
      <c r="O48" s="3">
        <v>2.1080033500000002</v>
      </c>
      <c r="AJ48" s="3">
        <v>2.6581373350000002</v>
      </c>
    </row>
    <row r="49" spans="1:42" x14ac:dyDescent="0.2">
      <c r="A49" s="88" t="s">
        <v>96</v>
      </c>
      <c r="B49" s="4">
        <v>21641</v>
      </c>
      <c r="O49" s="3">
        <v>0.58837241100000004</v>
      </c>
      <c r="AJ49" s="3">
        <v>7.4166492159999997</v>
      </c>
    </row>
    <row r="50" spans="1:42" x14ac:dyDescent="0.2">
      <c r="A50" s="88" t="s">
        <v>97</v>
      </c>
      <c r="B50" s="4">
        <v>21732</v>
      </c>
      <c r="O50" s="3">
        <v>4.6889400920000002</v>
      </c>
      <c r="AJ50" s="3">
        <v>9.1218984800000005</v>
      </c>
    </row>
    <row r="51" spans="1:42" x14ac:dyDescent="0.2">
      <c r="A51" s="88" t="s">
        <v>98</v>
      </c>
      <c r="B51" s="4">
        <v>21824</v>
      </c>
      <c r="O51" s="3">
        <v>4.6313518040000003</v>
      </c>
      <c r="AJ51" s="3">
        <v>6.7299987449999996</v>
      </c>
    </row>
    <row r="52" spans="1:42" x14ac:dyDescent="0.2">
      <c r="A52" s="88" t="s">
        <v>99</v>
      </c>
      <c r="B52" s="4">
        <v>21916</v>
      </c>
      <c r="O52" s="3">
        <v>7.1866882199999997</v>
      </c>
      <c r="AJ52" s="3">
        <v>4.5886632949999999</v>
      </c>
    </row>
    <row r="53" spans="1:42" x14ac:dyDescent="0.2">
      <c r="A53" s="88" t="s">
        <v>100</v>
      </c>
      <c r="B53" s="4">
        <v>22007</v>
      </c>
      <c r="O53" s="3">
        <v>9.1543274490000002</v>
      </c>
      <c r="AJ53" s="3">
        <v>4.925418809</v>
      </c>
    </row>
    <row r="54" spans="1:42" x14ac:dyDescent="0.2">
      <c r="A54" s="88" t="s">
        <v>101</v>
      </c>
      <c r="B54" s="4">
        <v>22098</v>
      </c>
      <c r="O54" s="3">
        <v>6.551745822</v>
      </c>
      <c r="AJ54" s="3">
        <v>2.0582082119999998</v>
      </c>
    </row>
    <row r="55" spans="1:42" x14ac:dyDescent="0.2">
      <c r="A55" s="88" t="s">
        <v>102</v>
      </c>
      <c r="B55" s="4">
        <v>22190</v>
      </c>
      <c r="O55" s="3">
        <v>5.8907725339999999</v>
      </c>
      <c r="AJ55" s="3">
        <v>2.4853887609999998</v>
      </c>
    </row>
    <row r="56" spans="1:42" x14ac:dyDescent="0.2">
      <c r="A56" s="88" t="s">
        <v>103</v>
      </c>
      <c r="B56" s="4">
        <v>22282</v>
      </c>
      <c r="O56" s="3">
        <v>3.8633822790000001</v>
      </c>
      <c r="AJ56" s="3">
        <v>0.88268414299999998</v>
      </c>
    </row>
    <row r="57" spans="1:42" x14ac:dyDescent="0.2">
      <c r="A57" s="88" t="s">
        <v>104</v>
      </c>
      <c r="B57" s="4">
        <v>22372</v>
      </c>
      <c r="C57" s="3">
        <v>3.0999057919999999</v>
      </c>
      <c r="E57" s="3">
        <v>4.9533275459999997</v>
      </c>
      <c r="I57" s="3">
        <v>7.4502895560000004</v>
      </c>
      <c r="J57" s="3">
        <v>4.9152173130000003</v>
      </c>
      <c r="K57" s="3">
        <v>10.081656102</v>
      </c>
      <c r="M57" s="3">
        <v>9.0429625389999995</v>
      </c>
      <c r="N57" s="3">
        <v>3.9714383849999999</v>
      </c>
      <c r="O57" s="3">
        <v>3.0036823109999999</v>
      </c>
      <c r="P57" s="3">
        <v>13.732300911999999</v>
      </c>
      <c r="R57" s="3">
        <v>5.4643061050000004</v>
      </c>
      <c r="S57" s="3">
        <v>-1.4283556879999999</v>
      </c>
      <c r="U57" s="3">
        <v>6.7283974500000001</v>
      </c>
      <c r="V57" s="3">
        <v>10.879027492000001</v>
      </c>
      <c r="W57" s="3">
        <v>7.2780327500000004</v>
      </c>
      <c r="X57" s="3">
        <v>4.3497449909999997</v>
      </c>
      <c r="Z57" s="3">
        <v>4.0135597010000001</v>
      </c>
      <c r="AA57" s="3">
        <v>2.057126582</v>
      </c>
      <c r="AB57" s="3">
        <v>5.8691643510000002</v>
      </c>
      <c r="AE57" s="3">
        <v>4.3042309750000003</v>
      </c>
      <c r="AH57" s="3">
        <v>6.9627289699999997</v>
      </c>
      <c r="AJ57" s="3">
        <v>-0.66912824199999998</v>
      </c>
      <c r="AN57" s="3">
        <v>9.4353705320000003</v>
      </c>
      <c r="AP57" s="3">
        <v>5.2831620539999999</v>
      </c>
    </row>
    <row r="58" spans="1:42" x14ac:dyDescent="0.2">
      <c r="A58" s="88" t="s">
        <v>105</v>
      </c>
      <c r="B58" s="4">
        <v>22463</v>
      </c>
      <c r="C58" s="3">
        <v>-0.77124563400000001</v>
      </c>
      <c r="E58" s="3">
        <v>4.8863720940000004</v>
      </c>
      <c r="I58" s="3">
        <v>5.0020988800000001</v>
      </c>
      <c r="J58" s="3">
        <v>6.1429355110000001</v>
      </c>
      <c r="K58" s="3">
        <v>12.654501031000001</v>
      </c>
      <c r="M58" s="3">
        <v>7.4596753839999996</v>
      </c>
      <c r="N58" s="3">
        <v>5.2399267849999998</v>
      </c>
      <c r="O58" s="3">
        <v>4.2212271210000001</v>
      </c>
      <c r="P58" s="3">
        <v>13.260075956</v>
      </c>
      <c r="R58" s="3">
        <v>5.3836298920000001</v>
      </c>
      <c r="S58" s="3">
        <v>-1.431513525</v>
      </c>
      <c r="U58" s="3">
        <v>7.4098788469999999</v>
      </c>
      <c r="V58" s="3">
        <v>13.033911709</v>
      </c>
      <c r="W58" s="3">
        <v>7.093669513</v>
      </c>
      <c r="X58" s="3">
        <v>4.2972653190000001</v>
      </c>
      <c r="Z58" s="3">
        <v>3.9684648120000001</v>
      </c>
      <c r="AA58" s="3">
        <v>-1.660569264</v>
      </c>
      <c r="AB58" s="3">
        <v>6.7689613880000001</v>
      </c>
      <c r="AE58" s="3">
        <v>5.2216949699999997</v>
      </c>
      <c r="AH58" s="3">
        <v>5.916115027</v>
      </c>
      <c r="AJ58" s="3">
        <v>1.564454936</v>
      </c>
      <c r="AN58" s="3">
        <v>8.7143708740000001</v>
      </c>
      <c r="AP58" s="3">
        <v>3.1411323229999999</v>
      </c>
    </row>
    <row r="59" spans="1:42" x14ac:dyDescent="0.2">
      <c r="A59" s="88" t="s">
        <v>106</v>
      </c>
      <c r="B59" s="4">
        <v>22555</v>
      </c>
      <c r="C59" s="3">
        <v>-1.7030852990000001</v>
      </c>
      <c r="E59" s="3">
        <v>4.9405661240000001</v>
      </c>
      <c r="I59" s="3">
        <v>3.5769502950000001</v>
      </c>
      <c r="J59" s="3">
        <v>6.9820432300000004</v>
      </c>
      <c r="K59" s="3">
        <v>11.827221160000001</v>
      </c>
      <c r="M59" s="3">
        <v>6.8199393449999999</v>
      </c>
      <c r="N59" s="3">
        <v>6.121194558</v>
      </c>
      <c r="O59" s="3">
        <v>2.1445597510000001</v>
      </c>
      <c r="P59" s="3">
        <v>10.997320480999999</v>
      </c>
      <c r="R59" s="3">
        <v>4.9870923139999999</v>
      </c>
      <c r="S59" s="3">
        <v>-0.10539245699999999</v>
      </c>
      <c r="U59" s="3">
        <v>8.3223590359999999</v>
      </c>
      <c r="V59" s="3">
        <v>11.377645181</v>
      </c>
      <c r="W59" s="3">
        <v>6.3207676490000004</v>
      </c>
      <c r="X59" s="3">
        <v>3.8159352530000001</v>
      </c>
      <c r="Z59" s="3">
        <v>3.9827138299999998</v>
      </c>
      <c r="AA59" s="3">
        <v>0.16790221</v>
      </c>
      <c r="AB59" s="3">
        <v>6.7165438059999998</v>
      </c>
      <c r="AE59" s="3">
        <v>5.9201352170000003</v>
      </c>
      <c r="AH59" s="3">
        <v>5.6665601499999996</v>
      </c>
      <c r="AJ59" s="3">
        <v>3.0099205370000002</v>
      </c>
      <c r="AN59" s="3">
        <v>6.1725281440000002</v>
      </c>
      <c r="AP59" s="3">
        <v>3.5371460610000001</v>
      </c>
    </row>
    <row r="60" spans="1:42" x14ac:dyDescent="0.2">
      <c r="A60" s="88" t="s">
        <v>107</v>
      </c>
      <c r="B60" s="4">
        <v>22647</v>
      </c>
      <c r="C60" s="3">
        <v>-0.388425784</v>
      </c>
      <c r="E60" s="3">
        <v>5.1124826580000002</v>
      </c>
      <c r="I60" s="3">
        <v>2.9961605740000001</v>
      </c>
      <c r="J60" s="3">
        <v>7.4341734549999998</v>
      </c>
      <c r="K60" s="3">
        <v>12.713710728000001</v>
      </c>
      <c r="M60" s="3">
        <v>7.1518423760000003</v>
      </c>
      <c r="N60" s="3">
        <v>6.6600629720000004</v>
      </c>
      <c r="O60" s="3">
        <v>1.3617384020000001</v>
      </c>
      <c r="P60" s="3">
        <v>6.9771795130000003</v>
      </c>
      <c r="R60" s="3">
        <v>4.2587042139999998</v>
      </c>
      <c r="S60" s="3">
        <v>2.655540781</v>
      </c>
      <c r="U60" s="3">
        <v>10.310053934999999</v>
      </c>
      <c r="V60" s="3">
        <v>12.176153340000001</v>
      </c>
      <c r="W60" s="3">
        <v>7.0613885669999998</v>
      </c>
      <c r="X60" s="3">
        <v>2.884953141</v>
      </c>
      <c r="Z60" s="3">
        <v>4.0527592830000003</v>
      </c>
      <c r="AA60" s="3">
        <v>0.65556772100000005</v>
      </c>
      <c r="AB60" s="3">
        <v>5.7465063369999996</v>
      </c>
      <c r="AE60" s="3">
        <v>6.3997678249999996</v>
      </c>
      <c r="AH60" s="3">
        <v>4.2475524330000001</v>
      </c>
      <c r="AJ60" s="3">
        <v>6.3955298669999996</v>
      </c>
      <c r="AN60" s="3">
        <v>8.2039420019999998</v>
      </c>
      <c r="AP60" s="3">
        <v>3.4571118670000001</v>
      </c>
    </row>
    <row r="61" spans="1:42" x14ac:dyDescent="0.2">
      <c r="A61" s="88" t="s">
        <v>108</v>
      </c>
      <c r="B61" s="4">
        <v>22737</v>
      </c>
      <c r="C61" s="3">
        <v>2.1001943550000002</v>
      </c>
      <c r="E61" s="3">
        <v>5.2719220990000002</v>
      </c>
      <c r="F61" s="3">
        <v>9.2877454729999993</v>
      </c>
      <c r="I61" s="3">
        <v>3.4668541080000002</v>
      </c>
      <c r="J61" s="3">
        <v>7.5100770959999998</v>
      </c>
      <c r="K61" s="3">
        <v>12.173784557999999</v>
      </c>
      <c r="M61" s="3">
        <v>4.9392040589999997</v>
      </c>
      <c r="N61" s="3">
        <v>6.8615099150000001</v>
      </c>
      <c r="O61" s="3">
        <v>0.169862546</v>
      </c>
      <c r="P61" s="3">
        <v>3.2387254560000001</v>
      </c>
      <c r="R61" s="3">
        <v>3.553468987</v>
      </c>
      <c r="S61" s="3">
        <v>5.4134623419999999</v>
      </c>
      <c r="U61" s="3">
        <v>8.0706392729999994</v>
      </c>
      <c r="V61" s="3">
        <v>10.328285972</v>
      </c>
      <c r="W61" s="3">
        <v>5.8071671900000004</v>
      </c>
      <c r="X61" s="3">
        <v>1.9798625599999999</v>
      </c>
      <c r="Z61" s="3">
        <v>4.1201049909999998</v>
      </c>
      <c r="AA61" s="3">
        <v>3.0363101129999999</v>
      </c>
      <c r="AB61" s="3">
        <v>3.9160058250000001</v>
      </c>
      <c r="AE61" s="3">
        <v>6.6642790930000002</v>
      </c>
      <c r="AH61" s="3">
        <v>2.5508294469999999</v>
      </c>
      <c r="AJ61" s="3">
        <v>7.5672760400000003</v>
      </c>
      <c r="AN61" s="3">
        <v>5.2257743830000001</v>
      </c>
      <c r="AP61" s="3">
        <v>5.3688532579999997</v>
      </c>
    </row>
    <row r="62" spans="1:42" x14ac:dyDescent="0.2">
      <c r="A62" s="88" t="s">
        <v>109</v>
      </c>
      <c r="B62" s="4">
        <v>22828</v>
      </c>
      <c r="C62" s="3">
        <v>5.2104414139999999</v>
      </c>
      <c r="E62" s="3">
        <v>5.4333198090000003</v>
      </c>
      <c r="F62" s="3">
        <v>7.3760649059999999</v>
      </c>
      <c r="I62" s="3">
        <v>5.1122411860000003</v>
      </c>
      <c r="J62" s="3">
        <v>6.7951648909999998</v>
      </c>
      <c r="K62" s="3">
        <v>9.9022424919999992</v>
      </c>
      <c r="M62" s="3">
        <v>1.5320651300000001</v>
      </c>
      <c r="N62" s="3">
        <v>6.8776577840000002</v>
      </c>
      <c r="O62" s="3">
        <v>0.68731198000000004</v>
      </c>
      <c r="P62" s="3">
        <v>-0.26087682000000001</v>
      </c>
      <c r="R62" s="3">
        <v>2.8732331009999998</v>
      </c>
      <c r="S62" s="3">
        <v>8.1692308889999996</v>
      </c>
      <c r="U62" s="3">
        <v>6.9712034469999997</v>
      </c>
      <c r="V62" s="3">
        <v>9.5361325459999993</v>
      </c>
      <c r="W62" s="3">
        <v>-0.46580509599999997</v>
      </c>
      <c r="X62" s="3">
        <v>1.101465661</v>
      </c>
      <c r="Z62" s="3">
        <v>4.1864142749999997</v>
      </c>
      <c r="AA62" s="3">
        <v>6.673710357</v>
      </c>
      <c r="AB62" s="3">
        <v>2.7677362940000001</v>
      </c>
      <c r="AE62" s="3">
        <v>6.7626326079999997</v>
      </c>
      <c r="AH62" s="3">
        <v>3.9788226930000001</v>
      </c>
      <c r="AJ62" s="3">
        <v>6.7276902109999996</v>
      </c>
      <c r="AN62" s="3">
        <v>5.0177471020000004</v>
      </c>
      <c r="AP62" s="3">
        <v>6.5092467779999996</v>
      </c>
    </row>
    <row r="63" spans="1:42" x14ac:dyDescent="0.2">
      <c r="A63" s="88" t="s">
        <v>110</v>
      </c>
      <c r="B63" s="4">
        <v>22920</v>
      </c>
      <c r="C63" s="3">
        <v>6.8254999850000004</v>
      </c>
      <c r="E63" s="3">
        <v>5.2673565030000002</v>
      </c>
      <c r="F63" s="3">
        <v>6.2306651730000002</v>
      </c>
      <c r="I63" s="3">
        <v>5.4652123460000004</v>
      </c>
      <c r="J63" s="3">
        <v>5.3317313899999998</v>
      </c>
      <c r="K63" s="3">
        <v>10.340093868</v>
      </c>
      <c r="M63" s="3">
        <v>2.9850820109999998</v>
      </c>
      <c r="N63" s="3">
        <v>6.7172940880000001</v>
      </c>
      <c r="O63" s="3">
        <v>1.8370033079999999</v>
      </c>
      <c r="P63" s="3">
        <v>-0.23221839</v>
      </c>
      <c r="R63" s="3">
        <v>2.8678847759999999</v>
      </c>
      <c r="S63" s="3">
        <v>9.706723706</v>
      </c>
      <c r="U63" s="3">
        <v>5.1624660689999997</v>
      </c>
      <c r="V63" s="3">
        <v>8.7869700480000006</v>
      </c>
      <c r="W63" s="3">
        <v>4.3527030340000001</v>
      </c>
      <c r="X63" s="3">
        <v>0.91310961899999998</v>
      </c>
      <c r="Z63" s="3">
        <v>4.5937959770000001</v>
      </c>
      <c r="AA63" s="3">
        <v>9.9027323880000004</v>
      </c>
      <c r="AB63" s="3">
        <v>2.2549992689999998</v>
      </c>
      <c r="AE63" s="3">
        <v>6.702057323</v>
      </c>
      <c r="AH63" s="3">
        <v>5.0664375819999998</v>
      </c>
      <c r="AJ63" s="3">
        <v>6.004014529</v>
      </c>
      <c r="AN63" s="3">
        <v>5.151158218</v>
      </c>
      <c r="AP63" s="3">
        <v>6.2158724430000003</v>
      </c>
    </row>
    <row r="64" spans="1:42" x14ac:dyDescent="0.2">
      <c r="A64" s="88" t="s">
        <v>111</v>
      </c>
      <c r="B64" s="4">
        <v>23012</v>
      </c>
      <c r="C64" s="3">
        <v>7.5198621330000002</v>
      </c>
      <c r="E64" s="3">
        <v>4.764617265</v>
      </c>
      <c r="F64" s="3">
        <v>6.9018308470000003</v>
      </c>
      <c r="I64" s="3">
        <v>4.7599333919999998</v>
      </c>
      <c r="J64" s="3">
        <v>3.1613425679999998</v>
      </c>
      <c r="K64" s="3">
        <v>7.5999386250000001</v>
      </c>
      <c r="M64" s="3">
        <v>2.4985070020000002</v>
      </c>
      <c r="N64" s="3">
        <v>6.2480010669999997</v>
      </c>
      <c r="O64" s="3">
        <v>1.6121330469999999</v>
      </c>
      <c r="P64" s="3">
        <v>3.4457879249999999</v>
      </c>
      <c r="R64" s="3">
        <v>3.5660676809999998</v>
      </c>
      <c r="S64" s="3">
        <v>9.9041893349999999</v>
      </c>
      <c r="U64" s="3">
        <v>4.7377866419999997</v>
      </c>
      <c r="V64" s="3">
        <v>6.1883240339999999</v>
      </c>
      <c r="W64" s="3">
        <v>5.9834281569999996</v>
      </c>
      <c r="X64" s="3">
        <v>1.450369515</v>
      </c>
      <c r="Z64" s="3">
        <v>5.3535758529999997</v>
      </c>
      <c r="AA64" s="3">
        <v>7.7965848280000003</v>
      </c>
      <c r="AB64" s="3">
        <v>2.349553513</v>
      </c>
      <c r="AE64" s="3">
        <v>6.490039608</v>
      </c>
      <c r="AH64" s="3">
        <v>5.4017945599999999</v>
      </c>
      <c r="AJ64" s="3">
        <v>4.3070989070000003</v>
      </c>
      <c r="AN64" s="3">
        <v>3.7972388929999998</v>
      </c>
      <c r="AP64" s="3">
        <v>6.6072900920000004</v>
      </c>
    </row>
    <row r="65" spans="1:42" x14ac:dyDescent="0.2">
      <c r="A65" s="88" t="s">
        <v>112</v>
      </c>
      <c r="B65" s="4">
        <v>23102</v>
      </c>
      <c r="C65" s="3">
        <v>7.0005966419999996</v>
      </c>
      <c r="E65" s="3">
        <v>4.2838884049999999</v>
      </c>
      <c r="F65" s="3">
        <v>4.7741430329999996</v>
      </c>
      <c r="I65" s="3">
        <v>-0.37246084600000001</v>
      </c>
      <c r="J65" s="3">
        <v>0.32458163600000001</v>
      </c>
      <c r="K65" s="3">
        <v>11.160505427</v>
      </c>
      <c r="M65" s="3">
        <v>0.19162971200000001</v>
      </c>
      <c r="N65" s="3">
        <v>2.6304869009999998</v>
      </c>
      <c r="O65" s="3">
        <v>1.5822223479999999</v>
      </c>
      <c r="P65" s="3">
        <v>7.1413532719999999</v>
      </c>
      <c r="R65" s="3">
        <v>4.2514828140000001</v>
      </c>
      <c r="S65" s="3">
        <v>10.076270981</v>
      </c>
      <c r="U65" s="3">
        <v>3.895479919</v>
      </c>
      <c r="V65" s="3">
        <v>6.21378875</v>
      </c>
      <c r="W65" s="3">
        <v>10.002246294000001</v>
      </c>
      <c r="X65" s="3">
        <v>1.9934120630000001</v>
      </c>
      <c r="Z65" s="3">
        <v>6.0960191540000004</v>
      </c>
      <c r="AA65" s="3">
        <v>-1.6416193729999999</v>
      </c>
      <c r="AB65" s="3">
        <v>3.0391573639999998</v>
      </c>
      <c r="AC65" s="3">
        <v>3.5904021639999999</v>
      </c>
      <c r="AE65" s="3">
        <v>6.1344003960000002</v>
      </c>
      <c r="AH65" s="3">
        <v>4.0305311289999999</v>
      </c>
      <c r="AJ65" s="3">
        <v>3.5978663150000001</v>
      </c>
      <c r="AN65" s="3">
        <v>2.26880126</v>
      </c>
      <c r="AP65" s="3">
        <v>5.2939124130000002</v>
      </c>
    </row>
    <row r="66" spans="1:42" x14ac:dyDescent="0.2">
      <c r="A66" s="88" t="s">
        <v>113</v>
      </c>
      <c r="B66" s="4">
        <v>23193</v>
      </c>
      <c r="C66" s="3">
        <v>3.621259217</v>
      </c>
      <c r="E66" s="3">
        <v>3.8150367360000002</v>
      </c>
      <c r="F66" s="3">
        <v>5.5297638559999998</v>
      </c>
      <c r="I66" s="3">
        <v>3.0214105199999999</v>
      </c>
      <c r="J66" s="3">
        <v>-0.65222274800000002</v>
      </c>
      <c r="K66" s="3">
        <v>8.7235456530000004</v>
      </c>
      <c r="M66" s="3">
        <v>4.8339200460000002</v>
      </c>
      <c r="N66" s="3">
        <v>5.5087402689999996</v>
      </c>
      <c r="O66" s="3">
        <v>5.0707928520000003</v>
      </c>
      <c r="P66" s="3">
        <v>10.834140735</v>
      </c>
      <c r="R66" s="3">
        <v>4.9215346000000002</v>
      </c>
      <c r="S66" s="3">
        <v>10.253512904999999</v>
      </c>
      <c r="U66" s="3">
        <v>5.606665596</v>
      </c>
      <c r="V66" s="3">
        <v>7.832549491</v>
      </c>
      <c r="W66" s="3">
        <v>9.4525338590000008</v>
      </c>
      <c r="X66" s="3">
        <v>2.5186542689999998</v>
      </c>
      <c r="Z66" s="3">
        <v>6.8132101240000003</v>
      </c>
      <c r="AA66" s="3">
        <v>4.9604313219999998</v>
      </c>
      <c r="AB66" s="3">
        <v>3.6123495370000001</v>
      </c>
      <c r="AC66" s="3">
        <v>4.9283752969999997</v>
      </c>
      <c r="AE66" s="3">
        <v>5.9109752149999997</v>
      </c>
      <c r="AH66" s="3">
        <v>6.1393031369999997</v>
      </c>
      <c r="AJ66" s="3">
        <v>3.8221569249999998</v>
      </c>
      <c r="AN66" s="3">
        <v>4.9784934769999998</v>
      </c>
      <c r="AP66" s="3">
        <v>7.3902118200000002</v>
      </c>
    </row>
    <row r="67" spans="1:42" x14ac:dyDescent="0.2">
      <c r="A67" s="88" t="s">
        <v>114</v>
      </c>
      <c r="B67" s="4">
        <v>23285</v>
      </c>
      <c r="C67" s="3">
        <v>7.0088353640000003</v>
      </c>
      <c r="E67" s="3">
        <v>4.1573570880000004</v>
      </c>
      <c r="F67" s="3">
        <v>4.9683606239999998</v>
      </c>
      <c r="I67" s="3">
        <v>4.1020170330000001</v>
      </c>
      <c r="J67" s="3">
        <v>0.14907938800000001</v>
      </c>
      <c r="K67" s="3">
        <v>8.4144289800000003</v>
      </c>
      <c r="M67" s="3">
        <v>3.9005763490000001</v>
      </c>
      <c r="N67" s="3">
        <v>7.4423263110000004</v>
      </c>
      <c r="O67" s="3">
        <v>4.9218580799999998</v>
      </c>
      <c r="P67" s="3">
        <v>12.013275682</v>
      </c>
      <c r="R67" s="3">
        <v>5.087018992</v>
      </c>
      <c r="S67" s="3">
        <v>10.368625258</v>
      </c>
      <c r="U67" s="3">
        <v>6.6994011999999996</v>
      </c>
      <c r="V67" s="3">
        <v>9.6548098830000004</v>
      </c>
      <c r="W67" s="3">
        <v>9.8434584919999999</v>
      </c>
      <c r="X67" s="3">
        <v>3.6892433599999999</v>
      </c>
      <c r="Z67" s="3">
        <v>7.8152014679999997</v>
      </c>
      <c r="AA67" s="3">
        <v>4.2023087749999997</v>
      </c>
      <c r="AB67" s="3">
        <v>4.0679286670000003</v>
      </c>
      <c r="AC67" s="3">
        <v>5.8042218490000002</v>
      </c>
      <c r="AE67" s="3">
        <v>5.81300404</v>
      </c>
      <c r="AH67" s="3">
        <v>5.5252815899999996</v>
      </c>
      <c r="AJ67" s="3">
        <v>4.8169293460000002</v>
      </c>
      <c r="AN67" s="3">
        <v>5.8670261359999998</v>
      </c>
      <c r="AP67" s="3">
        <v>8.1140038210000007</v>
      </c>
    </row>
    <row r="68" spans="1:42" x14ac:dyDescent="0.2">
      <c r="A68" s="88" t="s">
        <v>115</v>
      </c>
      <c r="B68" s="4">
        <v>23377</v>
      </c>
      <c r="C68" s="3">
        <v>7.3742546280000001</v>
      </c>
      <c r="E68" s="3">
        <v>5.3420463639999998</v>
      </c>
      <c r="F68" s="3">
        <v>6.1012753399999999</v>
      </c>
      <c r="I68" s="3">
        <v>4.8324553569999997</v>
      </c>
      <c r="J68" s="3">
        <v>2.7224332449999999</v>
      </c>
      <c r="K68" s="3">
        <v>10.137254029999999</v>
      </c>
      <c r="M68" s="3">
        <v>4.2456283509999997</v>
      </c>
      <c r="N68" s="3">
        <v>6.4443132509999996</v>
      </c>
      <c r="O68" s="3">
        <v>7.7251653539999996</v>
      </c>
      <c r="P68" s="3">
        <v>10.52870362</v>
      </c>
      <c r="R68" s="3">
        <v>4.7239718599999998</v>
      </c>
      <c r="S68" s="3">
        <v>10.420619073999999</v>
      </c>
      <c r="U68" s="3">
        <v>6.2019954090000002</v>
      </c>
      <c r="V68" s="3">
        <v>11.111185898</v>
      </c>
      <c r="W68" s="3">
        <v>6.8681846569999996</v>
      </c>
      <c r="X68" s="3">
        <v>5.5271252520000003</v>
      </c>
      <c r="Z68" s="3">
        <v>9.0938997940000004</v>
      </c>
      <c r="AA68" s="3">
        <v>6.761604986</v>
      </c>
      <c r="AB68" s="3">
        <v>4.4059229220000002</v>
      </c>
      <c r="AC68" s="3">
        <v>6.4247499780000004</v>
      </c>
      <c r="AE68" s="3">
        <v>5.8347617779999998</v>
      </c>
      <c r="AH68" s="3">
        <v>5.5808688950000001</v>
      </c>
      <c r="AJ68" s="3">
        <v>5.1582445650000004</v>
      </c>
      <c r="AN68" s="3">
        <v>6.3311572969999999</v>
      </c>
      <c r="AP68" s="3">
        <v>8.6277855240000001</v>
      </c>
    </row>
    <row r="69" spans="1:42" x14ac:dyDescent="0.2">
      <c r="A69" s="88" t="s">
        <v>116</v>
      </c>
      <c r="B69" s="4">
        <v>23468</v>
      </c>
      <c r="C69" s="3">
        <v>4.7808077320000004</v>
      </c>
      <c r="E69" s="3">
        <v>6.4967286299999998</v>
      </c>
      <c r="F69" s="3">
        <v>8.0771313169999992</v>
      </c>
      <c r="I69" s="3">
        <v>10.127128404</v>
      </c>
      <c r="J69" s="3">
        <v>7.1354405720000003</v>
      </c>
      <c r="K69" s="3">
        <v>4.7347249939999996</v>
      </c>
      <c r="M69" s="3">
        <v>6.5572095580000003</v>
      </c>
      <c r="N69" s="3">
        <v>10.285371682999999</v>
      </c>
      <c r="O69" s="3">
        <v>7.9548232529999998</v>
      </c>
      <c r="P69" s="3">
        <v>9.1302363599999996</v>
      </c>
      <c r="R69" s="3">
        <v>4.3697420429999996</v>
      </c>
      <c r="S69" s="3">
        <v>10.468624288999999</v>
      </c>
      <c r="U69" s="3">
        <v>7.0654793180000004</v>
      </c>
      <c r="V69" s="3">
        <v>13.109119078999999</v>
      </c>
      <c r="W69" s="3">
        <v>6.9803850389999997</v>
      </c>
      <c r="X69" s="3">
        <v>7.3164699979999996</v>
      </c>
      <c r="Z69" s="3">
        <v>10.312366804</v>
      </c>
      <c r="AA69" s="3">
        <v>15.430176153</v>
      </c>
      <c r="AB69" s="3">
        <v>4.6274409700000003</v>
      </c>
      <c r="AC69" s="3">
        <v>7.9615217649999996</v>
      </c>
      <c r="AE69" s="3">
        <v>5.9712375020000001</v>
      </c>
      <c r="AH69" s="3">
        <v>9.3198563169999993</v>
      </c>
      <c r="AJ69" s="3">
        <v>6.2158208269999999</v>
      </c>
      <c r="AN69" s="3">
        <v>7.4367653660000004</v>
      </c>
      <c r="AP69" s="3">
        <v>9.2178180140000006</v>
      </c>
    </row>
    <row r="70" spans="1:42" x14ac:dyDescent="0.2">
      <c r="A70" s="88" t="s">
        <v>117</v>
      </c>
      <c r="B70" s="4">
        <v>23559</v>
      </c>
      <c r="C70" s="3">
        <v>8.7838474059999996</v>
      </c>
      <c r="E70" s="3">
        <v>7.6333720500000002</v>
      </c>
      <c r="F70" s="3">
        <v>6.9120152319999999</v>
      </c>
      <c r="I70" s="3">
        <v>6.6882926009999997</v>
      </c>
      <c r="J70" s="3">
        <v>9.7787919110000008</v>
      </c>
      <c r="K70" s="3">
        <v>6.3725956220000004</v>
      </c>
      <c r="M70" s="3">
        <v>5.3921449030000002</v>
      </c>
      <c r="N70" s="3">
        <v>6.5834623849999998</v>
      </c>
      <c r="O70" s="3">
        <v>5.3138318870000001</v>
      </c>
      <c r="P70" s="3">
        <v>7.8447921239999996</v>
      </c>
      <c r="R70" s="3">
        <v>4.0357009579999996</v>
      </c>
      <c r="S70" s="3">
        <v>10.529599457</v>
      </c>
      <c r="U70" s="3">
        <v>3.154238769</v>
      </c>
      <c r="V70" s="3">
        <v>12.525733796000001</v>
      </c>
      <c r="W70" s="3">
        <v>6.4146953570000003</v>
      </c>
      <c r="X70" s="3">
        <v>9.0892675950000008</v>
      </c>
      <c r="Z70" s="3">
        <v>11.502868805</v>
      </c>
      <c r="AA70" s="3">
        <v>6.8730508050000001</v>
      </c>
      <c r="AB70" s="3">
        <v>4.8679986370000004</v>
      </c>
      <c r="AC70" s="3">
        <v>6.7606420739999997</v>
      </c>
      <c r="AE70" s="3">
        <v>6.2646258689999996</v>
      </c>
      <c r="AH70" s="3">
        <v>5.8641500659999997</v>
      </c>
      <c r="AJ70" s="3">
        <v>6.1807512630000003</v>
      </c>
      <c r="AN70" s="3">
        <v>7.116911</v>
      </c>
      <c r="AP70" s="3">
        <v>8.3300232110000003</v>
      </c>
    </row>
    <row r="71" spans="1:42" x14ac:dyDescent="0.2">
      <c r="A71" s="88" t="s">
        <v>118</v>
      </c>
      <c r="B71" s="4">
        <v>23651</v>
      </c>
      <c r="C71" s="3">
        <v>5.1426504030000002</v>
      </c>
      <c r="E71" s="3">
        <v>7.5215384849999998</v>
      </c>
      <c r="F71" s="3">
        <v>7.19227375</v>
      </c>
      <c r="I71" s="3">
        <v>4.1825339379999997</v>
      </c>
      <c r="J71" s="3">
        <v>10.573961513</v>
      </c>
      <c r="K71" s="3">
        <v>4.9081257239999996</v>
      </c>
      <c r="M71" s="3">
        <v>5.9764327059999998</v>
      </c>
      <c r="N71" s="3">
        <v>4.4450124730000002</v>
      </c>
      <c r="O71" s="3">
        <v>5.2183350869999998</v>
      </c>
      <c r="P71" s="3">
        <v>7.6241159390000002</v>
      </c>
      <c r="R71" s="3">
        <v>3.6229106139999998</v>
      </c>
      <c r="S71" s="3">
        <v>9.9571654190000007</v>
      </c>
      <c r="U71" s="3">
        <v>1.3170848399999999</v>
      </c>
      <c r="V71" s="3">
        <v>11.008340695999999</v>
      </c>
      <c r="W71" s="3">
        <v>10.031044722000001</v>
      </c>
      <c r="X71" s="3">
        <v>8.7637595160000004</v>
      </c>
      <c r="Z71" s="3">
        <v>11.228235822</v>
      </c>
      <c r="AA71" s="3">
        <v>6.3375640600000001</v>
      </c>
      <c r="AB71" s="3">
        <v>5.1265384249999997</v>
      </c>
      <c r="AC71" s="3">
        <v>5.7048697869999998</v>
      </c>
      <c r="AE71" s="3">
        <v>6.7081803359999999</v>
      </c>
      <c r="AH71" s="3">
        <v>6.0109115710000003</v>
      </c>
      <c r="AJ71" s="3">
        <v>5.5198295540000002</v>
      </c>
      <c r="AN71" s="3">
        <v>4.209432294</v>
      </c>
      <c r="AP71" s="3">
        <v>6.536189845</v>
      </c>
    </row>
    <row r="72" spans="1:42" x14ac:dyDescent="0.2">
      <c r="A72" s="88" t="s">
        <v>119</v>
      </c>
      <c r="B72" s="4">
        <v>23743</v>
      </c>
      <c r="C72" s="3">
        <v>5.8646426309999997</v>
      </c>
      <c r="E72" s="3">
        <v>6.1545686330000002</v>
      </c>
      <c r="F72" s="3">
        <v>4.4913001250000004</v>
      </c>
      <c r="I72" s="3">
        <v>5.0911606020000004</v>
      </c>
      <c r="J72" s="3">
        <v>9.5618033390000008</v>
      </c>
      <c r="K72" s="3">
        <v>5.2299971249999997</v>
      </c>
      <c r="M72" s="3">
        <v>3.115370897</v>
      </c>
      <c r="N72" s="3">
        <v>5.0618788769999998</v>
      </c>
      <c r="O72" s="3">
        <v>4.4561063110000001</v>
      </c>
      <c r="P72" s="3">
        <v>8.4653159109999994</v>
      </c>
      <c r="R72" s="3">
        <v>3.1391367909999999</v>
      </c>
      <c r="S72" s="3">
        <v>8.7833376120000004</v>
      </c>
      <c r="U72" s="3">
        <v>-0.133944496</v>
      </c>
      <c r="V72" s="3">
        <v>8.653015152</v>
      </c>
      <c r="W72" s="3">
        <v>14.347039455000001</v>
      </c>
      <c r="X72" s="3">
        <v>6.3388881110000002</v>
      </c>
      <c r="Z72" s="3">
        <v>9.5260779600000003</v>
      </c>
      <c r="AA72" s="3">
        <v>5.2378410689999999</v>
      </c>
      <c r="AB72" s="3">
        <v>5.4018996860000001</v>
      </c>
      <c r="AC72" s="3">
        <v>5.191267603</v>
      </c>
      <c r="AE72" s="3">
        <v>7.2947154149999998</v>
      </c>
      <c r="AH72" s="3">
        <v>6.2137201190000004</v>
      </c>
      <c r="AJ72" s="3">
        <v>5.1563430649999997</v>
      </c>
      <c r="AN72" s="3">
        <v>2.4589130090000002</v>
      </c>
      <c r="AP72" s="3">
        <v>7.7528101319999996</v>
      </c>
    </row>
    <row r="73" spans="1:42" x14ac:dyDescent="0.2">
      <c r="A73" s="88" t="s">
        <v>120</v>
      </c>
      <c r="B73" s="4">
        <v>23833</v>
      </c>
      <c r="C73" s="3">
        <v>6.9244706870000003</v>
      </c>
      <c r="E73" s="3">
        <v>4.8491012040000001</v>
      </c>
      <c r="F73" s="3">
        <v>5.1716554989999999</v>
      </c>
      <c r="I73" s="3">
        <v>5.3613699820000003</v>
      </c>
      <c r="J73" s="3">
        <v>6.8914058420000002</v>
      </c>
      <c r="K73" s="3">
        <v>6.8651558890000004</v>
      </c>
      <c r="M73" s="3">
        <v>5.1149418720000002</v>
      </c>
      <c r="N73" s="3">
        <v>3.3494495510000002</v>
      </c>
      <c r="O73" s="3">
        <v>3.4905538300000001</v>
      </c>
      <c r="P73" s="3">
        <v>9.2785311850000003</v>
      </c>
      <c r="R73" s="3">
        <v>2.6697832969999999</v>
      </c>
      <c r="S73" s="3">
        <v>7.6871911490000002</v>
      </c>
      <c r="U73" s="3">
        <v>-0.26397611799999998</v>
      </c>
      <c r="V73" s="3">
        <v>6.1509470149999999</v>
      </c>
      <c r="W73" s="3">
        <v>9.2841993639999991</v>
      </c>
      <c r="X73" s="3">
        <v>4.041453594</v>
      </c>
      <c r="Z73" s="3">
        <v>7.9327581909999996</v>
      </c>
      <c r="AA73" s="3">
        <v>6.8477010780000001</v>
      </c>
      <c r="AB73" s="3">
        <v>5.6930609099999998</v>
      </c>
      <c r="AC73" s="3">
        <v>4.9818787430000002</v>
      </c>
      <c r="AE73" s="3">
        <v>8.0172834030000004</v>
      </c>
      <c r="AH73" s="3">
        <v>5.6886050360000002</v>
      </c>
      <c r="AJ73" s="3">
        <v>5.4771416009999996</v>
      </c>
      <c r="AN73" s="3">
        <v>4.8750623580000001</v>
      </c>
      <c r="AP73" s="3">
        <v>7.8066549380000003</v>
      </c>
    </row>
    <row r="74" spans="1:42" x14ac:dyDescent="0.2">
      <c r="A74" s="88" t="s">
        <v>121</v>
      </c>
      <c r="B74" s="4">
        <v>23924</v>
      </c>
      <c r="C74" s="3">
        <v>5.9848400540000002</v>
      </c>
      <c r="E74" s="3">
        <v>3.5952160559999999</v>
      </c>
      <c r="F74" s="3">
        <v>5.7893380199999998</v>
      </c>
      <c r="I74" s="3">
        <v>5.7322365120000001</v>
      </c>
      <c r="J74" s="3">
        <v>4.9427640759999996</v>
      </c>
      <c r="K74" s="3">
        <v>5.5810732490000001</v>
      </c>
      <c r="M74" s="3">
        <v>5.6521372950000002</v>
      </c>
      <c r="N74" s="3">
        <v>4.9148326019999997</v>
      </c>
      <c r="O74" s="3">
        <v>1.682327304</v>
      </c>
      <c r="P74" s="3">
        <v>10.040406075</v>
      </c>
      <c r="R74" s="3">
        <v>2.2063331179999999</v>
      </c>
      <c r="S74" s="3">
        <v>6.6280623250000001</v>
      </c>
      <c r="U74" s="3">
        <v>2.7644391540000002</v>
      </c>
      <c r="V74" s="3">
        <v>4.9448224009999997</v>
      </c>
      <c r="W74" s="3">
        <v>12.773367981</v>
      </c>
      <c r="X74" s="3">
        <v>1.859362449</v>
      </c>
      <c r="Z74" s="3">
        <v>6.4224894480000003</v>
      </c>
      <c r="AA74" s="3">
        <v>4.8494170109999999</v>
      </c>
      <c r="AB74" s="3">
        <v>5.6424097309999999</v>
      </c>
      <c r="AC74" s="3">
        <v>4.9163976079999996</v>
      </c>
      <c r="AE74" s="3">
        <v>8.0787116329999993</v>
      </c>
      <c r="AH74" s="3">
        <v>4.3417600160000003</v>
      </c>
      <c r="AJ74" s="3">
        <v>5.6592842589999997</v>
      </c>
      <c r="AN74" s="3">
        <v>1.425322778</v>
      </c>
      <c r="AP74" s="3">
        <v>6.914559422</v>
      </c>
    </row>
    <row r="75" spans="1:42" x14ac:dyDescent="0.2">
      <c r="A75" s="88" t="s">
        <v>122</v>
      </c>
      <c r="B75" s="4">
        <v>24016</v>
      </c>
      <c r="C75" s="3">
        <v>5.025070049</v>
      </c>
      <c r="E75" s="3">
        <v>2.9738086579999998</v>
      </c>
      <c r="F75" s="3">
        <v>6.1241149640000003</v>
      </c>
      <c r="I75" s="3">
        <v>5.3416826540000004</v>
      </c>
      <c r="J75" s="3">
        <v>3.6288257829999999</v>
      </c>
      <c r="K75" s="3">
        <v>5.8606001340000002</v>
      </c>
      <c r="M75" s="3">
        <v>5.2547513659999998</v>
      </c>
      <c r="N75" s="3">
        <v>5.1415684219999997</v>
      </c>
      <c r="O75" s="3">
        <v>2.117466887</v>
      </c>
      <c r="P75" s="3">
        <v>9.7821169789999995</v>
      </c>
      <c r="R75" s="3">
        <v>1.708039123</v>
      </c>
      <c r="S75" s="3">
        <v>6.7602796219999997</v>
      </c>
      <c r="U75" s="3">
        <v>4.3095041930000004</v>
      </c>
      <c r="V75" s="3">
        <v>5.6905979630000001</v>
      </c>
      <c r="W75" s="3">
        <v>4.7525096600000003</v>
      </c>
      <c r="X75" s="3">
        <v>0.86241232999999995</v>
      </c>
      <c r="Z75" s="3">
        <v>5.7703249870000004</v>
      </c>
      <c r="AA75" s="3">
        <v>3.8311221579999999</v>
      </c>
      <c r="AB75" s="3">
        <v>5.2630320890000002</v>
      </c>
      <c r="AC75" s="3">
        <v>5.2875962029999997</v>
      </c>
      <c r="AE75" s="3">
        <v>7.5109683739999999</v>
      </c>
      <c r="AH75" s="3">
        <v>2.1947753460000001</v>
      </c>
      <c r="AJ75" s="3">
        <v>6.346898404</v>
      </c>
      <c r="AN75" s="3">
        <v>3.0627734809999998</v>
      </c>
      <c r="AP75" s="3">
        <v>5.5849368559999997</v>
      </c>
    </row>
    <row r="76" spans="1:42" x14ac:dyDescent="0.2">
      <c r="A76" s="88" t="s">
        <v>123</v>
      </c>
      <c r="B76" s="4">
        <v>24108</v>
      </c>
      <c r="C76" s="3">
        <v>2.3695719710000001</v>
      </c>
      <c r="E76" s="3">
        <v>2.9716978979999999</v>
      </c>
      <c r="F76" s="3">
        <v>8.1503950179999993</v>
      </c>
      <c r="I76" s="3">
        <v>4.5498727739999998</v>
      </c>
      <c r="J76" s="3">
        <v>2.891405765</v>
      </c>
      <c r="K76" s="3">
        <v>6.7052440000000004</v>
      </c>
      <c r="M76" s="3">
        <v>5.1902312320000004</v>
      </c>
      <c r="N76" s="3">
        <v>5.6505594129999999</v>
      </c>
      <c r="O76" s="3">
        <v>1.1986461470000001</v>
      </c>
      <c r="P76" s="3">
        <v>8.5020895799999998</v>
      </c>
      <c r="R76" s="3">
        <v>1.162031714</v>
      </c>
      <c r="S76" s="3">
        <v>8.0738481520000001</v>
      </c>
      <c r="U76" s="3">
        <v>6.3215305500000003</v>
      </c>
      <c r="V76" s="3">
        <v>6.0071420010000001</v>
      </c>
      <c r="W76" s="3">
        <v>3.053442617</v>
      </c>
      <c r="X76" s="3">
        <v>1.0257259759999999</v>
      </c>
      <c r="Z76" s="3">
        <v>5.9414804439999997</v>
      </c>
      <c r="AA76" s="3">
        <v>5.4990107139999997</v>
      </c>
      <c r="AB76" s="3">
        <v>4.5688883779999996</v>
      </c>
      <c r="AC76" s="3">
        <v>6.2182741430000004</v>
      </c>
      <c r="AE76" s="3">
        <v>6.3514702630000004</v>
      </c>
      <c r="AH76" s="3">
        <v>3.1242828770000002</v>
      </c>
      <c r="AJ76" s="3">
        <v>8.4621648740000008</v>
      </c>
      <c r="AN76" s="3">
        <v>3.4257111450000002</v>
      </c>
      <c r="AP76" s="3">
        <v>4.2913908430000003</v>
      </c>
    </row>
    <row r="77" spans="1:42" x14ac:dyDescent="0.2">
      <c r="A77" s="88" t="s">
        <v>124</v>
      </c>
      <c r="B77" s="4">
        <v>24198</v>
      </c>
      <c r="C77" s="3">
        <v>1.2252926959999999</v>
      </c>
      <c r="E77" s="3">
        <v>2.971085097</v>
      </c>
      <c r="F77" s="3">
        <v>6.8568693930000002</v>
      </c>
      <c r="I77" s="3">
        <v>4.7343701500000002</v>
      </c>
      <c r="J77" s="3">
        <v>2.6951538350000002</v>
      </c>
      <c r="K77" s="3">
        <v>3.7706869109999999</v>
      </c>
      <c r="M77" s="3">
        <v>0.97228294100000001</v>
      </c>
      <c r="N77" s="3">
        <v>6.3676140779999999</v>
      </c>
      <c r="O77" s="3">
        <v>1.660467006</v>
      </c>
      <c r="P77" s="3">
        <v>7.2834650400000003</v>
      </c>
      <c r="R77" s="3">
        <v>0.63217237800000003</v>
      </c>
      <c r="S77" s="3">
        <v>9.3183453640000007</v>
      </c>
      <c r="U77" s="3">
        <v>5.9197116349999996</v>
      </c>
      <c r="V77" s="3">
        <v>7.9663938349999999</v>
      </c>
      <c r="W77" s="3">
        <v>7.9889379460000001</v>
      </c>
      <c r="X77" s="3">
        <v>1.1899233600000001</v>
      </c>
      <c r="Z77" s="3">
        <v>6.1036481880000002</v>
      </c>
      <c r="AA77" s="3">
        <v>-0.25207127000000001</v>
      </c>
      <c r="AB77" s="3">
        <v>3.5749138679999999</v>
      </c>
      <c r="AC77" s="3">
        <v>6.2583139970000001</v>
      </c>
      <c r="AE77" s="3">
        <v>4.6413947029999996</v>
      </c>
      <c r="AH77" s="3">
        <v>2.530094971</v>
      </c>
      <c r="AJ77" s="3">
        <v>8.4774958389999995</v>
      </c>
      <c r="AN77" s="3">
        <v>-0.44161799699999998</v>
      </c>
      <c r="AP77" s="3">
        <v>3.759659917</v>
      </c>
    </row>
    <row r="78" spans="1:42" x14ac:dyDescent="0.2">
      <c r="A78" s="88" t="s">
        <v>125</v>
      </c>
      <c r="B78" s="4">
        <v>24289</v>
      </c>
      <c r="C78" s="3">
        <v>1.0278727350000001</v>
      </c>
      <c r="E78" s="3">
        <v>2.9691284339999999</v>
      </c>
      <c r="F78" s="3">
        <v>8.0867238449999999</v>
      </c>
      <c r="I78" s="3">
        <v>3.4243037620000001</v>
      </c>
      <c r="J78" s="3">
        <v>2.6362851310000002</v>
      </c>
      <c r="K78" s="3">
        <v>8.6694578660000001</v>
      </c>
      <c r="M78" s="3">
        <v>1.645746945</v>
      </c>
      <c r="N78" s="3">
        <v>5.3551115009999997</v>
      </c>
      <c r="O78" s="3">
        <v>2.2086985860000001</v>
      </c>
      <c r="P78" s="3">
        <v>6.1431785550000004</v>
      </c>
      <c r="R78" s="3">
        <v>0.105383703</v>
      </c>
      <c r="S78" s="3">
        <v>10.536657195</v>
      </c>
      <c r="U78" s="3">
        <v>5.3282509769999997</v>
      </c>
      <c r="V78" s="3">
        <v>10.806859364999999</v>
      </c>
      <c r="W78" s="3">
        <v>14.418906358999999</v>
      </c>
      <c r="X78" s="3">
        <v>1.349464532</v>
      </c>
      <c r="Z78" s="3">
        <v>6.2631076910000001</v>
      </c>
      <c r="AA78" s="3">
        <v>3.7527186100000001</v>
      </c>
      <c r="AB78" s="3">
        <v>3.272870889</v>
      </c>
      <c r="AC78" s="3">
        <v>6.3624180499999996</v>
      </c>
      <c r="AE78" s="3">
        <v>3.7571193379999999</v>
      </c>
      <c r="AH78" s="3">
        <v>2.6123488350000001</v>
      </c>
      <c r="AJ78" s="3">
        <v>7.4901360869999998</v>
      </c>
      <c r="AN78" s="3">
        <v>4.5397851869999997</v>
      </c>
      <c r="AP78" s="3">
        <v>3.8838498910000001</v>
      </c>
    </row>
    <row r="79" spans="1:42" x14ac:dyDescent="0.2">
      <c r="A79" s="88" t="s">
        <v>126</v>
      </c>
      <c r="B79" s="4">
        <v>24381</v>
      </c>
      <c r="C79" s="3">
        <v>4.1867050470000002</v>
      </c>
      <c r="E79" s="3">
        <v>3.1032883409999998</v>
      </c>
      <c r="F79" s="3">
        <v>6.6089894320000004</v>
      </c>
      <c r="I79" s="3">
        <v>2.8662204469999999</v>
      </c>
      <c r="J79" s="3">
        <v>2.711722355</v>
      </c>
      <c r="K79" s="3">
        <v>9.7082582120000005</v>
      </c>
      <c r="M79" s="3">
        <v>1.4962223699999999</v>
      </c>
      <c r="N79" s="3">
        <v>5.0387777610000004</v>
      </c>
      <c r="O79" s="3">
        <v>1.690577263</v>
      </c>
      <c r="P79" s="3">
        <v>5.5436359890000002</v>
      </c>
      <c r="R79" s="3">
        <v>0.61202429000000003</v>
      </c>
      <c r="S79" s="3">
        <v>9.3777321449999995</v>
      </c>
      <c r="U79" s="3">
        <v>6.8800782920000003</v>
      </c>
      <c r="V79" s="3">
        <v>10.986148697000001</v>
      </c>
      <c r="W79" s="3">
        <v>13.337432054000001</v>
      </c>
      <c r="X79" s="3">
        <v>1.1906808440000001</v>
      </c>
      <c r="Z79" s="3">
        <v>6.2396574090000003</v>
      </c>
      <c r="AA79" s="3">
        <v>4.9370330359999999</v>
      </c>
      <c r="AB79" s="3">
        <v>3.63544014</v>
      </c>
      <c r="AC79" s="3">
        <v>5.7836533809999997</v>
      </c>
      <c r="AE79" s="3">
        <v>3.646398429</v>
      </c>
      <c r="AH79" s="3">
        <v>8.8233064999999999E-2</v>
      </c>
      <c r="AJ79" s="3">
        <v>6.0428748450000001</v>
      </c>
      <c r="AN79" s="3">
        <v>2.1442471799999998</v>
      </c>
      <c r="AP79" s="3">
        <v>5.7482575379999998</v>
      </c>
    </row>
    <row r="80" spans="1:42" x14ac:dyDescent="0.2">
      <c r="A80" s="88" t="s">
        <v>127</v>
      </c>
      <c r="B80" s="4">
        <v>24473</v>
      </c>
      <c r="C80" s="3">
        <v>4.6142712069999998</v>
      </c>
      <c r="E80" s="3">
        <v>3.3795503980000001</v>
      </c>
      <c r="F80" s="3">
        <v>5.3227089589999999</v>
      </c>
      <c r="I80" s="3">
        <v>0.65753600899999998</v>
      </c>
      <c r="J80" s="3">
        <v>2.9188379699999998</v>
      </c>
      <c r="K80" s="3">
        <v>6.8124141429999998</v>
      </c>
      <c r="M80" s="3">
        <v>5.3523466669999999</v>
      </c>
      <c r="N80" s="3">
        <v>4.1620741189999997</v>
      </c>
      <c r="O80" s="3">
        <v>0.64796678900000004</v>
      </c>
      <c r="P80" s="3">
        <v>5.485716</v>
      </c>
      <c r="R80" s="3">
        <v>2.2210868939999999</v>
      </c>
      <c r="S80" s="3">
        <v>5.8512041640000003</v>
      </c>
      <c r="U80" s="3">
        <v>5.802716803</v>
      </c>
      <c r="V80" s="3">
        <v>11.471788613999999</v>
      </c>
      <c r="W80" s="3">
        <v>12.228569249</v>
      </c>
      <c r="X80" s="3">
        <v>0.69454452300000002</v>
      </c>
      <c r="Z80" s="3">
        <v>6.0285942060000002</v>
      </c>
      <c r="AA80" s="3">
        <v>2.5408348959999998</v>
      </c>
      <c r="AB80" s="3">
        <v>4.6455988059999997</v>
      </c>
      <c r="AC80" s="3">
        <v>4.6675993800000004</v>
      </c>
      <c r="AE80" s="3">
        <v>4.2777137590000001</v>
      </c>
      <c r="AH80" s="3">
        <v>3.10840747</v>
      </c>
      <c r="AJ80" s="3">
        <v>4.5050201740000002</v>
      </c>
      <c r="AN80" s="3">
        <v>3.5905131300000002</v>
      </c>
      <c r="AP80" s="3">
        <v>4.360363048</v>
      </c>
    </row>
    <row r="81" spans="1:42" x14ac:dyDescent="0.2">
      <c r="A81" s="88" t="s">
        <v>128</v>
      </c>
      <c r="B81" s="4">
        <v>24563</v>
      </c>
      <c r="C81" s="3">
        <v>9.0117299989999999</v>
      </c>
      <c r="E81" s="3">
        <v>3.6489006549999998</v>
      </c>
      <c r="F81" s="3">
        <v>3.1171913259999999</v>
      </c>
      <c r="I81" s="3">
        <v>-1.6297905370000001</v>
      </c>
      <c r="J81" s="3">
        <v>3.255343506</v>
      </c>
      <c r="K81" s="3">
        <v>7.8405484259999998</v>
      </c>
      <c r="M81" s="3">
        <v>4.9420127249999997</v>
      </c>
      <c r="N81" s="3">
        <v>4.9997231979999999</v>
      </c>
      <c r="O81" s="3">
        <v>1.84058889</v>
      </c>
      <c r="P81" s="3">
        <v>5.4366724680000003</v>
      </c>
      <c r="R81" s="3">
        <v>3.822701683</v>
      </c>
      <c r="S81" s="3">
        <v>2.5281312740000002</v>
      </c>
      <c r="U81" s="3">
        <v>6.8799023449999996</v>
      </c>
      <c r="V81" s="3">
        <v>11.443301697000001</v>
      </c>
      <c r="W81" s="3">
        <v>9.3109769250000003</v>
      </c>
      <c r="X81" s="3">
        <v>0.20968321300000001</v>
      </c>
      <c r="Z81" s="3">
        <v>5.8275784020000003</v>
      </c>
      <c r="AA81" s="3">
        <v>6.8470926729999997</v>
      </c>
      <c r="AB81" s="3">
        <v>6.2954657689999998</v>
      </c>
      <c r="AC81" s="3">
        <v>4.0934884260000004</v>
      </c>
      <c r="AE81" s="3">
        <v>5.6377482150000002</v>
      </c>
      <c r="AH81" s="3">
        <v>2.7802792620000001</v>
      </c>
      <c r="AJ81" s="3">
        <v>2.9250362509999999</v>
      </c>
      <c r="AN81" s="3">
        <v>7.9497705930000002</v>
      </c>
      <c r="AP81" s="3">
        <v>6.6565824950000003</v>
      </c>
    </row>
    <row r="82" spans="1:42" x14ac:dyDescent="0.2">
      <c r="A82" s="88" t="s">
        <v>129</v>
      </c>
      <c r="B82" s="4">
        <v>24654</v>
      </c>
      <c r="C82" s="3">
        <v>7.3875184770000004</v>
      </c>
      <c r="E82" s="3">
        <v>3.9128704480000001</v>
      </c>
      <c r="F82" s="3">
        <v>3.1012533709999999</v>
      </c>
      <c r="I82" s="3">
        <v>-2.2378792789999999</v>
      </c>
      <c r="J82" s="3">
        <v>3.4549168780000001</v>
      </c>
      <c r="K82" s="3">
        <v>3.7736444169999999</v>
      </c>
      <c r="M82" s="3">
        <v>3.677660328</v>
      </c>
      <c r="N82" s="3">
        <v>4.5674214409999996</v>
      </c>
      <c r="O82" s="3">
        <v>2.6689651799999998</v>
      </c>
      <c r="P82" s="3">
        <v>5.3827419259999996</v>
      </c>
      <c r="R82" s="3">
        <v>5.4084451119999999</v>
      </c>
      <c r="S82" s="3">
        <v>-0.59341644800000004</v>
      </c>
      <c r="U82" s="3">
        <v>7.6455601</v>
      </c>
      <c r="V82" s="3">
        <v>10.132281282999999</v>
      </c>
      <c r="W82" s="3">
        <v>5.0845736620000004</v>
      </c>
      <c r="X82" s="3">
        <v>-0.27157629500000002</v>
      </c>
      <c r="Z82" s="3">
        <v>5.6322594029999999</v>
      </c>
      <c r="AA82" s="3">
        <v>4.8448381429999996</v>
      </c>
      <c r="AB82" s="3">
        <v>6.9300961689999996</v>
      </c>
      <c r="AC82" s="3">
        <v>3.567815682</v>
      </c>
      <c r="AE82" s="3">
        <v>6.9426240989999997</v>
      </c>
      <c r="AH82" s="3">
        <v>3.8104064339999999</v>
      </c>
      <c r="AJ82" s="3">
        <v>2.6375152810000002</v>
      </c>
      <c r="AN82" s="3">
        <v>1.6763022830000001</v>
      </c>
      <c r="AP82" s="3">
        <v>5.6760761469999998</v>
      </c>
    </row>
    <row r="83" spans="1:42" x14ac:dyDescent="0.2">
      <c r="A83" s="88" t="s">
        <v>130</v>
      </c>
      <c r="B83" s="4">
        <v>24746</v>
      </c>
      <c r="C83" s="3">
        <v>6.3994429410000002</v>
      </c>
      <c r="E83" s="3">
        <v>4.0020776060000003</v>
      </c>
      <c r="F83" s="3">
        <v>3.4949482110000001</v>
      </c>
      <c r="I83" s="3">
        <v>0</v>
      </c>
      <c r="J83" s="3">
        <v>3.519794933</v>
      </c>
      <c r="K83" s="3">
        <v>3.500479377</v>
      </c>
      <c r="M83" s="3">
        <v>1.9567360899999999</v>
      </c>
      <c r="N83" s="3">
        <v>4.3769435269999999</v>
      </c>
      <c r="O83" s="3">
        <v>2.7984130949999999</v>
      </c>
      <c r="P83" s="3">
        <v>5.4520971170000001</v>
      </c>
      <c r="R83" s="3">
        <v>6.5823210720000001</v>
      </c>
      <c r="S83" s="3">
        <v>-2.783749775</v>
      </c>
      <c r="U83" s="3">
        <v>6.3014137799999999</v>
      </c>
      <c r="V83" s="3">
        <v>11.246384669999999</v>
      </c>
      <c r="W83" s="3">
        <v>11.359761663</v>
      </c>
      <c r="X83" s="3">
        <v>-3.6789085999999999E-2</v>
      </c>
      <c r="Z83" s="3">
        <v>5.8334209870000002</v>
      </c>
      <c r="AA83" s="3">
        <v>4.4451097559999999</v>
      </c>
      <c r="AB83" s="3">
        <v>6.5698313439999998</v>
      </c>
      <c r="AC83" s="3">
        <v>3.8716304099999999</v>
      </c>
      <c r="AE83" s="3">
        <v>8.1806455549999999</v>
      </c>
      <c r="AH83" s="3">
        <v>4.8361977549999997</v>
      </c>
      <c r="AJ83" s="3">
        <v>2.7384927970000001</v>
      </c>
      <c r="AN83" s="3">
        <v>1.7722052740000001</v>
      </c>
      <c r="AP83" s="3">
        <v>9.3783651740000007</v>
      </c>
    </row>
    <row r="84" spans="1:42" x14ac:dyDescent="0.2">
      <c r="A84" s="88" t="s">
        <v>131</v>
      </c>
      <c r="B84" s="4">
        <v>24838</v>
      </c>
      <c r="C84" s="3">
        <v>6.6244895230000003</v>
      </c>
      <c r="E84" s="3">
        <v>3.9077364920000002</v>
      </c>
      <c r="F84" s="3">
        <v>2.65787795</v>
      </c>
      <c r="I84" s="3">
        <v>2.8926405810000002</v>
      </c>
      <c r="J84" s="3">
        <v>3.4528052329999999</v>
      </c>
      <c r="K84" s="3">
        <v>2.4785926549999999</v>
      </c>
      <c r="M84" s="3">
        <v>-1.68227821</v>
      </c>
      <c r="N84" s="3">
        <v>4.8220617240000001</v>
      </c>
      <c r="O84" s="3">
        <v>3.745272511</v>
      </c>
      <c r="P84" s="3">
        <v>5.6482047160000004</v>
      </c>
      <c r="R84" s="3">
        <v>7.2894435829999997</v>
      </c>
      <c r="S84" s="3">
        <v>-4.0984728029999999</v>
      </c>
      <c r="U84" s="3">
        <v>7.884903596</v>
      </c>
      <c r="V84" s="3">
        <v>11.175461277</v>
      </c>
      <c r="W84" s="3">
        <v>10.62251453</v>
      </c>
      <c r="X84" s="3">
        <v>0.96393052300000004</v>
      </c>
      <c r="Z84" s="3">
        <v>6.4413957220000002</v>
      </c>
      <c r="AA84" s="3">
        <v>5.0528854110000001</v>
      </c>
      <c r="AB84" s="3">
        <v>5.2581756080000002</v>
      </c>
      <c r="AC84" s="3">
        <v>4.29231607</v>
      </c>
      <c r="AE84" s="3">
        <v>9.34170357</v>
      </c>
      <c r="AH84" s="3">
        <v>2.1068449409999999</v>
      </c>
      <c r="AJ84" s="3">
        <v>2.6708397609999999</v>
      </c>
      <c r="AN84" s="3">
        <v>1.1308896879999999</v>
      </c>
      <c r="AP84" s="3">
        <v>7.0401236650000003</v>
      </c>
    </row>
    <row r="85" spans="1:42" x14ac:dyDescent="0.2">
      <c r="A85" s="88" t="s">
        <v>132</v>
      </c>
      <c r="B85" s="4">
        <v>24929</v>
      </c>
      <c r="C85" s="3">
        <v>1.70532646</v>
      </c>
      <c r="E85" s="3">
        <v>3.8183401830000001</v>
      </c>
      <c r="F85" s="3">
        <v>3.7371455710000001</v>
      </c>
      <c r="I85" s="3">
        <v>4.6175088840000003</v>
      </c>
      <c r="J85" s="3">
        <v>3.2574726269999998</v>
      </c>
      <c r="K85" s="3">
        <v>4.3778761040000003</v>
      </c>
      <c r="M85" s="3">
        <v>0.62448734400000006</v>
      </c>
      <c r="N85" s="3">
        <v>6.054590299</v>
      </c>
      <c r="O85" s="3">
        <v>6.1218328059999996</v>
      </c>
      <c r="P85" s="3">
        <v>5.8432917959999999</v>
      </c>
      <c r="R85" s="3">
        <v>7.9609870559999996</v>
      </c>
      <c r="S85" s="3">
        <v>-5.3942112590000004</v>
      </c>
      <c r="U85" s="3">
        <v>6.0317924869999997</v>
      </c>
      <c r="V85" s="3">
        <v>10.889312772</v>
      </c>
      <c r="W85" s="3">
        <v>13.825729552</v>
      </c>
      <c r="X85" s="3">
        <v>1.9685407850000001</v>
      </c>
      <c r="Z85" s="3">
        <v>7.0293012890000002</v>
      </c>
      <c r="AA85" s="3">
        <v>7.0652788449999999</v>
      </c>
      <c r="AB85" s="3">
        <v>3.0585046990000002</v>
      </c>
      <c r="AC85" s="3">
        <v>5.097903369</v>
      </c>
      <c r="AE85" s="3">
        <v>10.41790887</v>
      </c>
      <c r="AH85" s="3">
        <v>-0.66640725599999995</v>
      </c>
      <c r="AJ85" s="3">
        <v>3.845214871</v>
      </c>
      <c r="AN85" s="3">
        <v>-6.5956367000000002E-2</v>
      </c>
      <c r="AP85" s="3">
        <v>4.9809812850000004</v>
      </c>
    </row>
    <row r="86" spans="1:42" x14ac:dyDescent="0.2">
      <c r="A86" s="88" t="s">
        <v>133</v>
      </c>
      <c r="B86" s="4">
        <v>25020</v>
      </c>
      <c r="C86" s="3">
        <v>5.7694996180000002</v>
      </c>
      <c r="E86" s="3">
        <v>3.7341442059999999</v>
      </c>
      <c r="F86" s="3">
        <v>4.3603917340000002</v>
      </c>
      <c r="I86" s="3">
        <v>5.7612672170000003</v>
      </c>
      <c r="J86" s="3">
        <v>3.4687645909999998</v>
      </c>
      <c r="K86" s="3">
        <v>6.2679917859999996</v>
      </c>
      <c r="M86" s="3">
        <v>1.4172811059999999</v>
      </c>
      <c r="N86" s="3">
        <v>-3.0465918479999998</v>
      </c>
      <c r="O86" s="3">
        <v>4.2060136950000002</v>
      </c>
      <c r="P86" s="3">
        <v>6.0347911849999996</v>
      </c>
      <c r="R86" s="3">
        <v>8.6281580719999997</v>
      </c>
      <c r="S86" s="3">
        <v>-6.7257050810000001</v>
      </c>
      <c r="U86" s="3">
        <v>5.973454093</v>
      </c>
      <c r="V86" s="3">
        <v>11.668719373</v>
      </c>
      <c r="W86" s="3">
        <v>13.138739029</v>
      </c>
      <c r="X86" s="3">
        <v>2.9630320800000001</v>
      </c>
      <c r="Z86" s="3">
        <v>7.606982994</v>
      </c>
      <c r="AA86" s="3">
        <v>6.0985631580000002</v>
      </c>
      <c r="AB86" s="3">
        <v>1.8892732379999999</v>
      </c>
      <c r="AC86" s="3">
        <v>5.5057715480000002</v>
      </c>
      <c r="AE86" s="3">
        <v>10.206450526999999</v>
      </c>
      <c r="AH86" s="3">
        <v>4.4416426590000002</v>
      </c>
      <c r="AJ86" s="3">
        <v>5.5155815099999996</v>
      </c>
      <c r="AN86" s="3">
        <v>1.480760364</v>
      </c>
      <c r="AP86" s="3">
        <v>5.2791186689999998</v>
      </c>
    </row>
    <row r="87" spans="1:42" x14ac:dyDescent="0.2">
      <c r="A87" s="88" t="s">
        <v>134</v>
      </c>
      <c r="B87" s="4">
        <v>25112</v>
      </c>
      <c r="C87" s="3">
        <v>5.1901580159999998</v>
      </c>
      <c r="E87" s="3">
        <v>4.1220676579999997</v>
      </c>
      <c r="F87" s="3">
        <v>5.4106085000000004</v>
      </c>
      <c r="I87" s="3">
        <v>5.5347002420000004</v>
      </c>
      <c r="J87" s="3">
        <v>4.0764540819999997</v>
      </c>
      <c r="K87" s="3">
        <v>5.3183672189999998</v>
      </c>
      <c r="M87" s="3">
        <v>2.3162995460000002</v>
      </c>
      <c r="N87" s="3">
        <v>6.957438518</v>
      </c>
      <c r="O87" s="3">
        <v>5.7995672410000001</v>
      </c>
      <c r="P87" s="3">
        <v>6.7468271289999997</v>
      </c>
      <c r="R87" s="3">
        <v>8.5772246120000002</v>
      </c>
      <c r="S87" s="3">
        <v>-6.1723346189999999</v>
      </c>
      <c r="U87" s="3">
        <v>6.8745228889999996</v>
      </c>
      <c r="V87" s="3">
        <v>10.369641908</v>
      </c>
      <c r="W87" s="3">
        <v>14.21700907</v>
      </c>
      <c r="X87" s="3">
        <v>4.6762944800000001</v>
      </c>
      <c r="Z87" s="3">
        <v>7.5406915300000001</v>
      </c>
      <c r="AA87" s="3">
        <v>4.9861135570000004</v>
      </c>
      <c r="AB87" s="3">
        <v>1.685966386</v>
      </c>
      <c r="AC87" s="3">
        <v>6.2122763369999996</v>
      </c>
      <c r="AE87" s="3">
        <v>8.7880090850000006</v>
      </c>
      <c r="AH87" s="3">
        <v>6.9083291170000001</v>
      </c>
      <c r="AJ87" s="3">
        <v>5.3366682330000001</v>
      </c>
      <c r="AN87" s="3">
        <v>5.5106272670000003</v>
      </c>
      <c r="AP87" s="3">
        <v>1.320678553</v>
      </c>
    </row>
    <row r="88" spans="1:42" x14ac:dyDescent="0.2">
      <c r="A88" s="88" t="s">
        <v>135</v>
      </c>
      <c r="B88" s="4">
        <v>25204</v>
      </c>
      <c r="C88" s="3">
        <v>8.1729612070000002</v>
      </c>
      <c r="E88" s="3">
        <v>4.9959539160000004</v>
      </c>
      <c r="F88" s="3">
        <v>6.4354755990000001</v>
      </c>
      <c r="I88" s="3">
        <v>5.7675793840000003</v>
      </c>
      <c r="J88" s="3">
        <v>5.0715837910000001</v>
      </c>
      <c r="K88" s="3">
        <v>10.381103957000001</v>
      </c>
      <c r="M88" s="3">
        <v>4.8722736409999996</v>
      </c>
      <c r="N88" s="3">
        <v>7.01025557</v>
      </c>
      <c r="O88" s="3">
        <v>5.6829040969999998</v>
      </c>
      <c r="P88" s="3">
        <v>7.982468312</v>
      </c>
      <c r="R88" s="3">
        <v>7.8170755209999996</v>
      </c>
      <c r="S88" s="3">
        <v>-3.5562617680000002</v>
      </c>
      <c r="U88" s="3">
        <v>7.257052077</v>
      </c>
      <c r="V88" s="3">
        <v>14.445485764000001</v>
      </c>
      <c r="W88" s="3">
        <v>11.531282406000001</v>
      </c>
      <c r="X88" s="3">
        <v>7.0942425699999996</v>
      </c>
      <c r="Z88" s="3">
        <v>6.834903722</v>
      </c>
      <c r="AA88" s="3">
        <v>7.5164506219999998</v>
      </c>
      <c r="AB88" s="3">
        <v>2.416678176</v>
      </c>
      <c r="AC88" s="3">
        <v>6.7662298720000003</v>
      </c>
      <c r="AE88" s="3">
        <v>6.2576475409999999</v>
      </c>
      <c r="AH88" s="3">
        <v>3.906173779</v>
      </c>
      <c r="AJ88" s="3">
        <v>4.95956536</v>
      </c>
      <c r="AN88" s="3">
        <v>7.524885244</v>
      </c>
      <c r="AP88" s="3">
        <v>5.1454364610000001</v>
      </c>
    </row>
    <row r="89" spans="1:42" x14ac:dyDescent="0.2">
      <c r="A89" s="88" t="s">
        <v>136</v>
      </c>
      <c r="B89" s="4">
        <v>25294</v>
      </c>
      <c r="C89" s="3">
        <v>8.3889428559999999</v>
      </c>
      <c r="E89" s="3">
        <v>5.851068068</v>
      </c>
      <c r="F89" s="3">
        <v>6.9411104129999996</v>
      </c>
      <c r="I89" s="3">
        <v>7.1748878920000001</v>
      </c>
      <c r="J89" s="3">
        <v>6.4464206879999999</v>
      </c>
      <c r="K89" s="3">
        <v>11.909356618</v>
      </c>
      <c r="M89" s="3">
        <v>8.8929964540000004</v>
      </c>
      <c r="N89" s="3">
        <v>4.1757645480000001</v>
      </c>
      <c r="O89" s="3">
        <v>1.7098929110000001</v>
      </c>
      <c r="P89" s="3">
        <v>9.1736952170000006</v>
      </c>
      <c r="R89" s="3">
        <v>7.0920072679999997</v>
      </c>
      <c r="S89" s="3">
        <v>-0.85047247199999998</v>
      </c>
      <c r="U89" s="3">
        <v>8.6726529719999998</v>
      </c>
      <c r="V89" s="3">
        <v>12.761530266999999</v>
      </c>
      <c r="W89" s="3">
        <v>10.218171576</v>
      </c>
      <c r="X89" s="3">
        <v>9.4376343709999997</v>
      </c>
      <c r="Z89" s="3">
        <v>6.1648913150000002</v>
      </c>
      <c r="AA89" s="3">
        <v>4.4561640960000002</v>
      </c>
      <c r="AB89" s="3">
        <v>4.0787829200000001</v>
      </c>
      <c r="AC89" s="3">
        <v>6.1624627260000002</v>
      </c>
      <c r="AE89" s="3">
        <v>2.6898799929999999</v>
      </c>
      <c r="AH89" s="3">
        <v>5.2282109800000001</v>
      </c>
      <c r="AJ89" s="3">
        <v>4.471598105</v>
      </c>
      <c r="AN89" s="3">
        <v>3.3101487540000001</v>
      </c>
      <c r="AP89" s="3">
        <v>4.1904337639999998</v>
      </c>
    </row>
    <row r="90" spans="1:42" x14ac:dyDescent="0.2">
      <c r="A90" s="88" t="s">
        <v>137</v>
      </c>
      <c r="B90" s="4">
        <v>25385</v>
      </c>
      <c r="C90" s="3">
        <v>6.4389857050000003</v>
      </c>
      <c r="E90" s="3">
        <v>6.6749996500000002</v>
      </c>
      <c r="F90" s="3">
        <v>4.6248433430000002</v>
      </c>
      <c r="I90" s="3">
        <v>7.7128063300000003</v>
      </c>
      <c r="J90" s="3">
        <v>6.9366916759999997</v>
      </c>
      <c r="K90" s="3">
        <v>8.2470201529999994</v>
      </c>
      <c r="M90" s="3">
        <v>8.1627036139999998</v>
      </c>
      <c r="N90" s="3">
        <v>15.486192588</v>
      </c>
      <c r="O90" s="3">
        <v>2.918623653</v>
      </c>
      <c r="P90" s="3">
        <v>10.310386762</v>
      </c>
      <c r="R90" s="3">
        <v>6.3934625020000002</v>
      </c>
      <c r="S90" s="3">
        <v>1.9401555079999999</v>
      </c>
      <c r="U90" s="3">
        <v>8.3651269419999998</v>
      </c>
      <c r="V90" s="3">
        <v>12.216026566</v>
      </c>
      <c r="W90" s="3">
        <v>12.369490488</v>
      </c>
      <c r="X90" s="3">
        <v>11.731351725</v>
      </c>
      <c r="Z90" s="3">
        <v>5.510473781</v>
      </c>
      <c r="AA90" s="3">
        <v>5.9747326049999998</v>
      </c>
      <c r="AB90" s="3">
        <v>4.9125905520000002</v>
      </c>
      <c r="AC90" s="3">
        <v>6.1856864439999999</v>
      </c>
      <c r="AE90" s="3">
        <v>0.54938416599999995</v>
      </c>
      <c r="AH90" s="3">
        <v>2.3825843619999998</v>
      </c>
      <c r="AJ90" s="3">
        <v>3.067141538</v>
      </c>
      <c r="AN90" s="3">
        <v>6.3566595970000002</v>
      </c>
      <c r="AP90" s="3">
        <v>3.6430468239999998</v>
      </c>
    </row>
    <row r="91" spans="1:42" x14ac:dyDescent="0.2">
      <c r="A91" s="88" t="s">
        <v>138</v>
      </c>
      <c r="B91" s="4">
        <v>25477</v>
      </c>
      <c r="C91" s="3">
        <v>6.7894916409999997</v>
      </c>
      <c r="E91" s="3">
        <v>7.0338197080000002</v>
      </c>
      <c r="F91" s="3">
        <v>4.3213738810000004</v>
      </c>
      <c r="I91" s="3">
        <v>7.6633391079999997</v>
      </c>
      <c r="J91" s="3">
        <v>6.5653256559999997</v>
      </c>
      <c r="K91" s="3">
        <v>9.3843540789999995</v>
      </c>
      <c r="M91" s="3">
        <v>10.853669782000001</v>
      </c>
      <c r="N91" s="3">
        <v>4.6732384939999996</v>
      </c>
      <c r="O91" s="3">
        <v>1.485420355</v>
      </c>
      <c r="P91" s="3">
        <v>10.466986037</v>
      </c>
      <c r="R91" s="3">
        <v>5.5397775630000003</v>
      </c>
      <c r="S91" s="3">
        <v>3.8198504190000002</v>
      </c>
      <c r="U91" s="3">
        <v>6.073814681</v>
      </c>
      <c r="V91" s="3">
        <v>12.360262526</v>
      </c>
      <c r="W91" s="3">
        <v>15.500480646</v>
      </c>
      <c r="X91" s="3">
        <v>11.139335249</v>
      </c>
      <c r="Z91" s="3">
        <v>5.4794215260000003</v>
      </c>
      <c r="AA91" s="3">
        <v>7.7963797430000001</v>
      </c>
      <c r="AB91" s="3">
        <v>4.917631611</v>
      </c>
      <c r="AC91" s="3">
        <v>5.4660841619999996</v>
      </c>
      <c r="AE91" s="3">
        <v>1.4130804349999999</v>
      </c>
      <c r="AH91" s="3">
        <v>5.5458967469999996</v>
      </c>
      <c r="AJ91" s="3">
        <v>2.9500970409999998</v>
      </c>
      <c r="AN91" s="3">
        <v>7.8022895889999999</v>
      </c>
      <c r="AP91" s="3">
        <v>7.2189401010000003</v>
      </c>
    </row>
    <row r="92" spans="1:42" x14ac:dyDescent="0.2">
      <c r="A92" s="88" t="s">
        <v>139</v>
      </c>
      <c r="B92" s="4">
        <v>25569</v>
      </c>
      <c r="C92" s="3">
        <v>5.3236463540000001</v>
      </c>
      <c r="E92" s="3">
        <v>6.9114492309999997</v>
      </c>
      <c r="F92" s="3">
        <v>4.3733458870000002</v>
      </c>
      <c r="I92" s="3">
        <v>7.6923035469999999</v>
      </c>
      <c r="J92" s="3">
        <v>5.3716580059999997</v>
      </c>
      <c r="K92" s="3">
        <v>6.3001114239999998</v>
      </c>
      <c r="M92" s="3">
        <v>10.432124647</v>
      </c>
      <c r="N92" s="3">
        <v>4.4304365749999999</v>
      </c>
      <c r="O92" s="3">
        <v>1.575128377</v>
      </c>
      <c r="P92" s="3">
        <v>9.6377897259999994</v>
      </c>
      <c r="R92" s="3">
        <v>4.5059637700000001</v>
      </c>
      <c r="S92" s="3">
        <v>4.6540500180000004</v>
      </c>
      <c r="U92" s="3">
        <v>1.5524145570000001</v>
      </c>
      <c r="V92" s="3">
        <v>10.452610449</v>
      </c>
      <c r="W92" s="3">
        <v>19.868867814000001</v>
      </c>
      <c r="X92" s="3">
        <v>7.677501243</v>
      </c>
      <c r="Z92" s="3">
        <v>6.0690051970000001</v>
      </c>
      <c r="AA92" s="3">
        <v>7.4398676610000001</v>
      </c>
      <c r="AB92" s="3">
        <v>4.1134327969999998</v>
      </c>
      <c r="AC92" s="3">
        <v>4.5685290409999997</v>
      </c>
      <c r="AE92" s="3">
        <v>3.82646095</v>
      </c>
      <c r="AH92" s="3">
        <v>6.8836553939999998</v>
      </c>
      <c r="AJ92" s="3">
        <v>2.046645083</v>
      </c>
      <c r="AN92" s="3">
        <v>5.0076745970000003</v>
      </c>
      <c r="AP92" s="3">
        <v>3.8090533190000002</v>
      </c>
    </row>
    <row r="93" spans="1:42" x14ac:dyDescent="0.2">
      <c r="A93" s="88" t="s">
        <v>140</v>
      </c>
      <c r="B93" s="4">
        <v>25659</v>
      </c>
      <c r="C93" s="3">
        <v>8.261814073</v>
      </c>
      <c r="E93" s="3">
        <v>6.7809903489999996</v>
      </c>
      <c r="F93" s="3">
        <v>3.6913991749999999</v>
      </c>
      <c r="I93" s="3">
        <v>3.372586353</v>
      </c>
      <c r="J93" s="3">
        <v>3.4090197020000002</v>
      </c>
      <c r="K93" s="3">
        <v>4.5771558140000002</v>
      </c>
      <c r="M93" s="3">
        <v>6.1981758720000002</v>
      </c>
      <c r="N93" s="3">
        <v>6.2312983580000001</v>
      </c>
      <c r="O93" s="3">
        <v>1.1636558939999999</v>
      </c>
      <c r="P93" s="3">
        <v>7.8991302289999998</v>
      </c>
      <c r="R93" s="3">
        <v>4.7377000239999996</v>
      </c>
      <c r="S93" s="3">
        <v>0.95715157900000003</v>
      </c>
      <c r="U93" s="3">
        <v>5.9821162670000003</v>
      </c>
      <c r="V93" s="3">
        <v>12.844536368</v>
      </c>
      <c r="W93" s="3">
        <v>12.108008229999999</v>
      </c>
      <c r="X93" s="3">
        <v>5.0640385090000004</v>
      </c>
      <c r="Z93" s="3">
        <v>6.6297292160000003</v>
      </c>
      <c r="AA93" s="3">
        <v>5.4513964880000003</v>
      </c>
      <c r="AB93" s="3">
        <v>2.5383721029999999</v>
      </c>
      <c r="AC93" s="3">
        <v>4.0813502330000002</v>
      </c>
      <c r="AE93" s="3">
        <v>7.4918797660000003</v>
      </c>
      <c r="AH93" s="3">
        <v>8.7819518510000005</v>
      </c>
      <c r="AJ93" s="3">
        <v>0.32493460299999999</v>
      </c>
      <c r="AN93" s="3">
        <v>9.7301857060000003</v>
      </c>
      <c r="AP93" s="3">
        <v>5.286849847</v>
      </c>
    </row>
    <row r="94" spans="1:42" x14ac:dyDescent="0.2">
      <c r="A94" s="88" t="s">
        <v>141</v>
      </c>
      <c r="B94" s="4">
        <v>25750</v>
      </c>
      <c r="C94" s="3">
        <v>8.293293341</v>
      </c>
      <c r="E94" s="3">
        <v>6.6687506189999999</v>
      </c>
      <c r="F94" s="3">
        <v>3.1786803950000002</v>
      </c>
      <c r="I94" s="3">
        <v>6.1208679159999999</v>
      </c>
      <c r="J94" s="3">
        <v>2.0965405760000002</v>
      </c>
      <c r="K94" s="3">
        <v>5.0983771759999996</v>
      </c>
      <c r="M94" s="3">
        <v>8.8488637679999993</v>
      </c>
      <c r="N94" s="3">
        <v>4.9963780680000003</v>
      </c>
      <c r="O94" s="3">
        <v>2.760351317</v>
      </c>
      <c r="P94" s="3">
        <v>9.1258045649999993</v>
      </c>
      <c r="R94" s="3">
        <v>2.635779581</v>
      </c>
      <c r="S94" s="3">
        <v>6.2905744090000004</v>
      </c>
      <c r="U94" s="3">
        <v>4.8622208459999996</v>
      </c>
      <c r="V94" s="3">
        <v>10.98153819</v>
      </c>
      <c r="W94" s="3">
        <v>12.724290157</v>
      </c>
      <c r="X94" s="3">
        <v>1.5330947939999999</v>
      </c>
      <c r="Z94" s="3">
        <v>7.181340692</v>
      </c>
      <c r="AA94" s="3">
        <v>6.6594210980000001</v>
      </c>
      <c r="AB94" s="3">
        <v>1.70924371</v>
      </c>
      <c r="AC94" s="3">
        <v>4.1024358970000003</v>
      </c>
      <c r="AE94" s="3">
        <v>10.913052805</v>
      </c>
      <c r="AH94" s="3">
        <v>6.7972988299999999</v>
      </c>
      <c r="AJ94" s="3">
        <v>0.16283545099999999</v>
      </c>
      <c r="AN94" s="3">
        <v>7.2580858050000003</v>
      </c>
      <c r="AP94" s="3">
        <v>7.5259985330000001</v>
      </c>
    </row>
    <row r="95" spans="1:42" x14ac:dyDescent="0.2">
      <c r="A95" s="88" t="s">
        <v>142</v>
      </c>
      <c r="B95" s="4">
        <v>25842</v>
      </c>
      <c r="C95" s="3">
        <v>6.3089644800000002</v>
      </c>
      <c r="E95" s="3">
        <v>6.1482731639999999</v>
      </c>
      <c r="F95" s="3">
        <v>3.1366283990000001</v>
      </c>
      <c r="I95" s="3">
        <v>5.8295372700000003</v>
      </c>
      <c r="J95" s="3">
        <v>1.387056399</v>
      </c>
      <c r="K95" s="3">
        <v>3.7010235869999999</v>
      </c>
      <c r="M95" s="3">
        <v>7.8910597810000001</v>
      </c>
      <c r="N95" s="3">
        <v>5.44556343</v>
      </c>
      <c r="O95" s="3">
        <v>3.2105963480000002</v>
      </c>
      <c r="P95" s="3">
        <v>8.7599317909999996</v>
      </c>
      <c r="R95" s="3">
        <v>1.6453438579999999</v>
      </c>
      <c r="S95" s="3">
        <v>10.047954044999999</v>
      </c>
      <c r="U95" s="3">
        <v>6.7109023560000001</v>
      </c>
      <c r="V95" s="3">
        <v>11.290849578</v>
      </c>
      <c r="W95" s="3">
        <v>4.960290713</v>
      </c>
      <c r="X95" s="3">
        <v>-8.1913539999999996E-3</v>
      </c>
      <c r="Z95" s="3">
        <v>6.853289384</v>
      </c>
      <c r="AA95" s="3">
        <v>5.8299765170000004</v>
      </c>
      <c r="AB95" s="3">
        <v>1.5904456499999999</v>
      </c>
      <c r="AC95" s="3">
        <v>4.1542414450000003</v>
      </c>
      <c r="AE95" s="3">
        <v>9.4969466929999999</v>
      </c>
      <c r="AH95" s="3">
        <v>5.8530655620000003</v>
      </c>
      <c r="AJ95" s="3">
        <v>0.42258147600000001</v>
      </c>
      <c r="AN95" s="3">
        <v>4.4141130239999997</v>
      </c>
      <c r="AP95" s="3">
        <v>1.642860733</v>
      </c>
    </row>
    <row r="96" spans="1:42" x14ac:dyDescent="0.2">
      <c r="A96" s="88" t="s">
        <v>143</v>
      </c>
      <c r="B96" s="4">
        <v>25934</v>
      </c>
      <c r="C96" s="3">
        <v>4.4116026159999997</v>
      </c>
      <c r="E96" s="3">
        <v>5.2132185719999997</v>
      </c>
      <c r="F96" s="3">
        <v>1.86252244</v>
      </c>
      <c r="I96" s="3">
        <v>5.1112656220000003</v>
      </c>
      <c r="J96" s="3">
        <v>1.252016091</v>
      </c>
      <c r="K96" s="3">
        <v>3.3621367289999999</v>
      </c>
      <c r="M96" s="3">
        <v>7.3862729089999997</v>
      </c>
      <c r="N96" s="3">
        <v>6.2615214750000003</v>
      </c>
      <c r="O96" s="3">
        <v>3.617390731</v>
      </c>
      <c r="P96" s="3">
        <v>6.0932059540000001</v>
      </c>
      <c r="R96" s="3">
        <v>1.6788566970000001</v>
      </c>
      <c r="S96" s="3">
        <v>12.314070416</v>
      </c>
      <c r="U96" s="3">
        <v>9.0341769500000009</v>
      </c>
      <c r="V96" s="3">
        <v>6.7654153539999999</v>
      </c>
      <c r="W96" s="3">
        <v>10.81840433</v>
      </c>
      <c r="X96" s="3">
        <v>0.365600335</v>
      </c>
      <c r="Z96" s="3">
        <v>5.6287239419999997</v>
      </c>
      <c r="AA96" s="3">
        <v>4.8771535249999998</v>
      </c>
      <c r="AB96" s="3">
        <v>2.1636558749999999</v>
      </c>
      <c r="AC96" s="3">
        <v>3.5031805899999999</v>
      </c>
      <c r="AE96" s="3">
        <v>8.5739412640000001</v>
      </c>
      <c r="AH96" s="3">
        <v>5.583959611</v>
      </c>
      <c r="AJ96" s="3">
        <v>-0.16670359100000001</v>
      </c>
      <c r="AN96" s="3">
        <v>5.0716411480000003</v>
      </c>
      <c r="AP96" s="3">
        <v>6.658863094</v>
      </c>
    </row>
    <row r="97" spans="1:42" x14ac:dyDescent="0.2">
      <c r="A97" s="88" t="s">
        <v>144</v>
      </c>
      <c r="B97" s="4">
        <v>26024</v>
      </c>
      <c r="C97" s="3">
        <v>3.5227743079999998</v>
      </c>
      <c r="E97" s="3">
        <v>4.3193173250000001</v>
      </c>
      <c r="F97" s="3">
        <v>0.62791107999999995</v>
      </c>
      <c r="I97" s="3">
        <v>4.763644266</v>
      </c>
      <c r="J97" s="3">
        <v>1.679226286</v>
      </c>
      <c r="K97" s="3">
        <v>2.257438171</v>
      </c>
      <c r="M97" s="3">
        <v>1.5108712820000001</v>
      </c>
      <c r="N97" s="3">
        <v>4.4031521790000001</v>
      </c>
      <c r="O97" s="3">
        <v>3.764924486</v>
      </c>
      <c r="P97" s="3">
        <v>7.8037116539999998</v>
      </c>
      <c r="R97" s="3">
        <v>0.96777761299999998</v>
      </c>
      <c r="S97" s="3">
        <v>18.749203010999999</v>
      </c>
      <c r="U97" s="3">
        <v>2.3278375539999998</v>
      </c>
      <c r="V97" s="3">
        <v>4.534988705</v>
      </c>
      <c r="W97" s="3">
        <v>13.360842095000001</v>
      </c>
      <c r="X97" s="3">
        <v>0.52447748199999999</v>
      </c>
      <c r="Z97" s="3">
        <v>4.4628717179999997</v>
      </c>
      <c r="AA97" s="3">
        <v>6.9856894140000003</v>
      </c>
      <c r="AB97" s="3">
        <v>3.4261221439999998</v>
      </c>
      <c r="AC97" s="3">
        <v>3.5666323339999999</v>
      </c>
      <c r="AE97" s="3">
        <v>5.47193606</v>
      </c>
      <c r="AG97" s="3">
        <v>1.3302441220000001</v>
      </c>
      <c r="AH97" s="3">
        <v>3.05815547</v>
      </c>
      <c r="AJ97" s="3">
        <v>2.6972368489999998</v>
      </c>
      <c r="AN97" s="3">
        <v>4.1634773100000002</v>
      </c>
      <c r="AP97" s="3">
        <v>5.9578837580000004</v>
      </c>
    </row>
    <row r="98" spans="1:42" x14ac:dyDescent="0.2">
      <c r="A98" s="88" t="s">
        <v>145</v>
      </c>
      <c r="B98" s="4">
        <v>26115</v>
      </c>
      <c r="C98" s="3">
        <v>1.92027803</v>
      </c>
      <c r="E98" s="3">
        <v>3.4563476299999998</v>
      </c>
      <c r="F98" s="3">
        <v>3.5509556670000002</v>
      </c>
      <c r="I98" s="3">
        <v>2.872243992</v>
      </c>
      <c r="J98" s="3">
        <v>2.2447775079999999</v>
      </c>
      <c r="K98" s="3">
        <v>4.0867079190000002</v>
      </c>
      <c r="M98" s="3">
        <v>4.0938675340000001</v>
      </c>
      <c r="N98" s="3">
        <v>4.9804699140000004</v>
      </c>
      <c r="O98" s="3">
        <v>3.1843279629999999</v>
      </c>
      <c r="P98" s="3">
        <v>6.3756190879999997</v>
      </c>
      <c r="R98" s="3">
        <v>2.880248039</v>
      </c>
      <c r="S98" s="3">
        <v>14.396529955</v>
      </c>
      <c r="U98" s="3">
        <v>2.0149570529999998</v>
      </c>
      <c r="V98" s="3">
        <v>4.9486149719999997</v>
      </c>
      <c r="W98" s="3">
        <v>12.528585154</v>
      </c>
      <c r="X98" s="3">
        <v>2.0647507219999999</v>
      </c>
      <c r="Z98" s="3">
        <v>3.3415504710000001</v>
      </c>
      <c r="AA98" s="3">
        <v>5.037089548</v>
      </c>
      <c r="AB98" s="3">
        <v>4.3924757400000001</v>
      </c>
      <c r="AC98" s="3">
        <v>3.5875125209999998</v>
      </c>
      <c r="AE98" s="3">
        <v>6.4667199699999998</v>
      </c>
      <c r="AG98" s="3">
        <v>2.2653574729999999</v>
      </c>
      <c r="AH98" s="3">
        <v>1.0680157699999999</v>
      </c>
      <c r="AJ98" s="3">
        <v>3.106613002</v>
      </c>
      <c r="AN98" s="3">
        <v>4.5793483549999996</v>
      </c>
      <c r="AP98" s="3">
        <v>2.9924324879999999</v>
      </c>
    </row>
    <row r="99" spans="1:42" x14ac:dyDescent="0.2">
      <c r="A99" s="88" t="s">
        <v>146</v>
      </c>
      <c r="B99" s="4">
        <v>26207</v>
      </c>
      <c r="C99" s="3">
        <v>5.3414534979999999</v>
      </c>
      <c r="E99" s="3">
        <v>3.317883862</v>
      </c>
      <c r="F99" s="3">
        <v>5.3423770020000001</v>
      </c>
      <c r="I99" s="3">
        <v>2.7330862069999999</v>
      </c>
      <c r="J99" s="3">
        <v>2.9457561600000002</v>
      </c>
      <c r="K99" s="3">
        <v>5.4627988079999996</v>
      </c>
      <c r="M99" s="3">
        <v>2.1588058289999998</v>
      </c>
      <c r="N99" s="3">
        <v>5.242837937</v>
      </c>
      <c r="O99" s="3">
        <v>3.990178352</v>
      </c>
      <c r="P99" s="3">
        <v>9.2662603190000006</v>
      </c>
      <c r="R99" s="3">
        <v>4.4370094780000002</v>
      </c>
      <c r="S99" s="3">
        <v>11.137927823</v>
      </c>
      <c r="U99" s="3">
        <v>1.473349145</v>
      </c>
      <c r="V99" s="3">
        <v>3.4539628339999999</v>
      </c>
      <c r="W99" s="3">
        <v>12.052848479</v>
      </c>
      <c r="X99" s="3">
        <v>3.4459306490000001</v>
      </c>
      <c r="Z99" s="3">
        <v>3.596275919</v>
      </c>
      <c r="AA99" s="3">
        <v>4.1517545739999999</v>
      </c>
      <c r="AB99" s="3">
        <v>5.057073903</v>
      </c>
      <c r="AC99" s="3">
        <v>3.5687545840000001</v>
      </c>
      <c r="AE99" s="3">
        <v>6.3978232730000002</v>
      </c>
      <c r="AG99" s="3">
        <v>3.3930161559999998</v>
      </c>
      <c r="AH99" s="3">
        <v>-5.4475929999999997E-3</v>
      </c>
      <c r="AJ99" s="3">
        <v>3.0058948110000001</v>
      </c>
      <c r="AN99" s="3">
        <v>3.7755455489999998</v>
      </c>
      <c r="AP99" s="3">
        <v>5.5526369899999999</v>
      </c>
    </row>
    <row r="100" spans="1:42" x14ac:dyDescent="0.2">
      <c r="A100" s="88" t="s">
        <v>147</v>
      </c>
      <c r="B100" s="4">
        <v>26299</v>
      </c>
      <c r="C100" s="3">
        <v>4.5014295139999998</v>
      </c>
      <c r="E100" s="3">
        <v>3.9290175039999999</v>
      </c>
      <c r="F100" s="3">
        <v>6.3176152710000002</v>
      </c>
      <c r="I100" s="3">
        <v>1.7838764140000001</v>
      </c>
      <c r="J100" s="3">
        <v>3.7784774620000001</v>
      </c>
      <c r="K100" s="3">
        <v>6.744114122</v>
      </c>
      <c r="M100" s="3">
        <v>0.51554037900000005</v>
      </c>
      <c r="N100" s="3">
        <v>4.5036370999999997</v>
      </c>
      <c r="O100" s="3">
        <v>3.4884522580000001</v>
      </c>
      <c r="P100" s="3">
        <v>7.8964384550000002</v>
      </c>
      <c r="R100" s="3">
        <v>5.5970212779999997</v>
      </c>
      <c r="S100" s="3">
        <v>8.7586125129999992</v>
      </c>
      <c r="U100" s="3">
        <v>1.9322196730000001</v>
      </c>
      <c r="V100" s="3">
        <v>4.7337312220000003</v>
      </c>
      <c r="W100" s="3">
        <v>4.8186649380000004</v>
      </c>
      <c r="X100" s="3">
        <v>4.6391255180000002</v>
      </c>
      <c r="Z100" s="3">
        <v>5.2767705859999996</v>
      </c>
      <c r="AA100" s="3">
        <v>0.90548981799999995</v>
      </c>
      <c r="AB100" s="3">
        <v>5.4198821170000002</v>
      </c>
      <c r="AC100" s="3">
        <v>4.0424315049999997</v>
      </c>
      <c r="AE100" s="3">
        <v>8.1217201459999995</v>
      </c>
      <c r="AG100" s="3">
        <v>4.9541832079999999</v>
      </c>
      <c r="AH100" s="3">
        <v>-1.4417705220000001</v>
      </c>
      <c r="AJ100" s="3">
        <v>4.3672048009999997</v>
      </c>
      <c r="AN100" s="3">
        <v>4.1318366370000001</v>
      </c>
      <c r="AP100" s="3">
        <v>2.6978854330000002</v>
      </c>
    </row>
    <row r="101" spans="1:42" x14ac:dyDescent="0.2">
      <c r="A101" s="88" t="s">
        <v>148</v>
      </c>
      <c r="B101" s="4">
        <v>26390</v>
      </c>
      <c r="C101" s="3">
        <v>2.0008865789999999</v>
      </c>
      <c r="E101" s="3">
        <v>4.5327741120000002</v>
      </c>
      <c r="F101" s="3">
        <v>6.5574489050000002</v>
      </c>
      <c r="I101" s="3">
        <v>3.8824714490000001</v>
      </c>
      <c r="J101" s="3">
        <v>4.7384471369999996</v>
      </c>
      <c r="K101" s="3">
        <v>7.6355057730000002</v>
      </c>
      <c r="M101" s="3">
        <v>10.593136979000001</v>
      </c>
      <c r="N101" s="3">
        <v>5.7359342809999996</v>
      </c>
      <c r="O101" s="3">
        <v>4.1244970289999996</v>
      </c>
      <c r="P101" s="3">
        <v>10.467548834</v>
      </c>
      <c r="R101" s="3">
        <v>6.3268900620000004</v>
      </c>
      <c r="S101" s="3">
        <v>7.1574468979999999</v>
      </c>
      <c r="U101" s="3">
        <v>3.6002502330000001</v>
      </c>
      <c r="V101" s="3">
        <v>7.1696856950000001</v>
      </c>
      <c r="W101" s="3">
        <v>5.7321983740000002</v>
      </c>
      <c r="X101" s="3">
        <v>5.610938151</v>
      </c>
      <c r="Z101" s="3">
        <v>6.9279965719999996</v>
      </c>
      <c r="AA101" s="3">
        <v>3.2778905549999999</v>
      </c>
      <c r="AB101" s="3">
        <v>5.4864557659999997</v>
      </c>
      <c r="AC101" s="3">
        <v>4.7002952220000003</v>
      </c>
      <c r="AE101" s="3">
        <v>8.0893149080000004</v>
      </c>
      <c r="AG101" s="3">
        <v>4.7943695389999998</v>
      </c>
      <c r="AH101" s="3">
        <v>0.115212672</v>
      </c>
      <c r="AJ101" s="3">
        <v>3.4760721280000002</v>
      </c>
      <c r="AN101" s="3">
        <v>3.9288245019999999</v>
      </c>
      <c r="AP101" s="3">
        <v>0.60241049999999996</v>
      </c>
    </row>
    <row r="102" spans="1:42" x14ac:dyDescent="0.2">
      <c r="A102" s="88" t="s">
        <v>149</v>
      </c>
      <c r="B102" s="4">
        <v>26481</v>
      </c>
      <c r="C102" s="3">
        <v>3.8365672549999998</v>
      </c>
      <c r="E102" s="3">
        <v>5.1239178269999996</v>
      </c>
      <c r="F102" s="3">
        <v>6.4843764640000003</v>
      </c>
      <c r="I102" s="3">
        <v>3.408694186</v>
      </c>
      <c r="J102" s="3">
        <v>5.3336430760000004</v>
      </c>
      <c r="K102" s="3">
        <v>8.0707365249999992</v>
      </c>
      <c r="M102" s="3">
        <v>4.1995437249999998</v>
      </c>
      <c r="N102" s="3">
        <v>4.2428566559999998</v>
      </c>
      <c r="O102" s="3">
        <v>4.9914130730000004</v>
      </c>
      <c r="P102" s="3">
        <v>11.188845642</v>
      </c>
      <c r="R102" s="3">
        <v>6.6804421869999997</v>
      </c>
      <c r="S102" s="3">
        <v>6.164898247</v>
      </c>
      <c r="U102" s="3">
        <v>3.118160203</v>
      </c>
      <c r="V102" s="3">
        <v>7.4532561480000004</v>
      </c>
      <c r="W102" s="3">
        <v>5.4230433150000001</v>
      </c>
      <c r="X102" s="3">
        <v>6.3897033240000001</v>
      </c>
      <c r="Z102" s="3">
        <v>8.5496591810000009</v>
      </c>
      <c r="AA102" s="3">
        <v>2.870336209</v>
      </c>
      <c r="AB102" s="3">
        <v>5.3836021369999996</v>
      </c>
      <c r="AC102" s="3">
        <v>5.2999116590000002</v>
      </c>
      <c r="AE102" s="3">
        <v>5.9866225469999996</v>
      </c>
      <c r="AG102" s="3">
        <v>5.970632009</v>
      </c>
      <c r="AH102" s="3">
        <v>1.499043691</v>
      </c>
      <c r="AJ102" s="3">
        <v>5.2551864569999998</v>
      </c>
      <c r="AN102" s="3">
        <v>2.5937120560000002</v>
      </c>
      <c r="AP102" s="3">
        <v>2.4904153089999999</v>
      </c>
    </row>
    <row r="103" spans="1:42" x14ac:dyDescent="0.2">
      <c r="A103" s="88" t="s">
        <v>150</v>
      </c>
      <c r="B103" s="4">
        <v>26573</v>
      </c>
      <c r="C103" s="3">
        <v>0.16194399900000001</v>
      </c>
      <c r="E103" s="3">
        <v>5.54800966</v>
      </c>
      <c r="F103" s="3">
        <v>3.8926032080000001</v>
      </c>
      <c r="I103" s="3">
        <v>4.0242537379999996</v>
      </c>
      <c r="J103" s="3">
        <v>5.5685538890000004</v>
      </c>
      <c r="K103" s="3">
        <v>8.4495594179999998</v>
      </c>
      <c r="M103" s="3">
        <v>6.460207456</v>
      </c>
      <c r="N103" s="3">
        <v>3.4811269810000001</v>
      </c>
      <c r="O103" s="3">
        <v>3.4296502449999999</v>
      </c>
      <c r="P103" s="3">
        <v>5.5759544319999996</v>
      </c>
      <c r="R103" s="3">
        <v>6.6505503580000003</v>
      </c>
      <c r="S103" s="3">
        <v>5.7124070759999999</v>
      </c>
      <c r="U103" s="3">
        <v>2.999652835</v>
      </c>
      <c r="V103" s="3">
        <v>8.4257705569999999</v>
      </c>
      <c r="W103" s="3">
        <v>6.9539823189999996</v>
      </c>
      <c r="X103" s="3">
        <v>6.9656339200000001</v>
      </c>
      <c r="Z103" s="3">
        <v>9.2944048259999992</v>
      </c>
      <c r="AA103" s="3">
        <v>2.3366288289999999</v>
      </c>
      <c r="AB103" s="3">
        <v>5.1178795050000003</v>
      </c>
      <c r="AC103" s="3">
        <v>5.2373650129999998</v>
      </c>
      <c r="AE103" s="3">
        <v>10.538172441</v>
      </c>
      <c r="AG103" s="3">
        <v>5.525683817</v>
      </c>
      <c r="AH103" s="3">
        <v>2.5171712890000002</v>
      </c>
      <c r="AJ103" s="3">
        <v>5.3819387049999996</v>
      </c>
      <c r="AN103" s="3">
        <v>2.821710999</v>
      </c>
      <c r="AP103" s="3">
        <v>1.234980502</v>
      </c>
    </row>
    <row r="104" spans="1:42" x14ac:dyDescent="0.2">
      <c r="A104" s="88" t="s">
        <v>151</v>
      </c>
      <c r="B104" s="4">
        <v>26665</v>
      </c>
      <c r="C104" s="3">
        <v>1.545558623</v>
      </c>
      <c r="E104" s="3">
        <v>5.7965316160000002</v>
      </c>
      <c r="F104" s="3">
        <v>5.1910915229999999</v>
      </c>
      <c r="I104" s="3">
        <v>5.7296882589999996</v>
      </c>
      <c r="J104" s="3">
        <v>5.4526261299999996</v>
      </c>
      <c r="K104" s="3">
        <v>8.4149720230000007</v>
      </c>
      <c r="M104" s="3">
        <v>9.32866441</v>
      </c>
      <c r="N104" s="3">
        <v>4.3054886259999998</v>
      </c>
      <c r="O104" s="3">
        <v>4.6437740529999996</v>
      </c>
      <c r="P104" s="3">
        <v>13.531978137999999</v>
      </c>
      <c r="R104" s="3">
        <v>6.3028425490000002</v>
      </c>
      <c r="S104" s="3">
        <v>5.7202833210000001</v>
      </c>
      <c r="U104" s="3">
        <v>2.908209485</v>
      </c>
      <c r="V104" s="3">
        <v>10.149895291</v>
      </c>
      <c r="W104" s="3">
        <v>10.669786169</v>
      </c>
      <c r="X104" s="3">
        <v>7.389353828</v>
      </c>
      <c r="Z104" s="3">
        <v>9.1303265719999995</v>
      </c>
      <c r="AA104" s="3">
        <v>4.7680471310000003</v>
      </c>
      <c r="AB104" s="3">
        <v>4.6959614270000003</v>
      </c>
      <c r="AC104" s="3">
        <v>6.5236721299999996</v>
      </c>
      <c r="AE104" s="3">
        <v>7.4592348309999998</v>
      </c>
      <c r="AG104" s="3">
        <v>4.1160410580000004</v>
      </c>
      <c r="AH104" s="3">
        <v>5.2971229610000004</v>
      </c>
      <c r="AJ104" s="3">
        <v>6.8944758869999996</v>
      </c>
      <c r="AN104" s="3">
        <v>3.858307849</v>
      </c>
      <c r="AP104" s="3">
        <v>2.2926101160000001</v>
      </c>
    </row>
    <row r="105" spans="1:42" x14ac:dyDescent="0.2">
      <c r="A105" s="88" t="s">
        <v>152</v>
      </c>
      <c r="B105" s="4">
        <v>26755</v>
      </c>
      <c r="C105" s="3">
        <v>5.4469071419999997</v>
      </c>
      <c r="E105" s="3">
        <v>6.0362919909999997</v>
      </c>
      <c r="F105" s="3">
        <v>8.3164406999999994</v>
      </c>
      <c r="I105" s="3">
        <v>7.0833735039999999</v>
      </c>
      <c r="J105" s="3">
        <v>4.9998126479999998</v>
      </c>
      <c r="K105" s="3">
        <v>8.6476950769999998</v>
      </c>
      <c r="M105" s="3">
        <v>7.938035706</v>
      </c>
      <c r="N105" s="3">
        <v>5.0081555660000001</v>
      </c>
      <c r="O105" s="3">
        <v>9.7039524190000002</v>
      </c>
      <c r="P105" s="3">
        <v>8.4466551059999997</v>
      </c>
      <c r="R105" s="3">
        <v>5.7423357719999997</v>
      </c>
      <c r="S105" s="3">
        <v>6.0574611010000003</v>
      </c>
      <c r="U105" s="3">
        <v>2.70126782</v>
      </c>
      <c r="V105" s="3">
        <v>10.242340330999999</v>
      </c>
      <c r="W105" s="3">
        <v>12.709984152000001</v>
      </c>
      <c r="X105" s="3">
        <v>7.7451459390000004</v>
      </c>
      <c r="Z105" s="3">
        <v>8.968920915</v>
      </c>
      <c r="AA105" s="3">
        <v>5.0817416240000002</v>
      </c>
      <c r="AB105" s="3">
        <v>4.1243737640000004</v>
      </c>
      <c r="AC105" s="3">
        <v>7.3553373200000003</v>
      </c>
      <c r="AE105" s="3">
        <v>11.813054079</v>
      </c>
      <c r="AG105" s="3">
        <v>4.2206472159999997</v>
      </c>
      <c r="AH105" s="3">
        <v>5.4977662819999997</v>
      </c>
      <c r="AJ105" s="3">
        <v>7.5618882919999999</v>
      </c>
      <c r="AN105" s="3">
        <v>3.426767677</v>
      </c>
      <c r="AP105" s="3">
        <v>4.2262898299999998</v>
      </c>
    </row>
    <row r="106" spans="1:42" x14ac:dyDescent="0.2">
      <c r="A106" s="88" t="s">
        <v>153</v>
      </c>
      <c r="B106" s="4">
        <v>26846</v>
      </c>
      <c r="C106" s="3">
        <v>3.3355837269999999</v>
      </c>
      <c r="E106" s="3">
        <v>6.2606282809999998</v>
      </c>
      <c r="F106" s="3">
        <v>6.4778545830000001</v>
      </c>
      <c r="I106" s="3">
        <v>6.1413019240000004</v>
      </c>
      <c r="J106" s="3">
        <v>4.2735460969999997</v>
      </c>
      <c r="K106" s="3">
        <v>8.0320306380000002</v>
      </c>
      <c r="M106" s="3">
        <v>4.6472236789999997</v>
      </c>
      <c r="N106" s="3">
        <v>5.7364296049999997</v>
      </c>
      <c r="O106" s="3">
        <v>7.0351733730000001</v>
      </c>
      <c r="P106" s="3">
        <v>8.950726693</v>
      </c>
      <c r="R106" s="3">
        <v>5.0631984509999999</v>
      </c>
      <c r="S106" s="3">
        <v>6.5484983699999999</v>
      </c>
      <c r="U106" s="3">
        <v>5.8268451560000001</v>
      </c>
      <c r="V106" s="3">
        <v>9.1954290889999992</v>
      </c>
      <c r="W106" s="3">
        <v>14.074814337999999</v>
      </c>
      <c r="X106" s="3">
        <v>8.1040620029999992</v>
      </c>
      <c r="Z106" s="3">
        <v>8.808347221</v>
      </c>
      <c r="AA106" s="3">
        <v>4.2563902230000004</v>
      </c>
      <c r="AB106" s="3">
        <v>3.8959782120000002</v>
      </c>
      <c r="AC106" s="3">
        <v>6.6212635510000002</v>
      </c>
      <c r="AE106" s="3">
        <v>12.001911494</v>
      </c>
      <c r="AG106" s="3">
        <v>2.6132037499999998</v>
      </c>
      <c r="AH106" s="3">
        <v>5.3359921469999998</v>
      </c>
      <c r="AJ106" s="3">
        <v>6.3196600160000003</v>
      </c>
      <c r="AN106" s="3">
        <v>3.0418250950000001</v>
      </c>
      <c r="AP106" s="3">
        <v>2.6884494270000001</v>
      </c>
    </row>
    <row r="107" spans="1:42" x14ac:dyDescent="0.2">
      <c r="A107" s="88" t="s">
        <v>154</v>
      </c>
      <c r="B107" s="4">
        <v>26938</v>
      </c>
      <c r="C107" s="3">
        <v>4.9057552150000001</v>
      </c>
      <c r="E107" s="3">
        <v>6.2377826240000003</v>
      </c>
      <c r="F107" s="3">
        <v>6.5662787099999997</v>
      </c>
      <c r="I107" s="3">
        <v>4.0587401160000001</v>
      </c>
      <c r="J107" s="3">
        <v>3.2829365990000001</v>
      </c>
      <c r="K107" s="3">
        <v>7.4556696819999999</v>
      </c>
      <c r="M107" s="3">
        <v>6.9979504739999996</v>
      </c>
      <c r="N107" s="3">
        <v>5.7059153790000003</v>
      </c>
      <c r="O107" s="3">
        <v>5.7321197650000002</v>
      </c>
      <c r="P107" s="3">
        <v>10.284249248</v>
      </c>
      <c r="R107" s="3">
        <v>4.361901091</v>
      </c>
      <c r="S107" s="3">
        <v>7.0947932900000001</v>
      </c>
      <c r="U107" s="3">
        <v>7.7414889010000003</v>
      </c>
      <c r="V107" s="3">
        <v>7.2251798029999996</v>
      </c>
      <c r="W107" s="3">
        <v>17.937618817000001</v>
      </c>
      <c r="X107" s="3">
        <v>8.5508224039999998</v>
      </c>
      <c r="Z107" s="3">
        <v>8.3448134609999993</v>
      </c>
      <c r="AA107" s="3">
        <v>3.3426884889999999</v>
      </c>
      <c r="AB107" s="3">
        <v>3.9976324769999998</v>
      </c>
      <c r="AC107" s="3">
        <v>5.657677477</v>
      </c>
      <c r="AE107" s="3">
        <v>9.9568537710000005</v>
      </c>
      <c r="AG107" s="3">
        <v>2.613627116</v>
      </c>
      <c r="AH107" s="3">
        <v>3.218574002</v>
      </c>
      <c r="AJ107" s="3">
        <v>4.7710873080000002</v>
      </c>
      <c r="AN107" s="3">
        <v>3.126326567</v>
      </c>
      <c r="AP107" s="3">
        <v>5.5931005550000004</v>
      </c>
    </row>
    <row r="108" spans="1:42" x14ac:dyDescent="0.2">
      <c r="A108" s="88" t="s">
        <v>155</v>
      </c>
      <c r="B108" s="4">
        <v>27030</v>
      </c>
      <c r="C108" s="3">
        <v>6.4014988229999998</v>
      </c>
      <c r="E108" s="3">
        <v>5.956897262</v>
      </c>
      <c r="F108" s="3">
        <v>6.0451936010000002</v>
      </c>
      <c r="I108" s="3">
        <v>2.7215239210000002</v>
      </c>
      <c r="J108" s="3">
        <v>2.0352197680000002</v>
      </c>
      <c r="K108" s="3">
        <v>7.1020544509999999</v>
      </c>
      <c r="M108" s="3">
        <v>6.8023052000000002</v>
      </c>
      <c r="N108" s="3">
        <v>5.3087993200000003</v>
      </c>
      <c r="O108" s="3">
        <v>3.6531916459999998</v>
      </c>
      <c r="P108" s="3">
        <v>4.8668735879999998</v>
      </c>
      <c r="R108" s="3">
        <v>3.767364181</v>
      </c>
      <c r="S108" s="3">
        <v>7.4893077220000004</v>
      </c>
      <c r="U108" s="3">
        <v>9.8511290109999994</v>
      </c>
      <c r="V108" s="3">
        <v>5.8864362200000002</v>
      </c>
      <c r="W108" s="3">
        <v>14.765352641</v>
      </c>
      <c r="X108" s="3">
        <v>8.8172746069999999</v>
      </c>
      <c r="Z108" s="3">
        <v>7.565879121</v>
      </c>
      <c r="AA108" s="3">
        <v>6.0575706189999998</v>
      </c>
      <c r="AB108" s="3">
        <v>4.4191658509999998</v>
      </c>
      <c r="AC108" s="3">
        <v>5.0124133320000004</v>
      </c>
      <c r="AE108" s="3">
        <v>11.108521497</v>
      </c>
      <c r="AG108" s="3">
        <v>3.0044912109999999</v>
      </c>
      <c r="AH108" s="3">
        <v>2.874429106</v>
      </c>
      <c r="AJ108" s="3">
        <v>4.0237563989999998</v>
      </c>
      <c r="AN108" s="3">
        <v>3.1236197680000002</v>
      </c>
      <c r="AP108" s="3">
        <v>5.7541460530000004</v>
      </c>
    </row>
    <row r="109" spans="1:42" x14ac:dyDescent="0.2">
      <c r="A109" s="88" t="s">
        <v>156</v>
      </c>
      <c r="B109" s="4">
        <v>27120</v>
      </c>
      <c r="C109" s="3">
        <v>3.7432420419999999</v>
      </c>
      <c r="E109" s="3">
        <v>5.6699701859999996</v>
      </c>
      <c r="F109" s="3">
        <v>4.1126895780000003</v>
      </c>
      <c r="I109" s="3">
        <v>2.1773988160000002</v>
      </c>
      <c r="J109" s="3">
        <v>0.53593803299999998</v>
      </c>
      <c r="K109" s="3">
        <v>6.9523715800000003</v>
      </c>
      <c r="M109" s="3">
        <v>2.5160841550000002</v>
      </c>
      <c r="N109" s="3">
        <v>4.2422138719999998</v>
      </c>
      <c r="O109" s="3">
        <v>-3.9583265289999998</v>
      </c>
      <c r="P109" s="3">
        <v>2.3900694300000001</v>
      </c>
      <c r="R109" s="3">
        <v>3.469965459</v>
      </c>
      <c r="S109" s="3">
        <v>7.456262358</v>
      </c>
      <c r="U109" s="3">
        <v>9.7526014750000005</v>
      </c>
      <c r="V109" s="3">
        <v>-1.0609911670000001</v>
      </c>
      <c r="W109" s="3">
        <v>15.729428051999999</v>
      </c>
      <c r="X109" s="3">
        <v>8.3225807330000006</v>
      </c>
      <c r="Z109" s="3">
        <v>6.8178288059999996</v>
      </c>
      <c r="AA109" s="3">
        <v>3.4010665809999998</v>
      </c>
      <c r="AB109" s="3">
        <v>5.1532808189999999</v>
      </c>
      <c r="AC109" s="3">
        <v>2.1759694000000001</v>
      </c>
      <c r="AE109" s="3">
        <v>7.4233125979999999</v>
      </c>
      <c r="AG109" s="3">
        <v>4.0348351830000002</v>
      </c>
      <c r="AH109" s="3">
        <v>1.6510817840000001</v>
      </c>
      <c r="AJ109" s="3">
        <v>0.63877387699999999</v>
      </c>
      <c r="AN109" s="3">
        <v>4.1116292699999999</v>
      </c>
      <c r="AP109" s="3">
        <v>6.358559004</v>
      </c>
    </row>
    <row r="110" spans="1:42" x14ac:dyDescent="0.2">
      <c r="A110" s="88" t="s">
        <v>157</v>
      </c>
      <c r="B110" s="4">
        <v>27211</v>
      </c>
      <c r="C110" s="3">
        <v>1.4550616629999999</v>
      </c>
      <c r="E110" s="3">
        <v>5.4104285790000004</v>
      </c>
      <c r="F110" s="3">
        <v>4.1226609600000002</v>
      </c>
      <c r="I110" s="3">
        <v>1.349933281</v>
      </c>
      <c r="J110" s="3">
        <v>-0.64062047700000002</v>
      </c>
      <c r="K110" s="3">
        <v>6.4068064260000002</v>
      </c>
      <c r="M110" s="3">
        <v>6.1076219370000002</v>
      </c>
      <c r="N110" s="3">
        <v>3.6443398980000001</v>
      </c>
      <c r="O110" s="3">
        <v>-2.7116685610000002</v>
      </c>
      <c r="P110" s="3">
        <v>-6.246949732</v>
      </c>
      <c r="R110" s="3">
        <v>3.6237297119999998</v>
      </c>
      <c r="S110" s="3">
        <v>6.8178709169999996</v>
      </c>
      <c r="U110" s="3">
        <v>7.5770678030000003</v>
      </c>
      <c r="V110" s="3">
        <v>-1.2513628999999999</v>
      </c>
      <c r="W110" s="3">
        <v>10.769639572999999</v>
      </c>
      <c r="X110" s="3">
        <v>6.6467645400000004</v>
      </c>
      <c r="Z110" s="3">
        <v>6.1131706530000001</v>
      </c>
      <c r="AA110" s="3">
        <v>4.9319477870000004</v>
      </c>
      <c r="AB110" s="3">
        <v>5.4581788749999998</v>
      </c>
      <c r="AC110" s="3">
        <v>1.531311514</v>
      </c>
      <c r="AE110" s="3">
        <v>3.0596339650000002</v>
      </c>
      <c r="AG110" s="3">
        <v>7.7268907230000003</v>
      </c>
      <c r="AH110" s="3">
        <v>3.3442566930000002</v>
      </c>
      <c r="AJ110" s="3">
        <v>-0.208418196</v>
      </c>
      <c r="AN110" s="3">
        <v>4.5184624040000001</v>
      </c>
      <c r="AP110" s="3">
        <v>8.3020411490000008</v>
      </c>
    </row>
    <row r="111" spans="1:42" x14ac:dyDescent="0.2">
      <c r="A111" s="88" t="s">
        <v>158</v>
      </c>
      <c r="B111" s="4">
        <v>27303</v>
      </c>
      <c r="C111" s="3">
        <v>1.652212799</v>
      </c>
      <c r="E111" s="3">
        <v>4.0998002639999997</v>
      </c>
      <c r="F111" s="3">
        <v>3.6558943359999998</v>
      </c>
      <c r="I111" s="3">
        <v>1.018885974</v>
      </c>
      <c r="J111" s="3">
        <v>-1.513912865</v>
      </c>
      <c r="K111" s="3">
        <v>5.4165874069999997</v>
      </c>
      <c r="M111" s="3">
        <v>2.8543461809999999</v>
      </c>
      <c r="N111" s="3">
        <v>3.731282303</v>
      </c>
      <c r="O111" s="3">
        <v>-1.155772985</v>
      </c>
      <c r="P111" s="3">
        <v>-12.868925365999999</v>
      </c>
      <c r="R111" s="3">
        <v>4.3804505469999997</v>
      </c>
      <c r="S111" s="3">
        <v>5.359664145</v>
      </c>
      <c r="U111" s="3">
        <v>4.4335628199999997</v>
      </c>
      <c r="V111" s="3">
        <v>-0.27858456100000001</v>
      </c>
      <c r="W111" s="3">
        <v>7.0494206149999998</v>
      </c>
      <c r="X111" s="3">
        <v>3.3283370489999999</v>
      </c>
      <c r="Z111" s="3">
        <v>5.765248132</v>
      </c>
      <c r="AA111" s="3">
        <v>6.5319248480000001</v>
      </c>
      <c r="AB111" s="3">
        <v>5.3447845750000003</v>
      </c>
      <c r="AC111" s="3">
        <v>1.1792819059999999</v>
      </c>
      <c r="AE111" s="3">
        <v>-1.58756096</v>
      </c>
      <c r="AG111" s="3">
        <v>4.0301965390000003</v>
      </c>
      <c r="AH111" s="3">
        <v>3.9873338789999999</v>
      </c>
      <c r="AJ111" s="3">
        <v>-0.62900049300000005</v>
      </c>
      <c r="AN111" s="3">
        <v>1.0508729020000001</v>
      </c>
      <c r="AP111" s="3">
        <v>6.4499670370000004</v>
      </c>
    </row>
    <row r="112" spans="1:42" x14ac:dyDescent="0.2">
      <c r="A112" s="88" t="s">
        <v>159</v>
      </c>
      <c r="B112" s="4">
        <v>27395</v>
      </c>
      <c r="C112" s="3">
        <v>-0.72769770199999995</v>
      </c>
      <c r="E112" s="3">
        <v>1.7107196650000001</v>
      </c>
      <c r="F112" s="3">
        <v>1.2823113349999999</v>
      </c>
      <c r="I112" s="3">
        <v>-0.50430080600000005</v>
      </c>
      <c r="J112" s="3">
        <v>-2.0964474489999998</v>
      </c>
      <c r="K112" s="3">
        <v>3.7787342879999999</v>
      </c>
      <c r="M112" s="3">
        <v>0.98022854999999998</v>
      </c>
      <c r="N112" s="3">
        <v>0.87524225899999997</v>
      </c>
      <c r="O112" s="3">
        <v>-2.1860014649999999</v>
      </c>
      <c r="P112" s="3">
        <v>-8.673941932</v>
      </c>
      <c r="R112" s="3">
        <v>5.5377734629999997</v>
      </c>
      <c r="S112" s="3">
        <v>3.320999794</v>
      </c>
      <c r="U112" s="3">
        <v>-0.18752571300000001</v>
      </c>
      <c r="V112" s="3">
        <v>-2.0300720270000001</v>
      </c>
      <c r="W112" s="3">
        <v>5.1624762439999996</v>
      </c>
      <c r="X112" s="3">
        <v>-1.1047353040000001</v>
      </c>
      <c r="Z112" s="3">
        <v>5.7790686659999997</v>
      </c>
      <c r="AA112" s="3">
        <v>1.109599027</v>
      </c>
      <c r="AB112" s="3">
        <v>4.8281967589999999</v>
      </c>
      <c r="AC112" s="3">
        <v>-0.56927254400000005</v>
      </c>
      <c r="AE112" s="3">
        <v>-3.87999106</v>
      </c>
      <c r="AG112" s="3">
        <v>5.0547899530000002</v>
      </c>
      <c r="AH112" s="3">
        <v>3.9827251929999998</v>
      </c>
      <c r="AJ112" s="3">
        <v>-1.9454493939999999</v>
      </c>
      <c r="AN112" s="3">
        <v>-4.2472696130000003</v>
      </c>
      <c r="AP112" s="3">
        <v>3.4524541609999999</v>
      </c>
    </row>
    <row r="113" spans="1:42" x14ac:dyDescent="0.2">
      <c r="A113" s="88" t="s">
        <v>160</v>
      </c>
      <c r="B113" s="4">
        <v>27485</v>
      </c>
      <c r="C113" s="3">
        <v>-0.35443037999999999</v>
      </c>
      <c r="E113" s="3">
        <v>-0.58180467899999999</v>
      </c>
      <c r="F113" s="3">
        <v>-9.4838176999999996E-2</v>
      </c>
      <c r="I113" s="3">
        <v>-1.907951274</v>
      </c>
      <c r="J113" s="3">
        <v>-2.3941894349999999</v>
      </c>
      <c r="K113" s="3">
        <v>1.533483615</v>
      </c>
      <c r="M113" s="3">
        <v>3.199966447</v>
      </c>
      <c r="N113" s="3">
        <v>-0.53277569499999999</v>
      </c>
      <c r="O113" s="3">
        <v>0.63493142999999996</v>
      </c>
      <c r="P113" s="3">
        <v>0.60617268700000004</v>
      </c>
      <c r="R113" s="3">
        <v>6.5010564430000004</v>
      </c>
      <c r="S113" s="3">
        <v>1.3747011870000001</v>
      </c>
      <c r="U113" s="3">
        <v>-2.7128641720000002</v>
      </c>
      <c r="V113" s="3">
        <v>1.58869303</v>
      </c>
      <c r="W113" s="3">
        <v>2.3757275779999998</v>
      </c>
      <c r="X113" s="3">
        <v>-5.2227492550000001</v>
      </c>
      <c r="Z113" s="3">
        <v>5.7944455259999996</v>
      </c>
      <c r="AA113" s="3">
        <v>-1.442402164</v>
      </c>
      <c r="AB113" s="3">
        <v>3.9271295770000001</v>
      </c>
      <c r="AC113" s="3">
        <v>-0.655083427</v>
      </c>
      <c r="AE113" s="3">
        <v>-6.3031667379999998</v>
      </c>
      <c r="AG113" s="3">
        <v>4.4549258869999999</v>
      </c>
      <c r="AH113" s="3">
        <v>5.2066730550000004</v>
      </c>
      <c r="AJ113" s="3">
        <v>-2.2990475950000002</v>
      </c>
      <c r="AN113" s="3">
        <v>-7.6334982760000001</v>
      </c>
      <c r="AP113" s="3">
        <v>1.1481333979999999</v>
      </c>
    </row>
    <row r="114" spans="1:42" x14ac:dyDescent="0.2">
      <c r="A114" s="88" t="s">
        <v>161</v>
      </c>
      <c r="B114" s="4">
        <v>27576</v>
      </c>
      <c r="C114" s="3">
        <v>4.9083754019999999</v>
      </c>
      <c r="E114" s="3">
        <v>-2.8146526650000001</v>
      </c>
      <c r="F114" s="3">
        <v>0.108099839</v>
      </c>
      <c r="I114" s="3">
        <v>-2.3251792359999999</v>
      </c>
      <c r="J114" s="3">
        <v>-1.822995884</v>
      </c>
      <c r="K114" s="3">
        <v>0.18323616300000001</v>
      </c>
      <c r="M114" s="3">
        <v>2.151917847</v>
      </c>
      <c r="N114" s="3">
        <v>-0.778119228</v>
      </c>
      <c r="O114" s="3">
        <v>-2.4199264399999998</v>
      </c>
      <c r="P114" s="3">
        <v>5.1253687320000001</v>
      </c>
      <c r="R114" s="3">
        <v>6.7333378489999998</v>
      </c>
      <c r="S114" s="3">
        <v>8.9497652999999996E-2</v>
      </c>
      <c r="U114" s="3">
        <v>-3.6829627820000002</v>
      </c>
      <c r="V114" s="3">
        <v>3.1014632120000001</v>
      </c>
      <c r="W114" s="3">
        <v>7.4788599360000001</v>
      </c>
      <c r="X114" s="3">
        <v>-7.8579717230000004</v>
      </c>
      <c r="Z114" s="3">
        <v>5.8073604620000001</v>
      </c>
      <c r="AA114" s="3">
        <v>-1.223998983</v>
      </c>
      <c r="AB114" s="3">
        <v>3.673353337</v>
      </c>
      <c r="AC114" s="3">
        <v>-0.58836243799999999</v>
      </c>
      <c r="AE114" s="3">
        <v>-5.7853006640000002</v>
      </c>
      <c r="AG114" s="3">
        <v>1.5831082999999999</v>
      </c>
      <c r="AH114" s="3">
        <v>2.2511498900000002</v>
      </c>
      <c r="AJ114" s="3">
        <v>-1.8342624000000001</v>
      </c>
      <c r="AN114" s="3">
        <v>-8.8987608139999992</v>
      </c>
      <c r="AP114" s="3">
        <v>1.496718934</v>
      </c>
    </row>
    <row r="115" spans="1:42" x14ac:dyDescent="0.2">
      <c r="A115" s="88" t="s">
        <v>162</v>
      </c>
      <c r="B115" s="4">
        <v>27668</v>
      </c>
      <c r="C115" s="3">
        <v>2.527986174</v>
      </c>
      <c r="E115" s="3">
        <v>-2.4828131089999999</v>
      </c>
      <c r="F115" s="3">
        <v>2.077805015</v>
      </c>
      <c r="I115" s="3">
        <v>-1.262668305</v>
      </c>
      <c r="J115" s="3">
        <v>-0.36875089100000003</v>
      </c>
      <c r="K115" s="3">
        <v>-8.4209259999999994E-2</v>
      </c>
      <c r="M115" s="3">
        <v>-1.8385690999999999E-2</v>
      </c>
      <c r="N115" s="3">
        <v>-1.3247337239999999</v>
      </c>
      <c r="O115" s="3">
        <v>-3.3636640519999998</v>
      </c>
      <c r="P115" s="3">
        <v>10.405549626000001</v>
      </c>
      <c r="R115" s="3">
        <v>5.7350397830000004</v>
      </c>
      <c r="S115" s="3">
        <v>-1.0132152E-2</v>
      </c>
      <c r="U115" s="3">
        <v>-2.4764708639999999</v>
      </c>
      <c r="V115" s="3">
        <v>2.9573956450000001</v>
      </c>
      <c r="W115" s="3">
        <v>8.8516216659999998</v>
      </c>
      <c r="X115" s="3">
        <v>-7.8978421550000002</v>
      </c>
      <c r="Z115" s="3">
        <v>5.6213715799999999</v>
      </c>
      <c r="AA115" s="3">
        <v>-1.4377678199999999</v>
      </c>
      <c r="AB115" s="3">
        <v>4.0408342270000004</v>
      </c>
      <c r="AC115" s="3">
        <v>0.48523096500000001</v>
      </c>
      <c r="AE115" s="3">
        <v>-4.0954954910000003</v>
      </c>
      <c r="AG115" s="3">
        <v>5.4894236599999999</v>
      </c>
      <c r="AH115" s="3">
        <v>1.7499713059999999</v>
      </c>
      <c r="AJ115" s="3">
        <v>0.79868486900000002</v>
      </c>
      <c r="AN115" s="3">
        <v>-7.6965470969999998</v>
      </c>
      <c r="AP115" s="3">
        <v>1.1636219919999999</v>
      </c>
    </row>
    <row r="116" spans="1:42" x14ac:dyDescent="0.2">
      <c r="A116" s="88" t="s">
        <v>163</v>
      </c>
      <c r="B116" s="4">
        <v>27760</v>
      </c>
      <c r="C116" s="3">
        <v>0.87901048500000001</v>
      </c>
      <c r="E116" s="3">
        <v>0.598638212</v>
      </c>
      <c r="F116" s="3">
        <v>3.7497569149999999</v>
      </c>
      <c r="I116" s="3">
        <v>1.965095402</v>
      </c>
      <c r="J116" s="3">
        <v>1.9869563260000001</v>
      </c>
      <c r="K116" s="3">
        <v>0.55150649900000004</v>
      </c>
      <c r="M116" s="3">
        <v>-1.0110395679999999</v>
      </c>
      <c r="N116" s="3">
        <v>1.541171217</v>
      </c>
      <c r="O116" s="3">
        <v>-0.79598914200000004</v>
      </c>
      <c r="P116" s="3">
        <v>9.9783941089999999</v>
      </c>
      <c r="R116" s="3">
        <v>3.7321175740000001</v>
      </c>
      <c r="S116" s="3">
        <v>1.140161252</v>
      </c>
      <c r="U116" s="3">
        <v>0.72157432099999996</v>
      </c>
      <c r="V116" s="3">
        <v>4.6073395640000001</v>
      </c>
      <c r="W116" s="3">
        <v>12.594433252</v>
      </c>
      <c r="X116" s="3">
        <v>-5.2715636769999996</v>
      </c>
      <c r="Z116" s="3">
        <v>5.2319107320000002</v>
      </c>
      <c r="AA116" s="3">
        <v>3.758282458</v>
      </c>
      <c r="AB116" s="3">
        <v>5.0121466259999998</v>
      </c>
      <c r="AC116" s="3">
        <v>2.49110437</v>
      </c>
      <c r="AE116" s="3">
        <v>-1.082823198</v>
      </c>
      <c r="AG116" s="3">
        <v>4.3723048809999998</v>
      </c>
      <c r="AH116" s="3">
        <v>1.665345573</v>
      </c>
      <c r="AJ116" s="3">
        <v>2.554017472</v>
      </c>
      <c r="AN116" s="3">
        <v>-4.9599920480000002</v>
      </c>
      <c r="AP116" s="3">
        <v>2.9696268510000001</v>
      </c>
    </row>
    <row r="117" spans="1:42" x14ac:dyDescent="0.2">
      <c r="A117" s="88" t="s">
        <v>164</v>
      </c>
      <c r="B117" s="4">
        <v>27851</v>
      </c>
      <c r="C117" s="3">
        <v>4.925734834</v>
      </c>
      <c r="E117" s="3">
        <v>3.7227357460000001</v>
      </c>
      <c r="F117" s="3">
        <v>6.2150226079999999</v>
      </c>
      <c r="I117" s="3">
        <v>3.478330696</v>
      </c>
      <c r="J117" s="3">
        <v>5.2669248250000003</v>
      </c>
      <c r="K117" s="3">
        <v>2.0631012969999998</v>
      </c>
      <c r="M117" s="3">
        <v>-2.209725062</v>
      </c>
      <c r="N117" s="3">
        <v>3.4971578170000002</v>
      </c>
      <c r="O117" s="3">
        <v>0.78974299599999997</v>
      </c>
      <c r="P117" s="3">
        <v>5.2266089339999997</v>
      </c>
      <c r="R117" s="3">
        <v>1.6798876170000001</v>
      </c>
      <c r="S117" s="3">
        <v>3.070076298</v>
      </c>
      <c r="U117" s="3">
        <v>4.3107154249999997</v>
      </c>
      <c r="V117" s="3">
        <v>5.3558425090000004</v>
      </c>
      <c r="W117" s="3">
        <v>14.231044506</v>
      </c>
      <c r="X117" s="3">
        <v>-1.242034388</v>
      </c>
      <c r="Z117" s="3">
        <v>4.8567966120000001</v>
      </c>
      <c r="AA117" s="3">
        <v>6.0362345790000003</v>
      </c>
      <c r="AB117" s="3">
        <v>6.5778379459999998</v>
      </c>
      <c r="AC117" s="3">
        <v>4.7175682989999999</v>
      </c>
      <c r="AE117" s="3">
        <v>3.3496270859999999</v>
      </c>
      <c r="AG117" s="3">
        <v>4.5856643479999999</v>
      </c>
      <c r="AH117" s="3">
        <v>-0.66309279300000001</v>
      </c>
      <c r="AJ117" s="3">
        <v>6.1523893620000001</v>
      </c>
      <c r="AN117" s="3">
        <v>-2.980754583</v>
      </c>
      <c r="AP117" s="3">
        <v>4.7424597909999999</v>
      </c>
    </row>
    <row r="118" spans="1:42" x14ac:dyDescent="0.2">
      <c r="A118" s="88" t="s">
        <v>165</v>
      </c>
      <c r="B118" s="4">
        <v>27942</v>
      </c>
      <c r="C118" s="3">
        <v>2.0279026060000001</v>
      </c>
      <c r="E118" s="3">
        <v>6.8909610389999996</v>
      </c>
      <c r="F118" s="3">
        <v>7.1211184110000003</v>
      </c>
      <c r="I118" s="3">
        <v>5.5453062490000002</v>
      </c>
      <c r="J118" s="3">
        <v>7.0738925139999997</v>
      </c>
      <c r="K118" s="3">
        <v>3.3269847029999999</v>
      </c>
      <c r="M118" s="3">
        <v>-0.98403798799999997</v>
      </c>
      <c r="N118" s="3">
        <v>4.4670733870000001</v>
      </c>
      <c r="O118" s="3">
        <v>2.3277956369999999</v>
      </c>
      <c r="P118" s="3">
        <v>6.8458951450000001</v>
      </c>
      <c r="R118" s="3">
        <v>0.44098128800000003</v>
      </c>
      <c r="S118" s="3">
        <v>5.2254710050000002</v>
      </c>
      <c r="U118" s="3">
        <v>6.2509154359999997</v>
      </c>
      <c r="V118" s="3">
        <v>3.6765190369999998</v>
      </c>
      <c r="W118" s="3">
        <v>14.339221259</v>
      </c>
      <c r="X118" s="3">
        <v>2.5981328970000002</v>
      </c>
      <c r="Z118" s="3">
        <v>4.5006152070000001</v>
      </c>
      <c r="AA118" s="3">
        <v>4.7062462119999999</v>
      </c>
      <c r="AB118" s="3">
        <v>7.2876798310000002</v>
      </c>
      <c r="AC118" s="3">
        <v>5.2317179610000002</v>
      </c>
      <c r="AE118" s="3">
        <v>7.5253203900000001</v>
      </c>
      <c r="AG118" s="3">
        <v>3.4160774350000001</v>
      </c>
      <c r="AH118" s="3">
        <v>2.2727820840000001</v>
      </c>
      <c r="AJ118" s="3">
        <v>6.1725884579999999</v>
      </c>
      <c r="AN118" s="3">
        <v>-1.426958218</v>
      </c>
      <c r="AP118" s="3">
        <v>0.91316457799999995</v>
      </c>
    </row>
    <row r="119" spans="1:42" x14ac:dyDescent="0.2">
      <c r="A119" s="88" t="s">
        <v>166</v>
      </c>
      <c r="B119" s="4">
        <v>28034</v>
      </c>
      <c r="C119" s="3">
        <v>3.9942381220000001</v>
      </c>
      <c r="E119" s="3">
        <v>7.2799970820000004</v>
      </c>
      <c r="F119" s="3">
        <v>5.6147783990000004</v>
      </c>
      <c r="I119" s="3">
        <v>4.4407161579999999</v>
      </c>
      <c r="J119" s="3">
        <v>7.3680911699999996</v>
      </c>
      <c r="K119" s="3">
        <v>3.8753856569999998</v>
      </c>
      <c r="M119" s="3">
        <v>1.045094982</v>
      </c>
      <c r="N119" s="3">
        <v>4.5561140140000003</v>
      </c>
      <c r="O119" s="3">
        <v>3.982074264</v>
      </c>
      <c r="P119" s="3">
        <v>6.1151154730000004</v>
      </c>
      <c r="R119" s="3">
        <v>0.76895009400000003</v>
      </c>
      <c r="S119" s="3">
        <v>7.102798108</v>
      </c>
      <c r="U119" s="3">
        <v>7.4242818550000003</v>
      </c>
      <c r="V119" s="3">
        <v>3.9511151139999998</v>
      </c>
      <c r="W119" s="3">
        <v>13.318980132</v>
      </c>
      <c r="X119" s="3">
        <v>4.6021693099999998</v>
      </c>
      <c r="Z119" s="3">
        <v>4.0658319150000004</v>
      </c>
      <c r="AA119" s="3">
        <v>7.7912670479999999</v>
      </c>
      <c r="AB119" s="3">
        <v>7.1595535290000001</v>
      </c>
      <c r="AC119" s="3">
        <v>5.0100477530000003</v>
      </c>
      <c r="AE119" s="3">
        <v>7.9106166929999997</v>
      </c>
      <c r="AG119" s="3">
        <v>2.8344228870000001</v>
      </c>
      <c r="AH119" s="3">
        <v>0.80023707899999996</v>
      </c>
      <c r="AJ119" s="3">
        <v>4.9586369960000001</v>
      </c>
      <c r="AN119" s="3">
        <v>1.3602969810000001</v>
      </c>
      <c r="AP119" s="3">
        <v>2.4935091680000001</v>
      </c>
    </row>
    <row r="120" spans="1:42" x14ac:dyDescent="0.2">
      <c r="A120" s="88" t="s">
        <v>167</v>
      </c>
      <c r="B120" s="4">
        <v>28126</v>
      </c>
      <c r="C120" s="3">
        <v>6.5149063299999996</v>
      </c>
      <c r="E120" s="3">
        <v>4.7524574140000002</v>
      </c>
      <c r="F120" s="3">
        <v>4.6121393880000001</v>
      </c>
      <c r="I120" s="3">
        <v>4.3244856540000001</v>
      </c>
      <c r="J120" s="3">
        <v>6.1826433889999999</v>
      </c>
      <c r="K120" s="3">
        <v>3.9424916310000002</v>
      </c>
      <c r="M120" s="3">
        <v>2.8861290890000002</v>
      </c>
      <c r="N120" s="3">
        <v>4.4483136060000001</v>
      </c>
      <c r="O120" s="3">
        <v>4.9793076589999998</v>
      </c>
      <c r="P120" s="3">
        <v>9.1512308559999997</v>
      </c>
      <c r="R120" s="3">
        <v>2.689777818</v>
      </c>
      <c r="S120" s="3">
        <v>8.4000606070000003</v>
      </c>
      <c r="U120" s="3">
        <v>8.0769181969999995</v>
      </c>
      <c r="V120" s="3">
        <v>2.9917590989999998</v>
      </c>
      <c r="W120" s="3">
        <v>11.163297054999999</v>
      </c>
      <c r="X120" s="3">
        <v>4.2934922589999998</v>
      </c>
      <c r="Z120" s="3">
        <v>3.561167642</v>
      </c>
      <c r="AA120" s="3">
        <v>2.07399742</v>
      </c>
      <c r="AB120" s="3">
        <v>6.2297639509999998</v>
      </c>
      <c r="AC120" s="3">
        <v>4.5761007610000002</v>
      </c>
      <c r="AE120" s="3">
        <v>8.8209556510000002</v>
      </c>
      <c r="AG120" s="3">
        <v>3.1372420700000001</v>
      </c>
      <c r="AH120" s="3">
        <v>-0.93126427700000003</v>
      </c>
      <c r="AJ120" s="3">
        <v>4.3148066380000003</v>
      </c>
      <c r="AN120" s="3">
        <v>3.2317105050000001</v>
      </c>
      <c r="AP120" s="3">
        <v>0.91245953000000002</v>
      </c>
    </row>
    <row r="121" spans="1:42" x14ac:dyDescent="0.2">
      <c r="A121" s="88" t="s">
        <v>168</v>
      </c>
      <c r="B121" s="4">
        <v>28216</v>
      </c>
      <c r="C121" s="3">
        <v>1.4476125200000001</v>
      </c>
      <c r="E121" s="3">
        <v>2.3375426780000002</v>
      </c>
      <c r="F121" s="3">
        <v>4.2925459659999996</v>
      </c>
      <c r="I121" s="3">
        <v>4.2784128739999998</v>
      </c>
      <c r="J121" s="3">
        <v>2.3777219660000002</v>
      </c>
      <c r="K121" s="3">
        <v>3.7349985939999999</v>
      </c>
      <c r="M121" s="3">
        <v>1.6206796400000001</v>
      </c>
      <c r="N121" s="3">
        <v>4.075391261</v>
      </c>
      <c r="O121" s="3">
        <v>3.2927506800000002</v>
      </c>
      <c r="P121" s="3">
        <v>5.1921583849999999</v>
      </c>
      <c r="R121" s="3">
        <v>5.3985333129999997</v>
      </c>
      <c r="S121" s="3">
        <v>9.0812974309999994</v>
      </c>
      <c r="U121" s="3">
        <v>6.2478182499999999</v>
      </c>
      <c r="V121" s="3">
        <v>4.3601840650000003</v>
      </c>
      <c r="W121" s="3">
        <v>9.123660589</v>
      </c>
      <c r="X121" s="3">
        <v>2.751792826</v>
      </c>
      <c r="Z121" s="3">
        <v>3.0822369269999998</v>
      </c>
      <c r="AA121" s="3">
        <v>3.1182961910000002</v>
      </c>
      <c r="AB121" s="3">
        <v>4.550338998</v>
      </c>
      <c r="AC121" s="3">
        <v>3.8226684629999998</v>
      </c>
      <c r="AE121" s="3">
        <v>7.2456827690000001</v>
      </c>
      <c r="AG121" s="3">
        <v>3.21728215</v>
      </c>
      <c r="AH121" s="3">
        <v>-1.30067347</v>
      </c>
      <c r="AJ121" s="3">
        <v>3.2259646420000001</v>
      </c>
      <c r="AN121" s="3">
        <v>3.263372763</v>
      </c>
      <c r="AP121" s="3">
        <v>-0.614192603</v>
      </c>
    </row>
    <row r="122" spans="1:42" x14ac:dyDescent="0.2">
      <c r="A122" s="88" t="s">
        <v>169</v>
      </c>
      <c r="B122" s="4">
        <v>28307</v>
      </c>
      <c r="C122" s="3">
        <v>2.5706539899999998</v>
      </c>
      <c r="E122" s="3">
        <v>3.5551218000000002E-2</v>
      </c>
      <c r="F122" s="3">
        <v>2.632092498</v>
      </c>
      <c r="I122" s="3">
        <v>3.3345679509999999</v>
      </c>
      <c r="J122" s="3">
        <v>0.48707771300000002</v>
      </c>
      <c r="K122" s="3">
        <v>3.0165162310000002</v>
      </c>
      <c r="M122" s="3">
        <v>0.95914947699999997</v>
      </c>
      <c r="N122" s="3">
        <v>3.2963450129999998</v>
      </c>
      <c r="O122" s="3">
        <v>2.6949898800000001</v>
      </c>
      <c r="P122" s="3">
        <v>0.83228734199999999</v>
      </c>
      <c r="R122" s="3">
        <v>7.9640702360000004</v>
      </c>
      <c r="S122" s="3">
        <v>9.2147341259999997</v>
      </c>
      <c r="U122" s="3">
        <v>3.7803844629999999</v>
      </c>
      <c r="V122" s="3">
        <v>4.4774049829999996</v>
      </c>
      <c r="W122" s="3">
        <v>9.400601473</v>
      </c>
      <c r="X122" s="3">
        <v>1.238973608</v>
      </c>
      <c r="Z122" s="3">
        <v>2.6003601989999998</v>
      </c>
      <c r="AA122" s="3">
        <v>3.0298801819999999</v>
      </c>
      <c r="AB122" s="3">
        <v>3.5141427699999999</v>
      </c>
      <c r="AC122" s="3">
        <v>3.6667687959999999</v>
      </c>
      <c r="AE122" s="3">
        <v>5.5725124580000003</v>
      </c>
      <c r="AG122" s="3">
        <v>2.8455827720000002</v>
      </c>
      <c r="AH122" s="3">
        <v>-2.0340981440000001</v>
      </c>
      <c r="AJ122" s="3">
        <v>4.4663240980000003</v>
      </c>
      <c r="AN122" s="3">
        <v>2.7312018330000001</v>
      </c>
      <c r="AP122" s="3">
        <v>1.506490138</v>
      </c>
    </row>
    <row r="123" spans="1:42" x14ac:dyDescent="0.2">
      <c r="A123" s="88" t="s">
        <v>170</v>
      </c>
      <c r="B123" s="4">
        <v>28399</v>
      </c>
      <c r="C123" s="3">
        <v>1.3122025260000001</v>
      </c>
      <c r="E123" s="3">
        <v>-0.52053081099999998</v>
      </c>
      <c r="F123" s="3">
        <v>2.7175646160000002</v>
      </c>
      <c r="I123" s="3">
        <v>3.2738524519999999</v>
      </c>
      <c r="J123" s="3">
        <v>2.5776509089999999</v>
      </c>
      <c r="K123" s="3">
        <v>2.365980875</v>
      </c>
      <c r="M123" s="3">
        <v>0.46285714300000003</v>
      </c>
      <c r="N123" s="3">
        <v>3.2814657390000002</v>
      </c>
      <c r="O123" s="3">
        <v>2.0971271059999999</v>
      </c>
      <c r="P123" s="3">
        <v>3.776461968</v>
      </c>
      <c r="R123" s="3">
        <v>9.55994718</v>
      </c>
      <c r="S123" s="3">
        <v>8.8710084459999994</v>
      </c>
      <c r="U123" s="3">
        <v>0.26157037799999999</v>
      </c>
      <c r="V123" s="3">
        <v>3.7311419290000001</v>
      </c>
      <c r="W123" s="3">
        <v>13.767454664000001</v>
      </c>
      <c r="X123" s="3">
        <v>0.76956107399999996</v>
      </c>
      <c r="Z123" s="3">
        <v>3.1859889570000002</v>
      </c>
      <c r="AA123" s="3">
        <v>0.33538187000000003</v>
      </c>
      <c r="AB123" s="3">
        <v>3.0772616240000001</v>
      </c>
      <c r="AC123" s="3">
        <v>3.7056236939999998</v>
      </c>
      <c r="AE123" s="3">
        <v>6.1403183319999997</v>
      </c>
      <c r="AG123" s="3">
        <v>3.4216913469999999</v>
      </c>
      <c r="AH123" s="3">
        <v>-1.359968742</v>
      </c>
      <c r="AJ123" s="3">
        <v>5.770897368</v>
      </c>
      <c r="AN123" s="3">
        <v>1.844026124</v>
      </c>
      <c r="AP123" s="3">
        <v>-1.235059012</v>
      </c>
    </row>
    <row r="124" spans="1:42" x14ac:dyDescent="0.2">
      <c r="A124" s="88" t="s">
        <v>171</v>
      </c>
      <c r="B124" s="4">
        <v>28491</v>
      </c>
      <c r="C124" s="3">
        <v>0.121247535</v>
      </c>
      <c r="E124" s="3">
        <v>0.69545750500000003</v>
      </c>
      <c r="F124" s="3">
        <v>4.127065204</v>
      </c>
      <c r="I124" s="3">
        <v>3.1410810539999998</v>
      </c>
      <c r="J124" s="3">
        <v>1.0573249149999999</v>
      </c>
      <c r="K124" s="3">
        <v>2.2645578720000001</v>
      </c>
      <c r="M124" s="3">
        <v>-0.600702709</v>
      </c>
      <c r="N124" s="3">
        <v>2.2434185310000001</v>
      </c>
      <c r="O124" s="3">
        <v>1.6840045079999999</v>
      </c>
      <c r="P124" s="3">
        <v>2.0496244190000001</v>
      </c>
      <c r="R124" s="3">
        <v>9.8604129619999998</v>
      </c>
      <c r="S124" s="3">
        <v>8.1565720620000004</v>
      </c>
      <c r="U124" s="3">
        <v>-0.60353521700000001</v>
      </c>
      <c r="V124" s="3">
        <v>5.0133345040000004</v>
      </c>
      <c r="W124" s="3">
        <v>16.7414241</v>
      </c>
      <c r="X124" s="3">
        <v>1.5447207629999999</v>
      </c>
      <c r="Z124" s="3">
        <v>4.8789463849999999</v>
      </c>
      <c r="AA124" s="3">
        <v>3.0808032359999999</v>
      </c>
      <c r="AB124" s="3">
        <v>3.2118446399999998</v>
      </c>
      <c r="AC124" s="3">
        <v>3.56441417</v>
      </c>
      <c r="AE124" s="3">
        <v>3.56440774</v>
      </c>
      <c r="AG124" s="3">
        <v>4.1387309520000004</v>
      </c>
      <c r="AH124" s="3">
        <v>-1.487679529</v>
      </c>
      <c r="AJ124" s="3">
        <v>5.0120285630000003</v>
      </c>
      <c r="AN124" s="3">
        <v>0.653462337</v>
      </c>
      <c r="AP124" s="3">
        <v>2.9635579999999998E-3</v>
      </c>
    </row>
    <row r="125" spans="1:42" x14ac:dyDescent="0.2">
      <c r="A125" s="88" t="s">
        <v>172</v>
      </c>
      <c r="B125" s="4">
        <v>28581</v>
      </c>
      <c r="C125" s="3">
        <v>1.379953585</v>
      </c>
      <c r="E125" s="3">
        <v>1.9120884279999999</v>
      </c>
      <c r="F125" s="3">
        <v>3.5303749619999998</v>
      </c>
      <c r="I125" s="3">
        <v>2.6892331980000002</v>
      </c>
      <c r="J125" s="3">
        <v>0.331433003</v>
      </c>
      <c r="K125" s="3">
        <v>2.094121339</v>
      </c>
      <c r="M125" s="3">
        <v>1.349033954</v>
      </c>
      <c r="N125" s="3">
        <v>2.5303020890000001</v>
      </c>
      <c r="O125" s="3">
        <v>2.5669202979999999</v>
      </c>
      <c r="P125" s="3">
        <v>6.5448842139999996</v>
      </c>
      <c r="R125" s="3">
        <v>9.1784675060000005</v>
      </c>
      <c r="S125" s="3">
        <v>7.2509654890000004</v>
      </c>
      <c r="U125" s="3">
        <v>0.98089701600000001</v>
      </c>
      <c r="V125" s="3">
        <v>4.7070190600000004</v>
      </c>
      <c r="W125" s="3">
        <v>14.64883629</v>
      </c>
      <c r="X125" s="3">
        <v>2.9278712910000002</v>
      </c>
      <c r="Z125" s="3">
        <v>6.5363673459999996</v>
      </c>
      <c r="AA125" s="3">
        <v>2.1027717469999998</v>
      </c>
      <c r="AB125" s="3">
        <v>4.2349979209999997</v>
      </c>
      <c r="AC125" s="3">
        <v>3.4585045210000001</v>
      </c>
      <c r="AE125" s="3">
        <v>3.1122015350000001</v>
      </c>
      <c r="AG125" s="3">
        <v>2.7410228590000001</v>
      </c>
      <c r="AH125" s="3">
        <v>2.1881546520000001</v>
      </c>
      <c r="AJ125" s="3">
        <v>4.1170623419999997</v>
      </c>
      <c r="AN125" s="3">
        <v>0.699460199</v>
      </c>
      <c r="AP125" s="3">
        <v>1.8698211890000001</v>
      </c>
    </row>
    <row r="126" spans="1:42" x14ac:dyDescent="0.2">
      <c r="A126" s="88" t="s">
        <v>173</v>
      </c>
      <c r="B126" s="4">
        <v>28672</v>
      </c>
      <c r="C126" s="3">
        <v>0.78134051699999996</v>
      </c>
      <c r="E126" s="3">
        <v>3.121929803</v>
      </c>
      <c r="F126" s="3">
        <v>3.6835576159999999</v>
      </c>
      <c r="I126" s="3">
        <v>2.5150666820000001</v>
      </c>
      <c r="J126" s="3">
        <v>2.5885641860000002</v>
      </c>
      <c r="K126" s="3">
        <v>1.838992317</v>
      </c>
      <c r="M126" s="3">
        <v>2.1862301839999998</v>
      </c>
      <c r="N126" s="3">
        <v>3.7837411310000002</v>
      </c>
      <c r="O126" s="3">
        <v>4.508282855</v>
      </c>
      <c r="P126" s="3">
        <v>8.8287115059999994</v>
      </c>
      <c r="R126" s="3">
        <v>7.982756921</v>
      </c>
      <c r="S126" s="3">
        <v>6.3466145530000002</v>
      </c>
      <c r="U126" s="3">
        <v>3.3028787959999999</v>
      </c>
      <c r="V126" s="3">
        <v>4.9858946419999999</v>
      </c>
      <c r="W126" s="3">
        <v>12.476476442999999</v>
      </c>
      <c r="X126" s="3">
        <v>4.2121933460000003</v>
      </c>
      <c r="Z126" s="3">
        <v>8.1636176379999998</v>
      </c>
      <c r="AA126" s="3">
        <v>2.2765499710000001</v>
      </c>
      <c r="AB126" s="3">
        <v>5.1781412019999999</v>
      </c>
      <c r="AC126" s="3">
        <v>4.5947788770000004</v>
      </c>
      <c r="AE126" s="3">
        <v>2.6913831369999999</v>
      </c>
      <c r="AG126" s="3">
        <v>3.0425914980000002</v>
      </c>
      <c r="AH126" s="3">
        <v>2.7417413659999998</v>
      </c>
      <c r="AJ126" s="3">
        <v>6.0781477989999999</v>
      </c>
      <c r="AN126" s="3">
        <v>0.93266087200000003</v>
      </c>
      <c r="AP126" s="3">
        <v>3.7390286800000001</v>
      </c>
    </row>
    <row r="127" spans="1:42" x14ac:dyDescent="0.2">
      <c r="A127" s="88" t="s">
        <v>174</v>
      </c>
      <c r="B127" s="4">
        <v>28764</v>
      </c>
      <c r="C127" s="3">
        <v>2.7482237270000001</v>
      </c>
      <c r="E127" s="3">
        <v>3.4625512330000001</v>
      </c>
      <c r="F127" s="3">
        <v>4.1224243820000002</v>
      </c>
      <c r="I127" s="3">
        <v>3.889417618</v>
      </c>
      <c r="J127" s="3">
        <v>0.93207669999999998</v>
      </c>
      <c r="K127" s="3">
        <v>1.3771531290000001</v>
      </c>
      <c r="M127" s="3">
        <v>2.0021614240000001</v>
      </c>
      <c r="N127" s="3">
        <v>3.2192532969999998</v>
      </c>
      <c r="O127" s="3">
        <v>5.2316142020000003</v>
      </c>
      <c r="P127" s="3">
        <v>4.990077093</v>
      </c>
      <c r="R127" s="3">
        <v>6.567177225</v>
      </c>
      <c r="S127" s="3">
        <v>5.559060552</v>
      </c>
      <c r="U127" s="3">
        <v>4.8269719909999997</v>
      </c>
      <c r="V127" s="3">
        <v>5.6236366770000004</v>
      </c>
      <c r="W127" s="3">
        <v>8.0733858089999995</v>
      </c>
      <c r="X127" s="3">
        <v>4.7573264159999997</v>
      </c>
      <c r="Z127" s="3">
        <v>9.0611400819999997</v>
      </c>
      <c r="AA127" s="3">
        <v>2.387880199</v>
      </c>
      <c r="AB127" s="3">
        <v>5.5107309850000004</v>
      </c>
      <c r="AC127" s="3">
        <v>4.5729050080000002</v>
      </c>
      <c r="AE127" s="3">
        <v>2.2162262930000001</v>
      </c>
      <c r="AG127" s="3">
        <v>3.3241916580000002</v>
      </c>
      <c r="AH127" s="3">
        <v>0.47918653700000002</v>
      </c>
      <c r="AJ127" s="3">
        <v>5.2457734220000001</v>
      </c>
      <c r="AN127" s="3">
        <v>0.18609329799999999</v>
      </c>
      <c r="AP127" s="3">
        <v>3.020486778</v>
      </c>
    </row>
    <row r="128" spans="1:42" x14ac:dyDescent="0.2">
      <c r="A128" s="88" t="s">
        <v>175</v>
      </c>
      <c r="B128" s="4">
        <v>28856</v>
      </c>
      <c r="C128" s="3">
        <v>3.9262890659999998</v>
      </c>
      <c r="E128" s="3">
        <v>2.8713400670000002</v>
      </c>
      <c r="F128" s="3">
        <v>3.4006520849999999</v>
      </c>
      <c r="I128" s="3">
        <v>3.3261263410000002</v>
      </c>
      <c r="J128" s="3">
        <v>2.0571354030000002</v>
      </c>
      <c r="K128" s="3">
        <v>0.55536028100000001</v>
      </c>
      <c r="M128" s="3">
        <v>4.4640820980000004</v>
      </c>
      <c r="N128" s="3">
        <v>3.8606989029999998</v>
      </c>
      <c r="O128" s="3">
        <v>4.4036889730000004</v>
      </c>
      <c r="P128" s="3">
        <v>8.5647439940000005</v>
      </c>
      <c r="R128" s="3">
        <v>5.1759648880000002</v>
      </c>
      <c r="S128" s="3">
        <v>4.9813973230000004</v>
      </c>
      <c r="U128" s="3">
        <v>5.5202044539999999</v>
      </c>
      <c r="V128" s="3">
        <v>5.713887583</v>
      </c>
      <c r="W128" s="3">
        <v>9.1452612369999997</v>
      </c>
      <c r="X128" s="3">
        <v>4.3936523120000004</v>
      </c>
      <c r="Z128" s="3">
        <v>9.1812343439999999</v>
      </c>
      <c r="AA128" s="3">
        <v>3.1575308259999999</v>
      </c>
      <c r="AB128" s="3">
        <v>4.5540023359999999</v>
      </c>
      <c r="AC128" s="3">
        <v>5.0927269969999998</v>
      </c>
      <c r="AE128" s="3">
        <v>3.2453616689999998</v>
      </c>
      <c r="AG128" s="3">
        <v>2.264743132</v>
      </c>
      <c r="AH128" s="3">
        <v>2.7238524480000001</v>
      </c>
      <c r="AJ128" s="3">
        <v>6.6580958829999997</v>
      </c>
      <c r="AN128" s="3">
        <v>0.63663814799999996</v>
      </c>
      <c r="AP128" s="3">
        <v>3.4270181169999998</v>
      </c>
    </row>
    <row r="129" spans="1:42" x14ac:dyDescent="0.2">
      <c r="A129" s="88" t="s">
        <v>176</v>
      </c>
      <c r="B129" s="4">
        <v>28946</v>
      </c>
      <c r="C129" s="3">
        <v>6.0227610240000002</v>
      </c>
      <c r="E129" s="3">
        <v>2.2947329660000002</v>
      </c>
      <c r="F129" s="3">
        <v>3.3915248170000001</v>
      </c>
      <c r="I129" s="3">
        <v>3.0292953090000001</v>
      </c>
      <c r="J129" s="3">
        <v>5.0022056279999996</v>
      </c>
      <c r="K129" s="3">
        <v>-0.227752239</v>
      </c>
      <c r="M129" s="3">
        <v>5.4427523969999996</v>
      </c>
      <c r="N129" s="3">
        <v>3.31871786</v>
      </c>
      <c r="O129" s="3">
        <v>3.112525599</v>
      </c>
      <c r="P129" s="3">
        <v>4.9097710509999999</v>
      </c>
      <c r="R129" s="3">
        <v>3.9865643500000001</v>
      </c>
      <c r="S129" s="3">
        <v>4.6635182039999998</v>
      </c>
      <c r="U129" s="3">
        <v>5.4638088900000001</v>
      </c>
      <c r="V129" s="3">
        <v>5.3055082589999998</v>
      </c>
      <c r="W129" s="3">
        <v>14.972238618</v>
      </c>
      <c r="X129" s="3">
        <v>3.508400237</v>
      </c>
      <c r="Z129" s="3">
        <v>9.2844507309999997</v>
      </c>
      <c r="AA129" s="3">
        <v>-2.151423426</v>
      </c>
      <c r="AB129" s="3">
        <v>2.5263021569999999</v>
      </c>
      <c r="AC129" s="3">
        <v>4.8633258939999999</v>
      </c>
      <c r="AE129" s="3">
        <v>3.8437365350000001</v>
      </c>
      <c r="AG129" s="3">
        <v>3.3197554550000001</v>
      </c>
      <c r="AH129" s="3">
        <v>3.170025801</v>
      </c>
      <c r="AJ129" s="3">
        <v>6.5099130890000003</v>
      </c>
      <c r="AN129" s="3">
        <v>1.3791367809999999</v>
      </c>
      <c r="AP129" s="3">
        <v>3.5349033799999998</v>
      </c>
    </row>
    <row r="130" spans="1:42" x14ac:dyDescent="0.2">
      <c r="A130" s="88" t="s">
        <v>177</v>
      </c>
      <c r="B130" s="4">
        <v>29037</v>
      </c>
      <c r="C130" s="3">
        <v>3.4754805100000001</v>
      </c>
      <c r="E130" s="3">
        <v>1.7339607690000001</v>
      </c>
      <c r="F130" s="3">
        <v>4.0703556990000003</v>
      </c>
      <c r="I130" s="3">
        <v>5.8092072779999997</v>
      </c>
      <c r="J130" s="3">
        <v>4.5490336400000002</v>
      </c>
      <c r="K130" s="3">
        <v>-0.27470229000000002</v>
      </c>
      <c r="M130" s="3">
        <v>7.1912629519999998</v>
      </c>
      <c r="N130" s="3">
        <v>2.6005817169999998</v>
      </c>
      <c r="O130" s="3">
        <v>6.4155159319999999</v>
      </c>
      <c r="P130" s="3">
        <v>5.9990145359999998</v>
      </c>
      <c r="R130" s="3">
        <v>3.1050409590000001</v>
      </c>
      <c r="S130" s="3">
        <v>4.610314163</v>
      </c>
      <c r="U130" s="3">
        <v>4.4243423689999997</v>
      </c>
      <c r="V130" s="3">
        <v>6.1973642230000001</v>
      </c>
      <c r="W130" s="3">
        <v>12.377489255</v>
      </c>
      <c r="X130" s="3">
        <v>2.5479635539999999</v>
      </c>
      <c r="Z130" s="3">
        <v>9.3928786760000005</v>
      </c>
      <c r="AA130" s="3">
        <v>3.3579378129999999</v>
      </c>
      <c r="AB130" s="3">
        <v>3.9075632800000002</v>
      </c>
      <c r="AC130" s="3">
        <v>4.0892646360000002</v>
      </c>
      <c r="AE130" s="3">
        <v>5.5485959200000003</v>
      </c>
      <c r="AG130" s="3">
        <v>4.38634536</v>
      </c>
      <c r="AH130" s="3">
        <v>3.2184847329999999</v>
      </c>
      <c r="AJ130" s="3">
        <v>2.6568550630000001</v>
      </c>
      <c r="AN130" s="3">
        <v>1.717514124</v>
      </c>
      <c r="AP130" s="3">
        <v>2.2279847450000001</v>
      </c>
    </row>
    <row r="131" spans="1:42" x14ac:dyDescent="0.2">
      <c r="A131" s="88" t="s">
        <v>178</v>
      </c>
      <c r="B131" s="4">
        <v>29129</v>
      </c>
      <c r="C131" s="3">
        <v>2.8771428170000002</v>
      </c>
      <c r="E131" s="3">
        <v>2.0469620489999998</v>
      </c>
      <c r="F131" s="3">
        <v>3.7997281429999998</v>
      </c>
      <c r="I131" s="3">
        <v>4.439655589</v>
      </c>
      <c r="J131" s="3">
        <v>2.1933856980000002</v>
      </c>
      <c r="K131" s="3">
        <v>8.7956886999999997E-2</v>
      </c>
      <c r="M131" s="3">
        <v>7.6395472030000002</v>
      </c>
      <c r="N131" s="3">
        <v>3.8647652950000002</v>
      </c>
      <c r="O131" s="3">
        <v>2.6268227739999999</v>
      </c>
      <c r="P131" s="3">
        <v>3.607844563</v>
      </c>
      <c r="R131" s="3">
        <v>2.6420823069999999</v>
      </c>
      <c r="S131" s="3">
        <v>4.8526991519999996</v>
      </c>
      <c r="U131" s="3">
        <v>5.6752296800000002</v>
      </c>
      <c r="V131" s="3">
        <v>5.6410557370000003</v>
      </c>
      <c r="W131" s="3">
        <v>7.2726830280000003</v>
      </c>
      <c r="X131" s="3">
        <v>1.8506043190000001</v>
      </c>
      <c r="Z131" s="3">
        <v>9.2144051830000002</v>
      </c>
      <c r="AA131" s="3">
        <v>3.1582138190000002</v>
      </c>
      <c r="AB131" s="3">
        <v>5.3519868309999996</v>
      </c>
      <c r="AC131" s="3">
        <v>3.6577462839999999</v>
      </c>
      <c r="AE131" s="3">
        <v>6.3808896490000002</v>
      </c>
      <c r="AG131" s="3">
        <v>3.9231892739999998</v>
      </c>
      <c r="AH131" s="3">
        <v>5.6827228539999997</v>
      </c>
      <c r="AJ131" s="3">
        <v>2.3899154130000002</v>
      </c>
      <c r="AN131" s="3">
        <v>2.6381184270000002</v>
      </c>
      <c r="AP131" s="3">
        <v>4.1110716209999998</v>
      </c>
    </row>
    <row r="132" spans="1:42" x14ac:dyDescent="0.2">
      <c r="A132" s="88" t="s">
        <v>179</v>
      </c>
      <c r="B132" s="4">
        <v>29221</v>
      </c>
      <c r="C132" s="3">
        <v>3.9990734109999999</v>
      </c>
      <c r="E132" s="3">
        <v>3.2805634279999998</v>
      </c>
      <c r="F132" s="3">
        <v>3.5822730580000002</v>
      </c>
      <c r="I132" s="3">
        <v>3.865566592</v>
      </c>
      <c r="J132" s="3">
        <v>2.5071848189999999</v>
      </c>
      <c r="K132" s="3">
        <v>0.58864653199999994</v>
      </c>
      <c r="M132" s="3">
        <v>6.6091797190000001</v>
      </c>
      <c r="N132" s="3">
        <v>3.1841121370000001</v>
      </c>
      <c r="O132" s="3">
        <v>2.7631791630000002</v>
      </c>
      <c r="P132" s="3">
        <v>-1.127246204</v>
      </c>
      <c r="R132" s="3">
        <v>2.585266415</v>
      </c>
      <c r="S132" s="3">
        <v>5.3035139539999996</v>
      </c>
      <c r="U132" s="3">
        <v>6.5392342870000002</v>
      </c>
      <c r="V132" s="3">
        <v>4.5909122030000002</v>
      </c>
      <c r="W132" s="3">
        <v>0.80738606199999996</v>
      </c>
      <c r="X132" s="3">
        <v>1.5098307740000001</v>
      </c>
      <c r="Z132" s="3">
        <v>8.7492991329999992</v>
      </c>
      <c r="AA132" s="3">
        <v>2.9380003719999999</v>
      </c>
      <c r="AB132" s="3">
        <v>6.1576236680000003</v>
      </c>
      <c r="AC132" s="3">
        <v>3.0069248910000002</v>
      </c>
      <c r="AE132" s="3">
        <v>6.7449461099999999</v>
      </c>
      <c r="AG132" s="3">
        <v>3.6900188749999998</v>
      </c>
      <c r="AH132" s="3">
        <v>4.0999790039999997</v>
      </c>
      <c r="AJ132" s="3">
        <v>1.284557672</v>
      </c>
      <c r="AN132" s="3">
        <v>3.8081664289999999</v>
      </c>
      <c r="AP132" s="3">
        <v>5.2893079710000004</v>
      </c>
    </row>
    <row r="133" spans="1:42" x14ac:dyDescent="0.2">
      <c r="A133" s="88" t="s">
        <v>180</v>
      </c>
      <c r="B133" s="4">
        <v>29312</v>
      </c>
      <c r="C133" s="3">
        <v>1.682871335</v>
      </c>
      <c r="E133" s="3">
        <v>6.7817348669999999</v>
      </c>
      <c r="F133" s="3">
        <v>3.4469167920000001</v>
      </c>
      <c r="I133" s="3">
        <v>4.5684691209999997</v>
      </c>
      <c r="J133" s="3">
        <v>3.1248799759999999</v>
      </c>
      <c r="K133" s="3">
        <v>1.423891899</v>
      </c>
      <c r="M133" s="3">
        <v>6.2369617540000002</v>
      </c>
      <c r="N133" s="3">
        <v>3.4992239390000002</v>
      </c>
      <c r="O133" s="3">
        <v>2.145663077</v>
      </c>
      <c r="P133" s="3">
        <v>1.81587071</v>
      </c>
      <c r="R133" s="3">
        <v>2.778646765</v>
      </c>
      <c r="S133" s="3">
        <v>5.7522561989999996</v>
      </c>
      <c r="U133" s="3">
        <v>4.6895593230000001</v>
      </c>
      <c r="V133" s="3">
        <v>3.4439396320000002</v>
      </c>
      <c r="W133" s="3">
        <v>-2.66574512</v>
      </c>
      <c r="X133" s="3">
        <v>1.3481015519999999</v>
      </c>
      <c r="Z133" s="3">
        <v>9.2742041149999999</v>
      </c>
      <c r="AA133" s="3">
        <v>8.1860009789999992</v>
      </c>
      <c r="AB133" s="3">
        <v>10.761772145</v>
      </c>
      <c r="AC133" s="3">
        <v>3.0036786379999998</v>
      </c>
      <c r="AE133" s="3">
        <v>7.284454126</v>
      </c>
      <c r="AG133" s="3">
        <v>3.5861998100000001</v>
      </c>
      <c r="AH133" s="3">
        <v>5.1850214379999997</v>
      </c>
      <c r="AJ133" s="3">
        <v>1.4207752659999999</v>
      </c>
      <c r="AN133" s="3">
        <v>5.0215022610000002</v>
      </c>
      <c r="AP133" s="3">
        <v>5.6039667550000001</v>
      </c>
    </row>
    <row r="134" spans="1:42" x14ac:dyDescent="0.2">
      <c r="A134" s="88" t="s">
        <v>181</v>
      </c>
      <c r="B134" s="4">
        <v>29403</v>
      </c>
      <c r="C134" s="3">
        <v>3.6073382770000002</v>
      </c>
      <c r="E134" s="3">
        <v>5.6951136609999997</v>
      </c>
      <c r="F134" s="3">
        <v>2.0394943919999999</v>
      </c>
      <c r="I134" s="3">
        <v>0.76620878999999997</v>
      </c>
      <c r="J134" s="3">
        <v>-1.2197605199999999</v>
      </c>
      <c r="K134" s="3">
        <v>1.6106818730000001</v>
      </c>
      <c r="M134" s="3">
        <v>3.2864830970000001</v>
      </c>
      <c r="N134" s="3">
        <v>1.9536147479999999</v>
      </c>
      <c r="O134" s="3">
        <v>-4.1108488779999997</v>
      </c>
      <c r="P134" s="3">
        <v>0.43330289700000002</v>
      </c>
      <c r="R134" s="3">
        <v>3.0409382310000002</v>
      </c>
      <c r="S134" s="3">
        <v>6.0044123239999996</v>
      </c>
      <c r="U134" s="3">
        <v>4.7404382140000001</v>
      </c>
      <c r="V134" s="3">
        <v>1.0522480350000001</v>
      </c>
      <c r="W134" s="3">
        <v>-3.917118286</v>
      </c>
      <c r="X134" s="3">
        <v>1.1522661080000001</v>
      </c>
      <c r="Z134" s="3">
        <v>7.6067669200000001</v>
      </c>
      <c r="AA134" s="3">
        <v>0.338575393</v>
      </c>
      <c r="AB134" s="3">
        <v>5.348903762</v>
      </c>
      <c r="AC134" s="3">
        <v>0.67955293699999997</v>
      </c>
      <c r="AE134" s="3">
        <v>5.0227779870000004</v>
      </c>
      <c r="AG134" s="3">
        <v>4.095318325</v>
      </c>
      <c r="AH134" s="3">
        <v>-1.4123995890000001</v>
      </c>
      <c r="AJ134" s="3">
        <v>-0.77506271299999996</v>
      </c>
      <c r="AN134" s="3">
        <v>4.8102279379999997</v>
      </c>
      <c r="AP134" s="3">
        <v>6.9208087220000003</v>
      </c>
    </row>
    <row r="135" spans="1:42" x14ac:dyDescent="0.2">
      <c r="A135" s="88" t="s">
        <v>182</v>
      </c>
      <c r="B135" s="4">
        <v>29495</v>
      </c>
      <c r="C135" s="3">
        <v>3.1929604889999998</v>
      </c>
      <c r="E135" s="3">
        <v>3.671015497</v>
      </c>
      <c r="F135" s="3">
        <v>1.2219010429999999</v>
      </c>
      <c r="I135" s="3">
        <v>0.36643914300000002</v>
      </c>
      <c r="J135" s="3">
        <v>-1.8762502169999999</v>
      </c>
      <c r="K135" s="3">
        <v>0.96494896299999999</v>
      </c>
      <c r="M135" s="3">
        <v>7.5169662749999997</v>
      </c>
      <c r="N135" s="3">
        <v>0.70938461399999997</v>
      </c>
      <c r="O135" s="3">
        <v>-2.0200935520000001</v>
      </c>
      <c r="P135" s="3">
        <v>0.55610132599999995</v>
      </c>
      <c r="R135" s="3">
        <v>3.2200235780000002</v>
      </c>
      <c r="S135" s="3">
        <v>5.8684682260000001</v>
      </c>
      <c r="U135" s="3">
        <v>3.0449830740000001</v>
      </c>
      <c r="V135" s="3">
        <v>2.5337615819999999</v>
      </c>
      <c r="W135" s="3">
        <v>0.68848807099999998</v>
      </c>
      <c r="X135" s="3">
        <v>0.741006783</v>
      </c>
      <c r="Z135" s="3">
        <v>7.6994341159999999</v>
      </c>
      <c r="AA135" s="3">
        <v>-1.0670339760000001</v>
      </c>
      <c r="AB135" s="3">
        <v>0.82277706500000003</v>
      </c>
      <c r="AC135" s="3">
        <v>0.48172635499999999</v>
      </c>
      <c r="AE135" s="3">
        <v>3.2903907029999999</v>
      </c>
      <c r="AG135" s="3">
        <v>3.9288902960000001</v>
      </c>
      <c r="AH135" s="3">
        <v>2.0490370200000001</v>
      </c>
      <c r="AJ135" s="3">
        <v>-1.6237974310000001</v>
      </c>
      <c r="AN135" s="3">
        <v>4.3108990240000002</v>
      </c>
      <c r="AP135" s="3">
        <v>7.9456179090000001</v>
      </c>
    </row>
    <row r="136" spans="1:42" x14ac:dyDescent="0.2">
      <c r="A136" s="88" t="s">
        <v>183</v>
      </c>
      <c r="B136" s="4">
        <v>29587</v>
      </c>
      <c r="C136" s="3">
        <v>2.984711957</v>
      </c>
      <c r="E136" s="3">
        <v>1.8529221149999999</v>
      </c>
      <c r="F136" s="3">
        <v>1.9403879820000001</v>
      </c>
      <c r="I136" s="3">
        <v>-0.37748671900000003</v>
      </c>
      <c r="J136" s="3">
        <v>-1.7498374290000001</v>
      </c>
      <c r="K136" s="3">
        <v>1.194843181</v>
      </c>
      <c r="M136" s="3">
        <v>3.3582471589999998</v>
      </c>
      <c r="N136" s="3">
        <v>0.379801895</v>
      </c>
      <c r="O136" s="3">
        <v>-4.0866733550000003</v>
      </c>
      <c r="P136" s="3">
        <v>-0.114009791</v>
      </c>
      <c r="R136" s="3">
        <v>3.2724436360000002</v>
      </c>
      <c r="S136" s="3">
        <v>5.3758151180000002</v>
      </c>
      <c r="U136" s="3">
        <v>1.533254334</v>
      </c>
      <c r="V136" s="3">
        <v>4.2599395940000004</v>
      </c>
      <c r="W136" s="3">
        <v>-0.58646567999999999</v>
      </c>
      <c r="X136" s="3">
        <v>0.12926631199999999</v>
      </c>
      <c r="Z136" s="3">
        <v>8.7326851029999997</v>
      </c>
      <c r="AA136" s="3">
        <v>-0.30567211700000002</v>
      </c>
      <c r="AB136" s="3">
        <v>2.0842030440000001</v>
      </c>
      <c r="AC136" s="3">
        <v>0.96257464199999998</v>
      </c>
      <c r="AE136" s="3">
        <v>2.8912564010000001</v>
      </c>
      <c r="AG136" s="3">
        <v>5.3223917250000001</v>
      </c>
      <c r="AH136" s="3">
        <v>-5.4837886000000002E-2</v>
      </c>
      <c r="AJ136" s="3">
        <v>-3.9131615000000002E-2</v>
      </c>
      <c r="AN136" s="3">
        <v>3.3718549520000001</v>
      </c>
      <c r="AP136" s="3">
        <v>6.0127037339999996</v>
      </c>
    </row>
    <row r="137" spans="1:42" x14ac:dyDescent="0.2">
      <c r="A137" s="88" t="s">
        <v>184</v>
      </c>
      <c r="B137" s="4">
        <v>29677</v>
      </c>
      <c r="C137" s="3">
        <v>2.9203064099999998</v>
      </c>
      <c r="E137" s="3">
        <v>-1.818304235</v>
      </c>
      <c r="F137" s="3">
        <v>3.4626741280000002</v>
      </c>
      <c r="I137" s="3">
        <v>6.6002819999999999E-3</v>
      </c>
      <c r="J137" s="3">
        <v>-3.080016289</v>
      </c>
      <c r="K137" s="3">
        <v>-4.7428330999999997E-2</v>
      </c>
      <c r="M137" s="3">
        <v>1.4651830219999999</v>
      </c>
      <c r="N137" s="3">
        <v>-0.33579421999999998</v>
      </c>
      <c r="O137" s="3">
        <v>-3.2182743729999999</v>
      </c>
      <c r="P137" s="3">
        <v>-5.3050569899999998</v>
      </c>
      <c r="R137" s="3">
        <v>3.2643394350000001</v>
      </c>
      <c r="S137" s="3">
        <v>4.7638647279999997</v>
      </c>
      <c r="U137" s="3">
        <v>1.1397041290000001</v>
      </c>
      <c r="V137" s="3">
        <v>4.4993700780000001</v>
      </c>
      <c r="W137" s="3">
        <v>2.5953654679999998</v>
      </c>
      <c r="X137" s="3">
        <v>-0.45921006399999997</v>
      </c>
      <c r="Z137" s="3">
        <v>8.1654437869999992</v>
      </c>
      <c r="AA137" s="3">
        <v>-1.2089184879999999</v>
      </c>
      <c r="AB137" s="3">
        <v>-6.5981687999999997E-2</v>
      </c>
      <c r="AC137" s="3">
        <v>1.4388268630000001</v>
      </c>
      <c r="AE137" s="3">
        <v>1.7492467039999999</v>
      </c>
      <c r="AG137" s="3">
        <v>5.1678651000000002</v>
      </c>
      <c r="AH137" s="3">
        <v>-2.4909400759999998</v>
      </c>
      <c r="AJ137" s="3">
        <v>1.599979772</v>
      </c>
      <c r="AN137" s="3">
        <v>1.332675023</v>
      </c>
      <c r="AP137" s="3">
        <v>5.1687644280000002</v>
      </c>
    </row>
    <row r="138" spans="1:42" x14ac:dyDescent="0.2">
      <c r="A138" s="88" t="s">
        <v>185</v>
      </c>
      <c r="B138" s="4">
        <v>29768</v>
      </c>
      <c r="C138" s="3">
        <v>4.2457793539999997</v>
      </c>
      <c r="E138" s="3">
        <v>0.28122027199999999</v>
      </c>
      <c r="F138" s="3">
        <v>4.6588211749999999</v>
      </c>
      <c r="I138" s="3">
        <v>0.40335047400000001</v>
      </c>
      <c r="J138" s="3">
        <v>-1.2754455339999999</v>
      </c>
      <c r="K138" s="3">
        <v>-0.49631049599999999</v>
      </c>
      <c r="M138" s="3">
        <v>3.1363820320000002</v>
      </c>
      <c r="N138" s="3">
        <v>0.87161781500000002</v>
      </c>
      <c r="O138" s="3">
        <v>-1.020859519</v>
      </c>
      <c r="P138" s="3">
        <v>-5.593758265</v>
      </c>
      <c r="R138" s="3">
        <v>3.262883526</v>
      </c>
      <c r="S138" s="3">
        <v>4.2497732499999996</v>
      </c>
      <c r="U138" s="3">
        <v>0.55655575499999999</v>
      </c>
      <c r="V138" s="3">
        <v>6.3387647940000003</v>
      </c>
      <c r="W138" s="3">
        <v>5.6435802669999999</v>
      </c>
      <c r="X138" s="3">
        <v>-0.81165545100000003</v>
      </c>
      <c r="Z138" s="3">
        <v>10.248938249</v>
      </c>
      <c r="AA138" s="3">
        <v>0.62876846200000003</v>
      </c>
      <c r="AB138" s="3">
        <v>2.4412284030000002</v>
      </c>
      <c r="AC138" s="3">
        <v>2.740516774</v>
      </c>
      <c r="AE138" s="3">
        <v>1.857852665</v>
      </c>
      <c r="AG138" s="3">
        <v>5.5587878340000003</v>
      </c>
      <c r="AH138" s="3">
        <v>2.3268107649999998</v>
      </c>
      <c r="AJ138" s="3">
        <v>2.968700707</v>
      </c>
      <c r="AN138" s="3">
        <v>2.0186914570000001</v>
      </c>
      <c r="AP138" s="3">
        <v>5.4606395079999999</v>
      </c>
    </row>
    <row r="139" spans="1:42" x14ac:dyDescent="0.2">
      <c r="A139" s="88" t="s">
        <v>186</v>
      </c>
      <c r="B139" s="4">
        <v>29860</v>
      </c>
      <c r="C139" s="3">
        <v>5.7836417940000002</v>
      </c>
      <c r="E139" s="3">
        <v>0.83877797499999995</v>
      </c>
      <c r="F139" s="3">
        <v>3.8384630890000002</v>
      </c>
      <c r="I139" s="3">
        <v>1.0688095719999999</v>
      </c>
      <c r="J139" s="3">
        <v>0.66580399199999996</v>
      </c>
      <c r="K139" s="3">
        <v>0.34405483799999997</v>
      </c>
      <c r="M139" s="3">
        <v>-1.2768622919999999</v>
      </c>
      <c r="N139" s="3">
        <v>1.6102641799999999</v>
      </c>
      <c r="O139" s="3">
        <v>0.15825836900000001</v>
      </c>
      <c r="P139" s="3">
        <v>2.4772770890000002</v>
      </c>
      <c r="R139" s="3">
        <v>3.3395224350000001</v>
      </c>
      <c r="S139" s="3">
        <v>4.0335205810000003</v>
      </c>
      <c r="U139" s="3">
        <v>0.51901222899999999</v>
      </c>
      <c r="V139" s="3">
        <v>3.77769997</v>
      </c>
      <c r="W139" s="3">
        <v>7.9969629790000001</v>
      </c>
      <c r="X139" s="3">
        <v>-0.72529169400000004</v>
      </c>
      <c r="Z139" s="3">
        <v>8.4833729770000001</v>
      </c>
      <c r="AA139" s="3">
        <v>0.38240917800000002</v>
      </c>
      <c r="AB139" s="3">
        <v>3.0192343519999998</v>
      </c>
      <c r="AC139" s="3">
        <v>3.1073791559999999</v>
      </c>
      <c r="AE139" s="3">
        <v>2.0325545749999998</v>
      </c>
      <c r="AG139" s="3">
        <v>6.4595691049999999</v>
      </c>
      <c r="AH139" s="3">
        <v>-0.65963311199999997</v>
      </c>
      <c r="AJ139" s="3">
        <v>4.3257650209999996</v>
      </c>
      <c r="AN139" s="3">
        <v>2.0775180500000001</v>
      </c>
      <c r="AP139" s="3">
        <v>5.1945727679999996</v>
      </c>
    </row>
    <row r="140" spans="1:42" x14ac:dyDescent="0.2">
      <c r="A140" s="88" t="s">
        <v>187</v>
      </c>
      <c r="B140" s="4">
        <v>29952</v>
      </c>
      <c r="C140" s="3">
        <v>3.5758993819999998</v>
      </c>
      <c r="E140" s="3">
        <v>1.3160517839999999</v>
      </c>
      <c r="F140" s="3">
        <v>1.955909127</v>
      </c>
      <c r="I140" s="3">
        <v>1.1233869780000001</v>
      </c>
      <c r="J140" s="3">
        <v>0.21651036400000001</v>
      </c>
      <c r="K140" s="3">
        <v>-0.33420707700000002</v>
      </c>
      <c r="M140" s="3">
        <v>1.8821198610000001</v>
      </c>
      <c r="N140" s="3">
        <v>2.2578242720000001</v>
      </c>
      <c r="O140" s="3">
        <v>1.388648804</v>
      </c>
      <c r="P140" s="3">
        <v>2.5446488519999999</v>
      </c>
      <c r="R140" s="3">
        <v>3.431785831</v>
      </c>
      <c r="S140" s="3">
        <v>4.0282975189999997</v>
      </c>
      <c r="U140" s="3">
        <v>0.47849028300000002</v>
      </c>
      <c r="V140" s="3">
        <v>2.3595742529999999</v>
      </c>
      <c r="W140" s="3">
        <v>12.811298021000001</v>
      </c>
      <c r="X140" s="3">
        <v>-0.20653781600000001</v>
      </c>
      <c r="Z140" s="3">
        <v>7.3191181900000002</v>
      </c>
      <c r="AA140" s="3">
        <v>-1.816070683</v>
      </c>
      <c r="AB140" s="3">
        <v>0.81594195300000005</v>
      </c>
      <c r="AC140" s="3">
        <v>1.8562721820000001</v>
      </c>
      <c r="AE140" s="3">
        <v>0.84441548200000005</v>
      </c>
      <c r="AG140" s="3">
        <v>6.9046021870000001</v>
      </c>
      <c r="AH140" s="3">
        <v>0.18589722</v>
      </c>
      <c r="AJ140" s="3">
        <v>1.2999011570000001</v>
      </c>
      <c r="AN140" s="3">
        <v>1.0087413940000001</v>
      </c>
      <c r="AP140" s="3">
        <v>5.6134761129999999</v>
      </c>
    </row>
    <row r="141" spans="1:42" x14ac:dyDescent="0.2">
      <c r="A141" s="88" t="s">
        <v>188</v>
      </c>
      <c r="B141" s="4">
        <v>30042</v>
      </c>
      <c r="C141" s="3">
        <v>2.3412506689999999</v>
      </c>
      <c r="E141" s="3">
        <v>1.428611638</v>
      </c>
      <c r="F141" s="3">
        <v>-1.416253252</v>
      </c>
      <c r="I141" s="3">
        <v>0.30872657100000001</v>
      </c>
      <c r="J141" s="3">
        <v>1.378547221</v>
      </c>
      <c r="K141" s="3">
        <v>0.64585859700000003</v>
      </c>
      <c r="M141" s="3">
        <v>2.7094084949999999</v>
      </c>
      <c r="N141" s="3">
        <v>2.6909216310000001</v>
      </c>
      <c r="O141" s="3">
        <v>1.632488336</v>
      </c>
      <c r="P141" s="3">
        <v>2.5819707219999999</v>
      </c>
      <c r="R141" s="3">
        <v>3.3522103809999999</v>
      </c>
      <c r="S141" s="3">
        <v>3.8702060399999998</v>
      </c>
      <c r="U141" s="3">
        <v>1.0150643779999999</v>
      </c>
      <c r="V141" s="3">
        <v>3.2949560710000001</v>
      </c>
      <c r="W141" s="3">
        <v>9.0877731780000008</v>
      </c>
      <c r="X141" s="3">
        <v>0.49845716000000001</v>
      </c>
      <c r="Z141" s="3">
        <v>2.9524080480000001</v>
      </c>
      <c r="AA141" s="3">
        <v>6.9612368999999993E-2</v>
      </c>
      <c r="AB141" s="3">
        <v>-0.16818778300000001</v>
      </c>
      <c r="AC141" s="3">
        <v>0.49582589799999999</v>
      </c>
      <c r="AE141" s="3">
        <v>2.8314113120000002</v>
      </c>
      <c r="AG141" s="3">
        <v>8.108608533</v>
      </c>
      <c r="AH141" s="3">
        <v>-0.142823336</v>
      </c>
      <c r="AJ141" s="3">
        <v>-2.1903489820000002</v>
      </c>
      <c r="AN141" s="3">
        <v>0.36489798699999998</v>
      </c>
      <c r="AP141" s="3">
        <v>3.3514524570000002</v>
      </c>
    </row>
    <row r="142" spans="1:42" x14ac:dyDescent="0.2">
      <c r="A142" s="88" t="s">
        <v>189</v>
      </c>
      <c r="B142" s="4">
        <v>30133</v>
      </c>
      <c r="C142" s="3">
        <v>1.690218719</v>
      </c>
      <c r="E142" s="3">
        <v>0.240429213</v>
      </c>
      <c r="F142" s="3">
        <v>-3.6400568990000002</v>
      </c>
      <c r="I142" s="3">
        <v>-5.9283060999999998E-2</v>
      </c>
      <c r="J142" s="3">
        <v>3.3366614399999999</v>
      </c>
      <c r="K142" s="3">
        <v>1.1400823389999999</v>
      </c>
      <c r="M142" s="3">
        <v>2.5210908380000001</v>
      </c>
      <c r="N142" s="3">
        <v>2.6803120580000002</v>
      </c>
      <c r="O142" s="3">
        <v>2.4618815430000001</v>
      </c>
      <c r="P142" s="3">
        <v>0.59006863700000001</v>
      </c>
      <c r="R142" s="3">
        <v>2.948930184</v>
      </c>
      <c r="S142" s="3">
        <v>3.2372276850000001</v>
      </c>
      <c r="U142" s="3">
        <v>0.531971372</v>
      </c>
      <c r="V142" s="3">
        <v>2.746764067</v>
      </c>
      <c r="W142" s="3">
        <v>9.0161975170000002</v>
      </c>
      <c r="X142" s="3">
        <v>1.1226585440000001</v>
      </c>
      <c r="Z142" s="3">
        <v>0.505059441</v>
      </c>
      <c r="AA142" s="3">
        <v>-2.3399420970000002</v>
      </c>
      <c r="AB142" s="3">
        <v>-0.57066629099999999</v>
      </c>
      <c r="AC142" s="3">
        <v>0.53126426299999996</v>
      </c>
      <c r="AE142" s="3">
        <v>1.36695612</v>
      </c>
      <c r="AG142" s="3">
        <v>7.1819279219999999</v>
      </c>
      <c r="AH142" s="3">
        <v>2.0297517699999998</v>
      </c>
      <c r="AJ142" s="3">
        <v>-1.0105681470000001</v>
      </c>
      <c r="AN142" s="3">
        <v>-1.2365794139999999</v>
      </c>
      <c r="AP142" s="3">
        <v>0.29869293899999999</v>
      </c>
    </row>
    <row r="143" spans="1:42" x14ac:dyDescent="0.2">
      <c r="A143" s="88" t="s">
        <v>190</v>
      </c>
      <c r="B143" s="4">
        <v>30225</v>
      </c>
      <c r="C143" s="3">
        <v>-0.97877945600000005</v>
      </c>
      <c r="E143" s="3">
        <v>0.78557447899999999</v>
      </c>
      <c r="F143" s="3">
        <v>-3.619406541</v>
      </c>
      <c r="I143" s="3">
        <v>-1.3070915160000001</v>
      </c>
      <c r="J143" s="3">
        <v>3.7696047300000002</v>
      </c>
      <c r="K143" s="3">
        <v>1.3701869390000001</v>
      </c>
      <c r="M143" s="3">
        <v>3.123627312</v>
      </c>
      <c r="N143" s="3">
        <v>2.0875746409999998</v>
      </c>
      <c r="O143" s="3">
        <v>1.604156363</v>
      </c>
      <c r="P143" s="3">
        <v>-3.2004902880000001</v>
      </c>
      <c r="R143" s="3">
        <v>2.0546353900000001</v>
      </c>
      <c r="S143" s="3">
        <v>1.80260906</v>
      </c>
      <c r="U143" s="3">
        <v>0.431689076</v>
      </c>
      <c r="V143" s="3">
        <v>3.4258081210000002</v>
      </c>
      <c r="W143" s="3">
        <v>6.8300681550000002</v>
      </c>
      <c r="X143" s="3">
        <v>1.4353250900000001</v>
      </c>
      <c r="Z143" s="3">
        <v>-0.73668484300000003</v>
      </c>
      <c r="AA143" s="3">
        <v>-0.34581599600000001</v>
      </c>
      <c r="AB143" s="3">
        <v>0.65541788400000001</v>
      </c>
      <c r="AC143" s="3">
        <v>-0.26378817799999998</v>
      </c>
      <c r="AE143" s="3">
        <v>2.0069998299999998</v>
      </c>
      <c r="AG143" s="3">
        <v>7.5523611309999996</v>
      </c>
      <c r="AH143" s="3">
        <v>-4.1905780000000004E-3</v>
      </c>
      <c r="AJ143" s="3">
        <v>-2.555921433</v>
      </c>
      <c r="AN143" s="3">
        <v>-2.4951899129999999</v>
      </c>
      <c r="AP143" s="3">
        <v>-1.165397177</v>
      </c>
    </row>
    <row r="144" spans="1:42" x14ac:dyDescent="0.2">
      <c r="A144" s="88" t="s">
        <v>191</v>
      </c>
      <c r="B144" s="4">
        <v>30317</v>
      </c>
      <c r="C144" s="3">
        <v>-2.1552460560000002</v>
      </c>
      <c r="E144" s="3">
        <v>-0.120160379</v>
      </c>
      <c r="F144" s="3">
        <v>-4.0694495389999998</v>
      </c>
      <c r="I144" s="3">
        <v>-0.99258529799999995</v>
      </c>
      <c r="J144" s="3">
        <v>3.5969389270000001</v>
      </c>
      <c r="K144" s="3">
        <v>1.829180091</v>
      </c>
      <c r="M144" s="3">
        <v>4.0204180850000002</v>
      </c>
      <c r="N144" s="3">
        <v>2.1280271540000002</v>
      </c>
      <c r="O144" s="3">
        <v>2.1875601100000002</v>
      </c>
      <c r="P144" s="3">
        <v>-4.2967982710000001</v>
      </c>
      <c r="R144" s="3">
        <v>0.81496268999999999</v>
      </c>
      <c r="S144" s="3">
        <v>-0.22235735300000001</v>
      </c>
      <c r="U144" s="3">
        <v>-0.66657191100000002</v>
      </c>
      <c r="V144" s="3">
        <v>4.1031250899999998</v>
      </c>
      <c r="W144" s="3">
        <v>8.4899285439999996</v>
      </c>
      <c r="X144" s="3">
        <v>1.4689671630000001</v>
      </c>
      <c r="Z144" s="3">
        <v>-4.6234927470000002</v>
      </c>
      <c r="AA144" s="3">
        <v>-2.5167227169999999</v>
      </c>
      <c r="AB144" s="3">
        <v>1.002833917</v>
      </c>
      <c r="AC144" s="3">
        <v>3.0356300000000002E-4</v>
      </c>
      <c r="AE144" s="3">
        <v>2.335787302</v>
      </c>
      <c r="AG144" s="3">
        <v>5.4775891760000004</v>
      </c>
      <c r="AH144" s="3">
        <v>3.1014331159999999</v>
      </c>
      <c r="AJ144" s="3">
        <v>-1.443156179</v>
      </c>
      <c r="AN144" s="3">
        <v>-2.3620265840000001</v>
      </c>
      <c r="AP144" s="3">
        <v>-3.8546370259999998</v>
      </c>
    </row>
    <row r="145" spans="1:42" x14ac:dyDescent="0.2">
      <c r="A145" s="88" t="s">
        <v>192</v>
      </c>
      <c r="B145" s="4">
        <v>30407</v>
      </c>
      <c r="C145" s="3">
        <v>-2.3463815449999998</v>
      </c>
      <c r="E145" s="3">
        <v>-0.235342511</v>
      </c>
      <c r="F145" s="3">
        <v>-1.3036433839999999</v>
      </c>
      <c r="I145" s="3">
        <v>-0.46822745700000001</v>
      </c>
      <c r="J145" s="3">
        <v>2.774982482</v>
      </c>
      <c r="K145" s="3">
        <v>1.7823934619999999</v>
      </c>
      <c r="M145" s="3">
        <v>3.497922505</v>
      </c>
      <c r="N145" s="3">
        <v>1.793282244</v>
      </c>
      <c r="O145" s="3">
        <v>3.891082844</v>
      </c>
      <c r="P145" s="3">
        <v>-3.583529451</v>
      </c>
      <c r="R145" s="3">
        <v>-0.30319661799999997</v>
      </c>
      <c r="S145" s="3">
        <v>-2.0812051230000002</v>
      </c>
      <c r="U145" s="3">
        <v>-0.34928324799999999</v>
      </c>
      <c r="V145" s="3">
        <v>2.5964823379999999</v>
      </c>
      <c r="W145" s="3">
        <v>12.532870913</v>
      </c>
      <c r="X145" s="3">
        <v>1.563836604</v>
      </c>
      <c r="Z145" s="3">
        <v>-3.4687311279999999</v>
      </c>
      <c r="AA145" s="3">
        <v>-2.6196316770000001</v>
      </c>
      <c r="AB145" s="3">
        <v>2.198561872</v>
      </c>
      <c r="AC145" s="3">
        <v>1.1059235789999999</v>
      </c>
      <c r="AE145" s="3">
        <v>0.83359598000000001</v>
      </c>
      <c r="AG145" s="3">
        <v>5.153409924</v>
      </c>
      <c r="AH145" s="3">
        <v>1.6462159380000001</v>
      </c>
      <c r="AJ145" s="3">
        <v>1.4314555769999999</v>
      </c>
      <c r="AN145" s="3">
        <v>-0.76536861199999995</v>
      </c>
      <c r="AP145" s="3">
        <v>-4.4534992339999997</v>
      </c>
    </row>
    <row r="146" spans="1:42" x14ac:dyDescent="0.2">
      <c r="A146" s="88" t="s">
        <v>193</v>
      </c>
      <c r="B146" s="4">
        <v>30498</v>
      </c>
      <c r="C146" s="3">
        <v>-3.4064398659999999</v>
      </c>
      <c r="E146" s="3">
        <v>-0.45643871200000002</v>
      </c>
      <c r="F146" s="3">
        <v>1.8143211260000001</v>
      </c>
      <c r="I146" s="3">
        <v>1.2026173739999999</v>
      </c>
      <c r="J146" s="3">
        <v>3.2408993760000002</v>
      </c>
      <c r="K146" s="3">
        <v>2.0235361649999999</v>
      </c>
      <c r="M146" s="3">
        <v>3.5642522250000002</v>
      </c>
      <c r="N146" s="3">
        <v>1.1098060679999999</v>
      </c>
      <c r="O146" s="3">
        <v>3.6632551709999999</v>
      </c>
      <c r="P146" s="3">
        <v>-2.5901234139999998</v>
      </c>
      <c r="R146" s="3">
        <v>-0.88790601899999999</v>
      </c>
      <c r="S146" s="3">
        <v>-3.1092038139999998</v>
      </c>
      <c r="U146" s="3">
        <v>-0.185625127</v>
      </c>
      <c r="V146" s="3">
        <v>2.6631115699999999</v>
      </c>
      <c r="W146" s="3">
        <v>13.345797968999999</v>
      </c>
      <c r="X146" s="3">
        <v>2.0576555320000001</v>
      </c>
      <c r="Z146" s="3">
        <v>-5.5536189240000002</v>
      </c>
      <c r="AA146" s="3">
        <v>2.5198416419999998</v>
      </c>
      <c r="AB146" s="3">
        <v>3.3154719300000002</v>
      </c>
      <c r="AC146" s="3">
        <v>1.9689503349999999</v>
      </c>
      <c r="AE146" s="3">
        <v>1.293490896</v>
      </c>
      <c r="AG146" s="3">
        <v>5.6248359819999996</v>
      </c>
      <c r="AH146" s="3">
        <v>0.32836833399999998</v>
      </c>
      <c r="AJ146" s="3">
        <v>3.2685328839999999</v>
      </c>
      <c r="AN146" s="3">
        <v>-6.0419610000000002E-3</v>
      </c>
      <c r="AP146" s="3">
        <v>-3.249435611</v>
      </c>
    </row>
    <row r="147" spans="1:42" x14ac:dyDescent="0.2">
      <c r="A147" s="88" t="s">
        <v>194</v>
      </c>
      <c r="B147" s="4">
        <v>30590</v>
      </c>
      <c r="C147" s="3">
        <v>-4.3280674999999998E-2</v>
      </c>
      <c r="E147" s="3">
        <v>0.261423772</v>
      </c>
      <c r="F147" s="3">
        <v>3.8633880629999999</v>
      </c>
      <c r="I147" s="3">
        <v>1.999914709</v>
      </c>
      <c r="J147" s="3">
        <v>0.86569867099999998</v>
      </c>
      <c r="K147" s="3">
        <v>1.490332279</v>
      </c>
      <c r="M147" s="3">
        <v>3.393440295</v>
      </c>
      <c r="N147" s="3">
        <v>1.143162037</v>
      </c>
      <c r="O147" s="3">
        <v>4.5318652159999999</v>
      </c>
      <c r="P147" s="3">
        <v>0.73512600900000002</v>
      </c>
      <c r="R147" s="3">
        <v>-0.535380313</v>
      </c>
      <c r="S147" s="3">
        <v>-2.6587115809999999</v>
      </c>
      <c r="U147" s="3">
        <v>1.7275585229999999</v>
      </c>
      <c r="V147" s="3">
        <v>3.745838338</v>
      </c>
      <c r="W147" s="3">
        <v>15.166445026</v>
      </c>
      <c r="X147" s="3">
        <v>3.2754499080000001</v>
      </c>
      <c r="Z147" s="3">
        <v>-4.0797161109999998</v>
      </c>
      <c r="AA147" s="3">
        <v>2.8911817100000001</v>
      </c>
      <c r="AB147" s="3">
        <v>4.774737988</v>
      </c>
      <c r="AC147" s="3">
        <v>3.471717575</v>
      </c>
      <c r="AE147" s="3">
        <v>-0.68235848700000001</v>
      </c>
      <c r="AG147" s="3">
        <v>2.9296954390000001</v>
      </c>
      <c r="AH147" s="3">
        <v>2.7348417120000001</v>
      </c>
      <c r="AJ147" s="3">
        <v>5.7371696849999996</v>
      </c>
      <c r="AN147" s="3">
        <v>1.202043234</v>
      </c>
      <c r="AP147" s="3">
        <v>-2.1090845909999998</v>
      </c>
    </row>
    <row r="148" spans="1:42" x14ac:dyDescent="0.2">
      <c r="A148" s="88" t="s">
        <v>195</v>
      </c>
      <c r="B148" s="4">
        <v>30682</v>
      </c>
      <c r="C148" s="3">
        <v>3.255576322</v>
      </c>
      <c r="E148" s="3">
        <v>2.0277877200000001</v>
      </c>
      <c r="F148" s="3">
        <v>6.1516575939999996</v>
      </c>
      <c r="I148" s="3">
        <v>3.16368421</v>
      </c>
      <c r="J148" s="3">
        <v>3.2046974370000001</v>
      </c>
      <c r="K148" s="3">
        <v>1.7872824009999999</v>
      </c>
      <c r="M148" s="3">
        <v>1.850726737</v>
      </c>
      <c r="N148" s="3">
        <v>1.1821483660000001</v>
      </c>
      <c r="O148" s="3">
        <v>4.6921523670000003</v>
      </c>
      <c r="P148" s="3">
        <v>1.2109395039999999</v>
      </c>
      <c r="R148" s="3">
        <v>0.75235258100000002</v>
      </c>
      <c r="S148" s="3">
        <v>-0.73843477199999996</v>
      </c>
      <c r="U148" s="3">
        <v>4.2858854219999998</v>
      </c>
      <c r="V148" s="3">
        <v>3.1764304650000001</v>
      </c>
      <c r="W148" s="3">
        <v>12.452149350999999</v>
      </c>
      <c r="X148" s="3">
        <v>5.0394066400000002</v>
      </c>
      <c r="Z148" s="3">
        <v>-0.7995198</v>
      </c>
      <c r="AA148" s="3">
        <v>4.3615892030000003</v>
      </c>
      <c r="AB148" s="3">
        <v>4.4797503560000003</v>
      </c>
      <c r="AC148" s="3">
        <v>4.7482092009999999</v>
      </c>
      <c r="AE148" s="3">
        <v>-2.12369048</v>
      </c>
      <c r="AG148" s="3">
        <v>-1.125031847</v>
      </c>
      <c r="AH148" s="3">
        <v>2.8016803779999999</v>
      </c>
      <c r="AJ148" s="3">
        <v>7.8999749809999997</v>
      </c>
      <c r="AN148" s="3">
        <v>1.8622186919999999</v>
      </c>
      <c r="AP148" s="3">
        <v>2.541563112</v>
      </c>
    </row>
    <row r="149" spans="1:42" x14ac:dyDescent="0.2">
      <c r="A149" s="88" t="s">
        <v>196</v>
      </c>
      <c r="B149" s="4">
        <v>30773</v>
      </c>
      <c r="C149" s="3">
        <v>6.9214889529999999</v>
      </c>
      <c r="E149" s="3">
        <v>2.422061448</v>
      </c>
      <c r="F149" s="3">
        <v>6.2012423300000004</v>
      </c>
      <c r="I149" s="3">
        <v>3.589300546</v>
      </c>
      <c r="J149" s="3">
        <v>4.0099992599999998</v>
      </c>
      <c r="K149" s="3">
        <v>2.2555617030000001</v>
      </c>
      <c r="M149" s="3">
        <v>3.3376902249999998</v>
      </c>
      <c r="N149" s="3">
        <v>1.2589156699999999</v>
      </c>
      <c r="O149" s="3">
        <v>3.5038348130000001</v>
      </c>
      <c r="P149" s="3">
        <v>1.7795935329999999</v>
      </c>
      <c r="R149" s="3">
        <v>2.494814195</v>
      </c>
      <c r="S149" s="3">
        <v>1.8448149309999999</v>
      </c>
      <c r="U149" s="3">
        <v>3.790992921</v>
      </c>
      <c r="V149" s="3">
        <v>4.2989157699999998</v>
      </c>
      <c r="W149" s="3">
        <v>12.399203782000001</v>
      </c>
      <c r="X149" s="3">
        <v>6.6155975060000003</v>
      </c>
      <c r="Z149" s="3">
        <v>2.6978499230000001</v>
      </c>
      <c r="AA149" s="3">
        <v>5.2354544599999997</v>
      </c>
      <c r="AB149" s="3">
        <v>5.2894806919999997</v>
      </c>
      <c r="AC149" s="3">
        <v>5.41389254</v>
      </c>
      <c r="AE149" s="3">
        <v>-3.765904581</v>
      </c>
      <c r="AG149" s="3">
        <v>-6.9315827219999999</v>
      </c>
      <c r="AH149" s="3">
        <v>6.3247612200000001</v>
      </c>
      <c r="AJ149" s="3">
        <v>8.5782754620000006</v>
      </c>
      <c r="AN149" s="3">
        <v>2.1814163510000002</v>
      </c>
      <c r="AP149" s="3">
        <v>5.9162508359999997</v>
      </c>
    </row>
    <row r="150" spans="1:42" x14ac:dyDescent="0.2">
      <c r="A150" s="88" t="s">
        <v>197</v>
      </c>
      <c r="B150" s="4">
        <v>30864</v>
      </c>
      <c r="C150" s="3">
        <v>8.3346969229999992</v>
      </c>
      <c r="E150" s="3">
        <v>2.530255302</v>
      </c>
      <c r="F150" s="3">
        <v>6.1913223820000001</v>
      </c>
      <c r="I150" s="3">
        <v>0.89535167299999996</v>
      </c>
      <c r="J150" s="3">
        <v>3.6275763560000001</v>
      </c>
      <c r="K150" s="3">
        <v>1.3145948160000001</v>
      </c>
      <c r="M150" s="3">
        <v>2.4021804410000001</v>
      </c>
      <c r="N150" s="3">
        <v>1.6652476089999999</v>
      </c>
      <c r="O150" s="3">
        <v>1.754612523</v>
      </c>
      <c r="P150" s="3">
        <v>2.3427029539999999</v>
      </c>
      <c r="R150" s="3">
        <v>4.1594088420000004</v>
      </c>
      <c r="S150" s="3">
        <v>4.168490104</v>
      </c>
      <c r="U150" s="3">
        <v>4.2506901050000003</v>
      </c>
      <c r="V150" s="3">
        <v>5.0882324969999999</v>
      </c>
      <c r="W150" s="3">
        <v>11.765440349</v>
      </c>
      <c r="X150" s="3">
        <v>7.310072978</v>
      </c>
      <c r="Z150" s="3">
        <v>3.2625647120000001</v>
      </c>
      <c r="AA150" s="3">
        <v>2.3920204979999999</v>
      </c>
      <c r="AB150" s="3">
        <v>4.7871415700000002</v>
      </c>
      <c r="AC150" s="3">
        <v>4.9607474199999997</v>
      </c>
      <c r="AE150" s="3">
        <v>-3.9015060840000002</v>
      </c>
      <c r="AG150" s="3">
        <v>-9.4919309989999991</v>
      </c>
      <c r="AH150" s="3">
        <v>3.8963503070000001</v>
      </c>
      <c r="AJ150" s="3">
        <v>7.9966966749999999</v>
      </c>
      <c r="AN150" s="3">
        <v>2.498528404</v>
      </c>
      <c r="AP150" s="3">
        <v>7.66954987</v>
      </c>
    </row>
    <row r="151" spans="1:42" x14ac:dyDescent="0.2">
      <c r="A151" s="88" t="s">
        <v>198</v>
      </c>
      <c r="B151" s="4">
        <v>30956</v>
      </c>
      <c r="C151" s="3">
        <v>6.2860563149999997</v>
      </c>
      <c r="E151" s="3">
        <v>1.9731701399999999</v>
      </c>
      <c r="F151" s="3">
        <v>5.45844766</v>
      </c>
      <c r="I151" s="3">
        <v>3.8594318680000002</v>
      </c>
      <c r="J151" s="3">
        <v>5.9398106300000002</v>
      </c>
      <c r="K151" s="3">
        <v>2.0468881680000002</v>
      </c>
      <c r="M151" s="3">
        <v>2.3757209559999999</v>
      </c>
      <c r="N151" s="3">
        <v>2.038918819</v>
      </c>
      <c r="O151" s="3">
        <v>1.3076232000000001</v>
      </c>
      <c r="P151" s="3">
        <v>3.0272874879999998</v>
      </c>
      <c r="R151" s="3">
        <v>5.2424936310000003</v>
      </c>
      <c r="S151" s="3">
        <v>5.3437453550000003</v>
      </c>
      <c r="U151" s="3">
        <v>3.5498725370000002</v>
      </c>
      <c r="V151" s="3">
        <v>4.8043429729999998</v>
      </c>
      <c r="W151" s="3">
        <v>9.2326161449999997</v>
      </c>
      <c r="X151" s="3">
        <v>6.4751430509999999</v>
      </c>
      <c r="Z151" s="3">
        <v>4.8923678690000001</v>
      </c>
      <c r="AA151" s="3">
        <v>2.0073585110000001</v>
      </c>
      <c r="AB151" s="3">
        <v>6.3509054540000003</v>
      </c>
      <c r="AC151" s="3">
        <v>4.852802048</v>
      </c>
      <c r="AE151" s="3">
        <v>-9.2261706999999998E-2</v>
      </c>
      <c r="AG151" s="3">
        <v>-8.7334624410000004</v>
      </c>
      <c r="AH151" s="3">
        <v>4.0964046889999999</v>
      </c>
      <c r="AJ151" s="3">
        <v>6.9008370829999999</v>
      </c>
      <c r="AN151" s="3">
        <v>3.8409109159999999</v>
      </c>
      <c r="AP151" s="3">
        <v>4.6782508939999996</v>
      </c>
    </row>
    <row r="152" spans="1:42" x14ac:dyDescent="0.2">
      <c r="A152" s="88" t="s">
        <v>199</v>
      </c>
      <c r="B152" s="4">
        <v>31048</v>
      </c>
      <c r="C152" s="3">
        <v>5.2692893070000002</v>
      </c>
      <c r="E152" s="3">
        <v>1.4962036240000001</v>
      </c>
      <c r="F152" s="3">
        <v>5.7961787769999997</v>
      </c>
      <c r="I152" s="3">
        <v>3.3047477669999998</v>
      </c>
      <c r="J152" s="3">
        <v>3.9996288760000001</v>
      </c>
      <c r="K152" s="3">
        <v>1.5211875159999999</v>
      </c>
      <c r="M152" s="3">
        <v>3.8360941589999999</v>
      </c>
      <c r="N152" s="3">
        <v>1.7420152170000001</v>
      </c>
      <c r="O152" s="3">
        <v>2.4231775089999998</v>
      </c>
      <c r="P152" s="3">
        <v>0.92268694600000001</v>
      </c>
      <c r="R152" s="3">
        <v>5.5053370060000004</v>
      </c>
      <c r="S152" s="3">
        <v>5.1637738200000003</v>
      </c>
      <c r="U152" s="3">
        <v>1.32041593</v>
      </c>
      <c r="V152" s="3">
        <v>4.117804445</v>
      </c>
      <c r="W152" s="3">
        <v>8.9833142250000009</v>
      </c>
      <c r="X152" s="3">
        <v>4.4099709369999998</v>
      </c>
      <c r="Z152" s="3">
        <v>2.78553242</v>
      </c>
      <c r="AA152" s="3">
        <v>2.9169769510000001</v>
      </c>
      <c r="AB152" s="3">
        <v>8.5195073679999993</v>
      </c>
      <c r="AC152" s="3">
        <v>4.0355847320000002</v>
      </c>
      <c r="AE152" s="3">
        <v>0.33095451199999998</v>
      </c>
      <c r="AG152" s="3">
        <v>-5.3001479009999999</v>
      </c>
      <c r="AH152" s="3">
        <v>2.9893881969999998</v>
      </c>
      <c r="AJ152" s="3">
        <v>5.575799462</v>
      </c>
      <c r="AN152" s="3">
        <v>4.3184408730000001</v>
      </c>
      <c r="AP152" s="3">
        <v>2.2467392519999998</v>
      </c>
    </row>
    <row r="153" spans="1:42" x14ac:dyDescent="0.2">
      <c r="A153" s="88" t="s">
        <v>200</v>
      </c>
      <c r="B153" s="4">
        <v>31138</v>
      </c>
      <c r="C153" s="3">
        <v>4.1864983589999998</v>
      </c>
      <c r="E153" s="3">
        <v>1.5195545989999999</v>
      </c>
      <c r="F153" s="3">
        <v>5.5872330000000003</v>
      </c>
      <c r="I153" s="3">
        <v>1.400567503</v>
      </c>
      <c r="J153" s="3">
        <v>2.9930081959999999</v>
      </c>
      <c r="K153" s="3">
        <v>1.811958929</v>
      </c>
      <c r="M153" s="3">
        <v>2.9272259109999998</v>
      </c>
      <c r="N153" s="3">
        <v>1.252386507</v>
      </c>
      <c r="O153" s="3">
        <v>2.5261338179999999</v>
      </c>
      <c r="P153" s="3">
        <v>-1.1497771880000001</v>
      </c>
      <c r="R153" s="3">
        <v>5.0295631399999996</v>
      </c>
      <c r="S153" s="3">
        <v>4.2321724559999998</v>
      </c>
      <c r="U153" s="3">
        <v>2.0999237850000001</v>
      </c>
      <c r="V153" s="3">
        <v>5.4547870390000002</v>
      </c>
      <c r="W153" s="3">
        <v>7.3436741440000004</v>
      </c>
      <c r="X153" s="3">
        <v>2.327789245</v>
      </c>
      <c r="Z153" s="3">
        <v>1.854300225</v>
      </c>
      <c r="AA153" s="3">
        <v>1.5934262239999999</v>
      </c>
      <c r="AB153" s="3">
        <v>7.7566888069999997</v>
      </c>
      <c r="AC153" s="3">
        <v>3.5444737380000002</v>
      </c>
      <c r="AE153" s="3">
        <v>2.2110111849999998</v>
      </c>
      <c r="AG153" s="3">
        <v>-1.1075421729999999</v>
      </c>
      <c r="AH153" s="3">
        <v>0.85621081399999999</v>
      </c>
      <c r="AJ153" s="3">
        <v>4.5550933889999996</v>
      </c>
      <c r="AN153" s="3">
        <v>4.2978765259999996</v>
      </c>
      <c r="AP153" s="3">
        <v>-5.8200821999999999E-2</v>
      </c>
    </row>
    <row r="154" spans="1:42" x14ac:dyDescent="0.2">
      <c r="A154" s="88" t="s">
        <v>201</v>
      </c>
      <c r="B154" s="4">
        <v>31229</v>
      </c>
      <c r="C154" s="3">
        <v>5.2961327239999996</v>
      </c>
      <c r="E154" s="3">
        <v>1.7347935139999999</v>
      </c>
      <c r="F154" s="3">
        <v>3.8917403880000001</v>
      </c>
      <c r="I154" s="3">
        <v>4.0559485850000003</v>
      </c>
      <c r="J154" s="3">
        <v>3.3414112330000001</v>
      </c>
      <c r="K154" s="3">
        <v>2.0308733129999998</v>
      </c>
      <c r="M154" s="3">
        <v>3.9473090630000001</v>
      </c>
      <c r="N154" s="3">
        <v>1.514944947</v>
      </c>
      <c r="O154" s="3">
        <v>5.6385482979999999</v>
      </c>
      <c r="P154" s="3">
        <v>1.634306467</v>
      </c>
      <c r="R154" s="3">
        <v>3.9947819</v>
      </c>
      <c r="S154" s="3">
        <v>3.2348038140000002</v>
      </c>
      <c r="U154" s="3">
        <v>3.1165456470000001</v>
      </c>
      <c r="V154" s="3">
        <v>5.9851278309999998</v>
      </c>
      <c r="W154" s="3">
        <v>7.2415241769999996</v>
      </c>
      <c r="X154" s="3">
        <v>1.304820568</v>
      </c>
      <c r="Z154" s="3">
        <v>3.2863147939999999</v>
      </c>
      <c r="AA154" s="3">
        <v>3.6588199549999998</v>
      </c>
      <c r="AB154" s="3">
        <v>5.620688962</v>
      </c>
      <c r="AC154" s="3">
        <v>3.9553397779999999</v>
      </c>
      <c r="AE154" s="3">
        <v>4.2851239000000003</v>
      </c>
      <c r="AG154" s="3">
        <v>1.7842175950000001</v>
      </c>
      <c r="AH154" s="3">
        <v>3.4886037650000001</v>
      </c>
      <c r="AJ154" s="3">
        <v>3.6842175049999999</v>
      </c>
      <c r="AN154" s="3">
        <v>4.6687493800000004</v>
      </c>
      <c r="AP154" s="3">
        <v>-2.804155293</v>
      </c>
    </row>
    <row r="155" spans="1:42" x14ac:dyDescent="0.2">
      <c r="A155" s="88" t="s">
        <v>202</v>
      </c>
      <c r="B155" s="4">
        <v>31321</v>
      </c>
      <c r="C155" s="3">
        <v>5.829209552</v>
      </c>
      <c r="E155" s="3">
        <v>2.1308122300000001</v>
      </c>
      <c r="F155" s="3">
        <v>4.7692235739999997</v>
      </c>
      <c r="I155" s="3">
        <v>2.6166356469999998</v>
      </c>
      <c r="J155" s="3">
        <v>4.6393871969999996</v>
      </c>
      <c r="K155" s="3">
        <v>2.1985309759999998</v>
      </c>
      <c r="M155" s="3">
        <v>3.541247485</v>
      </c>
      <c r="N155" s="3">
        <v>1.798489088</v>
      </c>
      <c r="O155" s="3">
        <v>5.0653508360000004</v>
      </c>
      <c r="P155" s="3">
        <v>3.372138342</v>
      </c>
      <c r="R155" s="3">
        <v>2.5228619550000002</v>
      </c>
      <c r="S155" s="3">
        <v>2.7423718350000001</v>
      </c>
      <c r="U155" s="3">
        <v>2.7328792559999999</v>
      </c>
      <c r="V155" s="3">
        <v>6.07568983</v>
      </c>
      <c r="W155" s="3">
        <v>7.0028733000000001</v>
      </c>
      <c r="X155" s="3">
        <v>2.309861309</v>
      </c>
      <c r="Z155" s="3">
        <v>1.4749994360000001</v>
      </c>
      <c r="AA155" s="3">
        <v>1.5382167289999999</v>
      </c>
      <c r="AB155" s="3">
        <v>5.6330527149999998</v>
      </c>
      <c r="AC155" s="3">
        <v>3.8991219579999998</v>
      </c>
      <c r="AE155" s="3">
        <v>1.4560214650000001</v>
      </c>
      <c r="AG155" s="3">
        <v>1.7872284650000001</v>
      </c>
      <c r="AH155" s="3">
        <v>3.2653368189999998</v>
      </c>
      <c r="AJ155" s="3">
        <v>4.2624449269999998</v>
      </c>
      <c r="AN155" s="3">
        <v>3.0115491680000002</v>
      </c>
      <c r="AP155" s="3">
        <v>-1.426912484</v>
      </c>
    </row>
    <row r="156" spans="1:42" x14ac:dyDescent="0.2">
      <c r="A156" s="88" t="s">
        <v>203</v>
      </c>
      <c r="B156" s="4">
        <v>31413</v>
      </c>
      <c r="C156" s="3">
        <v>4.8353701349999998</v>
      </c>
      <c r="E156" s="3">
        <v>2.0025774859999999</v>
      </c>
      <c r="F156" s="3">
        <v>4.7179629949999997</v>
      </c>
      <c r="I156" s="3">
        <v>2.3705422679999999</v>
      </c>
      <c r="J156" s="3">
        <v>6.135595919</v>
      </c>
      <c r="K156" s="3">
        <v>3.2404803860000002</v>
      </c>
      <c r="M156" s="3">
        <v>2.505634363</v>
      </c>
      <c r="N156" s="3">
        <v>1.8658796310000001</v>
      </c>
      <c r="O156" s="3">
        <v>3.294234989</v>
      </c>
      <c r="P156" s="3">
        <v>6.1134274380000004</v>
      </c>
      <c r="R156" s="3">
        <v>0.88890371599999995</v>
      </c>
      <c r="S156" s="3">
        <v>2.989207382</v>
      </c>
      <c r="U156" s="3">
        <v>3.401307869</v>
      </c>
      <c r="V156" s="3">
        <v>7.2996259800000001</v>
      </c>
      <c r="W156" s="3">
        <v>9.7317012129999991</v>
      </c>
      <c r="X156" s="3">
        <v>5.2019967109999996</v>
      </c>
      <c r="Z156" s="3">
        <v>2.0992278010000001</v>
      </c>
      <c r="AA156" s="3">
        <v>3.8314243860000001</v>
      </c>
      <c r="AB156" s="3">
        <v>4.4818912639999997</v>
      </c>
      <c r="AC156" s="3">
        <v>4.0823891300000001</v>
      </c>
      <c r="AE156" s="3">
        <v>3.3055672039999999</v>
      </c>
      <c r="AG156" s="3">
        <v>2.4620966210000002</v>
      </c>
      <c r="AH156" s="3">
        <v>1.285841368</v>
      </c>
      <c r="AJ156" s="3">
        <v>4.182268594</v>
      </c>
      <c r="AN156" s="3">
        <v>3.115772255</v>
      </c>
      <c r="AP156" s="3">
        <v>-0.52662913</v>
      </c>
    </row>
    <row r="157" spans="1:42" x14ac:dyDescent="0.2">
      <c r="A157" s="88" t="s">
        <v>204</v>
      </c>
      <c r="B157" s="4">
        <v>31503</v>
      </c>
      <c r="C157" s="3">
        <v>4.0088904010000004</v>
      </c>
      <c r="E157" s="3">
        <v>2.124696369</v>
      </c>
      <c r="F157" s="3">
        <v>3.119680206</v>
      </c>
      <c r="I157" s="3">
        <v>2.342772922</v>
      </c>
      <c r="J157" s="3">
        <v>6.7147378289999997</v>
      </c>
      <c r="K157" s="3">
        <v>2.3890152260000002</v>
      </c>
      <c r="M157" s="3">
        <v>1.865262234</v>
      </c>
      <c r="N157" s="3">
        <v>2.0738276199999999</v>
      </c>
      <c r="O157" s="3">
        <v>3.6299371859999998</v>
      </c>
      <c r="P157" s="3">
        <v>2.087133074</v>
      </c>
      <c r="R157" s="3">
        <v>-0.45483446700000002</v>
      </c>
      <c r="S157" s="3">
        <v>3.8830009130000001</v>
      </c>
      <c r="U157" s="3">
        <v>3.4542077949999999</v>
      </c>
      <c r="V157" s="3">
        <v>5.1495361879999999</v>
      </c>
      <c r="W157" s="3">
        <v>8.7866284819999994</v>
      </c>
      <c r="X157" s="3">
        <v>8.5992539410000006</v>
      </c>
      <c r="Z157" s="3">
        <v>-1.6680897429999999</v>
      </c>
      <c r="AA157" s="3">
        <v>3.632719088</v>
      </c>
      <c r="AB157" s="3">
        <v>4.3940670710000003</v>
      </c>
      <c r="AC157" s="3">
        <v>3.5377748590000002</v>
      </c>
      <c r="AE157" s="3">
        <v>3.542920579</v>
      </c>
      <c r="AG157" s="3">
        <v>3.2569881569999999</v>
      </c>
      <c r="AH157" s="3">
        <v>3.1920268190000001</v>
      </c>
      <c r="AJ157" s="3">
        <v>4.145589749</v>
      </c>
      <c r="AN157" s="3">
        <v>2.4628475949999999</v>
      </c>
      <c r="AP157" s="3">
        <v>-1.1226635039999999</v>
      </c>
    </row>
    <row r="158" spans="1:42" x14ac:dyDescent="0.2">
      <c r="A158" s="88" t="s">
        <v>205</v>
      </c>
      <c r="B158" s="4">
        <v>31594</v>
      </c>
      <c r="C158" s="3">
        <v>1.5807623230000001</v>
      </c>
      <c r="E158" s="3">
        <v>1.960227312</v>
      </c>
      <c r="F158" s="3">
        <v>3.3763978080000001</v>
      </c>
      <c r="I158" s="3">
        <v>2.4931797109999998</v>
      </c>
      <c r="J158" s="3">
        <v>4.711821745</v>
      </c>
      <c r="K158" s="3">
        <v>4.9260230590000003</v>
      </c>
      <c r="M158" s="3">
        <v>1.1674333830000001</v>
      </c>
      <c r="N158" s="3">
        <v>2.5763355730000002</v>
      </c>
      <c r="O158" s="3">
        <v>2.220215627</v>
      </c>
      <c r="P158" s="3">
        <v>4.6574354040000001</v>
      </c>
      <c r="R158" s="3">
        <v>-1.1299905530000001</v>
      </c>
      <c r="S158" s="3">
        <v>5.2679603049999999</v>
      </c>
      <c r="U158" s="3">
        <v>2.765944695</v>
      </c>
      <c r="V158" s="3">
        <v>2.809357399</v>
      </c>
      <c r="W158" s="3">
        <v>10.367594628000001</v>
      </c>
      <c r="X158" s="3">
        <v>11.053626403999999</v>
      </c>
      <c r="Z158" s="3">
        <v>-1.950427578</v>
      </c>
      <c r="AA158" s="3">
        <v>3.388281546</v>
      </c>
      <c r="AB158" s="3">
        <v>4.4129126840000001</v>
      </c>
      <c r="AC158" s="3">
        <v>3.0994627399999999</v>
      </c>
      <c r="AE158" s="3">
        <v>3.7013073400000001</v>
      </c>
      <c r="AG158" s="3">
        <v>0.92741190200000001</v>
      </c>
      <c r="AH158" s="3">
        <v>2.6238172020000001</v>
      </c>
      <c r="AJ158" s="3">
        <v>3.7015803869999999</v>
      </c>
      <c r="AN158" s="3">
        <v>2.082496473</v>
      </c>
      <c r="AP158" s="3">
        <v>0.28924069499999999</v>
      </c>
    </row>
    <row r="159" spans="1:42" x14ac:dyDescent="0.2">
      <c r="A159" s="88" t="s">
        <v>206</v>
      </c>
      <c r="B159" s="4">
        <v>31686</v>
      </c>
      <c r="C159" s="3">
        <v>0.50552511200000005</v>
      </c>
      <c r="E159" s="3">
        <v>2.521071836</v>
      </c>
      <c r="F159" s="3">
        <v>2.2101351849999999</v>
      </c>
      <c r="I159" s="3">
        <v>1.9223791969999999</v>
      </c>
      <c r="J159" s="3">
        <v>2.4381696920000002</v>
      </c>
      <c r="K159" s="3">
        <v>3.1172711020000001</v>
      </c>
      <c r="M159" s="3">
        <v>5.0524679360000002</v>
      </c>
      <c r="N159" s="3">
        <v>2.170780326</v>
      </c>
      <c r="O159" s="3">
        <v>2.589060667</v>
      </c>
      <c r="P159" s="3">
        <v>-1.596642788</v>
      </c>
      <c r="R159" s="3">
        <v>-0.75876320900000005</v>
      </c>
      <c r="S159" s="3">
        <v>7.0402073759999997</v>
      </c>
      <c r="U159" s="3">
        <v>2.9668936590000001</v>
      </c>
      <c r="V159" s="3">
        <v>2.0758782359999999</v>
      </c>
      <c r="W159" s="3">
        <v>13.837259908</v>
      </c>
      <c r="X159" s="3">
        <v>11.21240173</v>
      </c>
      <c r="Z159" s="3">
        <v>-4.4094409160000003</v>
      </c>
      <c r="AA159" s="3">
        <v>4.6701144020000003</v>
      </c>
      <c r="AB159" s="3">
        <v>4.1113156579999997</v>
      </c>
      <c r="AC159" s="3">
        <v>2.6050610440000002</v>
      </c>
      <c r="AE159" s="3">
        <v>4.6477217370000004</v>
      </c>
      <c r="AG159" s="3">
        <v>0.45893943999999998</v>
      </c>
      <c r="AH159" s="3">
        <v>2.0001534589999999</v>
      </c>
      <c r="AJ159" s="3">
        <v>3.1192412740000002</v>
      </c>
      <c r="AN159" s="3">
        <v>1.8497644959999999</v>
      </c>
      <c r="AP159" s="3">
        <v>0.780967301</v>
      </c>
    </row>
    <row r="160" spans="1:42" x14ac:dyDescent="0.2">
      <c r="A160" s="88" t="s">
        <v>207</v>
      </c>
      <c r="B160" s="4">
        <v>31778</v>
      </c>
      <c r="C160" s="3">
        <v>2.4233687659999998</v>
      </c>
      <c r="E160" s="3">
        <v>0.81353945999999999</v>
      </c>
      <c r="F160" s="3">
        <v>-6.1759828000000003E-2</v>
      </c>
      <c r="I160" s="3">
        <v>2.3247305100000002</v>
      </c>
      <c r="J160" s="3">
        <v>0.89610323700000005</v>
      </c>
      <c r="K160" s="3">
        <v>2.597685566</v>
      </c>
      <c r="M160" s="3">
        <v>2.9099844799999999</v>
      </c>
      <c r="N160" s="3">
        <v>2.1799502770000001</v>
      </c>
      <c r="O160" s="3">
        <v>4.1694508069999996</v>
      </c>
      <c r="P160" s="3">
        <v>-2.6999305690000002</v>
      </c>
      <c r="R160" s="3">
        <v>0.63470515999999999</v>
      </c>
      <c r="S160" s="3">
        <v>8.8256018209999993</v>
      </c>
      <c r="U160" s="3">
        <v>2.7048339119999998</v>
      </c>
      <c r="V160" s="3">
        <v>1.5321918839999999</v>
      </c>
      <c r="W160" s="3">
        <v>12.192557033</v>
      </c>
      <c r="X160" s="3">
        <v>9.0834828989999998</v>
      </c>
      <c r="Z160" s="3">
        <v>-4.4109040650000004</v>
      </c>
      <c r="AA160" s="3">
        <v>0.86854539900000005</v>
      </c>
      <c r="AB160" s="3">
        <v>3.6810181329999998</v>
      </c>
      <c r="AC160" s="3">
        <v>2.3927238810000002</v>
      </c>
      <c r="AE160" s="3">
        <v>4.661705392</v>
      </c>
      <c r="AG160" s="3">
        <v>-5.4606615999999997E-2</v>
      </c>
      <c r="AH160" s="3">
        <v>3.3484518620000001</v>
      </c>
      <c r="AJ160" s="3">
        <v>2.908033321</v>
      </c>
      <c r="AN160" s="3">
        <v>0.79657618799999996</v>
      </c>
      <c r="AP160" s="3">
        <v>0.13336261499999999</v>
      </c>
    </row>
    <row r="161" spans="1:42" x14ac:dyDescent="0.2">
      <c r="A161" s="88" t="s">
        <v>208</v>
      </c>
      <c r="B161" s="4">
        <v>31868</v>
      </c>
      <c r="C161" s="3">
        <v>2.735725119</v>
      </c>
      <c r="E161" s="3">
        <v>0.97242633199999995</v>
      </c>
      <c r="F161" s="3">
        <v>2.2747543179999998</v>
      </c>
      <c r="I161" s="3">
        <v>0.33051952299999998</v>
      </c>
      <c r="J161" s="3">
        <v>-1.5389017359999999</v>
      </c>
      <c r="K161" s="3">
        <v>4.404611021</v>
      </c>
      <c r="M161" s="3">
        <v>3.636363636</v>
      </c>
      <c r="N161" s="3">
        <v>2.0767724909999998</v>
      </c>
      <c r="O161" s="3">
        <v>3.966465511</v>
      </c>
      <c r="P161" s="3">
        <v>-0.52754883600000002</v>
      </c>
      <c r="R161" s="3">
        <v>2.5373307700000001</v>
      </c>
      <c r="S161" s="3">
        <v>9.9904658120000001</v>
      </c>
      <c r="U161" s="3">
        <v>2.4868606</v>
      </c>
      <c r="V161" s="3">
        <v>1.0575157100000001</v>
      </c>
      <c r="W161" s="3">
        <v>13.608199863999999</v>
      </c>
      <c r="X161" s="3">
        <v>6.1103815260000003</v>
      </c>
      <c r="Z161" s="3">
        <v>-1.9491274000000001</v>
      </c>
      <c r="AA161" s="3">
        <v>0.93148732599999995</v>
      </c>
      <c r="AB161" s="3">
        <v>1.3468270870000001</v>
      </c>
      <c r="AC161" s="3">
        <v>2.2741436620000002</v>
      </c>
      <c r="AE161" s="3">
        <v>5.1620075249999999</v>
      </c>
      <c r="AG161" s="3">
        <v>-1.2899941450000001</v>
      </c>
      <c r="AH161" s="3">
        <v>1.7608902099999999</v>
      </c>
      <c r="AJ161" s="3">
        <v>2.7158406190000002</v>
      </c>
      <c r="AN161" s="3">
        <v>0.43665946300000003</v>
      </c>
      <c r="AP161" s="3">
        <v>2.0777651320000001</v>
      </c>
    </row>
    <row r="162" spans="1:42" x14ac:dyDescent="0.2">
      <c r="A162" s="88" t="s">
        <v>209</v>
      </c>
      <c r="B162" s="4">
        <v>31959</v>
      </c>
      <c r="C162" s="3">
        <v>4.5346196860000001</v>
      </c>
      <c r="E162" s="3">
        <v>1.887003395</v>
      </c>
      <c r="F162" s="3">
        <v>3.010131747</v>
      </c>
      <c r="I162" s="3">
        <v>1.4159557760000001</v>
      </c>
      <c r="J162" s="3">
        <v>1.7412943400000001</v>
      </c>
      <c r="K162" s="3">
        <v>3.5016152229999999</v>
      </c>
      <c r="M162" s="3">
        <v>4.9847711380000002</v>
      </c>
      <c r="N162" s="3">
        <v>2.1151040559999998</v>
      </c>
      <c r="O162" s="3">
        <v>4.7132507099999996</v>
      </c>
      <c r="P162" s="3">
        <v>-4.9557609280000001</v>
      </c>
      <c r="R162" s="3">
        <v>4.3747599859999999</v>
      </c>
      <c r="S162" s="3">
        <v>10.055096805</v>
      </c>
      <c r="U162" s="3">
        <v>3.370290813</v>
      </c>
      <c r="V162" s="3">
        <v>3.4293862100000001</v>
      </c>
      <c r="W162" s="3">
        <v>14.762944213999999</v>
      </c>
      <c r="X162" s="3">
        <v>3.6431266949999999</v>
      </c>
      <c r="Z162" s="3">
        <v>1.1114422859999999</v>
      </c>
      <c r="AA162" s="3">
        <v>0.84224219899999997</v>
      </c>
      <c r="AB162" s="3">
        <v>4.9975154880000003</v>
      </c>
      <c r="AC162" s="3">
        <v>3.2819433849999999</v>
      </c>
      <c r="AE162" s="3">
        <v>5.6532818010000003</v>
      </c>
      <c r="AG162" s="3">
        <v>-2.554603782</v>
      </c>
      <c r="AH162" s="3">
        <v>3.493861017</v>
      </c>
      <c r="AJ162" s="3">
        <v>3.3584793799999999</v>
      </c>
      <c r="AN162" s="3">
        <v>0.71055154700000001</v>
      </c>
      <c r="AP162" s="3">
        <v>1.739358961</v>
      </c>
    </row>
    <row r="163" spans="1:42" x14ac:dyDescent="0.2">
      <c r="A163" s="88" t="s">
        <v>210</v>
      </c>
      <c r="B163" s="4">
        <v>32051</v>
      </c>
      <c r="C163" s="3">
        <v>6.1354841980000003</v>
      </c>
      <c r="E163" s="3">
        <v>2.0546591809999999</v>
      </c>
      <c r="F163" s="3">
        <v>4.4461734890000004</v>
      </c>
      <c r="I163" s="3">
        <v>1.3695269969999999</v>
      </c>
      <c r="J163" s="3">
        <v>0.37490674499999999</v>
      </c>
      <c r="K163" s="3">
        <v>6.389218713</v>
      </c>
      <c r="M163" s="3">
        <v>0.99066880400000001</v>
      </c>
      <c r="N163" s="3">
        <v>2.469189498</v>
      </c>
      <c r="O163" s="3">
        <v>6.7721896389999996</v>
      </c>
      <c r="P163" s="3">
        <v>-3.2584250950000002</v>
      </c>
      <c r="R163" s="3">
        <v>5.6302745889999999</v>
      </c>
      <c r="S163" s="3">
        <v>8.5524828280000005</v>
      </c>
      <c r="U163" s="3">
        <v>2.6441460339999998</v>
      </c>
      <c r="V163" s="3">
        <v>4.8838641760000003</v>
      </c>
      <c r="W163" s="3">
        <v>11.086869809</v>
      </c>
      <c r="X163" s="3">
        <v>2.6884501869999999</v>
      </c>
      <c r="Z163" s="3">
        <v>3.1782313520000001</v>
      </c>
      <c r="AA163" s="3">
        <v>1.740114122</v>
      </c>
      <c r="AB163" s="3">
        <v>-0.341427331</v>
      </c>
      <c r="AC163" s="3">
        <v>3.7237037079999999</v>
      </c>
      <c r="AE163" s="3">
        <v>6.7169371499999997</v>
      </c>
      <c r="AG163" s="3">
        <v>-2.1658361340000001</v>
      </c>
      <c r="AH163" s="3">
        <v>4.1607392299999999</v>
      </c>
      <c r="AJ163" s="3">
        <v>3.2669261519999999</v>
      </c>
      <c r="AN163" s="3">
        <v>2.0691688450000001</v>
      </c>
      <c r="AP163" s="3">
        <v>1.8813654200000001</v>
      </c>
    </row>
    <row r="164" spans="1:42" x14ac:dyDescent="0.2">
      <c r="A164" s="88" t="s">
        <v>211</v>
      </c>
      <c r="B164" s="4">
        <v>32143</v>
      </c>
      <c r="C164" s="3">
        <v>6.5234857679999996</v>
      </c>
      <c r="E164" s="3">
        <v>4.580977496</v>
      </c>
      <c r="F164" s="3">
        <v>6.5650137409999996</v>
      </c>
      <c r="I164" s="3">
        <v>1.9745416950000001</v>
      </c>
      <c r="J164" s="3">
        <v>0.60326235399999995</v>
      </c>
      <c r="K164" s="3">
        <v>7.8765426270000001</v>
      </c>
      <c r="M164" s="3">
        <v>4.9474257469999996</v>
      </c>
      <c r="N164" s="3">
        <v>3.8350575459999998</v>
      </c>
      <c r="O164" s="3">
        <v>6.0852348149999997</v>
      </c>
      <c r="P164" s="3">
        <v>-0.27894455200000001</v>
      </c>
      <c r="R164" s="3">
        <v>6.0921586740000002</v>
      </c>
      <c r="S164" s="3">
        <v>5.7589434730000004</v>
      </c>
      <c r="U164" s="3">
        <v>3.3243525570000001</v>
      </c>
      <c r="V164" s="3">
        <v>6.7425123820000001</v>
      </c>
      <c r="W164" s="3">
        <v>11.606978164999999</v>
      </c>
      <c r="X164" s="3">
        <v>3.4587460929999998</v>
      </c>
      <c r="Z164" s="3">
        <v>4.7108460709999997</v>
      </c>
      <c r="AA164" s="3">
        <v>3.892493049</v>
      </c>
      <c r="AB164" s="3">
        <v>0.91309976699999995</v>
      </c>
      <c r="AC164" s="3">
        <v>4.9694983050000001</v>
      </c>
      <c r="AE164" s="3">
        <v>6.2934178300000001</v>
      </c>
      <c r="AG164" s="3">
        <v>-4.1455921770000002</v>
      </c>
      <c r="AH164" s="3">
        <v>4.1684212660000002</v>
      </c>
      <c r="AJ164" s="3">
        <v>4.479019138</v>
      </c>
      <c r="AN164" s="3">
        <v>3.002373349</v>
      </c>
      <c r="AP164" s="3">
        <v>2.700870283</v>
      </c>
    </row>
    <row r="165" spans="1:42" x14ac:dyDescent="0.2">
      <c r="A165" s="88" t="s">
        <v>212</v>
      </c>
      <c r="B165" s="4">
        <v>32234</v>
      </c>
      <c r="C165" s="3">
        <v>5.9590909339999998</v>
      </c>
      <c r="E165" s="3">
        <v>4.8759065120000002</v>
      </c>
      <c r="F165" s="3">
        <v>5.680408989</v>
      </c>
      <c r="I165" s="3">
        <v>3.651100816</v>
      </c>
      <c r="J165" s="3">
        <v>3.208773044</v>
      </c>
      <c r="K165" s="3">
        <v>6.0512867940000001</v>
      </c>
      <c r="M165" s="3">
        <v>5.4751808430000004</v>
      </c>
      <c r="N165" s="3">
        <v>4.8565366829999999</v>
      </c>
      <c r="O165" s="3">
        <v>6.9815029109999998</v>
      </c>
      <c r="P165" s="3">
        <v>6.586126267</v>
      </c>
      <c r="R165" s="3">
        <v>5.9519799689999999</v>
      </c>
      <c r="S165" s="3">
        <v>2.6434046800000002</v>
      </c>
      <c r="U165" s="3">
        <v>4.4172683160000004</v>
      </c>
      <c r="V165" s="3">
        <v>9.3691289050000002</v>
      </c>
      <c r="W165" s="3">
        <v>16.464061799</v>
      </c>
      <c r="X165" s="3">
        <v>5.3473302240000002</v>
      </c>
      <c r="Z165" s="3">
        <v>3.385812321</v>
      </c>
      <c r="AA165" s="3">
        <v>3.7805809940000001</v>
      </c>
      <c r="AB165" s="3">
        <v>0.959091625</v>
      </c>
      <c r="AC165" s="3">
        <v>5.5009665410000004</v>
      </c>
      <c r="AE165" s="3">
        <v>9.1659396599999994</v>
      </c>
      <c r="AG165" s="3">
        <v>-3.372173627</v>
      </c>
      <c r="AH165" s="3">
        <v>4.1914481019999998</v>
      </c>
      <c r="AJ165" s="3">
        <v>4.2421895689999998</v>
      </c>
      <c r="AN165" s="3">
        <v>3.0790208149999998</v>
      </c>
      <c r="AP165" s="3">
        <v>3.491728867</v>
      </c>
    </row>
    <row r="166" spans="1:42" x14ac:dyDescent="0.2">
      <c r="A166" s="88" t="s">
        <v>213</v>
      </c>
      <c r="B166" s="4">
        <v>32325</v>
      </c>
      <c r="C166" s="3">
        <v>4.394648396</v>
      </c>
      <c r="E166" s="3">
        <v>4.6901283649999996</v>
      </c>
      <c r="F166" s="3">
        <v>5.2568858150000004</v>
      </c>
      <c r="I166" s="3">
        <v>3.212995673</v>
      </c>
      <c r="J166" s="3">
        <v>0.233664662</v>
      </c>
      <c r="K166" s="3">
        <v>5.7661639400000002</v>
      </c>
      <c r="M166" s="3">
        <v>4.5029215870000003</v>
      </c>
      <c r="N166" s="3">
        <v>4.2744670649999996</v>
      </c>
      <c r="O166" s="3">
        <v>6.0572268549999997</v>
      </c>
      <c r="P166" s="3">
        <v>4.6113989640000002</v>
      </c>
      <c r="R166" s="3">
        <v>5.5020616799999997</v>
      </c>
      <c r="S166" s="3">
        <v>3.9017160000000002E-2</v>
      </c>
      <c r="U166" s="3">
        <v>3.513017407</v>
      </c>
      <c r="V166" s="3">
        <v>6.9678405080000001</v>
      </c>
      <c r="W166" s="3">
        <v>8.569882969</v>
      </c>
      <c r="X166" s="3">
        <v>7.6386062560000001</v>
      </c>
      <c r="Z166" s="3">
        <v>0.30939909799999998</v>
      </c>
      <c r="AA166" s="3">
        <v>2.8815547800000001</v>
      </c>
      <c r="AB166" s="3">
        <v>-2.7259721739999998</v>
      </c>
      <c r="AC166" s="3">
        <v>4.537431529</v>
      </c>
      <c r="AE166" s="3">
        <v>7.9348066319999999</v>
      </c>
      <c r="AG166" s="3">
        <v>-1.3076796610000001</v>
      </c>
      <c r="AH166" s="3">
        <v>2.1337312829999999</v>
      </c>
      <c r="AI166" s="3">
        <v>0.155498048</v>
      </c>
      <c r="AJ166" s="3">
        <v>4.4846042170000002</v>
      </c>
      <c r="AN166" s="3">
        <v>2.9478302670000001</v>
      </c>
      <c r="AP166" s="3">
        <v>3.8562228009999999</v>
      </c>
    </row>
    <row r="167" spans="1:42" x14ac:dyDescent="0.2">
      <c r="A167" s="88" t="s">
        <v>214</v>
      </c>
      <c r="B167" s="4">
        <v>32417</v>
      </c>
      <c r="C167" s="3">
        <v>3.3746563780000001</v>
      </c>
      <c r="E167" s="3">
        <v>4.5160470349999997</v>
      </c>
      <c r="F167" s="3">
        <v>3.6882730910000001</v>
      </c>
      <c r="I167" s="3">
        <v>3.6649901840000001</v>
      </c>
      <c r="J167" s="3">
        <v>-0.29460659</v>
      </c>
      <c r="K167" s="3">
        <v>5.4943583220000001</v>
      </c>
      <c r="M167" s="3">
        <v>5.3809833930000002</v>
      </c>
      <c r="N167" s="3">
        <v>4.9027544079999998</v>
      </c>
      <c r="O167" s="3">
        <v>5.1185889510000004</v>
      </c>
      <c r="P167" s="3">
        <v>5.0712034849999998</v>
      </c>
      <c r="R167" s="3">
        <v>4.9425416599999998</v>
      </c>
      <c r="S167" s="3">
        <v>-1.3997789380000001</v>
      </c>
      <c r="U167" s="3">
        <v>4.5713070299999998</v>
      </c>
      <c r="V167" s="3">
        <v>7.2097443090000004</v>
      </c>
      <c r="W167" s="3">
        <v>10.903037964999999</v>
      </c>
      <c r="X167" s="3">
        <v>9.7007334109999999</v>
      </c>
      <c r="Z167" s="3">
        <v>0.32579380600000002</v>
      </c>
      <c r="AA167" s="3">
        <v>2.581953022</v>
      </c>
      <c r="AB167" s="3">
        <v>0.72219547399999995</v>
      </c>
      <c r="AC167" s="3">
        <v>4.4923597629999996</v>
      </c>
      <c r="AE167" s="3">
        <v>7.1006943089999996</v>
      </c>
      <c r="AG167" s="3">
        <v>-1.4920530359999999</v>
      </c>
      <c r="AH167" s="3">
        <v>1.1529419999999999</v>
      </c>
      <c r="AI167" s="3">
        <v>-0.16844304900000001</v>
      </c>
      <c r="AJ167" s="3">
        <v>4.1928663229999996</v>
      </c>
      <c r="AN167" s="3">
        <v>2.8230877030000001</v>
      </c>
      <c r="AP167" s="3">
        <v>4.8703041279999999</v>
      </c>
    </row>
    <row r="168" spans="1:42" x14ac:dyDescent="0.2">
      <c r="A168" s="88" t="s">
        <v>215</v>
      </c>
      <c r="B168" s="4">
        <v>32509</v>
      </c>
      <c r="C168" s="3">
        <v>2.8963192609999999</v>
      </c>
      <c r="E168" s="3">
        <v>4.1954032899999998</v>
      </c>
      <c r="F168" s="3">
        <v>3.0797576289999999</v>
      </c>
      <c r="I168" s="3">
        <v>3.2340519740000002</v>
      </c>
      <c r="J168" s="3">
        <v>1.5531106450000001</v>
      </c>
      <c r="K168" s="3">
        <v>3.14762561</v>
      </c>
      <c r="M168" s="3">
        <v>5.2570653040000002</v>
      </c>
      <c r="N168" s="3">
        <v>4.2398676350000004</v>
      </c>
      <c r="O168" s="3">
        <v>4.8365336890000004</v>
      </c>
      <c r="P168" s="3">
        <v>1.0375839579999999</v>
      </c>
      <c r="R168" s="3">
        <v>4.5099677930000004</v>
      </c>
      <c r="S168" s="3">
        <v>-1.55846025</v>
      </c>
      <c r="U168" s="3">
        <v>4.6932861189999997</v>
      </c>
      <c r="V168" s="3">
        <v>5.6200419860000004</v>
      </c>
      <c r="W168" s="3">
        <v>12.228313418000001</v>
      </c>
      <c r="X168" s="3">
        <v>11.07315199</v>
      </c>
      <c r="Z168" s="3">
        <v>1.1028621830000001</v>
      </c>
      <c r="AA168" s="3">
        <v>2.7000202610000001</v>
      </c>
      <c r="AB168" s="3">
        <v>-0.93001464599999994</v>
      </c>
      <c r="AC168" s="3">
        <v>3.8280139270000002</v>
      </c>
      <c r="AE168" s="3">
        <v>7.2294921539999999</v>
      </c>
      <c r="AG168" s="3">
        <v>2.452515285</v>
      </c>
      <c r="AH168" s="3">
        <v>2.973773091</v>
      </c>
      <c r="AI168" s="3">
        <v>-1.5084608909999999</v>
      </c>
      <c r="AJ168" s="3">
        <v>3.798971044</v>
      </c>
      <c r="AN168" s="3">
        <v>3.8099339140000001</v>
      </c>
      <c r="AP168" s="3">
        <v>4.5712658050000003</v>
      </c>
    </row>
    <row r="169" spans="1:42" x14ac:dyDescent="0.2">
      <c r="A169" s="88" t="s">
        <v>216</v>
      </c>
      <c r="B169" s="4">
        <v>32599</v>
      </c>
      <c r="C169" s="3">
        <v>3.5143240429999998</v>
      </c>
      <c r="E169" s="3">
        <v>3.957928973</v>
      </c>
      <c r="F169" s="3">
        <v>2.757474014</v>
      </c>
      <c r="I169" s="3">
        <v>5.2677450759999997</v>
      </c>
      <c r="J169" s="3">
        <v>1.704190256</v>
      </c>
      <c r="K169" s="3">
        <v>5.2415838130000001</v>
      </c>
      <c r="M169" s="3">
        <v>5.1752000320000002</v>
      </c>
      <c r="N169" s="3">
        <v>4.2881924500000004</v>
      </c>
      <c r="O169" s="3">
        <v>3.455937145</v>
      </c>
      <c r="P169" s="3">
        <v>2.2128606629999998</v>
      </c>
      <c r="R169" s="3">
        <v>4.4437037009999996</v>
      </c>
      <c r="S169" s="3">
        <v>-0.89417831999999997</v>
      </c>
      <c r="U169" s="3">
        <v>3.8157786360000001</v>
      </c>
      <c r="V169" s="3">
        <v>5.9406834699999997</v>
      </c>
      <c r="W169" s="3">
        <v>4.2465238630000002</v>
      </c>
      <c r="X169" s="3">
        <v>11.535655063</v>
      </c>
      <c r="Z169" s="3">
        <v>3.697688495</v>
      </c>
      <c r="AA169" s="3">
        <v>4.1220165919999996</v>
      </c>
      <c r="AB169" s="3">
        <v>-1.208846267</v>
      </c>
      <c r="AC169" s="3">
        <v>4.2308697129999997</v>
      </c>
      <c r="AE169" s="3">
        <v>6.4186785510000002</v>
      </c>
      <c r="AG169" s="3">
        <v>2.3513266289999999</v>
      </c>
      <c r="AH169" s="3">
        <v>2.6522244740000001</v>
      </c>
      <c r="AI169" s="3">
        <v>0.12662489800000001</v>
      </c>
      <c r="AJ169" s="3">
        <v>4.3152399350000001</v>
      </c>
      <c r="AN169" s="3">
        <v>3.880393357</v>
      </c>
      <c r="AP169" s="3">
        <v>3.6609273579999999</v>
      </c>
    </row>
    <row r="170" spans="1:42" x14ac:dyDescent="0.2">
      <c r="A170" s="88" t="s">
        <v>217</v>
      </c>
      <c r="B170" s="4">
        <v>32690</v>
      </c>
      <c r="C170" s="3">
        <v>5.6418511479999998</v>
      </c>
      <c r="E170" s="3">
        <v>3.9878434719999998</v>
      </c>
      <c r="F170" s="3">
        <v>2.244657331</v>
      </c>
      <c r="I170" s="3">
        <v>3.8096044760000001</v>
      </c>
      <c r="J170" s="3">
        <v>-0.38632293600000001</v>
      </c>
      <c r="K170" s="3">
        <v>4.9929994610000001</v>
      </c>
      <c r="M170" s="3">
        <v>6.1700879769999997</v>
      </c>
      <c r="N170" s="3">
        <v>4.5193588519999999</v>
      </c>
      <c r="O170" s="3">
        <v>3.5257690429999999</v>
      </c>
      <c r="P170" s="3">
        <v>4.9760607559999999</v>
      </c>
      <c r="R170" s="3">
        <v>4.90335579</v>
      </c>
      <c r="S170" s="3">
        <v>4.0658853000000002E-2</v>
      </c>
      <c r="U170" s="3">
        <v>3.606494031</v>
      </c>
      <c r="V170" s="3">
        <v>4.7102564630000003</v>
      </c>
      <c r="W170" s="3">
        <v>8.1049995680000002</v>
      </c>
      <c r="X170" s="3">
        <v>11.022618378000001</v>
      </c>
      <c r="Z170" s="3">
        <v>4.0712221739999999</v>
      </c>
      <c r="AA170" s="3">
        <v>4.6220846150000003</v>
      </c>
      <c r="AB170" s="3">
        <v>1.5124328810000001</v>
      </c>
      <c r="AC170" s="3">
        <v>3.9122060169999999</v>
      </c>
      <c r="AE170" s="3">
        <v>4.4385845780000004</v>
      </c>
      <c r="AG170" s="3">
        <v>2.9036294759999999</v>
      </c>
      <c r="AH170" s="3">
        <v>3.146058595</v>
      </c>
      <c r="AI170" s="3">
        <v>1.196487224</v>
      </c>
      <c r="AJ170" s="3">
        <v>3.7482928750000002</v>
      </c>
      <c r="AN170" s="3">
        <v>5.1019615290000004</v>
      </c>
      <c r="AP170" s="3">
        <v>3.3766366639999998</v>
      </c>
    </row>
    <row r="171" spans="1:42" x14ac:dyDescent="0.2">
      <c r="A171" s="88" t="s">
        <v>218</v>
      </c>
      <c r="B171" s="4">
        <v>32782</v>
      </c>
      <c r="C171" s="3">
        <v>5.6280256480000004</v>
      </c>
      <c r="E171" s="3">
        <v>3.1070158999999999</v>
      </c>
      <c r="F171" s="3">
        <v>2.6011457679999999</v>
      </c>
      <c r="I171" s="3">
        <v>3.5839561240000002</v>
      </c>
      <c r="J171" s="3">
        <v>3.4985423000000002E-2</v>
      </c>
      <c r="K171" s="3">
        <v>4.5152553849999997</v>
      </c>
      <c r="M171" s="3">
        <v>6.1143298570000004</v>
      </c>
      <c r="N171" s="3">
        <v>4.2895209909999998</v>
      </c>
      <c r="O171" s="3">
        <v>2.0737009529999999</v>
      </c>
      <c r="P171" s="3">
        <v>2.7729522439999998</v>
      </c>
      <c r="R171" s="3">
        <v>6.0940304369999998</v>
      </c>
      <c r="S171" s="3">
        <v>0.77986972600000004</v>
      </c>
      <c r="U171" s="3">
        <v>3.3288208539999999</v>
      </c>
      <c r="V171" s="3">
        <v>4.2173154720000001</v>
      </c>
      <c r="W171" s="3">
        <v>7.4957796480000001</v>
      </c>
      <c r="X171" s="3">
        <v>9.4932796540000002</v>
      </c>
      <c r="Z171" s="3">
        <v>5.8805583600000002</v>
      </c>
      <c r="AA171" s="3">
        <v>4.6491535439999998</v>
      </c>
      <c r="AB171" s="3">
        <v>1.6413940229999999</v>
      </c>
      <c r="AC171" s="3">
        <v>3.8326393329999999</v>
      </c>
      <c r="AE171" s="3">
        <v>5.6930811569999999</v>
      </c>
      <c r="AG171" s="3">
        <v>3.5130983690000002</v>
      </c>
      <c r="AH171" s="3">
        <v>3.0075387760000001</v>
      </c>
      <c r="AI171" s="3">
        <v>-0.16739195000000001</v>
      </c>
      <c r="AJ171" s="3">
        <v>3.9081130530000001</v>
      </c>
      <c r="AN171" s="3">
        <v>4.6638269699999997</v>
      </c>
      <c r="AP171" s="3">
        <v>2.0867109940000002</v>
      </c>
    </row>
    <row r="172" spans="1:42" x14ac:dyDescent="0.2">
      <c r="A172" s="88" t="s">
        <v>219</v>
      </c>
      <c r="B172" s="4">
        <v>32874</v>
      </c>
      <c r="C172" s="3">
        <v>3.7257598120000002</v>
      </c>
      <c r="E172" s="3">
        <v>3.4324837760000002</v>
      </c>
      <c r="F172" s="3">
        <v>1.6730314260000001</v>
      </c>
      <c r="I172" s="3">
        <v>3.5647693409999999</v>
      </c>
      <c r="J172" s="3">
        <v>-0.74857180400000001</v>
      </c>
      <c r="K172" s="3">
        <v>4.5762999410000003</v>
      </c>
      <c r="M172" s="3">
        <v>4.2360347379999999</v>
      </c>
      <c r="N172" s="3">
        <v>4.7806850709999997</v>
      </c>
      <c r="O172" s="3">
        <v>1.2992078730000001</v>
      </c>
      <c r="P172" s="3">
        <v>5.2650216490000004</v>
      </c>
      <c r="R172" s="3">
        <v>7.7567274299999998</v>
      </c>
      <c r="S172" s="3">
        <v>1.120847997</v>
      </c>
      <c r="U172" s="3">
        <v>3.1605873889999998</v>
      </c>
      <c r="V172" s="3">
        <v>6.3257448289999996</v>
      </c>
      <c r="W172" s="3">
        <v>8.4068651019999994</v>
      </c>
      <c r="X172" s="3">
        <v>7.3386090040000003</v>
      </c>
      <c r="Z172" s="3">
        <v>2.8969883479999998</v>
      </c>
      <c r="AA172" s="3">
        <v>4.5194895580000001</v>
      </c>
      <c r="AB172" s="3">
        <v>2.2065371840000001</v>
      </c>
      <c r="AC172" s="3">
        <v>3.6217626900000002</v>
      </c>
      <c r="AE172" s="3">
        <v>5.1854990430000001</v>
      </c>
      <c r="AG172" s="3">
        <v>1.688758196</v>
      </c>
      <c r="AH172" s="3">
        <v>2.1909303680000001</v>
      </c>
      <c r="AI172" s="3">
        <v>0.52731583800000004</v>
      </c>
      <c r="AJ172" s="3">
        <v>2.743803255</v>
      </c>
      <c r="AN172" s="3">
        <v>4.2210572979999998</v>
      </c>
      <c r="AP172" s="3">
        <v>0.51118522899999996</v>
      </c>
    </row>
    <row r="173" spans="1:42" x14ac:dyDescent="0.2">
      <c r="A173" s="88" t="s">
        <v>220</v>
      </c>
      <c r="B173" s="4">
        <v>32964</v>
      </c>
      <c r="C173" s="3">
        <v>3.5216059880000001</v>
      </c>
      <c r="E173" s="3">
        <v>4.2568378060000001</v>
      </c>
      <c r="F173" s="3">
        <v>1.4740295080000001</v>
      </c>
      <c r="I173" s="3">
        <v>4.6210307669999997</v>
      </c>
      <c r="J173" s="3">
        <v>-2.403286338</v>
      </c>
      <c r="K173" s="3">
        <v>3.062070109</v>
      </c>
      <c r="M173" s="3">
        <v>4.4003165859999998</v>
      </c>
      <c r="N173" s="3">
        <v>3.9859134639999998</v>
      </c>
      <c r="O173" s="3">
        <v>1.533492879</v>
      </c>
      <c r="P173" s="3">
        <v>2.6719753640000001</v>
      </c>
      <c r="R173" s="3">
        <v>9.1608390380000007</v>
      </c>
      <c r="S173" s="3">
        <v>1.184591164</v>
      </c>
      <c r="U173" s="3">
        <v>2.93238281</v>
      </c>
      <c r="V173" s="3">
        <v>3.039829423</v>
      </c>
      <c r="W173" s="3">
        <v>9.4636705919999997</v>
      </c>
      <c r="X173" s="3">
        <v>5.3936064180000001</v>
      </c>
      <c r="Z173" s="3">
        <v>3.2005745010000002</v>
      </c>
      <c r="AA173" s="3">
        <v>4.2473798790000004</v>
      </c>
      <c r="AB173" s="3">
        <v>2.5048881019999998</v>
      </c>
      <c r="AC173" s="3">
        <v>3.3482578369999998</v>
      </c>
      <c r="AE173" s="3">
        <v>2.399309825</v>
      </c>
      <c r="AG173" s="3">
        <v>2.0923511800000001</v>
      </c>
      <c r="AH173" s="3">
        <v>2.2395397149999998</v>
      </c>
      <c r="AI173" s="3">
        <v>-0.90694533200000005</v>
      </c>
      <c r="AJ173" s="3">
        <v>2.821303844</v>
      </c>
      <c r="AN173" s="3">
        <v>5.6765362909999997</v>
      </c>
      <c r="AP173" s="3">
        <v>-2.7499771999999999E-2</v>
      </c>
    </row>
    <row r="174" spans="1:42" x14ac:dyDescent="0.2">
      <c r="A174" s="88" t="s">
        <v>221</v>
      </c>
      <c r="B174" s="4">
        <v>33055</v>
      </c>
      <c r="C174" s="3">
        <v>1.506131828</v>
      </c>
      <c r="E174" s="3">
        <v>2.8990650310000001</v>
      </c>
      <c r="F174" s="3">
        <v>0.66907213399999999</v>
      </c>
      <c r="I174" s="3">
        <v>4.7138869809999999</v>
      </c>
      <c r="J174" s="3">
        <v>1.8295618680000001</v>
      </c>
      <c r="K174" s="3">
        <v>3.7923394130000001</v>
      </c>
      <c r="M174" s="3">
        <v>1.1850196470000001</v>
      </c>
      <c r="N174" s="3">
        <v>3.5402171359999999</v>
      </c>
      <c r="O174" s="3">
        <v>1.3895804549999999</v>
      </c>
      <c r="P174" s="3">
        <v>0.93262456000000005</v>
      </c>
      <c r="R174" s="3">
        <v>9.6740867129999994</v>
      </c>
      <c r="S174" s="3">
        <v>1.148239867</v>
      </c>
      <c r="U174" s="3">
        <v>2.8015936890000002</v>
      </c>
      <c r="V174" s="3">
        <v>7.6958942099999996</v>
      </c>
      <c r="W174" s="3">
        <v>10.294445661999999</v>
      </c>
      <c r="X174" s="3">
        <v>4.3653872890000001</v>
      </c>
      <c r="Z174" s="3">
        <v>5.3995545260000002</v>
      </c>
      <c r="AA174" s="3">
        <v>3.8263690659999998</v>
      </c>
      <c r="AB174" s="3">
        <v>2.404460244</v>
      </c>
      <c r="AC174" s="3">
        <v>3.8817575089999998</v>
      </c>
      <c r="AE174" s="3">
        <v>5.8107886249999998</v>
      </c>
      <c r="AG174" s="3">
        <v>1.907212262</v>
      </c>
      <c r="AH174" s="3">
        <v>1.2437843879999999</v>
      </c>
      <c r="AI174" s="3">
        <v>-1.498686425</v>
      </c>
      <c r="AJ174" s="3">
        <v>2.4127729549999999</v>
      </c>
      <c r="AN174" s="3">
        <v>4.4036911229999998</v>
      </c>
      <c r="AP174" s="3">
        <v>-0.54150713699999997</v>
      </c>
    </row>
    <row r="175" spans="1:42" x14ac:dyDescent="0.2">
      <c r="A175" s="88" t="s">
        <v>222</v>
      </c>
      <c r="B175" s="4">
        <v>33147</v>
      </c>
      <c r="C175" s="3">
        <v>8.5052197999999996E-2</v>
      </c>
      <c r="E175" s="3">
        <v>2.6544734330000002</v>
      </c>
      <c r="F175" s="3">
        <v>-0.399573277</v>
      </c>
      <c r="I175" s="3">
        <v>5.9514963319999996</v>
      </c>
      <c r="J175" s="3">
        <v>3.6641139229999999</v>
      </c>
      <c r="K175" s="3">
        <v>2.1145436879999999</v>
      </c>
      <c r="M175" s="3">
        <v>-2.136296465</v>
      </c>
      <c r="N175" s="3">
        <v>2.9062098170000001</v>
      </c>
      <c r="O175" s="3">
        <v>0.23026901</v>
      </c>
      <c r="P175" s="3">
        <v>-4.669111784</v>
      </c>
      <c r="R175" s="3">
        <v>8.7004673669999999</v>
      </c>
      <c r="S175" s="3">
        <v>1.1539880330000001</v>
      </c>
      <c r="U175" s="3">
        <v>1.9041439659999999</v>
      </c>
      <c r="V175" s="3">
        <v>7.6186952039999998</v>
      </c>
      <c r="W175" s="3">
        <v>11.01337652</v>
      </c>
      <c r="X175" s="3">
        <v>4.8488883759999997</v>
      </c>
      <c r="Z175" s="3">
        <v>4.8822138900000001</v>
      </c>
      <c r="AA175" s="3">
        <v>4.3251784349999998</v>
      </c>
      <c r="AB175" s="3">
        <v>0.42021472300000001</v>
      </c>
      <c r="AC175" s="3">
        <v>3.2465744330000001</v>
      </c>
      <c r="AE175" s="3">
        <v>4.4884801809999999</v>
      </c>
      <c r="AG175" s="3">
        <v>1.9467276549999999</v>
      </c>
      <c r="AH175" s="3">
        <v>0.41008955800000002</v>
      </c>
      <c r="AI175" s="3">
        <v>0.52451631899999995</v>
      </c>
      <c r="AJ175" s="3">
        <v>1.7272166369999999</v>
      </c>
      <c r="AN175" s="3">
        <v>3.283475224</v>
      </c>
      <c r="AP175" s="3">
        <v>-0.70487321400000003</v>
      </c>
    </row>
    <row r="176" spans="1:42" x14ac:dyDescent="0.2">
      <c r="A176" s="88" t="s">
        <v>223</v>
      </c>
      <c r="B176" s="4">
        <v>33239</v>
      </c>
      <c r="C176" s="3">
        <v>0.95378736900000005</v>
      </c>
      <c r="E176" s="3">
        <v>2.5680475939999998</v>
      </c>
      <c r="F176" s="3">
        <v>-1.0760529210000001</v>
      </c>
      <c r="I176" s="3">
        <v>6.5816151930000002</v>
      </c>
      <c r="J176" s="3">
        <v>0.87859741999999996</v>
      </c>
      <c r="K176" s="3">
        <v>6.1524110800000003</v>
      </c>
      <c r="M176" s="3">
        <v>-2.7433752990000002</v>
      </c>
      <c r="N176" s="3">
        <v>1.7263826760000001</v>
      </c>
      <c r="O176" s="3">
        <v>-0.210301828</v>
      </c>
      <c r="P176" s="3">
        <v>0.94498302700000003</v>
      </c>
      <c r="R176" s="3">
        <v>6.434302819</v>
      </c>
      <c r="S176" s="3">
        <v>1.1906313340000001</v>
      </c>
      <c r="U176" s="3">
        <v>0.21088057900000001</v>
      </c>
      <c r="V176" s="3">
        <v>4.1862875839999996</v>
      </c>
      <c r="W176" s="3">
        <v>8.7782753580000001</v>
      </c>
      <c r="X176" s="3">
        <v>6.6486929650000004</v>
      </c>
      <c r="Z176" s="3">
        <v>7.1601260770000001</v>
      </c>
      <c r="AA176" s="3">
        <v>4.3121997719999996</v>
      </c>
      <c r="AB176" s="3">
        <v>2.3924117410000001</v>
      </c>
      <c r="AC176" s="3">
        <v>2.5139105499999999</v>
      </c>
      <c r="AE176" s="3">
        <v>6.3810663500000002</v>
      </c>
      <c r="AG176" s="3">
        <v>1.975834291</v>
      </c>
      <c r="AH176" s="3">
        <v>0.240339254</v>
      </c>
      <c r="AI176" s="3">
        <v>1.9053948970000001</v>
      </c>
      <c r="AJ176" s="3">
        <v>0.60285869599999997</v>
      </c>
      <c r="AN176" s="3">
        <v>1.4976656939999999</v>
      </c>
      <c r="AP176" s="3">
        <v>6.1578020000000004E-3</v>
      </c>
    </row>
    <row r="177" spans="1:47" x14ac:dyDescent="0.2">
      <c r="A177" s="88" t="s">
        <v>224</v>
      </c>
      <c r="B177" s="4">
        <v>33329</v>
      </c>
      <c r="C177" s="3">
        <v>-1.1779206339999999</v>
      </c>
      <c r="E177" s="3">
        <v>0.55354087900000004</v>
      </c>
      <c r="F177" s="3">
        <v>-3.3984860320000001</v>
      </c>
      <c r="I177" s="3">
        <v>7.3739444860000001</v>
      </c>
      <c r="J177" s="3">
        <v>1.7422071729999999</v>
      </c>
      <c r="K177" s="3">
        <v>3.208298155</v>
      </c>
      <c r="M177" s="3">
        <v>-5.9139187010000001</v>
      </c>
      <c r="N177" s="3">
        <v>1.072211314</v>
      </c>
      <c r="O177" s="3">
        <v>-1.1664209379999999</v>
      </c>
      <c r="P177" s="3">
        <v>0.42717564200000002</v>
      </c>
      <c r="R177" s="3">
        <v>3.8384998100000001</v>
      </c>
      <c r="S177" s="3">
        <v>1.0767254900000001</v>
      </c>
      <c r="U177" s="3">
        <v>1.782873688</v>
      </c>
      <c r="V177" s="3">
        <v>5.5964706509999997</v>
      </c>
      <c r="W177" s="3">
        <v>11.71973054</v>
      </c>
      <c r="X177" s="3">
        <v>8.6800132699999999</v>
      </c>
      <c r="Z177" s="3">
        <v>5.1688401300000004</v>
      </c>
      <c r="AA177" s="3">
        <v>2.602306005</v>
      </c>
      <c r="AB177" s="3">
        <v>3.6380641549999999</v>
      </c>
      <c r="AC177" s="3">
        <v>1.663203977</v>
      </c>
      <c r="AE177" s="3">
        <v>2.855283649</v>
      </c>
      <c r="AG177" s="3">
        <v>2.5249224880000001</v>
      </c>
      <c r="AH177" s="3">
        <v>-0.283530703</v>
      </c>
      <c r="AI177" s="3">
        <v>-0.392755776</v>
      </c>
      <c r="AJ177" s="3">
        <v>-0.95024069700000002</v>
      </c>
      <c r="AN177" s="3">
        <v>-7.1667696000000003E-2</v>
      </c>
      <c r="AP177" s="3">
        <v>-0.86866982299999995</v>
      </c>
    </row>
    <row r="178" spans="1:47" x14ac:dyDescent="0.2">
      <c r="A178" s="88" t="s">
        <v>225</v>
      </c>
      <c r="B178" s="4">
        <v>33420</v>
      </c>
      <c r="C178" s="3">
        <v>-1.4374459989999999</v>
      </c>
      <c r="E178" s="3">
        <v>2.088652658</v>
      </c>
      <c r="F178" s="3">
        <v>-2.5444951750000002</v>
      </c>
      <c r="I178" s="3">
        <v>6.2830563489999998</v>
      </c>
      <c r="J178" s="3">
        <v>0.57802191999999997</v>
      </c>
      <c r="K178" s="3">
        <v>2.7208127850000001</v>
      </c>
      <c r="M178" s="3">
        <v>-5.7427194049999999</v>
      </c>
      <c r="N178" s="3">
        <v>0.96685792800000003</v>
      </c>
      <c r="O178" s="3">
        <v>-1.797893135</v>
      </c>
      <c r="P178" s="3">
        <v>1.528585007</v>
      </c>
      <c r="R178" s="3">
        <v>1.766355814</v>
      </c>
      <c r="S178" s="3">
        <v>0.64635575099999998</v>
      </c>
      <c r="U178" s="3">
        <v>0.91829299900000005</v>
      </c>
      <c r="V178" s="3">
        <v>3.5823236110000001</v>
      </c>
      <c r="W178" s="3">
        <v>11.097758274</v>
      </c>
      <c r="X178" s="3">
        <v>9.8636366370000008</v>
      </c>
      <c r="Z178" s="3">
        <v>4.5104897890000002</v>
      </c>
      <c r="AA178" s="3">
        <v>2.9432686280000002</v>
      </c>
      <c r="AB178" s="3">
        <v>3.0667668529999998</v>
      </c>
      <c r="AC178" s="3">
        <v>1.324530604</v>
      </c>
      <c r="AE178" s="3">
        <v>2.948468552</v>
      </c>
      <c r="AG178" s="3">
        <v>3.1426585939999998</v>
      </c>
      <c r="AH178" s="3">
        <v>-1.1257929769999999</v>
      </c>
      <c r="AI178" s="3">
        <v>-1.055722128</v>
      </c>
      <c r="AJ178" s="3">
        <v>-0.53888796000000005</v>
      </c>
      <c r="AN178" s="3">
        <v>-1.6006701569999999</v>
      </c>
      <c r="AP178" s="3">
        <v>-1.010671037</v>
      </c>
    </row>
    <row r="179" spans="1:47" x14ac:dyDescent="0.2">
      <c r="A179" s="88" t="s">
        <v>226</v>
      </c>
      <c r="B179" s="4">
        <v>33512</v>
      </c>
      <c r="C179" s="3">
        <v>-0.435582792</v>
      </c>
      <c r="E179" s="3">
        <v>2.6411033810000002</v>
      </c>
      <c r="F179" s="3">
        <v>-1.718605731</v>
      </c>
      <c r="I179" s="3">
        <v>3.8637192759999999</v>
      </c>
      <c r="J179" s="3">
        <v>1.0316925029999999</v>
      </c>
      <c r="K179" s="3">
        <v>3.8064650430000002</v>
      </c>
      <c r="M179" s="3">
        <v>-5.6610296450000002</v>
      </c>
      <c r="N179" s="3">
        <v>0.80170196699999996</v>
      </c>
      <c r="O179" s="3">
        <v>-0.97680579199999995</v>
      </c>
      <c r="P179" s="3">
        <v>11.008330267</v>
      </c>
      <c r="R179" s="3">
        <v>0.89215626000000003</v>
      </c>
      <c r="S179" s="3">
        <v>-0.27596642900000001</v>
      </c>
      <c r="U179" s="3">
        <v>0.79282625799999995</v>
      </c>
      <c r="V179" s="3">
        <v>1.648629178</v>
      </c>
      <c r="W179" s="3">
        <v>9.9272663290000001</v>
      </c>
      <c r="X179" s="3">
        <v>9.229549875</v>
      </c>
      <c r="Z179" s="3">
        <v>3.295725258</v>
      </c>
      <c r="AA179" s="3">
        <v>1.974937366</v>
      </c>
      <c r="AB179" s="3">
        <v>3.8361385810000002</v>
      </c>
      <c r="AC179" s="3">
        <v>1.2475427160000001</v>
      </c>
      <c r="AE179" s="3">
        <v>3.331830515</v>
      </c>
      <c r="AG179" s="3">
        <v>3.385298782</v>
      </c>
      <c r="AH179" s="3">
        <v>-0.81982652199999995</v>
      </c>
      <c r="AI179" s="3">
        <v>-1.6314700740000001</v>
      </c>
      <c r="AJ179" s="3">
        <v>-0.10271685</v>
      </c>
      <c r="AN179" s="3">
        <v>-1.239576309</v>
      </c>
      <c r="AP179" s="3">
        <v>-0.96583420200000003</v>
      </c>
    </row>
    <row r="180" spans="1:47" x14ac:dyDescent="0.2">
      <c r="A180" s="88" t="s">
        <v>227</v>
      </c>
      <c r="B180" s="4">
        <v>33604</v>
      </c>
      <c r="C180" s="3">
        <v>-0.94960388900000003</v>
      </c>
      <c r="E180" s="3">
        <v>1.923674275</v>
      </c>
      <c r="F180" s="3">
        <v>-0.651858245</v>
      </c>
      <c r="I180" s="3">
        <v>3.3928246569999998</v>
      </c>
      <c r="J180" s="3">
        <v>1.122398727</v>
      </c>
      <c r="K180" s="3">
        <v>0.521509895</v>
      </c>
      <c r="M180" s="3">
        <v>-6.2297171999999996</v>
      </c>
      <c r="N180" s="3">
        <v>0.936146692</v>
      </c>
      <c r="O180" s="3">
        <v>-0.46139639199999999</v>
      </c>
      <c r="P180" s="3">
        <v>0.14541929200000001</v>
      </c>
      <c r="R180" s="3">
        <v>1.28419913</v>
      </c>
      <c r="S180" s="3">
        <v>-1.5706143960000001</v>
      </c>
      <c r="U180" s="3">
        <v>2.6425274609999998</v>
      </c>
      <c r="V180" s="3">
        <v>2.5573797479999998</v>
      </c>
      <c r="W180" s="3">
        <v>10.433958193</v>
      </c>
      <c r="X180" s="3">
        <v>6.8743679740000001</v>
      </c>
      <c r="Z180" s="3">
        <v>3.841641702</v>
      </c>
      <c r="AA180" s="3">
        <v>2.2952543200000002</v>
      </c>
      <c r="AB180" s="3">
        <v>1.8698436759999999</v>
      </c>
      <c r="AC180" s="3">
        <v>1.6393655920000001</v>
      </c>
      <c r="AE180" s="3">
        <v>0.679243402</v>
      </c>
      <c r="AG180" s="3">
        <v>4.0326908670000003</v>
      </c>
      <c r="AH180" s="3">
        <v>-2.0857428680000001</v>
      </c>
      <c r="AI180" s="3">
        <v>-2.1477536709999998</v>
      </c>
      <c r="AJ180" s="3">
        <v>1.1665033419999999</v>
      </c>
      <c r="AN180" s="3">
        <v>-0.458837628</v>
      </c>
      <c r="AP180" s="3">
        <v>-1.2279126199999999</v>
      </c>
    </row>
    <row r="181" spans="1:47" x14ac:dyDescent="0.2">
      <c r="A181" s="88" t="s">
        <v>228</v>
      </c>
      <c r="B181" s="4">
        <v>33695</v>
      </c>
      <c r="C181" s="3">
        <v>1.102453865</v>
      </c>
      <c r="E181" s="3">
        <v>3.8005079309999998</v>
      </c>
      <c r="F181" s="3">
        <v>0.85990007800000001</v>
      </c>
      <c r="I181" s="3">
        <v>2.0731408820000001</v>
      </c>
      <c r="J181" s="3">
        <v>2.2773063929999999</v>
      </c>
      <c r="K181" s="3">
        <v>3.5136924930000002</v>
      </c>
      <c r="M181" s="3">
        <v>-4.0574485060000001</v>
      </c>
      <c r="N181" s="3">
        <v>2.0722325669999999</v>
      </c>
      <c r="O181" s="3">
        <v>-0.16340031399999999</v>
      </c>
      <c r="P181" s="3">
        <v>1.9322141269999999</v>
      </c>
      <c r="R181" s="3">
        <v>2.3515433369999998</v>
      </c>
      <c r="S181" s="3">
        <v>-2.8069782939999999</v>
      </c>
      <c r="U181" s="3">
        <v>0.92673500099999995</v>
      </c>
      <c r="V181" s="3">
        <v>1.703118948</v>
      </c>
      <c r="W181" s="3">
        <v>8.3372773410000001</v>
      </c>
      <c r="X181" s="3">
        <v>3.977650213</v>
      </c>
      <c r="Z181" s="3">
        <v>3.5471799370000001</v>
      </c>
      <c r="AA181" s="3">
        <v>3.4394888030000001</v>
      </c>
      <c r="AB181" s="3">
        <v>3.1608900580000001</v>
      </c>
      <c r="AC181" s="3">
        <v>2.4065576649999998</v>
      </c>
      <c r="AE181" s="3">
        <v>4.9051033329999996</v>
      </c>
      <c r="AG181" s="3">
        <v>4.8125700059999996</v>
      </c>
      <c r="AH181" s="3">
        <v>-0.87867711400000004</v>
      </c>
      <c r="AI181" s="3">
        <v>0.56706279699999995</v>
      </c>
      <c r="AJ181" s="3">
        <v>2.8588691050000001</v>
      </c>
      <c r="AN181" s="3">
        <v>0.14653021199999999</v>
      </c>
      <c r="AP181" s="3">
        <v>-1.1336506559999999</v>
      </c>
    </row>
    <row r="182" spans="1:47" x14ac:dyDescent="0.2">
      <c r="A182" s="88" t="s">
        <v>229</v>
      </c>
      <c r="B182" s="4">
        <v>33786</v>
      </c>
      <c r="C182" s="3">
        <v>1.9579323689999999</v>
      </c>
      <c r="E182" s="3">
        <v>1.3552142890000001</v>
      </c>
      <c r="F182" s="3">
        <v>0.51440589000000003</v>
      </c>
      <c r="I182" s="3">
        <v>1.8249384529999999</v>
      </c>
      <c r="J182" s="3">
        <v>0.37830800199999998</v>
      </c>
      <c r="K182" s="3">
        <v>0.93326662599999999</v>
      </c>
      <c r="M182" s="3">
        <v>-3.9869593829999999</v>
      </c>
      <c r="N182" s="3">
        <v>1.715319177</v>
      </c>
      <c r="O182" s="3">
        <v>-0.15532733000000001</v>
      </c>
      <c r="P182" s="3">
        <v>0.534086375</v>
      </c>
      <c r="R182" s="3">
        <v>3.4239162099999998</v>
      </c>
      <c r="S182" s="3">
        <v>-3.5887627790000001</v>
      </c>
      <c r="U182" s="3">
        <v>1.423993004</v>
      </c>
      <c r="V182" s="3">
        <v>0.86259139299999998</v>
      </c>
      <c r="W182" s="3">
        <v>7.3144682510000001</v>
      </c>
      <c r="X182" s="3">
        <v>1.618965795</v>
      </c>
      <c r="Z182" s="3">
        <v>3.6589576090000002</v>
      </c>
      <c r="AA182" s="3">
        <v>1.3016518420000001</v>
      </c>
      <c r="AB182" s="3">
        <v>3.1592322190000002</v>
      </c>
      <c r="AC182" s="3">
        <v>2.1205226920000002</v>
      </c>
      <c r="AE182" s="3">
        <v>1.939972161</v>
      </c>
      <c r="AG182" s="3">
        <v>4.7462273359999996</v>
      </c>
      <c r="AH182" s="3">
        <v>-0.24341441699999999</v>
      </c>
      <c r="AI182" s="3">
        <v>1.2468888279999999</v>
      </c>
      <c r="AJ182" s="3">
        <v>3.1697558209999999</v>
      </c>
      <c r="AN182" s="3">
        <v>0.70939517100000005</v>
      </c>
      <c r="AP182" s="3">
        <v>-1.5178454260000001</v>
      </c>
    </row>
    <row r="183" spans="1:47" x14ac:dyDescent="0.2">
      <c r="A183" s="88" t="s">
        <v>230</v>
      </c>
      <c r="B183" s="4">
        <v>33878</v>
      </c>
      <c r="C183" s="3">
        <v>2.5707931369999999</v>
      </c>
      <c r="E183" s="3">
        <v>0.98695105599999999</v>
      </c>
      <c r="F183" s="3">
        <v>0.91901447599999997</v>
      </c>
      <c r="I183" s="3">
        <v>1.869969805</v>
      </c>
      <c r="J183" s="3">
        <v>2.3430315190000002</v>
      </c>
      <c r="K183" s="3">
        <v>0.240639413</v>
      </c>
      <c r="M183" s="3">
        <v>-2.7698039460000001</v>
      </c>
      <c r="N183" s="3">
        <v>1.4389065809999999</v>
      </c>
      <c r="O183" s="3">
        <v>0.70033357100000004</v>
      </c>
      <c r="P183" s="3">
        <v>0.23657761099999999</v>
      </c>
      <c r="R183" s="3">
        <v>3.9130961489999998</v>
      </c>
      <c r="S183" s="3">
        <v>-3.5184460689999999</v>
      </c>
      <c r="U183" s="3">
        <v>1.1625386639999999</v>
      </c>
      <c r="V183" s="3">
        <v>1.2053187489999999</v>
      </c>
      <c r="W183" s="3">
        <v>5.1316524049999996</v>
      </c>
      <c r="X183" s="3">
        <v>0.62824913100000002</v>
      </c>
      <c r="Z183" s="3">
        <v>4.4273363100000003</v>
      </c>
      <c r="AA183" s="3">
        <v>1.196066069</v>
      </c>
      <c r="AB183" s="3">
        <v>4.7666377119999996</v>
      </c>
      <c r="AC183" s="3">
        <v>2.3424011010000001</v>
      </c>
      <c r="AE183" s="3">
        <v>0.50825329900000005</v>
      </c>
      <c r="AG183" s="3">
        <v>4.6737490880000001</v>
      </c>
      <c r="AH183" s="3">
        <v>-1.207304618</v>
      </c>
      <c r="AI183" s="3">
        <v>0.196910482</v>
      </c>
      <c r="AJ183" s="3">
        <v>3.6653228790000001</v>
      </c>
      <c r="AN183" s="3">
        <v>-0.316181453</v>
      </c>
      <c r="AP183" s="3">
        <v>-2.6202395740000002</v>
      </c>
    </row>
    <row r="184" spans="1:47" x14ac:dyDescent="0.2">
      <c r="A184" s="88" t="s">
        <v>231</v>
      </c>
      <c r="B184" s="4">
        <v>33970</v>
      </c>
      <c r="C184" s="3">
        <v>4.6049168500000004</v>
      </c>
      <c r="E184" s="3">
        <v>-0.75984834700000004</v>
      </c>
      <c r="F184" s="3">
        <v>1.306211706</v>
      </c>
      <c r="I184" s="3">
        <v>0.23962235200000001</v>
      </c>
      <c r="J184" s="3">
        <v>2.9060358289999999</v>
      </c>
      <c r="K184" s="3">
        <v>-0.905532012</v>
      </c>
      <c r="M184" s="3">
        <v>-2.3113528209999998</v>
      </c>
      <c r="N184" s="3">
        <v>0.71453824799999999</v>
      </c>
      <c r="O184" s="3">
        <v>1.2242761200000001</v>
      </c>
      <c r="P184" s="3">
        <v>8.1679574000000005E-2</v>
      </c>
      <c r="R184" s="3">
        <v>3.6779694850000002</v>
      </c>
      <c r="S184" s="3">
        <v>-2.5239499259999998</v>
      </c>
      <c r="U184" s="3">
        <v>-0.70021035300000001</v>
      </c>
      <c r="V184" s="3">
        <v>-0.14120840800000001</v>
      </c>
      <c r="W184" s="3">
        <v>4.1645832340000002</v>
      </c>
      <c r="X184" s="3">
        <v>1.1293975199999999</v>
      </c>
      <c r="Z184" s="3">
        <v>2.6601164449999999</v>
      </c>
      <c r="AA184" s="3">
        <v>0.46280552899999999</v>
      </c>
      <c r="AB184" s="3">
        <v>3.2595807840000002</v>
      </c>
      <c r="AC184" s="3">
        <v>1.9624591039999999</v>
      </c>
      <c r="AE184" s="3">
        <v>0.32415702899999999</v>
      </c>
      <c r="AG184" s="3">
        <v>6.2167074969999998</v>
      </c>
      <c r="AH184" s="3">
        <v>-2.411837217</v>
      </c>
      <c r="AI184" s="3">
        <v>0.79200552800000001</v>
      </c>
      <c r="AJ184" s="3">
        <v>4.382587644</v>
      </c>
      <c r="AN184" s="3">
        <v>-1.4291989570000001</v>
      </c>
      <c r="AP184" s="3">
        <v>-3.2812704789999998</v>
      </c>
    </row>
    <row r="185" spans="1:47" x14ac:dyDescent="0.2">
      <c r="A185" s="88" t="s">
        <v>232</v>
      </c>
      <c r="B185" s="4">
        <v>34060</v>
      </c>
      <c r="C185" s="3">
        <v>4.5465320480000004</v>
      </c>
      <c r="E185" s="3">
        <v>-2.875422564</v>
      </c>
      <c r="F185" s="3">
        <v>1.880252874</v>
      </c>
      <c r="I185" s="3">
        <v>-1.9745281400000001</v>
      </c>
      <c r="J185" s="3">
        <v>0.225781391</v>
      </c>
      <c r="K185" s="3">
        <v>-2.7998344180000001</v>
      </c>
      <c r="M185" s="3">
        <v>-2.396353108</v>
      </c>
      <c r="N185" s="3">
        <v>-0.81527676500000001</v>
      </c>
      <c r="O185" s="3">
        <v>1.9484413460000001</v>
      </c>
      <c r="P185" s="3">
        <v>-4.6879161859999998</v>
      </c>
      <c r="R185" s="3">
        <v>3.0848158909999999</v>
      </c>
      <c r="S185" s="3">
        <v>-0.90747498400000004</v>
      </c>
      <c r="U185" s="3">
        <v>-1.1046737419999999</v>
      </c>
      <c r="V185" s="3">
        <v>0.95266193499999996</v>
      </c>
      <c r="W185" s="3">
        <v>4.3797738920000002</v>
      </c>
      <c r="X185" s="3">
        <v>2.4985630730000001</v>
      </c>
      <c r="Z185" s="3">
        <v>2.6059922179999999</v>
      </c>
      <c r="AA185" s="3">
        <v>0.37124305099999999</v>
      </c>
      <c r="AB185" s="3">
        <v>0.444098944</v>
      </c>
      <c r="AC185" s="3">
        <v>1.295576788</v>
      </c>
      <c r="AE185" s="3">
        <v>-2.7195940840000001</v>
      </c>
      <c r="AG185" s="3">
        <v>4.5663479840000001</v>
      </c>
      <c r="AH185" s="3">
        <v>-5.050598677</v>
      </c>
      <c r="AI185" s="3">
        <v>2.148020303</v>
      </c>
      <c r="AJ185" s="3">
        <v>3.319981753</v>
      </c>
      <c r="AN185" s="3">
        <v>-2.3195820230000002</v>
      </c>
      <c r="AP185" s="3">
        <v>-1.2324880970000001</v>
      </c>
      <c r="AR185" s="3">
        <v>15.3</v>
      </c>
    </row>
    <row r="186" spans="1:47" x14ac:dyDescent="0.2">
      <c r="A186" s="88" t="s">
        <v>233</v>
      </c>
      <c r="B186" s="4">
        <v>34151</v>
      </c>
      <c r="C186" s="3">
        <v>4.3872752689999999</v>
      </c>
      <c r="E186" s="3">
        <v>-0.68682945299999998</v>
      </c>
      <c r="F186" s="3">
        <v>2.6824140139999999</v>
      </c>
      <c r="I186" s="3">
        <v>-1.239498099</v>
      </c>
      <c r="J186" s="3">
        <v>0.61426908300000005</v>
      </c>
      <c r="K186" s="3">
        <v>-1.522315216</v>
      </c>
      <c r="M186" s="3">
        <v>-1.476589514</v>
      </c>
      <c r="N186" s="3">
        <v>-0.71069760599999998</v>
      </c>
      <c r="O186" s="3">
        <v>2.5746830570000001</v>
      </c>
      <c r="P186" s="3">
        <v>7.6328890000000003E-3</v>
      </c>
      <c r="R186" s="3">
        <v>2.5342366269999999</v>
      </c>
      <c r="S186" s="3">
        <v>0.94924331100000003</v>
      </c>
      <c r="U186" s="3">
        <v>-1.2867544150000001</v>
      </c>
      <c r="V186" s="3">
        <v>-3.6541774999999999E-2</v>
      </c>
      <c r="W186" s="3">
        <v>6.3114789780000002</v>
      </c>
      <c r="X186" s="3">
        <v>4.0021739619999996</v>
      </c>
      <c r="Z186" s="3">
        <v>1.2364569919999999</v>
      </c>
      <c r="AA186" s="3">
        <v>1.5553236399999999</v>
      </c>
      <c r="AB186" s="3">
        <v>1.6577419170000001</v>
      </c>
      <c r="AC186" s="3">
        <v>1.4287613939999999</v>
      </c>
      <c r="AE186" s="3">
        <v>-1.7677233299999999</v>
      </c>
      <c r="AG186" s="3">
        <v>4.5897290049999997</v>
      </c>
      <c r="AH186" s="3">
        <v>-3.3316096289999999</v>
      </c>
      <c r="AI186" s="3">
        <v>4.4203182290000003</v>
      </c>
      <c r="AJ186" s="3">
        <v>2.8066673899999999</v>
      </c>
      <c r="AN186" s="3">
        <v>-0.84439633999999997</v>
      </c>
      <c r="AP186" s="3">
        <v>0.46715042000000001</v>
      </c>
      <c r="AR186" s="3">
        <v>13.5</v>
      </c>
    </row>
    <row r="187" spans="1:47" x14ac:dyDescent="0.2">
      <c r="A187" s="88" t="s">
        <v>234</v>
      </c>
      <c r="B187" s="4">
        <v>34243</v>
      </c>
      <c r="C187" s="3">
        <v>3.4468985519999999</v>
      </c>
      <c r="E187" s="3">
        <v>-0.67939716699999997</v>
      </c>
      <c r="F187" s="3">
        <v>3.1073545660000002</v>
      </c>
      <c r="I187" s="3">
        <v>-0.476525174</v>
      </c>
      <c r="J187" s="3">
        <v>-1.8805949829999999</v>
      </c>
      <c r="K187" s="3">
        <v>-0.40105551</v>
      </c>
      <c r="M187" s="3">
        <v>-9.7364866999999994E-2</v>
      </c>
      <c r="N187" s="3">
        <v>-0.60732476899999999</v>
      </c>
      <c r="O187" s="3">
        <v>2.731752336</v>
      </c>
      <c r="P187" s="3">
        <v>-1.1815995189999999</v>
      </c>
      <c r="R187" s="3">
        <v>2.3825161700000002</v>
      </c>
      <c r="S187" s="3">
        <v>2.7045342130000001</v>
      </c>
      <c r="U187" s="3">
        <v>-1.2230942520000001</v>
      </c>
      <c r="V187" s="3">
        <v>-0.87078218500000004</v>
      </c>
      <c r="W187" s="3">
        <v>8.1983578680000004</v>
      </c>
      <c r="X187" s="3">
        <v>5.0170326220000003</v>
      </c>
      <c r="Z187" s="3">
        <v>1.3920962560000001</v>
      </c>
      <c r="AA187" s="3">
        <v>2.0747717259999998</v>
      </c>
      <c r="AB187" s="3">
        <v>2.342647586</v>
      </c>
      <c r="AC187" s="3">
        <v>1.3151435</v>
      </c>
      <c r="AE187" s="3">
        <v>-0.741093157</v>
      </c>
      <c r="AG187" s="3">
        <v>4.9779697809999996</v>
      </c>
      <c r="AH187" s="3">
        <v>-0.60219361000000005</v>
      </c>
      <c r="AI187" s="3">
        <v>7.3072211659999997</v>
      </c>
      <c r="AJ187" s="3">
        <v>2.286515761</v>
      </c>
      <c r="AN187" s="3">
        <v>0.53118964700000004</v>
      </c>
      <c r="AP187" s="3">
        <v>3.1070673769999999</v>
      </c>
      <c r="AR187" s="3">
        <v>12.9</v>
      </c>
    </row>
    <row r="188" spans="1:47" x14ac:dyDescent="0.2">
      <c r="A188" s="88" t="s">
        <v>235</v>
      </c>
      <c r="B188" s="4">
        <v>34335</v>
      </c>
      <c r="C188" s="3">
        <v>3.2494641689999999</v>
      </c>
      <c r="E188" s="3">
        <v>1.5178115889999999</v>
      </c>
      <c r="F188" s="3">
        <v>2.966663906</v>
      </c>
      <c r="I188" s="3">
        <v>-0.24914224900000001</v>
      </c>
      <c r="J188" s="3">
        <v>0.71009518100000002</v>
      </c>
      <c r="K188" s="3">
        <v>0.62998015100000004</v>
      </c>
      <c r="M188" s="3">
        <v>1.3728095149999999</v>
      </c>
      <c r="N188" s="3">
        <v>-0.11402177500000001</v>
      </c>
      <c r="O188" s="3">
        <v>2.7033838939999999</v>
      </c>
      <c r="P188" s="3">
        <v>-0.45491642199999999</v>
      </c>
      <c r="R188" s="3">
        <v>2.774481921</v>
      </c>
      <c r="S188" s="3">
        <v>4.0463093209999998</v>
      </c>
      <c r="U188" s="3">
        <v>0.19169810800000001</v>
      </c>
      <c r="V188" s="3">
        <v>0.39374597500000003</v>
      </c>
      <c r="W188" s="3">
        <v>8.574414268</v>
      </c>
      <c r="X188" s="3">
        <v>5.2694722860000001</v>
      </c>
      <c r="Z188" s="3">
        <v>2.5728824189999999</v>
      </c>
      <c r="AA188" s="3">
        <v>1.0608119890000001</v>
      </c>
      <c r="AB188" s="3">
        <v>6.7479810259999997</v>
      </c>
      <c r="AC188" s="3">
        <v>1.924605151</v>
      </c>
      <c r="AE188" s="3">
        <v>-0.24897242</v>
      </c>
      <c r="AG188" s="3">
        <v>4.0255301819999998</v>
      </c>
      <c r="AH188" s="3">
        <v>0.66201784299999999</v>
      </c>
      <c r="AI188" s="3">
        <v>6.976579804</v>
      </c>
      <c r="AJ188" s="3">
        <v>2.607615494</v>
      </c>
      <c r="AN188" s="3">
        <v>1.9097884899999999</v>
      </c>
      <c r="AP188" s="3">
        <v>4.7611650230000002</v>
      </c>
      <c r="AR188" s="3">
        <v>14.1</v>
      </c>
    </row>
    <row r="189" spans="1:47" x14ac:dyDescent="0.2">
      <c r="A189" s="88" t="s">
        <v>236</v>
      </c>
      <c r="B189" s="4">
        <v>34425</v>
      </c>
      <c r="C189" s="3">
        <v>4.2553388400000003</v>
      </c>
      <c r="E189" s="3">
        <v>3.0147085210000002</v>
      </c>
      <c r="F189" s="3">
        <v>3.8195590460000002</v>
      </c>
      <c r="I189" s="3">
        <v>1.878706574</v>
      </c>
      <c r="J189" s="3">
        <v>3.1804639030000001</v>
      </c>
      <c r="K189" s="3">
        <v>2.4178249250000001</v>
      </c>
      <c r="M189" s="3">
        <v>1.8082554909999999</v>
      </c>
      <c r="N189" s="3">
        <v>1.173117041</v>
      </c>
      <c r="O189" s="3">
        <v>3.1704970879999999</v>
      </c>
      <c r="P189" s="3">
        <v>1.4485328369999999</v>
      </c>
      <c r="R189" s="3">
        <v>3.643862215</v>
      </c>
      <c r="S189" s="3">
        <v>4.7413433720000002</v>
      </c>
      <c r="U189" s="3">
        <v>1.095820351</v>
      </c>
      <c r="V189" s="3">
        <v>0.16402955699999999</v>
      </c>
      <c r="W189" s="3">
        <v>9.5604005710000006</v>
      </c>
      <c r="X189" s="3">
        <v>4.9292080460000003</v>
      </c>
      <c r="Z189" s="3">
        <v>3.6778665670000001</v>
      </c>
      <c r="AA189" s="3">
        <v>1.9453249690000001</v>
      </c>
      <c r="AB189" s="3">
        <v>6.2299063800000001</v>
      </c>
      <c r="AC189" s="3">
        <v>2.6682466969999998</v>
      </c>
      <c r="AE189" s="3">
        <v>1.4263210209999999</v>
      </c>
      <c r="AF189" s="3">
        <v>5.9738342690000001</v>
      </c>
      <c r="AG189" s="3">
        <v>4.3432204609999996</v>
      </c>
      <c r="AH189" s="3">
        <v>3.6583655340000001</v>
      </c>
      <c r="AI189" s="3">
        <v>6.8633123359999999</v>
      </c>
      <c r="AJ189" s="3">
        <v>3.4305230139999998</v>
      </c>
      <c r="AN189" s="3">
        <v>2.5746087700000002</v>
      </c>
      <c r="AP189" s="3">
        <v>3.1648031969999999</v>
      </c>
      <c r="AR189" s="3">
        <v>14.1</v>
      </c>
      <c r="AU189" s="88">
        <v>7.2689223480000003</v>
      </c>
    </row>
    <row r="190" spans="1:47" x14ac:dyDescent="0.2">
      <c r="A190" s="88" t="s">
        <v>237</v>
      </c>
      <c r="B190" s="4">
        <v>34516</v>
      </c>
      <c r="C190" s="3">
        <v>4.9588868389999998</v>
      </c>
      <c r="E190" s="3">
        <v>3.157014963</v>
      </c>
      <c r="F190" s="3">
        <v>4.386336064</v>
      </c>
      <c r="I190" s="3">
        <v>2.1505686239999999</v>
      </c>
      <c r="J190" s="3">
        <v>6.643431971</v>
      </c>
      <c r="K190" s="3">
        <v>2.649333553</v>
      </c>
      <c r="M190" s="3">
        <v>2.8899358140000002</v>
      </c>
      <c r="N190" s="3">
        <v>2.229597617</v>
      </c>
      <c r="O190" s="3">
        <v>3.8578949410000001</v>
      </c>
      <c r="P190" s="3">
        <v>0.95861763700000002</v>
      </c>
      <c r="R190" s="3">
        <v>4.8797148640000003</v>
      </c>
      <c r="S190" s="3">
        <v>4.6878555559999997</v>
      </c>
      <c r="U190" s="3">
        <v>2.0736462489999998</v>
      </c>
      <c r="V190" s="3">
        <v>0.242975038</v>
      </c>
      <c r="W190" s="3">
        <v>8.5629789229999993</v>
      </c>
      <c r="X190" s="3">
        <v>4.26791433</v>
      </c>
      <c r="Z190" s="3">
        <v>5.5792754569999996</v>
      </c>
      <c r="AA190" s="3">
        <v>2.861042796</v>
      </c>
      <c r="AB190" s="3">
        <v>6.8489776789999999</v>
      </c>
      <c r="AC190" s="3">
        <v>2.8004007880000001</v>
      </c>
      <c r="AE190" s="3">
        <v>2.6891601600000001</v>
      </c>
      <c r="AF190" s="3">
        <v>5.7936380359999999</v>
      </c>
      <c r="AG190" s="3">
        <v>2.7540388280000001</v>
      </c>
      <c r="AH190" s="3">
        <v>3.4065800290000001</v>
      </c>
      <c r="AI190" s="3">
        <v>5.2503879099999997</v>
      </c>
      <c r="AJ190" s="3">
        <v>4.2253997019999998</v>
      </c>
      <c r="AN190" s="3">
        <v>0.402783104</v>
      </c>
      <c r="AP190" s="3">
        <v>3.152479021</v>
      </c>
      <c r="AR190" s="3">
        <v>13.3</v>
      </c>
      <c r="AU190" s="88">
        <v>6.4505317590000004</v>
      </c>
    </row>
    <row r="191" spans="1:47" x14ac:dyDescent="0.2">
      <c r="A191" s="88" t="s">
        <v>238</v>
      </c>
      <c r="B191" s="4">
        <v>34608</v>
      </c>
      <c r="C191" s="3">
        <v>5.6464142239999999</v>
      </c>
      <c r="E191" s="3">
        <v>3.119258394</v>
      </c>
      <c r="F191" s="3">
        <v>4.7227622010000001</v>
      </c>
      <c r="I191" s="3">
        <v>2.2591524089999999</v>
      </c>
      <c r="J191" s="3">
        <v>5.9677727090000001</v>
      </c>
      <c r="K191" s="3">
        <v>2.2342948960000002</v>
      </c>
      <c r="M191" s="3">
        <v>4.6403420520000003</v>
      </c>
      <c r="N191" s="3">
        <v>2.6563891129999999</v>
      </c>
      <c r="O191" s="3">
        <v>4.2119717789999997</v>
      </c>
      <c r="P191" s="3">
        <v>3.3148751029999999</v>
      </c>
      <c r="R191" s="3">
        <v>6.4162312000000004</v>
      </c>
      <c r="S191" s="3">
        <v>3.7524366150000001</v>
      </c>
      <c r="U191" s="3">
        <v>2.8722827909999999</v>
      </c>
      <c r="V191" s="3">
        <v>2.1361110330000002</v>
      </c>
      <c r="W191" s="3">
        <v>8.3908405330000004</v>
      </c>
      <c r="X191" s="3">
        <v>3.4659694010000002</v>
      </c>
      <c r="Z191" s="3">
        <v>5.3042409170000004</v>
      </c>
      <c r="AA191" s="3">
        <v>2.8007548450000002</v>
      </c>
      <c r="AB191" s="3">
        <v>3.3383058029999999</v>
      </c>
      <c r="AC191" s="3">
        <v>3.3158923260000002</v>
      </c>
      <c r="AE191" s="3">
        <v>2.4410032510000002</v>
      </c>
      <c r="AF191" s="3">
        <v>6.5673745480000001</v>
      </c>
      <c r="AG191" s="3">
        <v>2.9280019589999999</v>
      </c>
      <c r="AH191" s="3">
        <v>3.21558039</v>
      </c>
      <c r="AI191" s="3">
        <v>4.9242957360000004</v>
      </c>
      <c r="AJ191" s="3">
        <v>4.3367848599999999</v>
      </c>
      <c r="AN191" s="3">
        <v>1.122489651</v>
      </c>
      <c r="AP191" s="3">
        <v>2.8324399659999999</v>
      </c>
      <c r="AR191" s="3">
        <v>13.1</v>
      </c>
      <c r="AU191" s="88">
        <v>4.6161711079999996</v>
      </c>
    </row>
    <row r="192" spans="1:47" x14ac:dyDescent="0.2">
      <c r="A192" s="88" t="s">
        <v>239</v>
      </c>
      <c r="B192" s="4">
        <v>34700</v>
      </c>
      <c r="C192" s="3">
        <v>4.7365903410000003</v>
      </c>
      <c r="E192" s="3">
        <v>3.864636253</v>
      </c>
      <c r="F192" s="3">
        <v>5.0334568900000001</v>
      </c>
      <c r="I192" s="3">
        <v>3.5572715769999999</v>
      </c>
      <c r="J192" s="3">
        <v>6.3003058660000004</v>
      </c>
      <c r="K192" s="3">
        <v>2.2316238830000001</v>
      </c>
      <c r="M192" s="3">
        <v>6.4715426860000003</v>
      </c>
      <c r="N192" s="3">
        <v>3.2810753529999999</v>
      </c>
      <c r="O192" s="3">
        <v>4.133348206</v>
      </c>
      <c r="P192" s="3">
        <v>2.2622029910000001</v>
      </c>
      <c r="R192" s="3">
        <v>8.0284883219999994</v>
      </c>
      <c r="S192" s="3">
        <v>2.1922290769999999</v>
      </c>
      <c r="U192" s="3">
        <v>3.0824702859999999</v>
      </c>
      <c r="V192" s="3">
        <v>1.0863609649999999</v>
      </c>
      <c r="W192" s="3">
        <v>10.5357919</v>
      </c>
      <c r="X192" s="3">
        <v>2.6695102519999998</v>
      </c>
      <c r="Z192" s="3">
        <v>5.1587579139999997</v>
      </c>
      <c r="AA192" s="3">
        <v>4.4219934969999999</v>
      </c>
      <c r="AB192" s="3">
        <v>3.7315425640000002</v>
      </c>
      <c r="AC192" s="3">
        <v>3.4186520480000002</v>
      </c>
      <c r="AE192" s="3">
        <v>3.3256759589999998</v>
      </c>
      <c r="AF192" s="3">
        <v>6.4727279229999999</v>
      </c>
      <c r="AG192" s="3">
        <v>2.9707243800000001</v>
      </c>
      <c r="AH192" s="3">
        <v>4.8999517389999996</v>
      </c>
      <c r="AI192" s="3">
        <v>5.3169379540000001</v>
      </c>
      <c r="AJ192" s="3">
        <v>4.115926516</v>
      </c>
      <c r="AN192" s="3">
        <v>1.022453579</v>
      </c>
      <c r="AP192" s="3">
        <v>3.7799214129999998</v>
      </c>
      <c r="AR192" s="3">
        <v>12</v>
      </c>
      <c r="AU192" s="88">
        <v>5.0681131859999997</v>
      </c>
    </row>
    <row r="193" spans="1:47" x14ac:dyDescent="0.2">
      <c r="A193" s="88" t="s">
        <v>240</v>
      </c>
      <c r="B193" s="4">
        <v>34790</v>
      </c>
      <c r="C193" s="3">
        <v>2.9800134040000001</v>
      </c>
      <c r="E193" s="3">
        <v>3.0818700109999999</v>
      </c>
      <c r="F193" s="3">
        <v>4.4702881970000004</v>
      </c>
      <c r="H193" s="3">
        <v>6.3630145929999999</v>
      </c>
      <c r="I193" s="3">
        <v>1.79071673</v>
      </c>
      <c r="J193" s="3">
        <v>5.5565488859999999</v>
      </c>
      <c r="K193" s="3">
        <v>2.550954548</v>
      </c>
      <c r="M193" s="3">
        <v>4.894454605</v>
      </c>
      <c r="N193" s="3">
        <v>3.1196713479999998</v>
      </c>
      <c r="O193" s="3">
        <v>3.3351392899999999</v>
      </c>
      <c r="P193" s="3">
        <v>3.03725171</v>
      </c>
      <c r="R193" s="3">
        <v>12.605958021999999</v>
      </c>
      <c r="S193" s="3">
        <v>-2.0558247220000001</v>
      </c>
      <c r="U193" s="3">
        <v>3.587752552</v>
      </c>
      <c r="V193" s="3">
        <v>1.300366428</v>
      </c>
      <c r="W193" s="3">
        <v>9.6482497079999998</v>
      </c>
      <c r="X193" s="3">
        <v>1.5431692560000001</v>
      </c>
      <c r="Z193" s="3">
        <v>-1.9158787930000001</v>
      </c>
      <c r="AA193" s="3">
        <v>3.5822382500000001</v>
      </c>
      <c r="AB193" s="3">
        <v>4.1082288220000001</v>
      </c>
      <c r="AC193" s="3">
        <v>2.8353318060000001</v>
      </c>
      <c r="AE193" s="3">
        <v>3.1569404720000001</v>
      </c>
      <c r="AF193" s="3">
        <v>6.1835544440000003</v>
      </c>
      <c r="AG193" s="3">
        <v>-2.3616764720000001</v>
      </c>
      <c r="AH193" s="3">
        <v>5.0309134870000003</v>
      </c>
      <c r="AI193" s="3">
        <v>4.9845425189999997</v>
      </c>
      <c r="AJ193" s="3">
        <v>3.481130297</v>
      </c>
      <c r="AN193" s="3">
        <v>0.103338465</v>
      </c>
      <c r="AP193" s="3">
        <v>4.3033727319999997</v>
      </c>
      <c r="AR193" s="3">
        <v>11.9</v>
      </c>
      <c r="AU193" s="88">
        <v>1.9970600549999999</v>
      </c>
    </row>
    <row r="194" spans="1:47" x14ac:dyDescent="0.2">
      <c r="A194" s="88" t="s">
        <v>241</v>
      </c>
      <c r="B194" s="4">
        <v>34881</v>
      </c>
      <c r="C194" s="3">
        <v>2.0863290430000001</v>
      </c>
      <c r="E194" s="3">
        <v>2.3387633970000001</v>
      </c>
      <c r="F194" s="3">
        <v>3.0071970669999999</v>
      </c>
      <c r="H194" s="3">
        <v>5.7609878969999997</v>
      </c>
      <c r="I194" s="3">
        <v>2.291196974</v>
      </c>
      <c r="J194" s="3">
        <v>2.2595483120000002</v>
      </c>
      <c r="K194" s="3">
        <v>2.9612889020000002</v>
      </c>
      <c r="M194" s="3">
        <v>6.7852862539999999</v>
      </c>
      <c r="N194" s="3">
        <v>2.5048464570000002</v>
      </c>
      <c r="O194" s="3">
        <v>2.5301557450000001</v>
      </c>
      <c r="P194" s="3">
        <v>2.76173387</v>
      </c>
      <c r="R194" s="3">
        <v>11.766711879000001</v>
      </c>
      <c r="S194" s="3">
        <v>-0.24167387700000001</v>
      </c>
      <c r="U194" s="3">
        <v>2.9156826429999998</v>
      </c>
      <c r="V194" s="3">
        <v>2.825988304</v>
      </c>
      <c r="W194" s="3">
        <v>10.069263578999999</v>
      </c>
      <c r="X194" s="3">
        <v>0.73759217499999996</v>
      </c>
      <c r="Z194" s="3">
        <v>-8.6171251509999998</v>
      </c>
      <c r="AA194" s="3">
        <v>3.207608445</v>
      </c>
      <c r="AB194" s="3">
        <v>2.6266674600000002</v>
      </c>
      <c r="AC194" s="3">
        <v>2.6415830709999999</v>
      </c>
      <c r="AE194" s="3">
        <v>3.0380996850000002</v>
      </c>
      <c r="AF194" s="3">
        <v>6.6486179429999996</v>
      </c>
      <c r="AG194" s="3">
        <v>-11.356905153</v>
      </c>
      <c r="AH194" s="3">
        <v>4.5003428860000003</v>
      </c>
      <c r="AI194" s="3">
        <v>5.63208836</v>
      </c>
      <c r="AJ194" s="3">
        <v>2.402168869</v>
      </c>
      <c r="AN194" s="3">
        <v>1.2555415240000001</v>
      </c>
      <c r="AP194" s="3">
        <v>3.6421436589999998</v>
      </c>
      <c r="AR194" s="3">
        <v>11</v>
      </c>
      <c r="AU194" s="88">
        <v>-3.8574167670000001</v>
      </c>
    </row>
    <row r="195" spans="1:47" x14ac:dyDescent="0.2">
      <c r="A195" s="88" t="s">
        <v>242</v>
      </c>
      <c r="B195" s="4">
        <v>34973</v>
      </c>
      <c r="C195" s="3">
        <v>3.6321234960000002</v>
      </c>
      <c r="E195" s="3">
        <v>2.6651651109999999</v>
      </c>
      <c r="F195" s="3">
        <v>1.841001315</v>
      </c>
      <c r="H195" s="3">
        <v>7.3886555300000003</v>
      </c>
      <c r="I195" s="3">
        <v>1.7740072019999999</v>
      </c>
      <c r="J195" s="3">
        <v>3.169757063</v>
      </c>
      <c r="K195" s="3">
        <v>2.5625784760000001</v>
      </c>
      <c r="M195" s="3">
        <v>3.9298161280000001</v>
      </c>
      <c r="N195" s="3">
        <v>2.030370376</v>
      </c>
      <c r="O195" s="3">
        <v>2.3475190189999999</v>
      </c>
      <c r="P195" s="3">
        <v>0.61570380899999999</v>
      </c>
      <c r="R195" s="3">
        <v>11.359246698</v>
      </c>
      <c r="S195" s="3">
        <v>-1.6544689690000001</v>
      </c>
      <c r="U195" s="3">
        <v>2.7329493419999999</v>
      </c>
      <c r="V195" s="3">
        <v>2.8436908889999999</v>
      </c>
      <c r="W195" s="3">
        <v>10.495409042</v>
      </c>
      <c r="X195" s="3">
        <v>0.45868345199999999</v>
      </c>
      <c r="Z195" s="3">
        <v>-7.6005126279999997</v>
      </c>
      <c r="AA195" s="3">
        <v>3.2358056130000001</v>
      </c>
      <c r="AB195" s="3">
        <v>6.4916439889999999</v>
      </c>
      <c r="AC195" s="3">
        <v>2.5927196750000001</v>
      </c>
      <c r="AE195" s="3">
        <v>3.0192699209999998</v>
      </c>
      <c r="AF195" s="3">
        <v>5.2903241830000001</v>
      </c>
      <c r="AG195" s="3">
        <v>-1.9679289609999999</v>
      </c>
      <c r="AH195" s="3">
        <v>3.8406755449999999</v>
      </c>
      <c r="AI195" s="3">
        <v>4.8163977669999998</v>
      </c>
      <c r="AJ195" s="3">
        <v>2.673106856</v>
      </c>
      <c r="AN195" s="3">
        <v>0.70356495500000005</v>
      </c>
      <c r="AP195" s="3">
        <v>2.9317839970000001</v>
      </c>
      <c r="AR195" s="3">
        <v>10.4</v>
      </c>
      <c r="AU195" s="88">
        <v>-4.4699240060000003</v>
      </c>
    </row>
    <row r="196" spans="1:47" x14ac:dyDescent="0.2">
      <c r="A196" s="88" t="s">
        <v>243</v>
      </c>
      <c r="B196" s="4">
        <v>35065</v>
      </c>
      <c r="C196" s="3">
        <v>2.6524193199999999</v>
      </c>
      <c r="E196" s="3">
        <v>1.174873872</v>
      </c>
      <c r="F196" s="3">
        <v>1.5176381409999999</v>
      </c>
      <c r="H196" s="3">
        <v>4.281259436</v>
      </c>
      <c r="I196" s="3">
        <v>0.61928585700000005</v>
      </c>
      <c r="J196" s="3">
        <v>1.381050318</v>
      </c>
      <c r="K196" s="3">
        <v>2.956822426</v>
      </c>
      <c r="M196" s="3">
        <v>1.4272316979999999</v>
      </c>
      <c r="N196" s="3">
        <v>1.3068617920000001</v>
      </c>
      <c r="O196" s="3">
        <v>1.9346012349999999</v>
      </c>
      <c r="P196" s="3">
        <v>2.036812447</v>
      </c>
      <c r="R196" s="3">
        <v>9.3763996850000009</v>
      </c>
      <c r="S196" s="3">
        <v>-1.3838775130000001</v>
      </c>
      <c r="U196" s="3">
        <v>2.62018562</v>
      </c>
      <c r="V196" s="3">
        <v>3.5075771659999999</v>
      </c>
      <c r="W196" s="3">
        <v>8.3054064000000007</v>
      </c>
      <c r="X196" s="3">
        <v>6.7442688100000003</v>
      </c>
      <c r="Z196" s="3">
        <v>-6.9119948430000004</v>
      </c>
      <c r="AA196" s="3">
        <v>2.9959663249999999</v>
      </c>
      <c r="AB196" s="3">
        <v>3.7068057510000001</v>
      </c>
      <c r="AC196" s="3">
        <v>2.17608041</v>
      </c>
      <c r="AE196" s="3">
        <v>2.4854236890000001</v>
      </c>
      <c r="AF196" s="3">
        <v>5.7871451629999999</v>
      </c>
      <c r="AG196" s="3">
        <v>-3.5175088109999999</v>
      </c>
      <c r="AH196" s="3">
        <v>3.2738061109999999</v>
      </c>
      <c r="AI196" s="3">
        <v>4.1620506529999997</v>
      </c>
      <c r="AJ196" s="3">
        <v>2.1995799090000001</v>
      </c>
      <c r="AN196" s="3">
        <v>0.23542797500000001</v>
      </c>
      <c r="AP196" s="3">
        <v>1.6415106319999999</v>
      </c>
      <c r="AR196" s="3">
        <v>10.8</v>
      </c>
      <c r="AU196" s="88">
        <v>-4.9173277889999998</v>
      </c>
    </row>
    <row r="197" spans="1:47" x14ac:dyDescent="0.2">
      <c r="A197" s="88" t="s">
        <v>244</v>
      </c>
      <c r="B197" s="4">
        <v>35156</v>
      </c>
      <c r="C197" s="3">
        <v>4.4324720380000002</v>
      </c>
      <c r="E197" s="3">
        <v>1.026925133</v>
      </c>
      <c r="F197" s="3">
        <v>0.65194081800000003</v>
      </c>
      <c r="H197" s="3">
        <v>4.9779603449999996</v>
      </c>
      <c r="I197" s="3">
        <v>0.117692428</v>
      </c>
      <c r="J197" s="3">
        <v>0.87755667599999998</v>
      </c>
      <c r="K197" s="3">
        <v>2.3959618489999999</v>
      </c>
      <c r="M197" s="3">
        <v>4.1164302599999996</v>
      </c>
      <c r="N197" s="3">
        <v>1.3620429119999999</v>
      </c>
      <c r="O197" s="3">
        <v>2.111224913</v>
      </c>
      <c r="P197" s="3">
        <v>2.6325315859999998</v>
      </c>
      <c r="Q197" s="3">
        <v>9.4484127000000001E-2</v>
      </c>
      <c r="R197" s="3">
        <v>7.9196628980000003</v>
      </c>
      <c r="S197" s="3">
        <v>6.3547264749999997</v>
      </c>
      <c r="T197" s="3">
        <v>6.3831329940000003</v>
      </c>
      <c r="U197" s="3">
        <v>1.4327089200000001</v>
      </c>
      <c r="V197" s="3">
        <v>3.2211627370000002</v>
      </c>
      <c r="W197" s="3">
        <v>8.1119510849999994</v>
      </c>
      <c r="X197" s="3">
        <v>2.2551412009999998</v>
      </c>
      <c r="Y197" s="3">
        <v>-0.61203671000000004</v>
      </c>
      <c r="Z197" s="3">
        <v>1.4257320330000001</v>
      </c>
      <c r="AA197" s="3">
        <v>2.7202935209999999</v>
      </c>
      <c r="AB197" s="3">
        <v>6.1019773510000004</v>
      </c>
      <c r="AC197" s="3">
        <v>2.5194864149999998</v>
      </c>
      <c r="AD197" s="3">
        <v>8.3909661290000006</v>
      </c>
      <c r="AE197" s="3">
        <v>3.1146749059999999</v>
      </c>
      <c r="AF197" s="3">
        <v>5.9688757790000002</v>
      </c>
      <c r="AG197" s="3">
        <v>2.7686982759999998</v>
      </c>
      <c r="AH197" s="3">
        <v>2.6629631520000001</v>
      </c>
      <c r="AI197" s="3">
        <v>4.3482362669999999</v>
      </c>
      <c r="AJ197" s="3">
        <v>2.6011039930000002</v>
      </c>
      <c r="AK197" s="3">
        <v>1.313976456</v>
      </c>
      <c r="AN197" s="3">
        <v>1.1909821679999999</v>
      </c>
      <c r="AP197" s="3">
        <v>2.6968688840000001</v>
      </c>
      <c r="AR197" s="3">
        <v>10.9</v>
      </c>
      <c r="AU197" s="88">
        <v>-0.77166357100000005</v>
      </c>
    </row>
    <row r="198" spans="1:47" x14ac:dyDescent="0.2">
      <c r="A198" s="88" t="s">
        <v>245</v>
      </c>
      <c r="B198" s="4">
        <v>35247</v>
      </c>
      <c r="C198" s="3">
        <v>4.7925174889999997</v>
      </c>
      <c r="E198" s="3">
        <v>1.309798977</v>
      </c>
      <c r="F198" s="3">
        <v>1.311865775</v>
      </c>
      <c r="H198" s="3">
        <v>5.3014189490000003</v>
      </c>
      <c r="I198" s="3">
        <v>0.74013674100000004</v>
      </c>
      <c r="J198" s="3">
        <v>3.90660937</v>
      </c>
      <c r="K198" s="3">
        <v>2.516124698</v>
      </c>
      <c r="M198" s="3">
        <v>2.1928688599999999</v>
      </c>
      <c r="N198" s="3">
        <v>1.0509259849999999</v>
      </c>
      <c r="O198" s="3">
        <v>2.0811316400000002</v>
      </c>
      <c r="P198" s="3">
        <v>2.252642313</v>
      </c>
      <c r="Q198" s="3">
        <v>-0.41636855</v>
      </c>
      <c r="R198" s="3">
        <v>8.3863808140000007</v>
      </c>
      <c r="S198" s="3">
        <v>3.886748587</v>
      </c>
      <c r="T198" s="3">
        <v>5.2963480949999999</v>
      </c>
      <c r="U198" s="3">
        <v>1.430844588</v>
      </c>
      <c r="V198" s="3">
        <v>3.549464586</v>
      </c>
      <c r="W198" s="3">
        <v>8.1101791399999996</v>
      </c>
      <c r="X198" s="3">
        <v>3.4675788189999999</v>
      </c>
      <c r="Y198" s="3">
        <v>-1.138008328</v>
      </c>
      <c r="Z198" s="3">
        <v>8.0390887889999991</v>
      </c>
      <c r="AA198" s="3">
        <v>3.057056759</v>
      </c>
      <c r="AB198" s="3">
        <v>5.0399040709999996</v>
      </c>
      <c r="AC198" s="3">
        <v>3.330955425</v>
      </c>
      <c r="AD198" s="3">
        <v>8.8026603380000008</v>
      </c>
      <c r="AE198" s="3">
        <v>3.135435389</v>
      </c>
      <c r="AF198" s="3">
        <v>5.4801677499999997</v>
      </c>
      <c r="AG198" s="3">
        <v>15.677679067</v>
      </c>
      <c r="AH198" s="3">
        <v>1.363738141</v>
      </c>
      <c r="AI198" s="3">
        <v>3.938727069</v>
      </c>
      <c r="AJ198" s="3">
        <v>4.0021270639999997</v>
      </c>
      <c r="AK198" s="3">
        <v>1.522084547</v>
      </c>
      <c r="AN198" s="3">
        <v>0.70549532400000003</v>
      </c>
      <c r="AP198" s="3">
        <v>4.1579322830000001</v>
      </c>
      <c r="AR198" s="3">
        <v>9.4</v>
      </c>
      <c r="AU198" s="88">
        <v>5.4362585990000003</v>
      </c>
    </row>
    <row r="199" spans="1:47" x14ac:dyDescent="0.2">
      <c r="A199" s="88" t="s">
        <v>246</v>
      </c>
      <c r="B199" s="4">
        <v>35339</v>
      </c>
      <c r="C199" s="3">
        <v>3.2642556659999999</v>
      </c>
      <c r="E199" s="3">
        <v>1.1697046499999999</v>
      </c>
      <c r="F199" s="3">
        <v>2.0526832650000002</v>
      </c>
      <c r="H199" s="3">
        <v>2.7466179799999999</v>
      </c>
      <c r="I199" s="3">
        <v>0.90718403700000005</v>
      </c>
      <c r="J199" s="3">
        <v>3.7677123140000002</v>
      </c>
      <c r="K199" s="3">
        <v>2.9788823889999998</v>
      </c>
      <c r="M199" s="3">
        <v>3.25219704</v>
      </c>
      <c r="N199" s="3">
        <v>1.5932888590000001</v>
      </c>
      <c r="O199" s="3">
        <v>2.285552708</v>
      </c>
      <c r="P199" s="3">
        <v>3.088905697</v>
      </c>
      <c r="Q199" s="3">
        <v>-0.53112594700000004</v>
      </c>
      <c r="R199" s="3">
        <v>5.7720286979999997</v>
      </c>
      <c r="S199" s="3">
        <v>2.8897116559999998</v>
      </c>
      <c r="T199" s="3">
        <v>5.2764363080000001</v>
      </c>
      <c r="U199" s="3">
        <v>1.1384333680000001</v>
      </c>
      <c r="V199" s="3">
        <v>2.4785811459999998</v>
      </c>
      <c r="W199" s="3">
        <v>7.7745011499999999</v>
      </c>
      <c r="X199" s="3">
        <v>2.4050497210000001</v>
      </c>
      <c r="Y199" s="3">
        <v>3.4600296450000001</v>
      </c>
      <c r="Z199" s="3">
        <v>7.8306644189999997</v>
      </c>
      <c r="AA199" s="3">
        <v>3.6852796049999998</v>
      </c>
      <c r="AB199" s="3">
        <v>6.0415903499999999</v>
      </c>
      <c r="AC199" s="3">
        <v>3.2176332140000001</v>
      </c>
      <c r="AD199" s="3">
        <v>5.9761402830000003</v>
      </c>
      <c r="AE199" s="3">
        <v>4.0832396019999999</v>
      </c>
      <c r="AF199" s="3">
        <v>7.4597698919999997</v>
      </c>
      <c r="AH199" s="3">
        <v>1.347017409</v>
      </c>
      <c r="AI199" s="3">
        <v>3.6569379039999999</v>
      </c>
      <c r="AJ199" s="3">
        <v>4.0499213899999997</v>
      </c>
      <c r="AK199" s="3">
        <v>1.8324207020000001</v>
      </c>
      <c r="AN199" s="3">
        <v>-0.10312895</v>
      </c>
      <c r="AP199" s="3">
        <v>4.887178939</v>
      </c>
      <c r="AR199" s="3">
        <v>9.1999999999999993</v>
      </c>
      <c r="AU199" s="88">
        <v>8.2760598040000009</v>
      </c>
    </row>
    <row r="200" spans="1:47" x14ac:dyDescent="0.2">
      <c r="A200" s="88" t="s">
        <v>247</v>
      </c>
      <c r="B200" s="4">
        <v>35431</v>
      </c>
      <c r="C200" s="3">
        <v>4.1767752659999999</v>
      </c>
      <c r="E200" s="3">
        <v>1.7578966380000001</v>
      </c>
      <c r="F200" s="3">
        <v>2.4547085740000001</v>
      </c>
      <c r="H200" s="3">
        <v>3.673384172</v>
      </c>
      <c r="I200" s="3">
        <v>1.6195632419999999</v>
      </c>
      <c r="J200" s="3">
        <v>3.049006173</v>
      </c>
      <c r="K200" s="3">
        <v>2.7472162569999998</v>
      </c>
      <c r="M200" s="3">
        <v>5.134502586</v>
      </c>
      <c r="N200" s="3">
        <v>1.546589623</v>
      </c>
      <c r="O200" s="3">
        <v>3.4775037160000002</v>
      </c>
      <c r="P200" s="3">
        <v>3.5811319720000001</v>
      </c>
      <c r="Q200" s="3">
        <v>1.1374456019999999</v>
      </c>
      <c r="R200" s="3">
        <v>6.1951620390000004</v>
      </c>
      <c r="S200" s="3">
        <v>5.172166153</v>
      </c>
      <c r="T200" s="3">
        <v>6.0198684919999996</v>
      </c>
      <c r="U200" s="3">
        <v>1.0822627E-2</v>
      </c>
      <c r="V200" s="3">
        <v>3.372553205</v>
      </c>
      <c r="W200" s="3">
        <v>7.5851555900000003</v>
      </c>
      <c r="X200" s="3">
        <v>-2.320705502</v>
      </c>
      <c r="Y200" s="3">
        <v>8.7270354950000009</v>
      </c>
      <c r="Z200" s="3">
        <v>8.9828786429999994</v>
      </c>
      <c r="AA200" s="3">
        <v>3.6838023940000002</v>
      </c>
      <c r="AB200" s="3">
        <v>3.0689410439999998</v>
      </c>
      <c r="AC200" s="3">
        <v>3.6298395120000002</v>
      </c>
      <c r="AD200" s="3">
        <v>1.8262152469999999</v>
      </c>
      <c r="AE200" s="3">
        <v>3.6746886189999999</v>
      </c>
      <c r="AF200" s="3">
        <v>7.5321892149999998</v>
      </c>
      <c r="AH200" s="3">
        <v>1.0071305450000001</v>
      </c>
      <c r="AI200" s="3">
        <v>4.3230302199999997</v>
      </c>
      <c r="AJ200" s="3">
        <v>4.4213144519999998</v>
      </c>
      <c r="AK200" s="3">
        <v>1.9014145069999999</v>
      </c>
      <c r="AN200" s="3">
        <v>0.46494836499999997</v>
      </c>
      <c r="AP200" s="3">
        <v>5.4657126480000002</v>
      </c>
      <c r="AR200" s="3">
        <v>10.3</v>
      </c>
      <c r="AU200" s="88">
        <v>9.410196998</v>
      </c>
    </row>
    <row r="201" spans="1:47" x14ac:dyDescent="0.2">
      <c r="A201" s="88" t="s">
        <v>248</v>
      </c>
      <c r="B201" s="4">
        <v>35521</v>
      </c>
      <c r="C201" s="3">
        <v>3.0594430849999998</v>
      </c>
      <c r="E201" s="3">
        <v>2.9854071520000001</v>
      </c>
      <c r="F201" s="3">
        <v>3.7348895089999998</v>
      </c>
      <c r="H201" s="3">
        <v>0.85551421100000002</v>
      </c>
      <c r="I201" s="3">
        <v>1.9205127019999999</v>
      </c>
      <c r="J201" s="3">
        <v>4.3267001179999998</v>
      </c>
      <c r="K201" s="3">
        <v>3.1805677819999998</v>
      </c>
      <c r="M201" s="3">
        <v>4.4901087049999999</v>
      </c>
      <c r="N201" s="3">
        <v>1.2217648830000001</v>
      </c>
      <c r="O201" s="3">
        <v>4.8399615499999999</v>
      </c>
      <c r="P201" s="3">
        <v>3.6099204560000002</v>
      </c>
      <c r="Q201" s="3">
        <v>1.372407019</v>
      </c>
      <c r="R201" s="3">
        <v>7.2315504270000002</v>
      </c>
      <c r="S201" s="3">
        <v>4.9790982530000001</v>
      </c>
      <c r="T201" s="3">
        <v>5.4078303270000001</v>
      </c>
      <c r="U201" s="3">
        <v>0.27730847800000002</v>
      </c>
      <c r="V201" s="3">
        <v>2.790242573</v>
      </c>
      <c r="W201" s="3">
        <v>6.0648618689999996</v>
      </c>
      <c r="X201" s="3">
        <v>3.7524811229999999</v>
      </c>
      <c r="Y201" s="3">
        <v>7.7879389879999996</v>
      </c>
      <c r="Z201" s="3">
        <v>6.3019529529999998</v>
      </c>
      <c r="AA201" s="3">
        <v>4.3861176650000004</v>
      </c>
      <c r="AB201" s="3">
        <v>4.2616248829999996</v>
      </c>
      <c r="AC201" s="3">
        <v>3.5396670929999998</v>
      </c>
      <c r="AD201" s="3">
        <v>6.031031263</v>
      </c>
      <c r="AE201" s="3">
        <v>4.5539999690000004</v>
      </c>
      <c r="AF201" s="3">
        <v>6.8064536609999999</v>
      </c>
      <c r="AH201" s="3">
        <v>1.2889462549999999</v>
      </c>
      <c r="AI201" s="3">
        <v>2.5137936089999999</v>
      </c>
      <c r="AJ201" s="3">
        <v>4.3141345409999996</v>
      </c>
      <c r="AK201" s="3">
        <v>1.998159843</v>
      </c>
      <c r="AN201" s="3">
        <v>0.777069177</v>
      </c>
      <c r="AP201" s="3">
        <v>4.3050430820000001</v>
      </c>
      <c r="AR201" s="3">
        <v>10.1</v>
      </c>
      <c r="AT201" s="3">
        <v>4.7827459799999996</v>
      </c>
      <c r="AU201" s="88">
        <v>8.7186427490000007</v>
      </c>
    </row>
    <row r="202" spans="1:47" x14ac:dyDescent="0.2">
      <c r="A202" s="88" t="s">
        <v>249</v>
      </c>
      <c r="B202" s="4">
        <v>35612</v>
      </c>
      <c r="C202" s="3">
        <v>5.3474467570000002</v>
      </c>
      <c r="E202" s="3">
        <v>3.849557522</v>
      </c>
      <c r="F202" s="3">
        <v>4.1813046429999998</v>
      </c>
      <c r="H202" s="3">
        <v>-0.17551285599999999</v>
      </c>
      <c r="I202" s="3">
        <v>1.8560924430000001</v>
      </c>
      <c r="J202" s="3">
        <v>3.320563274</v>
      </c>
      <c r="K202" s="3">
        <v>3.3533221919999998</v>
      </c>
      <c r="M202" s="3">
        <v>5.2462617219999998</v>
      </c>
      <c r="N202" s="3">
        <v>2.2085204040000002</v>
      </c>
      <c r="O202" s="3">
        <v>5.3967781759999998</v>
      </c>
      <c r="P202" s="3">
        <v>4.7848213590000004</v>
      </c>
      <c r="Q202" s="3">
        <v>3.200492294</v>
      </c>
      <c r="R202" s="3">
        <v>9.9279833499999999</v>
      </c>
      <c r="S202" s="3">
        <v>5.2539259960000004</v>
      </c>
      <c r="T202" s="3">
        <v>4.5773011449999998</v>
      </c>
      <c r="U202" s="3">
        <v>1.4741485860000001</v>
      </c>
      <c r="V202" s="3">
        <v>0.74231989499999995</v>
      </c>
      <c r="W202" s="3">
        <v>7.6559367079999996</v>
      </c>
      <c r="X202" s="3">
        <v>4.7892277439999997</v>
      </c>
      <c r="Y202" s="3">
        <v>12.651104192</v>
      </c>
      <c r="Z202" s="3">
        <v>7.3483530940000001</v>
      </c>
      <c r="AA202" s="3">
        <v>4.3099945569999996</v>
      </c>
      <c r="AB202" s="3">
        <v>6.9232865090000004</v>
      </c>
      <c r="AC202" s="3">
        <v>3.6564202940000001</v>
      </c>
      <c r="AD202" s="3">
        <v>5.1781359220000001</v>
      </c>
      <c r="AE202" s="3">
        <v>4.2534843499999999</v>
      </c>
      <c r="AF202" s="3">
        <v>7.1123590630000004</v>
      </c>
      <c r="AH202" s="3">
        <v>3.2349668170000001</v>
      </c>
      <c r="AI202" s="3">
        <v>3.6193180210000002</v>
      </c>
      <c r="AJ202" s="3">
        <v>4.3080749789999997</v>
      </c>
      <c r="AK202" s="3">
        <v>2.4742592710000002</v>
      </c>
      <c r="AN202" s="3">
        <v>1.649207536</v>
      </c>
      <c r="AO202" s="3">
        <v>3.2718699999999998</v>
      </c>
      <c r="AP202" s="3">
        <v>3.0135949379999998</v>
      </c>
      <c r="AR202" s="3">
        <v>10</v>
      </c>
      <c r="AT202" s="3">
        <v>4.5764829039999997</v>
      </c>
      <c r="AU202" s="88">
        <v>7.9303330599999997</v>
      </c>
    </row>
    <row r="203" spans="1:47" x14ac:dyDescent="0.2">
      <c r="A203" s="88" t="s">
        <v>250</v>
      </c>
      <c r="B203" s="4">
        <v>35704</v>
      </c>
      <c r="C203" s="3">
        <v>4.6543964290000002</v>
      </c>
      <c r="E203" s="3">
        <v>4.2847508019999996</v>
      </c>
      <c r="F203" s="3">
        <v>4.5112719959999996</v>
      </c>
      <c r="H203" s="3">
        <v>-1.270408896</v>
      </c>
      <c r="I203" s="3">
        <v>1.8365648809999999</v>
      </c>
      <c r="J203" s="3">
        <v>2.7383265689999998</v>
      </c>
      <c r="K203" s="3">
        <v>3.6941371410000001</v>
      </c>
      <c r="M203" s="3">
        <v>7.1058599549999997</v>
      </c>
      <c r="N203" s="3">
        <v>2.382333826</v>
      </c>
      <c r="O203" s="3">
        <v>4.9248016369999998</v>
      </c>
      <c r="P203" s="3">
        <v>5.0277661580000004</v>
      </c>
      <c r="Q203" s="3">
        <v>4.2138460049999997</v>
      </c>
      <c r="R203" s="3">
        <v>12.562889137000001</v>
      </c>
      <c r="S203" s="3">
        <v>6.1305583329999997</v>
      </c>
      <c r="T203" s="3">
        <v>3.2766659690000002</v>
      </c>
      <c r="U203" s="3">
        <v>1.97320914</v>
      </c>
      <c r="V203" s="3">
        <v>0.81472847500000001</v>
      </c>
      <c r="W203" s="3">
        <v>6.632700464</v>
      </c>
      <c r="X203" s="3">
        <v>8.0507930460000008</v>
      </c>
      <c r="Y203" s="3">
        <v>10.676380052000001</v>
      </c>
      <c r="Z203" s="3">
        <v>7.5637580140000003</v>
      </c>
      <c r="AA203" s="3">
        <v>4.364193094</v>
      </c>
      <c r="AB203" s="3">
        <v>3.3636893109999999</v>
      </c>
      <c r="AC203" s="3">
        <v>3.8266462479999999</v>
      </c>
      <c r="AD203" s="3">
        <v>4.0020005049999998</v>
      </c>
      <c r="AE203" s="3">
        <v>4.1960411479999999</v>
      </c>
      <c r="AF203" s="3">
        <v>6.2314067399999997</v>
      </c>
      <c r="AH203" s="3">
        <v>3.5720457489999999</v>
      </c>
      <c r="AI203" s="3">
        <v>2.6799703099999999</v>
      </c>
      <c r="AJ203" s="3">
        <v>4.6738025749999998</v>
      </c>
      <c r="AK203" s="3">
        <v>2.737284517</v>
      </c>
      <c r="AN203" s="3">
        <v>3.2085124399999998</v>
      </c>
      <c r="AO203" s="3">
        <v>3.9952100000000002</v>
      </c>
      <c r="AP203" s="3">
        <v>2.0704865620000001</v>
      </c>
      <c r="AR203" s="3">
        <v>8.6</v>
      </c>
      <c r="AT203" s="3">
        <v>1.872342932</v>
      </c>
      <c r="AU203" s="88">
        <v>8.1630179300000005</v>
      </c>
    </row>
    <row r="204" spans="1:47" x14ac:dyDescent="0.2">
      <c r="A204" s="88" t="s">
        <v>251</v>
      </c>
      <c r="B204" s="4">
        <v>35796</v>
      </c>
      <c r="C204" s="3">
        <v>5.1866058009999998</v>
      </c>
      <c r="E204" s="3">
        <v>4.0450113349999999</v>
      </c>
      <c r="F204" s="3">
        <v>4.6802185999999999</v>
      </c>
      <c r="H204" s="3">
        <v>-1.5643183119999999</v>
      </c>
      <c r="I204" s="3">
        <v>1.8232226090000001</v>
      </c>
      <c r="J204" s="3">
        <v>2.6893725270000002</v>
      </c>
      <c r="K204" s="3">
        <v>4.5665101049999999</v>
      </c>
      <c r="M204" s="3">
        <v>8.2339361289999999</v>
      </c>
      <c r="N204" s="3">
        <v>3.3703729490000001</v>
      </c>
      <c r="O204" s="3">
        <v>4.7458630389999996</v>
      </c>
      <c r="P204" s="3">
        <v>4.9176276630000002</v>
      </c>
      <c r="Q204" s="3">
        <v>3.812848061</v>
      </c>
      <c r="R204" s="3">
        <v>12.807542044</v>
      </c>
      <c r="S204" s="3">
        <v>6.7253382159999999</v>
      </c>
      <c r="T204" s="3">
        <v>3.4701571480000002</v>
      </c>
      <c r="U204" s="3">
        <v>4.056785552</v>
      </c>
      <c r="V204" s="3">
        <v>-0.25950105099999998</v>
      </c>
      <c r="W204" s="3">
        <v>4.3807778529999997</v>
      </c>
      <c r="X204" s="3">
        <v>6.2666825260000003</v>
      </c>
      <c r="Y204" s="3">
        <v>5.1934873210000001</v>
      </c>
      <c r="Z204" s="3">
        <v>7.0081397120000002</v>
      </c>
      <c r="AA204" s="3">
        <v>4.9569828249999999</v>
      </c>
      <c r="AB204" s="3">
        <v>6.5331320699999997</v>
      </c>
      <c r="AC204" s="3">
        <v>3.7863312549999999</v>
      </c>
      <c r="AD204" s="3">
        <v>10.217632839</v>
      </c>
      <c r="AE204" s="3">
        <v>4.6012456019999997</v>
      </c>
      <c r="AF204" s="3">
        <v>3.6580140800000001</v>
      </c>
      <c r="AH204" s="3">
        <v>4.9499944349999998</v>
      </c>
      <c r="AI204" s="3">
        <v>1.1178510180000001</v>
      </c>
      <c r="AJ204" s="3">
        <v>4.4876844580000004</v>
      </c>
      <c r="AK204" s="3">
        <v>3.4291908379999998</v>
      </c>
      <c r="AN204" s="3">
        <v>3.3088460660000001</v>
      </c>
      <c r="AO204" s="3">
        <v>4.0108499999999996</v>
      </c>
      <c r="AP204" s="3">
        <v>1.2641728299999999</v>
      </c>
      <c r="AR204" s="3">
        <v>8.6</v>
      </c>
      <c r="AT204" s="3">
        <v>3.7265965699999999</v>
      </c>
      <c r="AU204" s="88">
        <v>7.6628909869999999</v>
      </c>
    </row>
    <row r="205" spans="1:47" x14ac:dyDescent="0.2">
      <c r="A205" s="88" t="s">
        <v>252</v>
      </c>
      <c r="B205" s="4">
        <v>35886</v>
      </c>
      <c r="C205" s="3">
        <v>5.264865125</v>
      </c>
      <c r="E205" s="3">
        <v>3.2801514329999999</v>
      </c>
      <c r="F205" s="3">
        <v>4.7765522340000004</v>
      </c>
      <c r="H205" s="3">
        <v>-1.1606668149999999</v>
      </c>
      <c r="I205" s="3">
        <v>3.3392338810000002</v>
      </c>
      <c r="J205" s="3">
        <v>2.9456331389999999</v>
      </c>
      <c r="K205" s="3">
        <v>4.4224996130000003</v>
      </c>
      <c r="M205" s="3">
        <v>6.1931278010000002</v>
      </c>
      <c r="N205" s="3">
        <v>3.923056324</v>
      </c>
      <c r="O205" s="3">
        <v>3.7247113430000001</v>
      </c>
      <c r="P205" s="3">
        <v>5.5748591770000004</v>
      </c>
      <c r="Q205" s="3">
        <v>3.7470669029999999</v>
      </c>
      <c r="R205" s="3">
        <v>10.237657856</v>
      </c>
      <c r="S205" s="3">
        <v>-0.35297505699999998</v>
      </c>
      <c r="T205" s="3">
        <v>3.7889089079999998</v>
      </c>
      <c r="U205" s="3">
        <v>3.0455859830000001</v>
      </c>
      <c r="V205" s="3">
        <v>-1.7325517930000001</v>
      </c>
      <c r="W205" s="3">
        <v>-3.1890635450000002</v>
      </c>
      <c r="X205" s="3">
        <v>6.0762965209999997</v>
      </c>
      <c r="Y205" s="3">
        <v>12.488610237</v>
      </c>
      <c r="Z205" s="3">
        <v>7.8361639780000001</v>
      </c>
      <c r="AA205" s="3">
        <v>5.2249159440000001</v>
      </c>
      <c r="AB205" s="3">
        <v>4.7484395670000001</v>
      </c>
      <c r="AC205" s="3">
        <v>3.5879535219999998</v>
      </c>
      <c r="AD205" s="3">
        <v>5.6587960559999999</v>
      </c>
      <c r="AE205" s="3">
        <v>4.398434698</v>
      </c>
      <c r="AF205" s="3">
        <v>4.4281037630000002</v>
      </c>
      <c r="AH205" s="3">
        <v>4.424019725</v>
      </c>
      <c r="AI205" s="3">
        <v>0.89261274000000002</v>
      </c>
      <c r="AJ205" s="3">
        <v>4.8550058829999996</v>
      </c>
      <c r="AK205" s="3">
        <v>3.8417492499999999</v>
      </c>
      <c r="AN205" s="3">
        <v>3.4951610870000001</v>
      </c>
      <c r="AO205" s="3">
        <v>4.9169499999999999</v>
      </c>
      <c r="AP205" s="3">
        <v>1.1017093529999999</v>
      </c>
      <c r="AR205" s="3">
        <v>7.3</v>
      </c>
      <c r="AT205" s="3">
        <v>0.74816758999999999</v>
      </c>
      <c r="AU205" s="88">
        <v>5.993873078</v>
      </c>
    </row>
    <row r="206" spans="1:47" x14ac:dyDescent="0.2">
      <c r="A206" s="88" t="s">
        <v>253</v>
      </c>
      <c r="B206" s="4">
        <v>35977</v>
      </c>
      <c r="C206" s="3">
        <v>3.2450052899999999</v>
      </c>
      <c r="E206" s="3">
        <v>2.0451640389999999</v>
      </c>
      <c r="F206" s="3">
        <v>3.661507904</v>
      </c>
      <c r="H206" s="3">
        <v>-0.57459312600000001</v>
      </c>
      <c r="I206" s="3">
        <v>1.575506415</v>
      </c>
      <c r="J206" s="3">
        <v>0.44307299100000003</v>
      </c>
      <c r="K206" s="3">
        <v>4.6511873689999996</v>
      </c>
      <c r="M206" s="3">
        <v>6.7158987530000003</v>
      </c>
      <c r="N206" s="3">
        <v>3.6975028860000001</v>
      </c>
      <c r="O206" s="3">
        <v>3.7749163110000001</v>
      </c>
      <c r="P206" s="3">
        <v>4.2545392660000001</v>
      </c>
      <c r="Q206" s="3">
        <v>4.136867842</v>
      </c>
      <c r="R206" s="3">
        <v>8.6543138049999992</v>
      </c>
      <c r="S206" s="3">
        <v>9.1079244500000005</v>
      </c>
      <c r="T206" s="3">
        <v>3.2940119939999999</v>
      </c>
      <c r="U206" s="3">
        <v>2.3046764450000001</v>
      </c>
      <c r="V206" s="3">
        <v>-1.4182862679999999</v>
      </c>
      <c r="W206" s="3">
        <v>-7.263875197</v>
      </c>
      <c r="X206" s="3">
        <v>6.4729520029999996</v>
      </c>
      <c r="Y206" s="3">
        <v>7.4766006129999996</v>
      </c>
      <c r="Z206" s="3">
        <v>6.1772703480000004</v>
      </c>
      <c r="AA206" s="3">
        <v>4.8858975940000002</v>
      </c>
      <c r="AB206" s="3">
        <v>3.4400673500000001</v>
      </c>
      <c r="AC206" s="3">
        <v>2.772258704</v>
      </c>
      <c r="AD206" s="3">
        <v>3.9499791910000002</v>
      </c>
      <c r="AE206" s="3">
        <v>5.0472234340000002</v>
      </c>
      <c r="AF206" s="3">
        <v>2.9329039099999998</v>
      </c>
      <c r="AH206" s="3">
        <v>4.6265792460000004</v>
      </c>
      <c r="AI206" s="3">
        <v>-0.57995474199999997</v>
      </c>
      <c r="AJ206" s="3">
        <v>4.0957268410000003</v>
      </c>
      <c r="AK206" s="3">
        <v>3.0396601589999999</v>
      </c>
      <c r="AN206" s="3">
        <v>4.017872627</v>
      </c>
      <c r="AO206" s="3">
        <v>5.8582799999999997</v>
      </c>
      <c r="AP206" s="3">
        <v>0.62912005500000001</v>
      </c>
      <c r="AR206" s="3">
        <v>6.9</v>
      </c>
      <c r="AT206" s="3">
        <v>1.6656719659999999</v>
      </c>
      <c r="AU206" s="88">
        <v>6.4868224349999997</v>
      </c>
    </row>
    <row r="207" spans="1:47" x14ac:dyDescent="0.2">
      <c r="A207" s="88" t="s">
        <v>254</v>
      </c>
      <c r="B207" s="4">
        <v>36069</v>
      </c>
      <c r="C207" s="3">
        <v>5.1070475389999999</v>
      </c>
      <c r="E207" s="3">
        <v>1.4491988490000001</v>
      </c>
      <c r="F207" s="3">
        <v>3.381592962</v>
      </c>
      <c r="H207" s="3">
        <v>4.8266944999999999E-2</v>
      </c>
      <c r="I207" s="3">
        <v>1.734068336</v>
      </c>
      <c r="J207" s="3">
        <v>2.5781058319999999</v>
      </c>
      <c r="K207" s="3">
        <v>4.3980719920000002</v>
      </c>
      <c r="M207" s="3">
        <v>5.5678996209999996</v>
      </c>
      <c r="N207" s="3">
        <v>3.599677002</v>
      </c>
      <c r="O207" s="3">
        <v>3.7790795450000001</v>
      </c>
      <c r="P207" s="3">
        <v>2.975993538</v>
      </c>
      <c r="Q207" s="3">
        <v>4.1771456059999998</v>
      </c>
      <c r="R207" s="3">
        <v>10.861195481999999</v>
      </c>
      <c r="S207" s="3">
        <v>10.067178757000001</v>
      </c>
      <c r="T207" s="3">
        <v>4.2504585500000003</v>
      </c>
      <c r="U207" s="3">
        <v>1.7574128440000001</v>
      </c>
      <c r="V207" s="3">
        <v>-1.4383245170000001</v>
      </c>
      <c r="W207" s="3">
        <v>-6.3848271839999997</v>
      </c>
      <c r="X207" s="3">
        <v>5.5697891750000004</v>
      </c>
      <c r="Y207" s="3">
        <v>4.6056536640000001</v>
      </c>
      <c r="Z207" s="3">
        <v>4.6254918109999998</v>
      </c>
      <c r="AA207" s="3">
        <v>4.2664461139999998</v>
      </c>
      <c r="AB207" s="3">
        <v>1.6941162030000001</v>
      </c>
      <c r="AC207" s="3">
        <v>2.5857884580000001</v>
      </c>
      <c r="AD207" s="3">
        <v>5.0981218789999998</v>
      </c>
      <c r="AE207" s="3">
        <v>4.847647587</v>
      </c>
      <c r="AF207" s="3">
        <v>0.45907996000000001</v>
      </c>
      <c r="AH207" s="3">
        <v>4.3719975389999997</v>
      </c>
      <c r="AI207" s="3">
        <v>-0.15700468400000001</v>
      </c>
      <c r="AJ207" s="3">
        <v>4.0977686230000003</v>
      </c>
      <c r="AK207" s="3">
        <v>2.8447136319999999</v>
      </c>
      <c r="AN207" s="3">
        <v>2.8250357070000001</v>
      </c>
      <c r="AO207" s="3">
        <v>6.5088699999999999</v>
      </c>
      <c r="AP207" s="3">
        <v>0.19926933099999999</v>
      </c>
      <c r="AR207" s="3">
        <v>7.8</v>
      </c>
      <c r="AT207" s="3">
        <v>0.492390828</v>
      </c>
      <c r="AU207" s="88">
        <v>3.5557256609999999</v>
      </c>
    </row>
    <row r="208" spans="1:47" x14ac:dyDescent="0.2">
      <c r="A208" s="88" t="s">
        <v>255</v>
      </c>
      <c r="B208" s="4">
        <v>36161</v>
      </c>
      <c r="C208" s="3">
        <v>5.2280997429999996</v>
      </c>
      <c r="E208" s="3">
        <v>1.1130361740000001</v>
      </c>
      <c r="F208" s="3">
        <v>3.7833187339999998</v>
      </c>
      <c r="H208" s="3">
        <v>0.31325931299999998</v>
      </c>
      <c r="I208" s="3">
        <v>0.56970094800000004</v>
      </c>
      <c r="J208" s="3">
        <v>2.9211877319999999</v>
      </c>
      <c r="K208" s="3">
        <v>4.1090174829999997</v>
      </c>
      <c r="M208" s="3">
        <v>3.4558935549999998</v>
      </c>
      <c r="N208" s="3">
        <v>3.2612043000000002</v>
      </c>
      <c r="O208" s="3">
        <v>3.5549165770000002</v>
      </c>
      <c r="P208" s="3">
        <v>2.8072379789999999</v>
      </c>
      <c r="Q208" s="3">
        <v>3.3776963719999999</v>
      </c>
      <c r="R208" s="3">
        <v>5.8489650690000001</v>
      </c>
      <c r="S208" s="3">
        <v>10.565392908</v>
      </c>
      <c r="T208" s="3">
        <v>3.341054771</v>
      </c>
      <c r="U208" s="3">
        <v>-0.44430910099999998</v>
      </c>
      <c r="V208" s="3">
        <v>-0.681466778</v>
      </c>
      <c r="W208" s="3">
        <v>-3.6086065399999998</v>
      </c>
      <c r="X208" s="3">
        <v>6.01025293</v>
      </c>
      <c r="Y208" s="3">
        <v>1.2772633360000001</v>
      </c>
      <c r="Z208" s="3">
        <v>2.319539942</v>
      </c>
      <c r="AA208" s="3">
        <v>3.887741933</v>
      </c>
      <c r="AB208" s="3">
        <v>0.79012306399999999</v>
      </c>
      <c r="AC208" s="3">
        <v>2.5244809880000001</v>
      </c>
      <c r="AD208" s="3">
        <v>3.584619236</v>
      </c>
      <c r="AE208" s="3">
        <v>4.9318881450000003</v>
      </c>
      <c r="AF208" s="3">
        <v>8.4989374170000005</v>
      </c>
      <c r="AH208" s="3">
        <v>3.4954689819999998</v>
      </c>
      <c r="AI208" s="3">
        <v>1.0531791619999999</v>
      </c>
      <c r="AJ208" s="3">
        <v>4.8795407759999998</v>
      </c>
      <c r="AK208" s="3">
        <v>1.85732662</v>
      </c>
      <c r="AN208" s="3">
        <v>1.8001279059999999</v>
      </c>
      <c r="AO208" s="3">
        <v>6.2047100000000004</v>
      </c>
      <c r="AP208" s="3">
        <v>0.144901576</v>
      </c>
      <c r="AR208" s="3">
        <v>9.1</v>
      </c>
      <c r="AT208" s="3">
        <v>-1.462151856</v>
      </c>
      <c r="AU208" s="88">
        <v>-0.42983384800000002</v>
      </c>
    </row>
    <row r="209" spans="1:47" x14ac:dyDescent="0.2">
      <c r="A209" s="88" t="s">
        <v>256</v>
      </c>
      <c r="B209" s="4">
        <v>36251</v>
      </c>
      <c r="C209" s="3">
        <v>5.3207232769999999</v>
      </c>
      <c r="E209" s="3">
        <v>1.9047993089999999</v>
      </c>
      <c r="F209" s="3">
        <v>4.1941041669999999</v>
      </c>
      <c r="H209" s="3">
        <v>0.38975258499999998</v>
      </c>
      <c r="I209" s="3">
        <v>0.78150363700000003</v>
      </c>
      <c r="J209" s="3">
        <v>2.3110575400000002</v>
      </c>
      <c r="K209" s="3">
        <v>4.2351979980000003</v>
      </c>
      <c r="M209" s="3">
        <v>5.934262693</v>
      </c>
      <c r="N209" s="3">
        <v>2.9196192110000001</v>
      </c>
      <c r="O209" s="3">
        <v>3.2255762109999999</v>
      </c>
      <c r="P209" s="3">
        <v>2.3617043550000001</v>
      </c>
      <c r="Q209" s="3">
        <v>2.5055101510000002</v>
      </c>
      <c r="R209" s="3">
        <v>9.3887344349999999</v>
      </c>
      <c r="S209" s="3">
        <v>13.130337029</v>
      </c>
      <c r="T209" s="3">
        <v>0.97411349899999999</v>
      </c>
      <c r="U209" s="3">
        <v>0.85330275600000005</v>
      </c>
      <c r="V209" s="3">
        <v>-0.84031723700000005</v>
      </c>
      <c r="W209" s="3">
        <v>6.5833975389999999</v>
      </c>
      <c r="X209" s="3">
        <v>7.2990350069999996</v>
      </c>
      <c r="Y209" s="3">
        <v>-0.58095229500000001</v>
      </c>
      <c r="Z209" s="3">
        <v>2.4488362810000002</v>
      </c>
      <c r="AA209" s="3">
        <v>4.2134169999999997</v>
      </c>
      <c r="AB209" s="3">
        <v>0.54904681600000005</v>
      </c>
      <c r="AC209" s="3">
        <v>2.7289064349999999</v>
      </c>
      <c r="AD209" s="3">
        <v>1.3812531139999999</v>
      </c>
      <c r="AE209" s="3">
        <v>4.809349106</v>
      </c>
      <c r="AF209" s="3">
        <v>3.1054397410000001</v>
      </c>
      <c r="AH209" s="3">
        <v>4.2766177150000004</v>
      </c>
      <c r="AI209" s="3">
        <v>2.853981315</v>
      </c>
      <c r="AJ209" s="3">
        <v>4.8218579320000003</v>
      </c>
      <c r="AK209" s="3">
        <v>2.201996576</v>
      </c>
      <c r="AN209" s="3">
        <v>0.98187155699999995</v>
      </c>
      <c r="AO209" s="3">
        <v>6.1985200000000003</v>
      </c>
      <c r="AP209" s="3">
        <v>0.93823547699999998</v>
      </c>
      <c r="AR209" s="3">
        <v>8.9</v>
      </c>
      <c r="AS209" s="3">
        <v>-4.0900212749999998</v>
      </c>
      <c r="AT209" s="3">
        <v>0.79750202299999995</v>
      </c>
      <c r="AU209" s="88">
        <v>-2.1764920640000001</v>
      </c>
    </row>
    <row r="210" spans="1:47" x14ac:dyDescent="0.2">
      <c r="A210" s="88" t="s">
        <v>257</v>
      </c>
      <c r="B210" s="4">
        <v>36342</v>
      </c>
      <c r="C210" s="3">
        <v>4.6448190370000004</v>
      </c>
      <c r="E210" s="3">
        <v>2.956680585</v>
      </c>
      <c r="F210" s="3">
        <v>5.0096612140000003</v>
      </c>
      <c r="H210" s="3">
        <v>0.46980111899999999</v>
      </c>
      <c r="I210" s="3">
        <v>1.220940342</v>
      </c>
      <c r="J210" s="3">
        <v>3.6219454010000001</v>
      </c>
      <c r="K210" s="3">
        <v>4.2950051499999997</v>
      </c>
      <c r="M210" s="3">
        <v>4.3902316719999996</v>
      </c>
      <c r="N210" s="3">
        <v>2.8144243379999998</v>
      </c>
      <c r="O210" s="3">
        <v>2.453897623</v>
      </c>
      <c r="P210" s="3">
        <v>2.8619761800000001</v>
      </c>
      <c r="Q210" s="3">
        <v>2.1224165519999998</v>
      </c>
      <c r="R210" s="3">
        <v>8.469501996</v>
      </c>
      <c r="S210" s="3">
        <v>0.14220792800000001</v>
      </c>
      <c r="T210" s="3">
        <v>5.145577007</v>
      </c>
      <c r="U210" s="3">
        <v>0.66973876700000001</v>
      </c>
      <c r="V210" s="3">
        <v>-2.4738889E-2</v>
      </c>
      <c r="W210" s="3">
        <v>12.161310752</v>
      </c>
      <c r="X210" s="3">
        <v>7.4775248540000003</v>
      </c>
      <c r="Y210" s="3">
        <v>-1.370516965</v>
      </c>
      <c r="Z210" s="3">
        <v>2.2921949449999999</v>
      </c>
      <c r="AA210" s="3">
        <v>4.6244231960000004</v>
      </c>
      <c r="AB210" s="3">
        <v>-0.53229307000000003</v>
      </c>
      <c r="AC210" s="3">
        <v>2.98790742</v>
      </c>
      <c r="AD210" s="3">
        <v>4.0123182479999997</v>
      </c>
      <c r="AE210" s="3">
        <v>3.7630549900000001</v>
      </c>
      <c r="AF210" s="3">
        <v>1.331413784</v>
      </c>
      <c r="AH210" s="3">
        <v>3.4944787800000001</v>
      </c>
      <c r="AI210" s="3">
        <v>3.2076627809999998</v>
      </c>
      <c r="AJ210" s="3">
        <v>4.7275315129999997</v>
      </c>
      <c r="AK210" s="3">
        <v>2.3261084749999998</v>
      </c>
      <c r="AN210" s="3">
        <v>0.66170817400000004</v>
      </c>
      <c r="AO210" s="3">
        <v>7.5313600000000003</v>
      </c>
      <c r="AP210" s="3">
        <v>1.5979071229999999</v>
      </c>
      <c r="AR210" s="3">
        <v>7.9</v>
      </c>
      <c r="AS210" s="3">
        <v>-3.8649236720000002</v>
      </c>
      <c r="AT210" s="3">
        <v>-0.55602314100000005</v>
      </c>
      <c r="AU210" s="88">
        <v>-5.1405824490000001</v>
      </c>
    </row>
    <row r="211" spans="1:47" x14ac:dyDescent="0.2">
      <c r="A211" s="88" t="s">
        <v>258</v>
      </c>
      <c r="B211" s="4">
        <v>36434</v>
      </c>
      <c r="C211" s="3">
        <v>3.8646485930000001</v>
      </c>
      <c r="E211" s="3">
        <v>4.1475853459999996</v>
      </c>
      <c r="F211" s="3">
        <v>5.6907144110000001</v>
      </c>
      <c r="H211" s="3">
        <v>1.5202867980000001</v>
      </c>
      <c r="I211" s="3">
        <v>1.884277516</v>
      </c>
      <c r="J211" s="3">
        <v>2.3813169689999998</v>
      </c>
      <c r="K211" s="3">
        <v>4.6924943099999998</v>
      </c>
      <c r="M211" s="3">
        <v>3.6449176670000001</v>
      </c>
      <c r="N211" s="3">
        <v>3.3558086899999999</v>
      </c>
      <c r="O211" s="3">
        <v>3.4799588400000001</v>
      </c>
      <c r="P211" s="3">
        <v>2.8964432969999998</v>
      </c>
      <c r="Q211" s="3">
        <v>3.0464706829999999</v>
      </c>
      <c r="R211" s="3">
        <v>8.5670608660000003</v>
      </c>
      <c r="S211" s="3">
        <v>1.2471659690000001</v>
      </c>
      <c r="T211" s="3">
        <v>4.595801926</v>
      </c>
      <c r="U211" s="3">
        <v>1.420229261</v>
      </c>
      <c r="V211" s="3">
        <v>0.325005769</v>
      </c>
      <c r="W211" s="3">
        <v>13.301165229</v>
      </c>
      <c r="X211" s="3">
        <v>9.4327154320000002</v>
      </c>
      <c r="Y211" s="3">
        <v>2.7567619570000002</v>
      </c>
      <c r="Z211" s="3">
        <v>2.6552117900000001</v>
      </c>
      <c r="AA211" s="3">
        <v>5.1676466049999998</v>
      </c>
      <c r="AB211" s="3">
        <v>3.3656044399999998</v>
      </c>
      <c r="AC211" s="3">
        <v>3.441502056</v>
      </c>
      <c r="AD211" s="3">
        <v>5.4242676960000002</v>
      </c>
      <c r="AE211" s="3">
        <v>3.6315866510000001</v>
      </c>
      <c r="AF211" s="3">
        <v>1.5054277579999999</v>
      </c>
      <c r="AH211" s="3">
        <v>3.74790103</v>
      </c>
      <c r="AI211" s="3">
        <v>5.8957229450000002</v>
      </c>
      <c r="AJ211" s="3">
        <v>4.8002052370000001</v>
      </c>
      <c r="AK211" s="3">
        <v>2.9025712590000001</v>
      </c>
      <c r="AN211" s="3">
        <v>1.140819808</v>
      </c>
      <c r="AO211" s="3">
        <v>6.92997</v>
      </c>
      <c r="AP211" s="3">
        <v>2.9330177260000001</v>
      </c>
      <c r="AR211" s="3">
        <v>7.6</v>
      </c>
      <c r="AS211" s="3">
        <v>-4.1374980250000002</v>
      </c>
      <c r="AT211" s="3">
        <v>-0.46161993400000001</v>
      </c>
      <c r="AU211" s="88">
        <v>-5.1249172659999997</v>
      </c>
    </row>
    <row r="212" spans="1:47" x14ac:dyDescent="0.2">
      <c r="A212" s="88" t="s">
        <v>259</v>
      </c>
      <c r="B212" s="4">
        <v>36526</v>
      </c>
      <c r="C212" s="3">
        <v>4.0321200939999997</v>
      </c>
      <c r="E212" s="3">
        <v>5.145646191</v>
      </c>
      <c r="F212" s="3">
        <v>5.7387065660000003</v>
      </c>
      <c r="H212" s="3">
        <v>2.4887443039999999</v>
      </c>
      <c r="I212" s="3">
        <v>3.1126046170000001</v>
      </c>
      <c r="J212" s="3">
        <v>3.4814985630000002</v>
      </c>
      <c r="K212" s="3">
        <v>4.7295792910000003</v>
      </c>
      <c r="M212" s="3">
        <v>3.6104361489999999</v>
      </c>
      <c r="N212" s="3">
        <v>4.0111929430000002</v>
      </c>
      <c r="O212" s="3">
        <v>4.0072119109999997</v>
      </c>
      <c r="P212" s="3">
        <v>3.7243394639999998</v>
      </c>
      <c r="Q212" s="3">
        <v>4.2129553409999998</v>
      </c>
      <c r="R212" s="3">
        <v>13.943816094000001</v>
      </c>
      <c r="S212" s="3">
        <v>2.493294406</v>
      </c>
      <c r="T212" s="3">
        <v>5.7060249540000001</v>
      </c>
      <c r="U212" s="3">
        <v>3.3552001059999998</v>
      </c>
      <c r="V212" s="3">
        <v>-0.440344122</v>
      </c>
      <c r="W212" s="3">
        <v>13.732506182</v>
      </c>
      <c r="X212" s="3">
        <v>9.5682137399999991</v>
      </c>
      <c r="Y212" s="3">
        <v>8.7220515600000006</v>
      </c>
      <c r="Z212" s="3">
        <v>3.568167613</v>
      </c>
      <c r="AA212" s="3">
        <v>5.6801320799999999</v>
      </c>
      <c r="AB212" s="3">
        <v>4.6088015499999999</v>
      </c>
      <c r="AC212" s="3">
        <v>3.9263861919999998</v>
      </c>
      <c r="AD212" s="3">
        <v>7.2566576080000003</v>
      </c>
      <c r="AE212" s="3">
        <v>3.4476035110000001</v>
      </c>
      <c r="AF212" s="3">
        <v>-5.9653812860000004</v>
      </c>
      <c r="AH212" s="3">
        <v>4.5078970739999997</v>
      </c>
      <c r="AI212" s="3">
        <v>6.1598819919999999</v>
      </c>
      <c r="AJ212" s="3">
        <v>4.82762665</v>
      </c>
      <c r="AK212" s="3">
        <v>3.9119195470000001</v>
      </c>
      <c r="AN212" s="3">
        <v>3.9275051809999999</v>
      </c>
      <c r="AO212" s="3">
        <v>7.2888799999999998</v>
      </c>
      <c r="AP212" s="3">
        <v>3.964497336</v>
      </c>
      <c r="AR212" s="3">
        <v>6.7</v>
      </c>
      <c r="AS212" s="3">
        <v>-1.0176265069999999</v>
      </c>
      <c r="AT212" s="3">
        <v>2.1458409459999999</v>
      </c>
      <c r="AU212" s="88">
        <v>-1.0144211869999999</v>
      </c>
    </row>
    <row r="213" spans="1:47" x14ac:dyDescent="0.2">
      <c r="A213" s="88" t="s">
        <v>260</v>
      </c>
      <c r="B213" s="4">
        <v>36617</v>
      </c>
      <c r="C213" s="3">
        <v>3.607433763</v>
      </c>
      <c r="E213" s="3">
        <v>4.7982425710000003</v>
      </c>
      <c r="F213" s="3">
        <v>5.516373336</v>
      </c>
      <c r="H213" s="3">
        <v>3.7868942749999999</v>
      </c>
      <c r="I213" s="3">
        <v>3.3908313419999998</v>
      </c>
      <c r="J213" s="3">
        <v>3.5523246369999999</v>
      </c>
      <c r="K213" s="3">
        <v>5.352987572</v>
      </c>
      <c r="M213" s="3">
        <v>4.969214053</v>
      </c>
      <c r="N213" s="3">
        <v>4.4287115149999998</v>
      </c>
      <c r="O213" s="3">
        <v>4.2313563419999998</v>
      </c>
      <c r="P213" s="3">
        <v>3.3304217739999999</v>
      </c>
      <c r="Q213" s="3">
        <v>5.1104341509999998</v>
      </c>
      <c r="R213" s="3">
        <v>8.5940704990000008</v>
      </c>
      <c r="S213" s="3">
        <v>2.4501929869999999</v>
      </c>
      <c r="T213" s="3">
        <v>9.0336687199999997</v>
      </c>
      <c r="U213" s="3">
        <v>3.872557515</v>
      </c>
      <c r="V213" s="3">
        <v>2.6743443689999999</v>
      </c>
      <c r="W213" s="3">
        <v>12.474605041</v>
      </c>
      <c r="X213" s="3">
        <v>12.149077957999999</v>
      </c>
      <c r="Y213" s="3">
        <v>6.3074101960000002</v>
      </c>
      <c r="Z213" s="3">
        <v>4.4810081459999997</v>
      </c>
      <c r="AA213" s="3">
        <v>4.5948738799999997</v>
      </c>
      <c r="AB213" s="3">
        <v>5.3928979159999999</v>
      </c>
      <c r="AC213" s="3">
        <v>4.2960293299999996</v>
      </c>
      <c r="AD213" s="3">
        <v>6.2648614729999998</v>
      </c>
      <c r="AE213" s="3">
        <v>4.3626133400000002</v>
      </c>
      <c r="AF213" s="3">
        <v>-1.7173803949999999</v>
      </c>
      <c r="AH213" s="3">
        <v>4.0215801249999998</v>
      </c>
      <c r="AI213" s="3">
        <v>6.450840393</v>
      </c>
      <c r="AJ213" s="3">
        <v>4.2259558589999999</v>
      </c>
      <c r="AK213" s="3">
        <v>4.1586014069999999</v>
      </c>
      <c r="AN213" s="3">
        <v>4.5128719579999999</v>
      </c>
      <c r="AO213" s="3">
        <v>7.7907500000000001</v>
      </c>
      <c r="AP213" s="3">
        <v>4.1759299199999997</v>
      </c>
      <c r="AR213" s="3">
        <v>8.6999999999999993</v>
      </c>
      <c r="AS213" s="3">
        <v>2.2652062910000001</v>
      </c>
      <c r="AT213" s="3">
        <v>2.8877984109999999</v>
      </c>
      <c r="AU213" s="88">
        <v>-0.106447324</v>
      </c>
    </row>
    <row r="214" spans="1:47" x14ac:dyDescent="0.2">
      <c r="A214" s="88" t="s">
        <v>261</v>
      </c>
      <c r="B214" s="4">
        <v>36708</v>
      </c>
      <c r="C214" s="3">
        <v>4.2262243379999997</v>
      </c>
      <c r="E214" s="3">
        <v>4.1276962460000002</v>
      </c>
      <c r="F214" s="3">
        <v>5.8847515399999999</v>
      </c>
      <c r="H214" s="3">
        <v>4.5073324250000004</v>
      </c>
      <c r="I214" s="3">
        <v>4.24010877</v>
      </c>
      <c r="J214" s="3">
        <v>4.1931464649999999</v>
      </c>
      <c r="K214" s="3">
        <v>5.4219317360000003</v>
      </c>
      <c r="M214" s="3">
        <v>5.2191665670000003</v>
      </c>
      <c r="N214" s="3">
        <v>4.5969453329999999</v>
      </c>
      <c r="O214" s="3">
        <v>4.6803404459999998</v>
      </c>
      <c r="P214" s="3">
        <v>3.3189444950000002</v>
      </c>
      <c r="Q214" s="3">
        <v>4.9533917399999998</v>
      </c>
      <c r="R214" s="3">
        <v>10.380575776000001</v>
      </c>
      <c r="S214" s="3">
        <v>6.1666819940000002</v>
      </c>
      <c r="T214" s="3">
        <v>7.8739694550000001</v>
      </c>
      <c r="U214" s="3">
        <v>4.2657381089999999</v>
      </c>
      <c r="V214" s="3">
        <v>2.7593563739999998</v>
      </c>
      <c r="W214" s="3">
        <v>9.1874736769999998</v>
      </c>
      <c r="X214" s="3">
        <v>8.1484612619999996</v>
      </c>
      <c r="Y214" s="3">
        <v>7.8919475300000004</v>
      </c>
      <c r="Z214" s="3">
        <v>5.4086615460000003</v>
      </c>
      <c r="AA214" s="3">
        <v>4.5989091970000002</v>
      </c>
      <c r="AB214" s="3">
        <v>3.8235819690000001</v>
      </c>
      <c r="AC214" s="3">
        <v>4.8315941919999998</v>
      </c>
      <c r="AD214" s="3">
        <v>5.1051361609999999</v>
      </c>
      <c r="AE214" s="3">
        <v>3.2718818559999998</v>
      </c>
      <c r="AF214" s="3">
        <v>0.96440271700000002</v>
      </c>
      <c r="AH214" s="3">
        <v>5.9657752759999996</v>
      </c>
      <c r="AI214" s="3">
        <v>5.610753527</v>
      </c>
      <c r="AJ214" s="3">
        <v>5.2446827689999997</v>
      </c>
      <c r="AK214" s="3">
        <v>4.4996774000000004</v>
      </c>
      <c r="AN214" s="3">
        <v>4.2600164070000002</v>
      </c>
      <c r="AO214" s="3">
        <v>5.2191700000000001</v>
      </c>
      <c r="AP214" s="3">
        <v>4.3043408010000004</v>
      </c>
      <c r="AR214" s="3">
        <v>9.1</v>
      </c>
      <c r="AS214" s="3">
        <v>6.8490946040000003</v>
      </c>
      <c r="AT214" s="3">
        <v>4.0794946730000001</v>
      </c>
      <c r="AU214" s="88">
        <v>-0.59039067000000001</v>
      </c>
    </row>
    <row r="215" spans="1:47" x14ac:dyDescent="0.2">
      <c r="A215" s="88" t="s">
        <v>262</v>
      </c>
      <c r="B215" s="4">
        <v>36800</v>
      </c>
      <c r="C215" s="3">
        <v>3.2133973400000002</v>
      </c>
      <c r="E215" s="3">
        <v>3.1129765649999999</v>
      </c>
      <c r="F215" s="3">
        <v>5.3137609430000001</v>
      </c>
      <c r="H215" s="3">
        <v>4.8926757109999999</v>
      </c>
      <c r="I215" s="3">
        <v>3.0235947329999999</v>
      </c>
      <c r="J215" s="3">
        <v>3.8391861660000002</v>
      </c>
      <c r="K215" s="3">
        <v>5.1615893279999998</v>
      </c>
      <c r="M215" s="3">
        <v>6.3000215019999999</v>
      </c>
      <c r="N215" s="3">
        <v>3.9766764640000001</v>
      </c>
      <c r="O215" s="3">
        <v>3.2157286479999998</v>
      </c>
      <c r="P215" s="3">
        <v>4.848009813</v>
      </c>
      <c r="Q215" s="3">
        <v>3.9925391829999999</v>
      </c>
      <c r="R215" s="3">
        <v>8.6584836299999992</v>
      </c>
      <c r="S215" s="3">
        <v>8.5355223309999992</v>
      </c>
      <c r="T215" s="3">
        <v>10.688439462</v>
      </c>
      <c r="U215" s="3">
        <v>4.0426694000000003</v>
      </c>
      <c r="V215" s="3">
        <v>2.2437766799999999</v>
      </c>
      <c r="W215" s="3">
        <v>9.1592371569999997</v>
      </c>
      <c r="X215" s="3">
        <v>6.2869692620000004</v>
      </c>
      <c r="Y215" s="3">
        <v>7.0925908529999999</v>
      </c>
      <c r="Z215" s="3">
        <v>5.3673051650000003</v>
      </c>
      <c r="AA215" s="3">
        <v>4.0292995060000001</v>
      </c>
      <c r="AB215" s="3">
        <v>2.7205942209999998</v>
      </c>
      <c r="AC215" s="3">
        <v>4.0985167049999998</v>
      </c>
      <c r="AD215" s="3">
        <v>3.228101208</v>
      </c>
      <c r="AE215" s="3">
        <v>3.7673411749999999</v>
      </c>
      <c r="AF215" s="3">
        <v>2.2232147379999998</v>
      </c>
      <c r="AH215" s="3">
        <v>5.957198698</v>
      </c>
      <c r="AI215" s="3">
        <v>3.1713800640000001</v>
      </c>
      <c r="AJ215" s="3">
        <v>3.9740844960000001</v>
      </c>
      <c r="AK215" s="3">
        <v>3.8748756640000002</v>
      </c>
      <c r="AN215" s="3">
        <v>4.4766423250000003</v>
      </c>
      <c r="AO215" s="3">
        <v>5.3047599999999999</v>
      </c>
      <c r="AP215" s="3">
        <v>4.1994012969999996</v>
      </c>
      <c r="AR215" s="3">
        <v>8.8000000000000007</v>
      </c>
      <c r="AS215" s="3">
        <v>10.300768391</v>
      </c>
      <c r="AT215" s="3">
        <v>5.1576383579999998</v>
      </c>
      <c r="AU215" s="88">
        <v>-0.55752517599999996</v>
      </c>
    </row>
    <row r="216" spans="1:47" x14ac:dyDescent="0.2">
      <c r="A216" s="88" t="s">
        <v>263</v>
      </c>
      <c r="B216" s="4">
        <v>36892</v>
      </c>
      <c r="C216" s="3">
        <v>1.1049839749999999</v>
      </c>
      <c r="E216" s="3">
        <v>2.9024691360000001</v>
      </c>
      <c r="F216" s="3">
        <v>4.0306702640000003</v>
      </c>
      <c r="H216" s="3">
        <v>4.2278822439999999</v>
      </c>
      <c r="I216" s="3">
        <v>1.925958447</v>
      </c>
      <c r="J216" s="3">
        <v>3.4080580610000002</v>
      </c>
      <c r="K216" s="3">
        <v>5.0536212029999996</v>
      </c>
      <c r="M216" s="3">
        <v>6.5215331409999999</v>
      </c>
      <c r="N216" s="3">
        <v>3.378246699</v>
      </c>
      <c r="O216" s="3">
        <v>1.953930752</v>
      </c>
      <c r="P216" s="3">
        <v>4.6622546160000002</v>
      </c>
      <c r="Q216" s="3">
        <v>4.6113445659999996</v>
      </c>
      <c r="R216" s="3">
        <v>7.0216166920000003</v>
      </c>
      <c r="S216" s="3">
        <v>2.9371746070000002</v>
      </c>
      <c r="T216" s="3">
        <v>8.4539170709999993</v>
      </c>
      <c r="U216" s="3">
        <v>4.0373673329999997</v>
      </c>
      <c r="V216" s="3">
        <v>3.199425057</v>
      </c>
      <c r="W216" s="3">
        <v>5.752766405</v>
      </c>
      <c r="X216" s="3">
        <v>6.5011712409999998</v>
      </c>
      <c r="Y216" s="3">
        <v>2.1468376519999999</v>
      </c>
      <c r="Z216" s="3">
        <v>3.5958940830000001</v>
      </c>
      <c r="AA216" s="3">
        <v>3.919383045</v>
      </c>
      <c r="AB216" s="3">
        <v>1.0229951180000001</v>
      </c>
      <c r="AC216" s="3">
        <v>3.3306370439999999</v>
      </c>
      <c r="AD216" s="3">
        <v>4.2187978360000002</v>
      </c>
      <c r="AE216" s="3">
        <v>3.8654236829999999</v>
      </c>
      <c r="AF216" s="3">
        <v>3.2747729670000001</v>
      </c>
      <c r="AH216" s="3">
        <v>3.7227829670000001</v>
      </c>
      <c r="AI216" s="3">
        <v>2.1034958110000002</v>
      </c>
      <c r="AJ216" s="3">
        <v>2.9016204719999998</v>
      </c>
      <c r="AK216" s="3">
        <v>3.3922373339999998</v>
      </c>
      <c r="AN216" s="3">
        <v>3.0891715419999999</v>
      </c>
      <c r="AO216" s="3">
        <v>3.6380599999999998</v>
      </c>
      <c r="AP216" s="3">
        <v>3.942850505</v>
      </c>
      <c r="AR216" s="3">
        <v>7.5</v>
      </c>
      <c r="AS216" s="3">
        <v>8.6398569419999998</v>
      </c>
      <c r="AT216" s="3">
        <v>4.9774153170000002</v>
      </c>
      <c r="AU216" s="88">
        <v>-1.8935236049999999</v>
      </c>
    </row>
    <row r="217" spans="1:47" x14ac:dyDescent="0.2">
      <c r="A217" s="88" t="s">
        <v>264</v>
      </c>
      <c r="B217" s="4">
        <v>36982</v>
      </c>
      <c r="C217" s="3">
        <v>1.7634015729999999</v>
      </c>
      <c r="E217" s="3">
        <v>2.2335000489999999</v>
      </c>
      <c r="F217" s="3">
        <v>2.9349821249999999</v>
      </c>
      <c r="H217" s="3">
        <v>4.0178279679999997</v>
      </c>
      <c r="I217" s="3">
        <v>2.508870736</v>
      </c>
      <c r="J217" s="3">
        <v>1.297581844</v>
      </c>
      <c r="K217" s="3">
        <v>4.4974332270000001</v>
      </c>
      <c r="M217" s="3">
        <v>3.9426770640000002</v>
      </c>
      <c r="N217" s="3">
        <v>3.003744969</v>
      </c>
      <c r="O217" s="3">
        <v>2.3177194289999998</v>
      </c>
      <c r="P217" s="3">
        <v>5.5570850160000003</v>
      </c>
      <c r="Q217" s="3">
        <v>4.466623255</v>
      </c>
      <c r="R217" s="3">
        <v>8.1449401679999998</v>
      </c>
      <c r="S217" s="3">
        <v>3.236197523</v>
      </c>
      <c r="T217" s="3">
        <v>4.8421867230000002</v>
      </c>
      <c r="U217" s="3">
        <v>3.4188352690000001</v>
      </c>
      <c r="V217" s="3">
        <v>2.219415599</v>
      </c>
      <c r="W217" s="3">
        <v>5.0579225250000004</v>
      </c>
      <c r="X217" s="3">
        <v>2.9744952800000002</v>
      </c>
      <c r="Y217" s="3">
        <v>3.9137883590000002</v>
      </c>
      <c r="Z217" s="3">
        <v>1.670795206</v>
      </c>
      <c r="AA217" s="3">
        <v>3.3883473799999999</v>
      </c>
      <c r="AB217" s="3">
        <v>0.71615523000000003</v>
      </c>
      <c r="AC217" s="3">
        <v>2.5896715160000001</v>
      </c>
      <c r="AD217" s="3">
        <v>3.1653903990000001</v>
      </c>
      <c r="AE217" s="3">
        <v>1.2865530599999999</v>
      </c>
      <c r="AF217" s="3">
        <v>2.9160287309999999</v>
      </c>
      <c r="AH217" s="3">
        <v>3.401905105</v>
      </c>
      <c r="AI217" s="3">
        <v>0.97945952999999997</v>
      </c>
      <c r="AJ217" s="3">
        <v>2.195542847</v>
      </c>
      <c r="AK217" s="3">
        <v>3.1568050909999998</v>
      </c>
      <c r="AN217" s="3">
        <v>2.336178318</v>
      </c>
      <c r="AO217" s="3">
        <v>2.0556999999999999</v>
      </c>
      <c r="AP217" s="3">
        <v>3.4542294739999999</v>
      </c>
      <c r="AR217" s="3">
        <v>9.5</v>
      </c>
      <c r="AS217" s="3">
        <v>1.4738609680000001</v>
      </c>
      <c r="AT217" s="3">
        <v>4.2389125249999999</v>
      </c>
      <c r="AU217" s="88">
        <v>-1.397726021</v>
      </c>
    </row>
    <row r="218" spans="1:47" x14ac:dyDescent="0.2">
      <c r="A218" s="88" t="s">
        <v>265</v>
      </c>
      <c r="B218" s="4">
        <v>37073</v>
      </c>
      <c r="C218" s="3">
        <v>1.667127263</v>
      </c>
      <c r="E218" s="3">
        <v>1.521366065</v>
      </c>
      <c r="F218" s="3">
        <v>2.0000249349999999</v>
      </c>
      <c r="H218" s="3">
        <v>3.2293324019999998</v>
      </c>
      <c r="I218" s="3">
        <v>1.614648595</v>
      </c>
      <c r="J218" s="3">
        <v>0.64632245799999999</v>
      </c>
      <c r="K218" s="3">
        <v>3.9678712649999999</v>
      </c>
      <c r="M218" s="3">
        <v>3.2710920379999999</v>
      </c>
      <c r="N218" s="3">
        <v>2.1866860099999998</v>
      </c>
      <c r="O218" s="3">
        <v>2.4868631950000002</v>
      </c>
      <c r="P218" s="3">
        <v>4.3170669449999997</v>
      </c>
      <c r="Q218" s="3">
        <v>4.3367752260000003</v>
      </c>
      <c r="R218" s="3">
        <v>6.260847772</v>
      </c>
      <c r="S218" s="3">
        <v>5.7035978009999999</v>
      </c>
      <c r="T218" s="3">
        <v>1.1322831019999999</v>
      </c>
      <c r="U218" s="3">
        <v>2.3519833960000001</v>
      </c>
      <c r="V218" s="3">
        <v>0.98176432999999996</v>
      </c>
      <c r="W218" s="3">
        <v>5.0230569850000002</v>
      </c>
      <c r="X218" s="3">
        <v>1.903260151</v>
      </c>
      <c r="Y218" s="3">
        <v>9.1075423910000008</v>
      </c>
      <c r="Z218" s="3">
        <v>-0.37547730099999999</v>
      </c>
      <c r="AA218" s="3">
        <v>2.7634846720000001</v>
      </c>
      <c r="AB218" s="3">
        <v>2.0105532529999999</v>
      </c>
      <c r="AC218" s="3">
        <v>1.488952826</v>
      </c>
      <c r="AD218" s="3">
        <v>1.4756068229999999</v>
      </c>
      <c r="AE218" s="3">
        <v>2.8097831050000002</v>
      </c>
      <c r="AF218" s="3">
        <v>2.9734808049999999</v>
      </c>
      <c r="AH218" s="3">
        <v>0.88913648999999995</v>
      </c>
      <c r="AI218" s="3">
        <v>2.3651054239999998</v>
      </c>
      <c r="AJ218" s="3">
        <v>0.99193295699999995</v>
      </c>
      <c r="AK218" s="3">
        <v>2.3436164540000002</v>
      </c>
      <c r="AN218" s="3">
        <v>2.4567851439999999</v>
      </c>
      <c r="AO218" s="3">
        <v>4.0395099999999999</v>
      </c>
      <c r="AP218" s="3">
        <v>3.0234916310000002</v>
      </c>
      <c r="AR218" s="3">
        <v>8.6</v>
      </c>
      <c r="AS218" s="3">
        <v>-7.0600679099999999</v>
      </c>
      <c r="AT218" s="3">
        <v>2.2950973170000002</v>
      </c>
      <c r="AU218" s="88">
        <v>-0.61697928899999999</v>
      </c>
    </row>
    <row r="219" spans="1:47" x14ac:dyDescent="0.2">
      <c r="A219" s="88" t="s">
        <v>266</v>
      </c>
      <c r="B219" s="4">
        <v>37165</v>
      </c>
      <c r="C219" s="3">
        <v>2.698239214</v>
      </c>
      <c r="E219" s="3">
        <v>0.86014731499999997</v>
      </c>
      <c r="F219" s="3">
        <v>0.90588392600000001</v>
      </c>
      <c r="H219" s="3">
        <v>2.3498407960000001</v>
      </c>
      <c r="I219" s="3">
        <v>1.473312741</v>
      </c>
      <c r="J219" s="3">
        <v>1.270204581</v>
      </c>
      <c r="K219" s="3">
        <v>3.8164644089999999</v>
      </c>
      <c r="M219" s="3">
        <v>2.3216613480000001</v>
      </c>
      <c r="N219" s="3">
        <v>1.8331006729999999</v>
      </c>
      <c r="O219" s="3">
        <v>2.9754544599999999</v>
      </c>
      <c r="P219" s="3">
        <v>4.0643412909999999</v>
      </c>
      <c r="Q219" s="3">
        <v>4.3336905550000004</v>
      </c>
      <c r="R219" s="3">
        <v>3.7904521010000001</v>
      </c>
      <c r="S219" s="3">
        <v>8.066897E-3</v>
      </c>
      <c r="T219" s="3">
        <v>-2.899958952</v>
      </c>
      <c r="U219" s="3">
        <v>1.464158954</v>
      </c>
      <c r="V219" s="3">
        <v>-0.13967662</v>
      </c>
      <c r="W219" s="3">
        <v>3.5876551980000002</v>
      </c>
      <c r="X219" s="3">
        <v>1.8775632790000001</v>
      </c>
      <c r="Y219" s="3">
        <v>3.4322770870000001</v>
      </c>
      <c r="Z219" s="3">
        <v>-1.1167897010000001</v>
      </c>
      <c r="AA219" s="3">
        <v>2.0995866950000002</v>
      </c>
      <c r="AB219" s="3">
        <v>2.2735292710000001</v>
      </c>
      <c r="AC219" s="3">
        <v>0.95457048799999999</v>
      </c>
      <c r="AD219" s="3">
        <v>1.875557954</v>
      </c>
      <c r="AE219" s="3">
        <v>1.4737829280000001</v>
      </c>
      <c r="AF219" s="3">
        <v>2.7558870299999998</v>
      </c>
      <c r="AH219" s="3">
        <v>0.45639417199999999</v>
      </c>
      <c r="AI219" s="3">
        <v>2.7521990970000001</v>
      </c>
      <c r="AJ219" s="3">
        <v>0.48735236700000001</v>
      </c>
      <c r="AK219" s="3">
        <v>1.9043159620000001</v>
      </c>
      <c r="AN219" s="3">
        <v>1.510652321</v>
      </c>
      <c r="AO219" s="3">
        <v>3.94624</v>
      </c>
      <c r="AP219" s="3">
        <v>2.284127346</v>
      </c>
      <c r="AR219" s="3">
        <v>8</v>
      </c>
      <c r="AS219" s="3">
        <v>-7.2775891540000002</v>
      </c>
      <c r="AT219" s="3">
        <v>0.57705194199999998</v>
      </c>
      <c r="AU219" s="88">
        <v>-4.9917471659999997</v>
      </c>
    </row>
    <row r="220" spans="1:47" x14ac:dyDescent="0.2">
      <c r="A220" s="88" t="s">
        <v>267</v>
      </c>
      <c r="B220" s="4">
        <v>37257</v>
      </c>
      <c r="C220" s="3">
        <v>4.3200647849999996</v>
      </c>
      <c r="E220" s="3">
        <v>-0.215954218</v>
      </c>
      <c r="F220" s="3">
        <v>1.346715383</v>
      </c>
      <c r="H220" s="3">
        <v>2.5512227360000002</v>
      </c>
      <c r="I220" s="3">
        <v>1.6674100940000001</v>
      </c>
      <c r="J220" s="3">
        <v>9.1785342000000006E-2</v>
      </c>
      <c r="K220" s="3">
        <v>3.4685902130000001</v>
      </c>
      <c r="M220" s="3">
        <v>0.96070451700000004</v>
      </c>
      <c r="N220" s="3">
        <v>1.0294780450000001</v>
      </c>
      <c r="O220" s="3">
        <v>3.1356977619999999</v>
      </c>
      <c r="P220" s="3">
        <v>2.8802126440000002</v>
      </c>
      <c r="Q220" s="3">
        <v>3.2401239589999999</v>
      </c>
      <c r="R220" s="3">
        <v>4.9024199140000002</v>
      </c>
      <c r="S220" s="3">
        <v>7.1488667499999998</v>
      </c>
      <c r="T220" s="3">
        <v>-3.3041676139999998</v>
      </c>
      <c r="U220" s="3">
        <v>-7.0844377E-2</v>
      </c>
      <c r="V220" s="3">
        <v>-1.44013357</v>
      </c>
      <c r="W220" s="3">
        <v>5.7566119650000003</v>
      </c>
      <c r="X220" s="3">
        <v>3.328512699</v>
      </c>
      <c r="Y220" s="3">
        <v>8.1131666669999998</v>
      </c>
      <c r="Z220" s="3">
        <v>-0.92582115600000003</v>
      </c>
      <c r="AA220" s="3">
        <v>1.1146564859999999</v>
      </c>
      <c r="AB220" s="3">
        <v>3.122057377</v>
      </c>
      <c r="AC220" s="3">
        <v>0.56767482599999997</v>
      </c>
      <c r="AD220" s="3">
        <v>-0.73380106300000003</v>
      </c>
      <c r="AE220" s="3">
        <v>2.2092510619999999</v>
      </c>
      <c r="AF220" s="3">
        <v>4.3563714190000002</v>
      </c>
      <c r="AH220" s="3">
        <v>1.642938829</v>
      </c>
      <c r="AI220" s="3">
        <v>4.0746699749999999</v>
      </c>
      <c r="AJ220" s="3">
        <v>0.170642236</v>
      </c>
      <c r="AK220" s="3">
        <v>1.357495297</v>
      </c>
      <c r="AN220" s="3">
        <v>0.30038438899999997</v>
      </c>
      <c r="AO220" s="3">
        <v>6.2881999999999998</v>
      </c>
      <c r="AP220" s="3">
        <v>2.2010408560000001</v>
      </c>
      <c r="AR220" s="3">
        <v>7.5</v>
      </c>
      <c r="AS220" s="3">
        <v>-10.129126144000001</v>
      </c>
      <c r="AT220" s="3">
        <v>-0.93854807799999995</v>
      </c>
      <c r="AU220" s="88">
        <v>-10.676443041000001</v>
      </c>
    </row>
    <row r="221" spans="1:47" x14ac:dyDescent="0.2">
      <c r="A221" s="88" t="s">
        <v>268</v>
      </c>
      <c r="B221" s="4">
        <v>37347</v>
      </c>
      <c r="C221" s="3">
        <v>4.0511836649999999</v>
      </c>
      <c r="E221" s="3">
        <v>0.58514592700000001</v>
      </c>
      <c r="F221" s="3">
        <v>2.309048819</v>
      </c>
      <c r="H221" s="3">
        <v>1.255544526</v>
      </c>
      <c r="I221" s="3">
        <v>-0.85936547900000004</v>
      </c>
      <c r="J221" s="3">
        <v>1.156465893</v>
      </c>
      <c r="K221" s="3">
        <v>2.81718344</v>
      </c>
      <c r="M221" s="3">
        <v>1.126430168</v>
      </c>
      <c r="N221" s="3">
        <v>0.85732389099999995</v>
      </c>
      <c r="O221" s="3">
        <v>2.347258622</v>
      </c>
      <c r="P221" s="3">
        <v>2.4525552749999999</v>
      </c>
      <c r="Q221" s="3">
        <v>4.7754689749999999</v>
      </c>
      <c r="R221" s="3">
        <v>5.3943320200000002</v>
      </c>
      <c r="S221" s="3">
        <v>0.26552225000000002</v>
      </c>
      <c r="T221" s="3">
        <v>-1.7518378029999999</v>
      </c>
      <c r="U221" s="3">
        <v>-0.62094276999999998</v>
      </c>
      <c r="V221" s="3">
        <v>-2.00249721</v>
      </c>
      <c r="W221" s="3">
        <v>7.1345765419999996</v>
      </c>
      <c r="X221" s="3">
        <v>3.0182666980000001</v>
      </c>
      <c r="Y221" s="3">
        <v>5.7228168530000003</v>
      </c>
      <c r="Z221" s="3">
        <v>-1.6566977119999999</v>
      </c>
      <c r="AA221" s="3">
        <v>0.38873254600000001</v>
      </c>
      <c r="AB221" s="3">
        <v>0.88170028700000003</v>
      </c>
      <c r="AC221" s="3">
        <v>0.83798890199999998</v>
      </c>
      <c r="AD221" s="3">
        <v>0.83577034500000003</v>
      </c>
      <c r="AE221" s="3">
        <v>2.7121519489999999</v>
      </c>
      <c r="AF221" s="3">
        <v>3.9702701010000001</v>
      </c>
      <c r="AH221" s="3">
        <v>1.107200231</v>
      </c>
      <c r="AI221" s="3">
        <v>4.6485252020000001</v>
      </c>
      <c r="AJ221" s="3">
        <v>1.3288120480000001</v>
      </c>
      <c r="AK221" s="3">
        <v>0.43040231299999998</v>
      </c>
      <c r="AN221" s="3">
        <v>0.180403594</v>
      </c>
      <c r="AO221" s="3">
        <v>6.5698699999999999</v>
      </c>
      <c r="AP221" s="3">
        <v>2.8592031759999998</v>
      </c>
      <c r="AR221" s="3">
        <v>8.9</v>
      </c>
      <c r="AS221" s="3">
        <v>-1.6959707850000001</v>
      </c>
      <c r="AT221" s="3">
        <v>0.99504832600000004</v>
      </c>
      <c r="AU221" s="88">
        <v>-15.219743824</v>
      </c>
    </row>
    <row r="222" spans="1:47" x14ac:dyDescent="0.2">
      <c r="A222" s="88" t="s">
        <v>269</v>
      </c>
      <c r="B222" s="4">
        <v>37438</v>
      </c>
      <c r="C222" s="3">
        <v>4.9234470249999998</v>
      </c>
      <c r="E222" s="3">
        <v>1.42783499</v>
      </c>
      <c r="F222" s="3">
        <v>2.6354387780000001</v>
      </c>
      <c r="H222" s="3">
        <v>1.4937941320000001</v>
      </c>
      <c r="I222" s="3">
        <v>-0.36021390199999997</v>
      </c>
      <c r="J222" s="3">
        <v>0.65505192400000001</v>
      </c>
      <c r="K222" s="3">
        <v>2.8945752659999999</v>
      </c>
      <c r="M222" s="3">
        <v>2.0048186380000002</v>
      </c>
      <c r="N222" s="3">
        <v>1.1334034589999999</v>
      </c>
      <c r="O222" s="3">
        <v>2.060536774</v>
      </c>
      <c r="P222" s="3">
        <v>5.0225698220000004</v>
      </c>
      <c r="Q222" s="3">
        <v>4.5278722670000002</v>
      </c>
      <c r="R222" s="3">
        <v>4.3426658250000001</v>
      </c>
      <c r="S222" s="3">
        <v>0.95163852900000001</v>
      </c>
      <c r="T222" s="3">
        <v>-0.810197159</v>
      </c>
      <c r="U222" s="3">
        <v>7.4083541000000003E-2</v>
      </c>
      <c r="V222" s="3">
        <v>-0.46144170400000001</v>
      </c>
      <c r="W222" s="3">
        <v>7.6773988439999998</v>
      </c>
      <c r="X222" s="3">
        <v>6.9282185710000004</v>
      </c>
      <c r="Y222" s="3">
        <v>4.762767245</v>
      </c>
      <c r="Z222" s="3">
        <v>-0.20747877200000001</v>
      </c>
      <c r="AA222" s="3">
        <v>0.23151022800000001</v>
      </c>
      <c r="AB222" s="3">
        <v>3.1608531950000001</v>
      </c>
      <c r="AC222" s="3">
        <v>1.470301904</v>
      </c>
      <c r="AD222" s="3">
        <v>2.2108744850000002</v>
      </c>
      <c r="AE222" s="3">
        <v>1.2559850130000001</v>
      </c>
      <c r="AF222" s="3">
        <v>3.9316038780000002</v>
      </c>
      <c r="AH222" s="3">
        <v>2.6895883079999998</v>
      </c>
      <c r="AI222" s="3">
        <v>4.5577720739999998</v>
      </c>
      <c r="AJ222" s="3">
        <v>1.3228839020000001</v>
      </c>
      <c r="AK222" s="3">
        <v>0.86412026399999997</v>
      </c>
      <c r="AN222" s="3">
        <v>-0.17478534800000001</v>
      </c>
      <c r="AO222" s="3">
        <v>5.0481699999999998</v>
      </c>
      <c r="AP222" s="3">
        <v>3.5869160610000002</v>
      </c>
      <c r="AR222" s="3">
        <v>8.8000000000000007</v>
      </c>
      <c r="AS222" s="3">
        <v>7.7675409220000002</v>
      </c>
      <c r="AT222" s="3">
        <v>2.074531431</v>
      </c>
      <c r="AU222" s="88">
        <v>-14.147871056</v>
      </c>
    </row>
    <row r="223" spans="1:47" x14ac:dyDescent="0.2">
      <c r="A223" s="88" t="s">
        <v>270</v>
      </c>
      <c r="B223" s="4">
        <v>37530</v>
      </c>
      <c r="C223" s="3">
        <v>4.0313294190000004</v>
      </c>
      <c r="E223" s="3">
        <v>2.1656617100000002</v>
      </c>
      <c r="F223" s="3">
        <v>3.5927041059999998</v>
      </c>
      <c r="H223" s="3">
        <v>1.519330472</v>
      </c>
      <c r="I223" s="3">
        <v>0.29096179700000002</v>
      </c>
      <c r="J223" s="3">
        <v>9.8620025E-2</v>
      </c>
      <c r="K223" s="3">
        <v>2.5728777809999999</v>
      </c>
      <c r="M223" s="3">
        <v>1.126803875</v>
      </c>
      <c r="N223" s="3">
        <v>1.2818037499999999</v>
      </c>
      <c r="O223" s="3">
        <v>1.9524305319999999</v>
      </c>
      <c r="P223" s="3">
        <v>3.943039937</v>
      </c>
      <c r="Q223" s="3">
        <v>4.588051825</v>
      </c>
      <c r="R223" s="3">
        <v>7.2555873789999996</v>
      </c>
      <c r="S223" s="3">
        <v>2.5984119460000001</v>
      </c>
      <c r="T223" s="3">
        <v>0.37089228000000002</v>
      </c>
      <c r="U223" s="3">
        <v>0.53161172999999995</v>
      </c>
      <c r="V223" s="3">
        <v>0.95348010500000002</v>
      </c>
      <c r="W223" s="3">
        <v>8.3909467919999994</v>
      </c>
      <c r="X223" s="3">
        <v>3.9693477920000002</v>
      </c>
      <c r="Y223" s="3">
        <v>8.6941986090000007</v>
      </c>
      <c r="Z223" s="3">
        <v>0.45307033899999999</v>
      </c>
      <c r="AA223" s="3">
        <v>0.212975631</v>
      </c>
      <c r="AB223" s="3">
        <v>0.39415838600000003</v>
      </c>
      <c r="AC223" s="3">
        <v>2.0599663380000002</v>
      </c>
      <c r="AD223" s="3">
        <v>2.6669856329999999</v>
      </c>
      <c r="AE223" s="3">
        <v>0.64939600500000005</v>
      </c>
      <c r="AF223" s="3">
        <v>5.817482493</v>
      </c>
      <c r="AH223" s="3">
        <v>2.881919473</v>
      </c>
      <c r="AI223" s="3">
        <v>4.9290827799999999</v>
      </c>
      <c r="AJ223" s="3">
        <v>2.1406699900000001</v>
      </c>
      <c r="AK223" s="3">
        <v>1.1730300039999999</v>
      </c>
      <c r="AN223" s="3">
        <v>0.23353136699999999</v>
      </c>
      <c r="AO223" s="3">
        <v>4.3806500000000002</v>
      </c>
      <c r="AP223" s="3">
        <v>4.1599474780000003</v>
      </c>
      <c r="AR223" s="3">
        <v>9.6</v>
      </c>
      <c r="AS223" s="3">
        <v>7.8896032150000002</v>
      </c>
      <c r="AT223" s="3">
        <v>3.8399894259999998</v>
      </c>
      <c r="AU223" s="88">
        <v>-9.897878081</v>
      </c>
    </row>
    <row r="224" spans="1:47" x14ac:dyDescent="0.2">
      <c r="A224" s="88" t="s">
        <v>271</v>
      </c>
      <c r="B224" s="4">
        <v>37622</v>
      </c>
      <c r="C224" s="3">
        <v>3.554639941</v>
      </c>
      <c r="E224" s="3">
        <v>2.6499621260000001</v>
      </c>
      <c r="F224" s="3">
        <v>3.5307100930000002</v>
      </c>
      <c r="H224" s="3">
        <v>1.671351657</v>
      </c>
      <c r="I224" s="3">
        <v>0.26800379299999999</v>
      </c>
      <c r="J224" s="3">
        <v>-3.4579327999999999E-2</v>
      </c>
      <c r="K224" s="3">
        <v>2.6429937410000002</v>
      </c>
      <c r="M224" s="3">
        <v>2.5661358179999998</v>
      </c>
      <c r="N224" s="3">
        <v>1.207728951</v>
      </c>
      <c r="O224" s="3">
        <v>2.3559741999999999</v>
      </c>
      <c r="P224" s="3">
        <v>4.4677284549999996</v>
      </c>
      <c r="Q224" s="3">
        <v>5.0506658299999998</v>
      </c>
      <c r="R224" s="3">
        <v>6.5510182219999997</v>
      </c>
      <c r="S224" s="3">
        <v>-1.462542032</v>
      </c>
      <c r="T224" s="3">
        <v>0.71104264800000005</v>
      </c>
      <c r="U224" s="3">
        <v>1.01869214</v>
      </c>
      <c r="V224" s="3">
        <v>1.5799042139999999</v>
      </c>
      <c r="W224" s="3">
        <v>7.6823850499999997</v>
      </c>
      <c r="X224" s="3">
        <v>1.5307457069999999</v>
      </c>
      <c r="Y224" s="3">
        <v>9.2382905740000005</v>
      </c>
      <c r="Z224" s="3">
        <v>1.23188681</v>
      </c>
      <c r="AA224" s="3">
        <v>4.0300272999999998E-2</v>
      </c>
      <c r="AB224" s="3">
        <v>0.65296100800000001</v>
      </c>
      <c r="AC224" s="3">
        <v>2.1802595920000001</v>
      </c>
      <c r="AD224" s="3">
        <v>2.4608257519999999</v>
      </c>
      <c r="AE224" s="3">
        <v>-1.4802233300000001</v>
      </c>
      <c r="AF224" s="3">
        <v>4.3126012930000002</v>
      </c>
      <c r="AH224" s="3">
        <v>2.1862898510000002</v>
      </c>
      <c r="AI224" s="3">
        <v>4.7795186010000004</v>
      </c>
      <c r="AJ224" s="3">
        <v>1.9912861850000001</v>
      </c>
      <c r="AK224" s="3">
        <v>1.1982944870000001</v>
      </c>
      <c r="AN224" s="3">
        <v>-0.100579698</v>
      </c>
      <c r="AO224" s="3">
        <v>2.11781</v>
      </c>
      <c r="AP224" s="3">
        <v>4.0557701499999999</v>
      </c>
      <c r="AR224" s="3">
        <v>9.1</v>
      </c>
      <c r="AS224" s="3">
        <v>12.077725729999999</v>
      </c>
      <c r="AT224" s="3">
        <v>5.2021811910000002</v>
      </c>
      <c r="AU224" s="88">
        <v>-3.4831756490000001</v>
      </c>
    </row>
    <row r="225" spans="1:47" x14ac:dyDescent="0.2">
      <c r="A225" s="88" t="s">
        <v>272</v>
      </c>
      <c r="B225" s="4">
        <v>37712</v>
      </c>
      <c r="C225" s="3">
        <v>2.8800026339999998</v>
      </c>
      <c r="E225" s="3">
        <v>1.5068068569999999</v>
      </c>
      <c r="F225" s="3">
        <v>2.5810371669999999</v>
      </c>
      <c r="H225" s="3">
        <v>2.8959249059999999</v>
      </c>
      <c r="I225" s="3">
        <v>-0.70573230099999995</v>
      </c>
      <c r="J225" s="3">
        <v>0.53488712900000002</v>
      </c>
      <c r="K225" s="3">
        <v>3.1593662220000001</v>
      </c>
      <c r="M225" s="3">
        <v>1.1795343140000001</v>
      </c>
      <c r="N225" s="3">
        <v>1.0314543359999999</v>
      </c>
      <c r="O225" s="3">
        <v>2.7156619580000001</v>
      </c>
      <c r="P225" s="3">
        <v>5.7784367750000003</v>
      </c>
      <c r="Q225" s="3">
        <v>3.5424224130000002</v>
      </c>
      <c r="R225" s="3">
        <v>3.1628617110000001</v>
      </c>
      <c r="S225" s="3">
        <v>6.5433807059999998</v>
      </c>
      <c r="T225" s="3">
        <v>1.537870469</v>
      </c>
      <c r="U225" s="3">
        <v>0.58861195399999999</v>
      </c>
      <c r="V225" s="3">
        <v>1.4706350399999999</v>
      </c>
      <c r="W225" s="3">
        <v>4.3182279120000002</v>
      </c>
      <c r="X225" s="3">
        <v>-0.70864399</v>
      </c>
      <c r="Y225" s="3">
        <v>10.262184312</v>
      </c>
      <c r="Z225" s="3">
        <v>2.1423165439999998</v>
      </c>
      <c r="AA225" s="3">
        <v>0.67193139499999999</v>
      </c>
      <c r="AB225" s="3">
        <v>1.7226532640000001</v>
      </c>
      <c r="AC225" s="3">
        <v>1.8405463010000001</v>
      </c>
      <c r="AD225" s="3">
        <v>2.6019154379999998</v>
      </c>
      <c r="AE225" s="3">
        <v>-1.5517664680000001</v>
      </c>
      <c r="AF225" s="3">
        <v>5.8021553130000001</v>
      </c>
      <c r="AH225" s="3">
        <v>3.509185413</v>
      </c>
      <c r="AI225" s="3">
        <v>4.4540608769999999</v>
      </c>
      <c r="AJ225" s="3">
        <v>1.6761889400000001</v>
      </c>
      <c r="AK225" s="3">
        <v>0.80090738500000003</v>
      </c>
      <c r="AN225" s="3">
        <v>-0.78813538299999997</v>
      </c>
      <c r="AO225" s="3">
        <v>3.5805899999999999</v>
      </c>
      <c r="AP225" s="3">
        <v>3.6734024089999999</v>
      </c>
      <c r="AR225" s="3">
        <v>11.1</v>
      </c>
      <c r="AS225" s="3">
        <v>8.0882987750000002</v>
      </c>
      <c r="AT225" s="3">
        <v>2.410886804</v>
      </c>
      <c r="AU225" s="88">
        <v>5.274229353</v>
      </c>
    </row>
    <row r="226" spans="1:47" x14ac:dyDescent="0.2">
      <c r="A226" s="88" t="s">
        <v>273</v>
      </c>
      <c r="B226" s="4">
        <v>37803</v>
      </c>
      <c r="C226" s="3">
        <v>1.52625034</v>
      </c>
      <c r="E226" s="3">
        <v>0.86047940999999994</v>
      </c>
      <c r="F226" s="3">
        <v>1.8296107960000001</v>
      </c>
      <c r="H226" s="3">
        <v>3.4371002869999998</v>
      </c>
      <c r="I226" s="3">
        <v>-1.029136139</v>
      </c>
      <c r="J226" s="3">
        <v>-0.39022355600000003</v>
      </c>
      <c r="K226" s="3">
        <v>2.8586515100000001</v>
      </c>
      <c r="M226" s="3">
        <v>1.629539742</v>
      </c>
      <c r="N226" s="3">
        <v>0.35201381700000001</v>
      </c>
      <c r="O226" s="3">
        <v>3.1478136480000001</v>
      </c>
      <c r="P226" s="3">
        <v>5.2951285600000002</v>
      </c>
      <c r="Q226" s="3">
        <v>4.0235046289999996</v>
      </c>
      <c r="R226" s="3">
        <v>2.9660630459999999</v>
      </c>
      <c r="S226" s="3">
        <v>-0.37864703199999999</v>
      </c>
      <c r="T226" s="3">
        <v>0.71798731400000004</v>
      </c>
      <c r="U226" s="3">
        <v>0.128794826</v>
      </c>
      <c r="V226" s="3">
        <v>1.347739708</v>
      </c>
      <c r="W226" s="3">
        <v>2.3035458499999999</v>
      </c>
      <c r="X226" s="3">
        <v>0.233404941</v>
      </c>
      <c r="Y226" s="3">
        <v>8.1528283960000003</v>
      </c>
      <c r="Z226" s="3">
        <v>1.463156125</v>
      </c>
      <c r="AA226" s="3">
        <v>-2.3899152E-2</v>
      </c>
      <c r="AB226" s="3">
        <v>-0.82234742000000005</v>
      </c>
      <c r="AC226" s="3">
        <v>1.5736319379999999</v>
      </c>
      <c r="AD226" s="3">
        <v>3.8143046040000002</v>
      </c>
      <c r="AE226" s="3">
        <v>-1.9719000099999999</v>
      </c>
      <c r="AF226" s="3">
        <v>6.3194144110000003</v>
      </c>
      <c r="AH226" s="3">
        <v>1.363684734</v>
      </c>
      <c r="AI226" s="3">
        <v>3.5173623699999998</v>
      </c>
      <c r="AJ226" s="3">
        <v>1.956993642</v>
      </c>
      <c r="AK226" s="3">
        <v>0.35708920100000002</v>
      </c>
      <c r="AN226" s="3">
        <v>-0.89913597999999995</v>
      </c>
      <c r="AO226" s="3">
        <v>5.5461299999999998</v>
      </c>
      <c r="AP226" s="3">
        <v>2.9332421759999998</v>
      </c>
      <c r="AR226" s="3">
        <v>9.1</v>
      </c>
      <c r="AS226" s="3">
        <v>3.9642978769999999</v>
      </c>
      <c r="AT226" s="3">
        <v>0.93016282299999997</v>
      </c>
      <c r="AU226" s="88">
        <v>8.1469202010000004</v>
      </c>
    </row>
    <row r="227" spans="1:47" x14ac:dyDescent="0.2">
      <c r="A227" s="88" t="s">
        <v>274</v>
      </c>
      <c r="B227" s="4">
        <v>37895</v>
      </c>
      <c r="C227" s="3">
        <v>2.8785800730000002</v>
      </c>
      <c r="E227" s="3">
        <v>0.733625686</v>
      </c>
      <c r="F227" s="3">
        <v>1.3331146899999999</v>
      </c>
      <c r="H227" s="3">
        <v>3.8544160220000001</v>
      </c>
      <c r="I227" s="3">
        <v>-0.75723085300000004</v>
      </c>
      <c r="J227" s="3">
        <v>-0.38683434</v>
      </c>
      <c r="K227" s="3">
        <v>2.9025761800000001</v>
      </c>
      <c r="M227" s="3">
        <v>3.0864465679999999</v>
      </c>
      <c r="N227" s="3">
        <v>0.60557279500000005</v>
      </c>
      <c r="O227" s="3">
        <v>3.6337842949999999</v>
      </c>
      <c r="P227" s="3">
        <v>5.3477605940000004</v>
      </c>
      <c r="Q227" s="3">
        <v>4.3052785839999999</v>
      </c>
      <c r="R227" s="3">
        <v>1.924227031</v>
      </c>
      <c r="S227" s="3">
        <v>0.65401804600000002</v>
      </c>
      <c r="T227" s="3">
        <v>1.470320549</v>
      </c>
      <c r="U227" s="3">
        <v>-0.150177382</v>
      </c>
      <c r="V227" s="3">
        <v>1.329295007</v>
      </c>
      <c r="W227" s="3">
        <v>2.2141562349999999</v>
      </c>
      <c r="X227" s="3">
        <v>1.969586676</v>
      </c>
      <c r="Y227" s="3">
        <v>9.6001281659999993</v>
      </c>
      <c r="Z227" s="3">
        <v>0.77087136599999995</v>
      </c>
      <c r="AA227" s="3">
        <v>-9.0331270000000005E-2</v>
      </c>
      <c r="AB227" s="3">
        <v>2.0861093510000002</v>
      </c>
      <c r="AC227" s="3">
        <v>2.1289054269999999</v>
      </c>
      <c r="AD227" s="3">
        <v>3.6922032659999999</v>
      </c>
      <c r="AE227" s="3">
        <v>-0.65138245100000003</v>
      </c>
      <c r="AF227" s="3">
        <v>4.4399843729999997</v>
      </c>
      <c r="AH227" s="3">
        <v>2.2122489230000002</v>
      </c>
      <c r="AI227" s="3">
        <v>4.5317590609999998</v>
      </c>
      <c r="AJ227" s="3">
        <v>3.2399083019999999</v>
      </c>
      <c r="AK227" s="3">
        <v>0.48010313700000001</v>
      </c>
      <c r="AN227" s="3">
        <v>-0.15275593100000001</v>
      </c>
      <c r="AO227" s="3">
        <v>7.6850500000000004</v>
      </c>
      <c r="AP227" s="3">
        <v>2.6498200949999999</v>
      </c>
      <c r="AR227" s="3">
        <v>10</v>
      </c>
      <c r="AS227" s="3">
        <v>5.4870934240000002</v>
      </c>
      <c r="AT227" s="3">
        <v>0.65583832099999995</v>
      </c>
      <c r="AU227" s="88">
        <v>10.707165721999999</v>
      </c>
    </row>
    <row r="228" spans="1:47" x14ac:dyDescent="0.2">
      <c r="A228" s="88" t="s">
        <v>275</v>
      </c>
      <c r="B228" s="4">
        <v>37987</v>
      </c>
      <c r="C228" s="3">
        <v>3.8257002999999998</v>
      </c>
      <c r="E228" s="3">
        <v>1.0565153730000001</v>
      </c>
      <c r="F228" s="3">
        <v>1.475555706</v>
      </c>
      <c r="H228" s="3">
        <v>4.120358349</v>
      </c>
      <c r="I228" s="3">
        <v>-0.35156150899999999</v>
      </c>
      <c r="J228" s="3">
        <v>1.8049206820000001</v>
      </c>
      <c r="K228" s="3">
        <v>3.008540784</v>
      </c>
      <c r="M228" s="3">
        <v>2.113220514</v>
      </c>
      <c r="N228" s="3">
        <v>1.383196504</v>
      </c>
      <c r="O228" s="3">
        <v>3.7785716850000002</v>
      </c>
      <c r="P228" s="3">
        <v>6.7759668309999999</v>
      </c>
      <c r="Q228" s="3">
        <v>4.1251112210000001</v>
      </c>
      <c r="R228" s="3">
        <v>6.1318057860000001</v>
      </c>
      <c r="S228" s="3">
        <v>1.9157067839999999</v>
      </c>
      <c r="T228" s="3">
        <v>2.0010678550000001</v>
      </c>
      <c r="U228" s="3">
        <v>0.32720017800000001</v>
      </c>
      <c r="V228" s="3">
        <v>2.1467319840000001</v>
      </c>
      <c r="W228" s="3">
        <v>3.7733173820000001</v>
      </c>
      <c r="X228" s="3">
        <v>5.1648653749999998</v>
      </c>
      <c r="Y228" s="3">
        <v>6.678697444</v>
      </c>
      <c r="Z228" s="3">
        <v>1.5036884989999999</v>
      </c>
      <c r="AA228" s="3">
        <v>0.29448898000000001</v>
      </c>
      <c r="AB228" s="3">
        <v>0.978487671</v>
      </c>
      <c r="AC228" s="3">
        <v>2.8904425370000002</v>
      </c>
      <c r="AD228" s="3">
        <v>3.884645554</v>
      </c>
      <c r="AE228" s="3">
        <v>0.47393297699999998</v>
      </c>
      <c r="AF228" s="3">
        <v>5.4624163069999998</v>
      </c>
      <c r="AH228" s="3">
        <v>2.689924972</v>
      </c>
      <c r="AI228" s="3">
        <v>4.4636954409999996</v>
      </c>
      <c r="AJ228" s="3">
        <v>4.2950765200000003</v>
      </c>
      <c r="AK228" s="3">
        <v>1.0420028050000001</v>
      </c>
      <c r="AN228" s="3">
        <v>1.5217345879999999</v>
      </c>
      <c r="AO228" s="3">
        <v>11.133620000000001</v>
      </c>
      <c r="AP228" s="3">
        <v>2.5568282440000001</v>
      </c>
      <c r="AR228" s="3">
        <v>10</v>
      </c>
      <c r="AS228" s="3">
        <v>6.405673062</v>
      </c>
      <c r="AT228" s="3">
        <v>0.68059496200000003</v>
      </c>
      <c r="AU228" s="88">
        <v>11.646839589000001</v>
      </c>
    </row>
    <row r="229" spans="1:47" x14ac:dyDescent="0.2">
      <c r="A229" s="88" t="s">
        <v>276</v>
      </c>
      <c r="B229" s="4">
        <v>38078</v>
      </c>
      <c r="C229" s="3">
        <v>4.5778366650000004</v>
      </c>
      <c r="E229" s="3">
        <v>2.8420434530000001</v>
      </c>
      <c r="F229" s="3">
        <v>1.6440291789999999</v>
      </c>
      <c r="H229" s="3">
        <v>4.0132278770000003</v>
      </c>
      <c r="I229" s="3">
        <v>0.98208276800000005</v>
      </c>
      <c r="J229" s="3">
        <v>1.7499471470000001</v>
      </c>
      <c r="K229" s="3">
        <v>2.6741176129999999</v>
      </c>
      <c r="M229" s="3">
        <v>4.152698172</v>
      </c>
      <c r="N229" s="3">
        <v>2.1256030469999998</v>
      </c>
      <c r="O229" s="3">
        <v>3.3734996920000002</v>
      </c>
      <c r="P229" s="3">
        <v>6.5109272929999999</v>
      </c>
      <c r="Q229" s="3">
        <v>4.9051742269999998</v>
      </c>
      <c r="R229" s="3">
        <v>6.5034067230000003</v>
      </c>
      <c r="S229" s="3">
        <v>4.3013516420000002</v>
      </c>
      <c r="T229" s="3">
        <v>3.298043168</v>
      </c>
      <c r="U229" s="3">
        <v>1.1003402920000001</v>
      </c>
      <c r="V229" s="3">
        <v>2.843187903</v>
      </c>
      <c r="W229" s="3">
        <v>5.7726765809999998</v>
      </c>
      <c r="X229" s="3">
        <v>5.2791429589999996</v>
      </c>
      <c r="Y229" s="3">
        <v>9.8200412369999999</v>
      </c>
      <c r="Z229" s="3">
        <v>2.7032661099999999</v>
      </c>
      <c r="AA229" s="3">
        <v>1.184842103</v>
      </c>
      <c r="AB229" s="3">
        <v>4.5309204510000001</v>
      </c>
      <c r="AC229" s="3">
        <v>3.47801435</v>
      </c>
      <c r="AD229" s="3">
        <v>6.615217973</v>
      </c>
      <c r="AE229" s="3">
        <v>1.2747061150000001</v>
      </c>
      <c r="AF229" s="3">
        <v>4.972107448</v>
      </c>
      <c r="AH229" s="3">
        <v>3.3314599380000001</v>
      </c>
      <c r="AI229" s="3">
        <v>5.6425439280000003</v>
      </c>
      <c r="AJ229" s="3">
        <v>4.3533820859999999</v>
      </c>
      <c r="AK229" s="3">
        <v>1.8975329599999999</v>
      </c>
      <c r="AN229" s="3">
        <v>2.8740233650000002</v>
      </c>
      <c r="AO229" s="3">
        <v>9.0831300000000006</v>
      </c>
      <c r="AP229" s="3">
        <v>3.1548617289999998</v>
      </c>
      <c r="AQ229" s="3">
        <v>6.6646506250000002</v>
      </c>
      <c r="AR229" s="3">
        <v>10.6</v>
      </c>
      <c r="AS229" s="3">
        <v>9.2450567899999996</v>
      </c>
      <c r="AT229" s="3">
        <v>2.5284477540000001</v>
      </c>
      <c r="AU229" s="88">
        <v>11.194164854</v>
      </c>
    </row>
    <row r="230" spans="1:47" x14ac:dyDescent="0.2">
      <c r="A230" s="88" t="s">
        <v>277</v>
      </c>
      <c r="B230" s="4">
        <v>38169</v>
      </c>
      <c r="C230" s="3">
        <v>4.9274502489999996</v>
      </c>
      <c r="E230" s="3">
        <v>3.6094313969999998</v>
      </c>
      <c r="F230" s="3">
        <v>3.0032687450000002</v>
      </c>
      <c r="H230" s="3">
        <v>4.1440925289999999</v>
      </c>
      <c r="I230" s="3">
        <v>1.3697656819999999</v>
      </c>
      <c r="J230" s="3">
        <v>3.3166103059999998</v>
      </c>
      <c r="K230" s="3">
        <v>3.139803256</v>
      </c>
      <c r="M230" s="3">
        <v>3.558635394</v>
      </c>
      <c r="N230" s="3">
        <v>3.0122486529999999</v>
      </c>
      <c r="O230" s="3">
        <v>2.815517549</v>
      </c>
      <c r="P230" s="3">
        <v>4.637807316</v>
      </c>
      <c r="Q230" s="3">
        <v>4.8854348109999997</v>
      </c>
      <c r="R230" s="3">
        <v>8.3455139519999992</v>
      </c>
      <c r="S230" s="3">
        <v>6.4040747199999997</v>
      </c>
      <c r="T230" s="3">
        <v>4.5581454959999999</v>
      </c>
      <c r="U230" s="3">
        <v>1.4607991090000001</v>
      </c>
      <c r="V230" s="3">
        <v>2.147693313</v>
      </c>
      <c r="W230" s="3">
        <v>6.7447940510000004</v>
      </c>
      <c r="X230" s="3">
        <v>3.0090702970000001</v>
      </c>
      <c r="Y230" s="3">
        <v>8.4117065029999996</v>
      </c>
      <c r="Z230" s="3">
        <v>4.0549290229999997</v>
      </c>
      <c r="AA230" s="3">
        <v>2.0195915609999999</v>
      </c>
      <c r="AB230" s="3">
        <v>5.2473828180000002</v>
      </c>
      <c r="AC230" s="3">
        <v>3.6378688769999998</v>
      </c>
      <c r="AD230" s="3">
        <v>5.2708475119999996</v>
      </c>
      <c r="AE230" s="3">
        <v>2.7674509939999998</v>
      </c>
      <c r="AF230" s="3">
        <v>4.1206861210000003</v>
      </c>
      <c r="AH230" s="3">
        <v>4.3769851729999996</v>
      </c>
      <c r="AI230" s="3">
        <v>6.1181080039999998</v>
      </c>
      <c r="AJ230" s="3">
        <v>4.2348116490000001</v>
      </c>
      <c r="AK230" s="3">
        <v>2.408852827</v>
      </c>
      <c r="AN230" s="3">
        <v>3.5546717760000002</v>
      </c>
      <c r="AO230" s="3">
        <v>8.9182000000000006</v>
      </c>
      <c r="AP230" s="3">
        <v>4.0880370639999999</v>
      </c>
      <c r="AQ230" s="3">
        <v>7.5209468179999996</v>
      </c>
      <c r="AR230" s="3">
        <v>11.6</v>
      </c>
      <c r="AS230" s="3">
        <v>11.413895422</v>
      </c>
      <c r="AT230" s="3">
        <v>6.2667084429999997</v>
      </c>
      <c r="AU230" s="88">
        <v>6.5504459480000001</v>
      </c>
    </row>
    <row r="231" spans="1:47" x14ac:dyDescent="0.2">
      <c r="A231" s="88" t="s">
        <v>278</v>
      </c>
      <c r="B231" s="4">
        <v>38261</v>
      </c>
      <c r="C231" s="3">
        <v>3.9683809339999998</v>
      </c>
      <c r="E231" s="3">
        <v>4.0872538839999999</v>
      </c>
      <c r="F231" s="3">
        <v>3.8311862329999999</v>
      </c>
      <c r="H231" s="3">
        <v>4.8071999200000004</v>
      </c>
      <c r="I231" s="3">
        <v>0.41221011600000002</v>
      </c>
      <c r="J231" s="3">
        <v>3.2055743539999999</v>
      </c>
      <c r="K231" s="3">
        <v>3.4277161139999999</v>
      </c>
      <c r="M231" s="3">
        <v>3.4449337350000002</v>
      </c>
      <c r="N231" s="3">
        <v>2.5900365070000002</v>
      </c>
      <c r="O231" s="3">
        <v>1.839990332</v>
      </c>
      <c r="P231" s="3">
        <v>5.3731311120000003</v>
      </c>
      <c r="Q231" s="3">
        <v>4.8100495189999997</v>
      </c>
      <c r="R231" s="3">
        <v>6.89521754</v>
      </c>
      <c r="S231" s="3">
        <v>11.422376965</v>
      </c>
      <c r="T231" s="3">
        <v>4.9765480760000003</v>
      </c>
      <c r="U231" s="3">
        <v>1.4994798629999999</v>
      </c>
      <c r="V231" s="3">
        <v>2.4702737930000001</v>
      </c>
      <c r="W231" s="3">
        <v>5.1456188139999997</v>
      </c>
      <c r="X231" s="3">
        <v>3.9655194749999998</v>
      </c>
      <c r="Y231" s="3">
        <v>6.7790731280000003</v>
      </c>
      <c r="Z231" s="3">
        <v>3.921808161</v>
      </c>
      <c r="AA231" s="3">
        <v>2.0814376179999998</v>
      </c>
      <c r="AB231" s="3">
        <v>2.590690575</v>
      </c>
      <c r="AC231" s="3">
        <v>3.1717766460000001</v>
      </c>
      <c r="AD231" s="3">
        <v>3.587078269</v>
      </c>
      <c r="AE231" s="3">
        <v>1.903675089</v>
      </c>
      <c r="AF231" s="3">
        <v>6.0710838039999997</v>
      </c>
      <c r="AH231" s="3">
        <v>3.7033121329999998</v>
      </c>
      <c r="AI231" s="3">
        <v>4.2142574970000002</v>
      </c>
      <c r="AJ231" s="3">
        <v>3.4908340689999999</v>
      </c>
      <c r="AK231" s="3">
        <v>2.103246145</v>
      </c>
      <c r="AN231" s="3">
        <v>2.5744614760000002</v>
      </c>
      <c r="AO231" s="3">
        <v>8.6693599999999993</v>
      </c>
      <c r="AP231" s="3">
        <v>5.2190377950000002</v>
      </c>
      <c r="AQ231" s="3">
        <v>7.3373553889999998</v>
      </c>
      <c r="AR231" s="3">
        <v>9.8000000000000007</v>
      </c>
      <c r="AS231" s="3">
        <v>9.5469283340000004</v>
      </c>
      <c r="AT231" s="3">
        <v>6.5848433359999996</v>
      </c>
      <c r="AU231" s="88">
        <v>9.1890708540000006</v>
      </c>
    </row>
    <row r="232" spans="1:47" x14ac:dyDescent="0.2">
      <c r="A232" s="88" t="s">
        <v>279</v>
      </c>
      <c r="B232" s="4">
        <v>38353</v>
      </c>
      <c r="C232" s="3">
        <v>3.0577548490000002</v>
      </c>
      <c r="E232" s="3">
        <v>3.736801233</v>
      </c>
      <c r="F232" s="3">
        <v>3.860541692</v>
      </c>
      <c r="H232" s="3">
        <v>5.6118775300000001</v>
      </c>
      <c r="I232" s="3">
        <v>3.7919386999999999E-2</v>
      </c>
      <c r="J232" s="3">
        <v>2.4131564349999999</v>
      </c>
      <c r="K232" s="3">
        <v>3.2429521590000001</v>
      </c>
      <c r="M232" s="3">
        <v>4.8098763350000002</v>
      </c>
      <c r="N232" s="3">
        <v>2.6128489460000002</v>
      </c>
      <c r="O232" s="3">
        <v>1.1545626410000001</v>
      </c>
      <c r="P232" s="3">
        <v>2.7748216029999999</v>
      </c>
      <c r="Q232" s="3">
        <v>4.2559346180000004</v>
      </c>
      <c r="R232" s="3">
        <v>4.015452647</v>
      </c>
      <c r="S232" s="3">
        <v>9.1287078459999993</v>
      </c>
      <c r="T232" s="3">
        <v>5.8949368199999999</v>
      </c>
      <c r="U232" s="3">
        <v>0.84834356200000005</v>
      </c>
      <c r="V232" s="3">
        <v>1.1707953019999999</v>
      </c>
      <c r="W232" s="3">
        <v>3.2181314620000001</v>
      </c>
      <c r="X232" s="3">
        <v>2.4006242270000002</v>
      </c>
      <c r="Y232" s="3">
        <v>8.0959568669999999</v>
      </c>
      <c r="Z232" s="3">
        <v>4.1005783710000001</v>
      </c>
      <c r="AA232" s="3">
        <v>1.7591751200000001</v>
      </c>
      <c r="AB232" s="3">
        <v>3.56557155</v>
      </c>
      <c r="AC232" s="3">
        <v>2.7684053340000001</v>
      </c>
      <c r="AD232" s="3">
        <v>4.3928868689999998</v>
      </c>
      <c r="AE232" s="3">
        <v>1.219915938</v>
      </c>
      <c r="AF232" s="3">
        <v>5.9301703400000001</v>
      </c>
      <c r="AH232" s="3">
        <v>3.9049063240000002</v>
      </c>
      <c r="AI232" s="3">
        <v>3.251976237</v>
      </c>
      <c r="AJ232" s="3">
        <v>3.3557659160000002</v>
      </c>
      <c r="AK232" s="3">
        <v>1.7423850439999999</v>
      </c>
      <c r="AN232" s="3">
        <v>1.5175298580000001</v>
      </c>
      <c r="AO232" s="3">
        <v>7.2525399999999998</v>
      </c>
      <c r="AP232" s="3">
        <v>5.7327085350000004</v>
      </c>
      <c r="AQ232" s="3">
        <v>6.5934981119999998</v>
      </c>
      <c r="AR232" s="3">
        <v>8.8000000000000007</v>
      </c>
      <c r="AS232" s="3">
        <v>8.057711694</v>
      </c>
      <c r="AT232" s="3">
        <v>6.3037933830000004</v>
      </c>
      <c r="AU232" s="88">
        <v>8.779958594</v>
      </c>
    </row>
    <row r="233" spans="1:47" x14ac:dyDescent="0.2">
      <c r="A233" s="88" t="s">
        <v>280</v>
      </c>
      <c r="B233" s="4">
        <v>38443</v>
      </c>
      <c r="C233" s="3">
        <v>3.019285972</v>
      </c>
      <c r="E233" s="3">
        <v>2.7429484980000001</v>
      </c>
      <c r="F233" s="3">
        <v>3.4746737969999999</v>
      </c>
      <c r="H233" s="3">
        <v>6.4629873130000002</v>
      </c>
      <c r="I233" s="3">
        <v>0.21317087500000001</v>
      </c>
      <c r="J233" s="3">
        <v>1.552318238</v>
      </c>
      <c r="K233" s="3">
        <v>3.6259924080000001</v>
      </c>
      <c r="M233" s="3">
        <v>4.5125116810000003</v>
      </c>
      <c r="N233" s="3">
        <v>1.942189924</v>
      </c>
      <c r="O233" s="3">
        <v>1.604168866</v>
      </c>
      <c r="P233" s="3">
        <v>0.33570945699999999</v>
      </c>
      <c r="Q233" s="3">
        <v>3.6056433829999999</v>
      </c>
      <c r="R233" s="3">
        <v>6.1863266619999999</v>
      </c>
      <c r="S233" s="3">
        <v>1.997800807</v>
      </c>
      <c r="T233" s="3">
        <v>4.0125069709999996</v>
      </c>
      <c r="U233" s="3">
        <v>0.38037415699999999</v>
      </c>
      <c r="V233" s="3">
        <v>0.93869807800000005</v>
      </c>
      <c r="W233" s="3">
        <v>2.806402673</v>
      </c>
      <c r="X233" s="3">
        <v>2.646021304</v>
      </c>
      <c r="Y233" s="3">
        <v>6.9016592250000004</v>
      </c>
      <c r="Z233" s="3">
        <v>2.835346377</v>
      </c>
      <c r="AA233" s="3">
        <v>1.171867896</v>
      </c>
      <c r="AB233" s="3">
        <v>1.652441821</v>
      </c>
      <c r="AC233" s="3">
        <v>2.762118869</v>
      </c>
      <c r="AD233" s="3">
        <v>2.4818700539999998</v>
      </c>
      <c r="AE233" s="3">
        <v>1.0856134639999999</v>
      </c>
      <c r="AF233" s="3">
        <v>5.8780025910000004</v>
      </c>
      <c r="AH233" s="3">
        <v>2.5254751049999999</v>
      </c>
      <c r="AI233" s="3">
        <v>2.6783999500000002</v>
      </c>
      <c r="AJ233" s="3">
        <v>3.9086174410000001</v>
      </c>
      <c r="AK233" s="3">
        <v>1.4715877909999999</v>
      </c>
      <c r="AN233" s="3">
        <v>1.7407057800000001</v>
      </c>
      <c r="AO233" s="3">
        <v>8.7341800000000003</v>
      </c>
      <c r="AP233" s="3">
        <v>5.2147752770000002</v>
      </c>
      <c r="AQ233" s="3">
        <v>6.4568699169999997</v>
      </c>
      <c r="AR233" s="3">
        <v>11.1</v>
      </c>
      <c r="AS233" s="3">
        <v>10.009156426000001</v>
      </c>
      <c r="AT233" s="3">
        <v>5.6015526339999999</v>
      </c>
      <c r="AU233" s="88">
        <v>8.3900735990000008</v>
      </c>
    </row>
    <row r="234" spans="1:47" x14ac:dyDescent="0.2">
      <c r="A234" s="88" t="s">
        <v>281</v>
      </c>
      <c r="B234" s="4">
        <v>38534</v>
      </c>
      <c r="C234" s="3">
        <v>2.791550263</v>
      </c>
      <c r="E234" s="3">
        <v>2.3741121110000001</v>
      </c>
      <c r="F234" s="3">
        <v>3.0019295459999999</v>
      </c>
      <c r="H234" s="3">
        <v>6.6631595600000004</v>
      </c>
      <c r="I234" s="3">
        <v>0.23537477500000001</v>
      </c>
      <c r="J234" s="3">
        <v>2.938909518</v>
      </c>
      <c r="K234" s="3">
        <v>3.5285929330000001</v>
      </c>
      <c r="M234" s="3">
        <v>2.3821779319999998</v>
      </c>
      <c r="N234" s="3">
        <v>1.4688726160000001</v>
      </c>
      <c r="O234" s="3">
        <v>2.4210916170000001</v>
      </c>
      <c r="P234" s="3">
        <v>0.59302548799999999</v>
      </c>
      <c r="Q234" s="3">
        <v>4.5606406640000001</v>
      </c>
      <c r="R234" s="3">
        <v>5.773068597</v>
      </c>
      <c r="S234" s="3">
        <v>10.479748649999999</v>
      </c>
      <c r="T234" s="3">
        <v>4.2035524469999999</v>
      </c>
      <c r="U234" s="3">
        <v>0.75731716599999999</v>
      </c>
      <c r="V234" s="3">
        <v>1.721970123</v>
      </c>
      <c r="W234" s="3">
        <v>3.9527455599999999</v>
      </c>
      <c r="X234" s="3">
        <v>3.4798399020000002</v>
      </c>
      <c r="Y234" s="3">
        <v>8.0963552799999992</v>
      </c>
      <c r="Z234" s="3">
        <v>1.5520995319999999</v>
      </c>
      <c r="AA234" s="3">
        <v>1.4001097259999999</v>
      </c>
      <c r="AB234" s="3">
        <v>1.9754745920000001</v>
      </c>
      <c r="AC234" s="3">
        <v>2.7515324689999998</v>
      </c>
      <c r="AD234" s="3">
        <v>1.808895602</v>
      </c>
      <c r="AE234" s="3">
        <v>0.88112699299999997</v>
      </c>
      <c r="AF234" s="3">
        <v>7.3549661640000004</v>
      </c>
      <c r="AH234" s="3">
        <v>2.7207972790000001</v>
      </c>
      <c r="AI234" s="3">
        <v>3.4133929109999999</v>
      </c>
      <c r="AJ234" s="3">
        <v>3.6074103659999999</v>
      </c>
      <c r="AK234" s="3">
        <v>1.4189274759999999</v>
      </c>
      <c r="AN234" s="3">
        <v>2.193625908</v>
      </c>
      <c r="AO234" s="3">
        <v>9.5718700000000005</v>
      </c>
      <c r="AP234" s="3">
        <v>5.6268759199999998</v>
      </c>
      <c r="AQ234" s="3">
        <v>6.0339876200000004</v>
      </c>
      <c r="AR234" s="3">
        <v>11.1</v>
      </c>
      <c r="AS234" s="3">
        <v>7.9599383059999997</v>
      </c>
      <c r="AT234" s="3">
        <v>4.2232552429999997</v>
      </c>
      <c r="AU234" s="88">
        <v>11.942529791</v>
      </c>
    </row>
    <row r="235" spans="1:47" x14ac:dyDescent="0.2">
      <c r="A235" s="88" t="s">
        <v>282</v>
      </c>
      <c r="B235" s="4">
        <v>38626</v>
      </c>
      <c r="C235" s="3">
        <v>3.1142327860000001</v>
      </c>
      <c r="E235" s="3">
        <v>1.890494825</v>
      </c>
      <c r="F235" s="3">
        <v>3.033425786</v>
      </c>
      <c r="H235" s="3">
        <v>6.7709455849999998</v>
      </c>
      <c r="I235" s="3">
        <v>1.2839300389999999</v>
      </c>
      <c r="J235" s="3">
        <v>2.8112668150000002</v>
      </c>
      <c r="K235" s="3">
        <v>3.5558513199999999</v>
      </c>
      <c r="M235" s="3">
        <v>2.7497148440000001</v>
      </c>
      <c r="N235" s="3">
        <v>1.721201126</v>
      </c>
      <c r="O235" s="3">
        <v>3.3159056210000002</v>
      </c>
      <c r="P235" s="3">
        <v>0.64899672399999997</v>
      </c>
      <c r="Q235" s="3">
        <v>4.1122230460000004</v>
      </c>
      <c r="R235" s="3">
        <v>5.355503787</v>
      </c>
      <c r="S235" s="3">
        <v>5.7764454440000002</v>
      </c>
      <c r="T235" s="3">
        <v>4.2723240059999998</v>
      </c>
      <c r="U235" s="3">
        <v>1.491388124</v>
      </c>
      <c r="V235" s="3">
        <v>2.130298459</v>
      </c>
      <c r="W235" s="3">
        <v>5.0913424469999997</v>
      </c>
      <c r="X235" s="3">
        <v>4.0245388210000002</v>
      </c>
      <c r="Y235" s="3">
        <v>12.761230345</v>
      </c>
      <c r="Z235" s="3">
        <v>2.6333286409999999</v>
      </c>
      <c r="AA235" s="3">
        <v>2.608579642</v>
      </c>
      <c r="AB235" s="3">
        <v>4.0226872330000001</v>
      </c>
      <c r="AC235" s="3">
        <v>3.0744299929999999</v>
      </c>
      <c r="AD235" s="3">
        <v>4.3017902619999999</v>
      </c>
      <c r="AE235" s="3">
        <v>0.36549073900000001</v>
      </c>
      <c r="AF235" s="3">
        <v>6.6630027930000004</v>
      </c>
      <c r="AH235" s="3">
        <v>3.1621023479999999</v>
      </c>
      <c r="AI235" s="3">
        <v>3.6450451579999998</v>
      </c>
      <c r="AJ235" s="3">
        <v>3.447674589</v>
      </c>
      <c r="AK235" s="3">
        <v>1.953574506</v>
      </c>
      <c r="AN235" s="3">
        <v>3.3301491150000002</v>
      </c>
      <c r="AO235" s="3">
        <v>8.4951500000000006</v>
      </c>
      <c r="AP235" s="3">
        <v>5.3447184319999996</v>
      </c>
      <c r="AQ235" s="3">
        <v>6.2926836909999997</v>
      </c>
      <c r="AR235" s="3">
        <v>10.8</v>
      </c>
      <c r="AS235" s="3">
        <v>8.2633823839999998</v>
      </c>
      <c r="AT235" s="3">
        <v>2.1315530570000001</v>
      </c>
      <c r="AU235" s="88">
        <v>7.3376983119999997</v>
      </c>
    </row>
    <row r="236" spans="1:47" x14ac:dyDescent="0.2">
      <c r="A236" s="88" t="s">
        <v>283</v>
      </c>
      <c r="B236" s="4">
        <v>38718</v>
      </c>
      <c r="C236" s="3">
        <v>3.179303242</v>
      </c>
      <c r="E236" s="3">
        <v>2.3072367909999998</v>
      </c>
      <c r="F236" s="3">
        <v>3.309946552</v>
      </c>
      <c r="H236" s="3">
        <v>6.8134879589999997</v>
      </c>
      <c r="I236" s="3">
        <v>1.8681829169999999</v>
      </c>
      <c r="J236" s="3">
        <v>2.0421723510000001</v>
      </c>
      <c r="K236" s="3">
        <v>3.8948059960000001</v>
      </c>
      <c r="M236" s="3">
        <v>1.51700612</v>
      </c>
      <c r="N236" s="3">
        <v>1.74881087</v>
      </c>
      <c r="O236" s="3">
        <v>4.4694746759999999</v>
      </c>
      <c r="P236" s="3">
        <v>1.54047551</v>
      </c>
      <c r="Q236" s="3">
        <v>4.7662271509999998</v>
      </c>
      <c r="R236" s="3">
        <v>6.1950078509999997</v>
      </c>
      <c r="S236" s="3">
        <v>6.2775171350000001</v>
      </c>
      <c r="T236" s="3">
        <v>4.8263921459999999</v>
      </c>
      <c r="U236" s="3">
        <v>1.3587001889999999</v>
      </c>
      <c r="V236" s="3">
        <v>2.5032780899999998</v>
      </c>
      <c r="W236" s="3">
        <v>5.3568202319999996</v>
      </c>
      <c r="X236" s="3">
        <v>2.6145005819999998</v>
      </c>
      <c r="Y236" s="3">
        <v>14.209675222</v>
      </c>
      <c r="Z236" s="3">
        <v>2.9924468910000002</v>
      </c>
      <c r="AA236" s="3">
        <v>3.0309570699999999</v>
      </c>
      <c r="AB236" s="3">
        <v>3.2423299829999999</v>
      </c>
      <c r="AC236" s="3">
        <v>3.1655775660000001</v>
      </c>
      <c r="AD236" s="3">
        <v>5.1060566109999996</v>
      </c>
      <c r="AE236" s="3">
        <v>0.79709233000000002</v>
      </c>
      <c r="AF236" s="3">
        <v>6.5931084960000002</v>
      </c>
      <c r="AH236" s="3">
        <v>2.9965409950000002</v>
      </c>
      <c r="AI236" s="3">
        <v>2.8652516490000002</v>
      </c>
      <c r="AJ236" s="3">
        <v>2.9826720510000002</v>
      </c>
      <c r="AK236" s="3">
        <v>2.2151418</v>
      </c>
      <c r="AN236" s="3">
        <v>4.1401083349999999</v>
      </c>
      <c r="AO236" s="3">
        <v>9.1244899999999998</v>
      </c>
      <c r="AP236" s="3">
        <v>4.929567638</v>
      </c>
      <c r="AQ236" s="3">
        <v>7.2856948949999998</v>
      </c>
      <c r="AR236" s="3">
        <v>12.4</v>
      </c>
      <c r="AS236" s="3">
        <v>10.057769952999999</v>
      </c>
      <c r="AT236" s="3">
        <v>2.6483330490000001</v>
      </c>
      <c r="AU236" s="88">
        <v>7.8806808740000003</v>
      </c>
    </row>
    <row r="237" spans="1:47" x14ac:dyDescent="0.2">
      <c r="A237" s="88" t="s">
        <v>284</v>
      </c>
      <c r="B237" s="4">
        <v>38808</v>
      </c>
      <c r="C237" s="3">
        <v>2.5873951380000002</v>
      </c>
      <c r="E237" s="3">
        <v>2.3974125279999998</v>
      </c>
      <c r="F237" s="3">
        <v>3.7886077760000001</v>
      </c>
      <c r="H237" s="3">
        <v>6.7823819690000002</v>
      </c>
      <c r="I237" s="3">
        <v>2.8503194779999999</v>
      </c>
      <c r="J237" s="3">
        <v>3.7009154070000001</v>
      </c>
      <c r="K237" s="3">
        <v>4.0684996870000001</v>
      </c>
      <c r="M237" s="3">
        <v>3.030122397</v>
      </c>
      <c r="N237" s="3">
        <v>2.252582608</v>
      </c>
      <c r="O237" s="3">
        <v>4.1251781310000002</v>
      </c>
      <c r="P237" s="3">
        <v>5.469142465</v>
      </c>
      <c r="Q237" s="3">
        <v>4.7854456540000001</v>
      </c>
      <c r="R237" s="3">
        <v>5.9689632020000003</v>
      </c>
      <c r="S237" s="3">
        <v>9.1857056149999998</v>
      </c>
      <c r="T237" s="3">
        <v>5.9853376760000003</v>
      </c>
      <c r="U237" s="3">
        <v>1.754284961</v>
      </c>
      <c r="V237" s="3">
        <v>2.1338660119999999</v>
      </c>
      <c r="W237" s="3">
        <v>6.1802505989999998</v>
      </c>
      <c r="X237" s="3">
        <v>5.925480608</v>
      </c>
      <c r="Y237" s="3">
        <v>10.736573186999999</v>
      </c>
      <c r="Z237" s="3">
        <v>4.6336268370000004</v>
      </c>
      <c r="AA237" s="3">
        <v>3.3401639699999999</v>
      </c>
      <c r="AB237" s="3">
        <v>2.236493581</v>
      </c>
      <c r="AC237" s="3">
        <v>3.435706304</v>
      </c>
      <c r="AD237" s="3">
        <v>5.5233728329999998</v>
      </c>
      <c r="AE237" s="3">
        <v>0.84548567900000005</v>
      </c>
      <c r="AF237" s="3">
        <v>7.7767328759999996</v>
      </c>
      <c r="AH237" s="3">
        <v>4.1273202869999999</v>
      </c>
      <c r="AI237" s="3">
        <v>3.3861240389999998</v>
      </c>
      <c r="AJ237" s="3">
        <v>3.2248575719999999</v>
      </c>
      <c r="AK237" s="3">
        <v>2.8603130019999998</v>
      </c>
      <c r="AN237" s="3">
        <v>4.4650073319999999</v>
      </c>
      <c r="AO237" s="3">
        <v>9.9337700000000009</v>
      </c>
      <c r="AP237" s="3">
        <v>5.6984437120000004</v>
      </c>
      <c r="AQ237" s="3">
        <v>7.4781518159999996</v>
      </c>
      <c r="AR237" s="3">
        <v>12.5</v>
      </c>
      <c r="AS237" s="3">
        <v>6.4125127470000001</v>
      </c>
      <c r="AT237" s="3">
        <v>3.603532258</v>
      </c>
      <c r="AU237" s="88">
        <v>7.584022525</v>
      </c>
    </row>
    <row r="238" spans="1:47" x14ac:dyDescent="0.2">
      <c r="A238" s="88" t="s">
        <v>285</v>
      </c>
      <c r="B238" s="4">
        <v>38899</v>
      </c>
      <c r="C238" s="3">
        <v>2.306736855</v>
      </c>
      <c r="E238" s="3">
        <v>2.148910077</v>
      </c>
      <c r="F238" s="3">
        <v>3.0942387280000001</v>
      </c>
      <c r="H238" s="3">
        <v>7.4951834789999996</v>
      </c>
      <c r="I238" s="3">
        <v>4.0762102789999997</v>
      </c>
      <c r="J238" s="3">
        <v>4.7316381200000004</v>
      </c>
      <c r="K238" s="3">
        <v>4.1583933960000001</v>
      </c>
      <c r="M238" s="3">
        <v>4.5328399629999998</v>
      </c>
      <c r="N238" s="3">
        <v>3.0850153499999999</v>
      </c>
      <c r="O238" s="3">
        <v>3.1940017319999998</v>
      </c>
      <c r="P238" s="3">
        <v>5.5419910899999998</v>
      </c>
      <c r="Q238" s="3">
        <v>4.1312971200000002</v>
      </c>
      <c r="R238" s="3">
        <v>4.2809433070000003</v>
      </c>
      <c r="S238" s="3">
        <v>5.6119773889999998</v>
      </c>
      <c r="T238" s="3">
        <v>6.828779763</v>
      </c>
      <c r="U238" s="3">
        <v>1.7590496760000001</v>
      </c>
      <c r="V238" s="3">
        <v>1.5121947680000001</v>
      </c>
      <c r="W238" s="3">
        <v>4.9750602859999997</v>
      </c>
      <c r="X238" s="3">
        <v>4.6159986560000004</v>
      </c>
      <c r="Y238" s="3">
        <v>13.394012419999999</v>
      </c>
      <c r="Z238" s="3">
        <v>5.3596867770000003</v>
      </c>
      <c r="AA238" s="3">
        <v>4.154503032</v>
      </c>
      <c r="AB238" s="3">
        <v>1.8303243499999999</v>
      </c>
      <c r="AC238" s="3">
        <v>3.4378155700000002</v>
      </c>
      <c r="AD238" s="3">
        <v>7.7913309240000004</v>
      </c>
      <c r="AE238" s="3">
        <v>1.444794216</v>
      </c>
      <c r="AF238" s="3">
        <v>8.0396085589999995</v>
      </c>
      <c r="AH238" s="3">
        <v>5.1854830229999997</v>
      </c>
      <c r="AI238" s="3">
        <v>2.2218331739999999</v>
      </c>
      <c r="AJ238" s="3">
        <v>2.9772690260000001</v>
      </c>
      <c r="AK238" s="3">
        <v>3.4173857710000002</v>
      </c>
      <c r="AN238" s="3">
        <v>4.1301913890000002</v>
      </c>
      <c r="AO238" s="3">
        <v>8.0897500000000004</v>
      </c>
      <c r="AP238" s="3">
        <v>5.3098303610000004</v>
      </c>
      <c r="AQ238" s="3">
        <v>7.9045915779999998</v>
      </c>
      <c r="AR238" s="3">
        <v>13.7</v>
      </c>
      <c r="AS238" s="3">
        <v>9.1929992210000009</v>
      </c>
      <c r="AT238" s="3">
        <v>2.4400552430000002</v>
      </c>
      <c r="AU238" s="88">
        <v>6.6267532219999996</v>
      </c>
    </row>
    <row r="239" spans="1:47" x14ac:dyDescent="0.2">
      <c r="A239" s="88" t="s">
        <v>286</v>
      </c>
      <c r="B239" s="4">
        <v>38991</v>
      </c>
      <c r="C239" s="3">
        <v>2.7211441679999999</v>
      </c>
      <c r="E239" s="3">
        <v>2.6422652389999999</v>
      </c>
      <c r="F239" s="3">
        <v>2.1447687110000002</v>
      </c>
      <c r="H239" s="3">
        <v>7.069406839</v>
      </c>
      <c r="I239" s="3">
        <v>3.9839923690000001</v>
      </c>
      <c r="J239" s="3">
        <v>3.9175672810000002</v>
      </c>
      <c r="K239" s="3">
        <v>4.1193412770000002</v>
      </c>
      <c r="M239" s="3">
        <v>4.020140348</v>
      </c>
      <c r="N239" s="3">
        <v>2.5787682360000002</v>
      </c>
      <c r="O239" s="3">
        <v>2.2117374719999998</v>
      </c>
      <c r="P239" s="3">
        <v>4.5911902570000001</v>
      </c>
      <c r="Q239" s="3">
        <v>4.0001165050000003</v>
      </c>
      <c r="R239" s="3">
        <v>6.4550376920000003</v>
      </c>
      <c r="S239" s="3">
        <v>5.6974492879999996</v>
      </c>
      <c r="T239" s="3">
        <v>4.7515211549999998</v>
      </c>
      <c r="U239" s="3">
        <v>1.4561224859999999</v>
      </c>
      <c r="V239" s="3">
        <v>0.29395157999999999</v>
      </c>
      <c r="W239" s="3">
        <v>5.0873974100000003</v>
      </c>
      <c r="X239" s="3">
        <v>3.8197541720000001</v>
      </c>
      <c r="Y239" s="3">
        <v>11.704550684000001</v>
      </c>
      <c r="Z239" s="3">
        <v>4.7132200160000002</v>
      </c>
      <c r="AA239" s="3">
        <v>3.389040595</v>
      </c>
      <c r="AB239" s="3">
        <v>2.0288704329999998</v>
      </c>
      <c r="AC239" s="3">
        <v>2.8710393120000002</v>
      </c>
      <c r="AD239" s="3">
        <v>7.4935965480000002</v>
      </c>
      <c r="AE239" s="3">
        <v>1.810916905</v>
      </c>
      <c r="AF239" s="3">
        <v>8.3428035709999993</v>
      </c>
      <c r="AH239" s="3">
        <v>5.1479883219999998</v>
      </c>
      <c r="AI239" s="3">
        <v>2.330260606</v>
      </c>
      <c r="AJ239" s="3">
        <v>2.3282911519999998</v>
      </c>
      <c r="AK239" s="3">
        <v>3.2292389880000001</v>
      </c>
      <c r="AN239" s="3">
        <v>3.8141993049999998</v>
      </c>
      <c r="AO239" s="3">
        <v>10.12762</v>
      </c>
      <c r="AP239" s="3">
        <v>5.3280061119999997</v>
      </c>
      <c r="AQ239" s="3">
        <v>8.4707435689999997</v>
      </c>
      <c r="AR239" s="3">
        <v>12.2</v>
      </c>
      <c r="AS239" s="3">
        <v>6.861392983</v>
      </c>
      <c r="AT239" s="3">
        <v>4.9450882260000002</v>
      </c>
      <c r="AU239" s="88">
        <v>8.8667526579999993</v>
      </c>
    </row>
    <row r="240" spans="1:47" x14ac:dyDescent="0.2">
      <c r="A240" s="88" t="s">
        <v>287</v>
      </c>
      <c r="B240" s="4">
        <v>39083</v>
      </c>
      <c r="C240" s="3">
        <v>3.1971168489999999</v>
      </c>
      <c r="E240" s="3">
        <v>3.017495577</v>
      </c>
      <c r="F240" s="3">
        <v>1.547877248</v>
      </c>
      <c r="H240" s="3">
        <v>6.4936534129999997</v>
      </c>
      <c r="I240" s="3">
        <v>5.0638543460000003</v>
      </c>
      <c r="J240" s="3">
        <v>3.3004877010000002</v>
      </c>
      <c r="K240" s="3">
        <v>4.0653491070000003</v>
      </c>
      <c r="M240" s="3">
        <v>4.5363799890000003</v>
      </c>
      <c r="N240" s="3">
        <v>2.5956475609999998</v>
      </c>
      <c r="O240" s="3">
        <v>1.299994552</v>
      </c>
      <c r="P240" s="3">
        <v>6.7162171089999996</v>
      </c>
      <c r="Q240" s="3">
        <v>3.7985317520000002</v>
      </c>
      <c r="R240" s="3">
        <v>3.5925518639999998</v>
      </c>
      <c r="S240" s="3">
        <v>5.0045764979999996</v>
      </c>
      <c r="T240" s="3">
        <v>4.4634614319999999</v>
      </c>
      <c r="U240" s="3">
        <v>2.550057485</v>
      </c>
      <c r="V240" s="3">
        <v>1.4565532990000001</v>
      </c>
      <c r="W240" s="3">
        <v>4.8448866129999999</v>
      </c>
      <c r="X240" s="3">
        <v>6.3432627330000004</v>
      </c>
      <c r="Y240" s="3">
        <v>12.555527067</v>
      </c>
      <c r="Z240" s="3">
        <v>3.3000858989999999</v>
      </c>
      <c r="AA240" s="3">
        <v>3.5883066910000001</v>
      </c>
      <c r="AB240" s="3">
        <v>3.6630549600000002</v>
      </c>
      <c r="AC240" s="3">
        <v>3.0707688270000002</v>
      </c>
      <c r="AD240" s="3">
        <v>3.9702130950000001</v>
      </c>
      <c r="AE240" s="3">
        <v>2.3995824699999999</v>
      </c>
      <c r="AF240" s="3">
        <v>9.761681973</v>
      </c>
      <c r="AH240" s="3">
        <v>5.105642982</v>
      </c>
      <c r="AI240" s="3">
        <v>3.6862375890000001</v>
      </c>
      <c r="AJ240" s="3">
        <v>2.6089019840000001</v>
      </c>
      <c r="AK240" s="3">
        <v>3.7843952619999999</v>
      </c>
      <c r="AN240" s="3">
        <v>4.180307795</v>
      </c>
      <c r="AO240" s="3">
        <v>9.25047</v>
      </c>
      <c r="AP240" s="3">
        <v>6.0741988569999998</v>
      </c>
      <c r="AQ240" s="3">
        <v>8.2968721649999999</v>
      </c>
      <c r="AR240" s="3">
        <v>12.5</v>
      </c>
      <c r="AS240" s="3">
        <v>5.7772390839999996</v>
      </c>
      <c r="AT240" s="3">
        <v>4.8523340829999997</v>
      </c>
      <c r="AU240" s="88">
        <v>9.0687280470000005</v>
      </c>
    </row>
    <row r="241" spans="1:47" x14ac:dyDescent="0.2">
      <c r="A241" s="88" t="s">
        <v>288</v>
      </c>
      <c r="B241" s="4">
        <v>39173</v>
      </c>
      <c r="C241" s="3">
        <v>4.5048097250000003</v>
      </c>
      <c r="E241" s="3">
        <v>3.8391820170000002</v>
      </c>
      <c r="F241" s="3">
        <v>1.375255855</v>
      </c>
      <c r="H241" s="3">
        <v>6.4157471030000002</v>
      </c>
      <c r="I241" s="3">
        <v>4.1370008470000004</v>
      </c>
      <c r="J241" s="3">
        <v>2.3564465540000001</v>
      </c>
      <c r="K241" s="3">
        <v>3.8283603300000002</v>
      </c>
      <c r="M241" s="3">
        <v>3.9631265309999999</v>
      </c>
      <c r="N241" s="3">
        <v>2.5729005030000001</v>
      </c>
      <c r="O241" s="3">
        <v>1.7817676259999999</v>
      </c>
      <c r="P241" s="3">
        <v>2.5372983040000001</v>
      </c>
      <c r="Q241" s="3">
        <v>1.5354167400000001</v>
      </c>
      <c r="R241" s="3">
        <v>7.7886654179999999</v>
      </c>
      <c r="S241" s="3">
        <v>7.4464343800000004</v>
      </c>
      <c r="T241" s="3">
        <v>4.784542224</v>
      </c>
      <c r="U241" s="3">
        <v>2.2551829809999999</v>
      </c>
      <c r="V241" s="3">
        <v>1.970059397</v>
      </c>
      <c r="W241" s="3">
        <v>4.8809146759999997</v>
      </c>
      <c r="X241" s="3">
        <v>7.7496893450000002</v>
      </c>
      <c r="Y241" s="3">
        <v>15.227268196000001</v>
      </c>
      <c r="Z241" s="3">
        <v>2.2387669140000002</v>
      </c>
      <c r="AA241" s="3">
        <v>4.1254371650000001</v>
      </c>
      <c r="AB241" s="3">
        <v>3.0813085920000001</v>
      </c>
      <c r="AC241" s="3">
        <v>2.724235916</v>
      </c>
      <c r="AD241" s="3">
        <v>7.1318909149999996</v>
      </c>
      <c r="AE241" s="3">
        <v>2.6381464760000002</v>
      </c>
      <c r="AF241" s="3">
        <v>9.4881265129999992</v>
      </c>
      <c r="AH241" s="3">
        <v>4.5319991699999997</v>
      </c>
      <c r="AI241" s="3">
        <v>3.220977993</v>
      </c>
      <c r="AJ241" s="3">
        <v>1.5407153250000001</v>
      </c>
      <c r="AK241" s="3">
        <v>3.5292349679999999</v>
      </c>
      <c r="AN241" s="3">
        <v>3.6224441120000002</v>
      </c>
      <c r="AO241" s="3">
        <v>9.5572300000000006</v>
      </c>
      <c r="AP241" s="3">
        <v>5.9355146980000004</v>
      </c>
      <c r="AQ241" s="3">
        <v>8.1726132949999997</v>
      </c>
      <c r="AR241" s="3">
        <v>13.8</v>
      </c>
      <c r="AS241" s="3">
        <v>6.486233951</v>
      </c>
      <c r="AT241" s="3">
        <v>5.144024892</v>
      </c>
      <c r="AU241" s="88">
        <v>8.7680287280000009</v>
      </c>
    </row>
    <row r="242" spans="1:47" x14ac:dyDescent="0.2">
      <c r="A242" s="88" t="s">
        <v>289</v>
      </c>
      <c r="B242" s="4">
        <v>39264</v>
      </c>
      <c r="C242" s="3">
        <v>4.9395848989999998</v>
      </c>
      <c r="E242" s="3">
        <v>3.9445790430000001</v>
      </c>
      <c r="F242" s="3">
        <v>2.3046514180000002</v>
      </c>
      <c r="H242" s="3">
        <v>5.1780029089999999</v>
      </c>
      <c r="I242" s="3">
        <v>3.2312882489999999</v>
      </c>
      <c r="J242" s="3">
        <v>-1.0530040570000001</v>
      </c>
      <c r="K242" s="3">
        <v>3.7533351100000001</v>
      </c>
      <c r="M242" s="3">
        <v>5.5732974219999996</v>
      </c>
      <c r="N242" s="3">
        <v>2.3284130520000001</v>
      </c>
      <c r="O242" s="3">
        <v>2.0797958059999999</v>
      </c>
      <c r="P242" s="3">
        <v>5.1998824199999998</v>
      </c>
      <c r="Q242" s="3">
        <v>8.1680607000000002E-2</v>
      </c>
      <c r="R242" s="3">
        <v>5.8767229820000004</v>
      </c>
      <c r="S242" s="3">
        <v>8.0976028830000004</v>
      </c>
      <c r="T242" s="3">
        <v>4.7170114510000003</v>
      </c>
      <c r="U242" s="3">
        <v>1.699157458</v>
      </c>
      <c r="V242" s="3">
        <v>1.856771964</v>
      </c>
      <c r="W242" s="3">
        <v>5.9217927870000002</v>
      </c>
      <c r="X242" s="3">
        <v>9.9433710929999997</v>
      </c>
      <c r="Y242" s="3">
        <v>12.072077491</v>
      </c>
      <c r="Z242" s="3">
        <v>2.021132368</v>
      </c>
      <c r="AA242" s="3">
        <v>3.1145347409999999</v>
      </c>
      <c r="AB242" s="3">
        <v>2.951060521</v>
      </c>
      <c r="AC242" s="3">
        <v>2.7021300799999999</v>
      </c>
      <c r="AD242" s="3">
        <v>5.9170594679999997</v>
      </c>
      <c r="AE242" s="3">
        <v>2.10749605</v>
      </c>
      <c r="AF242" s="3">
        <v>9.6383796230000005</v>
      </c>
      <c r="AH242" s="3">
        <v>3.3652608270000002</v>
      </c>
      <c r="AI242" s="3">
        <v>3.6864706850000002</v>
      </c>
      <c r="AJ242" s="3">
        <v>1.938641595</v>
      </c>
      <c r="AK242" s="3">
        <v>3.1319892739999999</v>
      </c>
      <c r="AN242" s="3">
        <v>4.2243332010000003</v>
      </c>
      <c r="AO242" s="3">
        <v>10.72776</v>
      </c>
      <c r="AP242" s="3">
        <v>5.3079781050000001</v>
      </c>
      <c r="AQ242" s="3">
        <v>8.808004554</v>
      </c>
      <c r="AR242" s="3">
        <v>15</v>
      </c>
      <c r="AS242" s="3">
        <v>3.3699744269999998</v>
      </c>
      <c r="AT242" s="3">
        <v>6.5180433520000003</v>
      </c>
      <c r="AU242" s="88">
        <v>9.8178061860000003</v>
      </c>
    </row>
    <row r="243" spans="1:47" x14ac:dyDescent="0.2">
      <c r="A243" s="88" t="s">
        <v>290</v>
      </c>
      <c r="B243" s="4">
        <v>39356</v>
      </c>
      <c r="C243" s="3">
        <v>4.5566670839999999</v>
      </c>
      <c r="E243" s="3">
        <v>3.832958079</v>
      </c>
      <c r="F243" s="3">
        <v>2.4481004830000002</v>
      </c>
      <c r="H243" s="3">
        <v>5.3773035499999997</v>
      </c>
      <c r="I243" s="3">
        <v>2.952319578</v>
      </c>
      <c r="J243" s="3">
        <v>0.54708885699999998</v>
      </c>
      <c r="K243" s="3">
        <v>3.5864202349999998</v>
      </c>
      <c r="M243" s="3">
        <v>5.5398864200000002</v>
      </c>
      <c r="N243" s="3">
        <v>2.683082733</v>
      </c>
      <c r="O243" s="3">
        <v>2.7653036090000001</v>
      </c>
      <c r="P243" s="3">
        <v>4.0476039930000001</v>
      </c>
      <c r="Q243" s="3">
        <v>6.0478279999999999E-3</v>
      </c>
      <c r="R243" s="3">
        <v>1.8008532349999999</v>
      </c>
      <c r="S243" s="3">
        <v>7.3159385879999999</v>
      </c>
      <c r="T243" s="3">
        <v>7.4480634669999999</v>
      </c>
      <c r="U243" s="3">
        <v>1.471042961</v>
      </c>
      <c r="V243" s="3">
        <v>1.509582913</v>
      </c>
      <c r="W243" s="3">
        <v>5.4630106239999998</v>
      </c>
      <c r="X243" s="3">
        <v>9.0812897449999994</v>
      </c>
      <c r="Y243" s="3">
        <v>10.506633996</v>
      </c>
      <c r="Z243" s="3">
        <v>2.3361626169999998</v>
      </c>
      <c r="AA243" s="3">
        <v>3.646875004</v>
      </c>
      <c r="AB243" s="3">
        <v>3.2128487749999999</v>
      </c>
      <c r="AC243" s="3">
        <v>2.8639201409999999</v>
      </c>
      <c r="AD243" s="3">
        <v>5.9651058299999997</v>
      </c>
      <c r="AE243" s="3">
        <v>2.4333121850000001</v>
      </c>
      <c r="AF243" s="3">
        <v>10.115064840000001</v>
      </c>
      <c r="AH243" s="3">
        <v>2.9622972339999998</v>
      </c>
      <c r="AI243" s="3">
        <v>3.832318925</v>
      </c>
      <c r="AJ243" s="3">
        <v>2.3985598499999998</v>
      </c>
      <c r="AK243" s="3">
        <v>2.9766922689999999</v>
      </c>
      <c r="AN243" s="3">
        <v>4.319904384</v>
      </c>
      <c r="AO243" s="3">
        <v>9.1108200000000004</v>
      </c>
      <c r="AP243" s="3">
        <v>5.0906740859999999</v>
      </c>
      <c r="AQ243" s="3">
        <v>8.7111917759999997</v>
      </c>
      <c r="AR243" s="3">
        <v>14.3</v>
      </c>
      <c r="AS243" s="3">
        <v>4.7655240450000003</v>
      </c>
      <c r="AT243" s="3">
        <v>5.8912290660000002</v>
      </c>
      <c r="AU243" s="88">
        <v>8.2574522699999999</v>
      </c>
    </row>
    <row r="244" spans="1:47" x14ac:dyDescent="0.2">
      <c r="A244" s="88" t="s">
        <v>291</v>
      </c>
      <c r="B244" s="4">
        <v>39448</v>
      </c>
      <c r="C244" s="3">
        <v>3.7239800810000001</v>
      </c>
      <c r="E244" s="3">
        <v>3.0838872460000002</v>
      </c>
      <c r="F244" s="3">
        <v>2.1573017800000001</v>
      </c>
      <c r="H244" s="3">
        <v>5.2800130980000004</v>
      </c>
      <c r="I244" s="3">
        <v>2.0913689720000002</v>
      </c>
      <c r="J244" s="3">
        <v>1.834574414</v>
      </c>
      <c r="K244" s="3">
        <v>3.2594965839999999</v>
      </c>
      <c r="M244" s="3">
        <v>6.0999130199999998</v>
      </c>
      <c r="N244" s="3">
        <v>2.1094535130000001</v>
      </c>
      <c r="O244" s="3">
        <v>2.8107663949999999</v>
      </c>
      <c r="P244" s="3">
        <v>0.96419671900000004</v>
      </c>
      <c r="Q244" s="3">
        <v>-0.488475561</v>
      </c>
      <c r="R244" s="3">
        <v>5.8303595789999996</v>
      </c>
      <c r="S244" s="3">
        <v>10.888773030999999</v>
      </c>
      <c r="T244" s="3">
        <v>7.4269932709999997</v>
      </c>
      <c r="U244" s="3">
        <v>-1.5639707999999999E-2</v>
      </c>
      <c r="V244" s="3">
        <v>0.58377726799999996</v>
      </c>
      <c r="W244" s="3">
        <v>6.9046241779999997</v>
      </c>
      <c r="X244" s="3">
        <v>6.6280432439999997</v>
      </c>
      <c r="Y244" s="3">
        <v>4.5525948469999999</v>
      </c>
      <c r="Z244" s="3">
        <v>2.52725103</v>
      </c>
      <c r="AA244" s="3">
        <v>4.1901931030000004</v>
      </c>
      <c r="AB244" s="3">
        <v>2.460601429</v>
      </c>
      <c r="AC244" s="3">
        <v>2.6055123670000002</v>
      </c>
      <c r="AD244" s="3">
        <v>9.0226217510000009</v>
      </c>
      <c r="AE244" s="3">
        <v>2.8465058129999998</v>
      </c>
      <c r="AF244" s="3">
        <v>13.922139502</v>
      </c>
      <c r="AH244" s="3">
        <v>3.4255622539999999</v>
      </c>
      <c r="AI244" s="3">
        <v>3.0700895520000002</v>
      </c>
      <c r="AJ244" s="3">
        <v>2.160883208</v>
      </c>
      <c r="AK244" s="3">
        <v>2.3431607109999999</v>
      </c>
      <c r="AN244" s="3">
        <v>4.0722072870000003</v>
      </c>
      <c r="AO244" s="3">
        <v>10.897589999999999</v>
      </c>
      <c r="AP244" s="3">
        <v>5.1259981059999999</v>
      </c>
      <c r="AQ244" s="3">
        <v>10.092326711</v>
      </c>
      <c r="AR244" s="3">
        <v>13.9</v>
      </c>
      <c r="AS244" s="3">
        <v>5.9681872509999998</v>
      </c>
      <c r="AT244" s="3">
        <v>6.2501675409999997</v>
      </c>
      <c r="AU244" s="88">
        <v>9.1958590000000004</v>
      </c>
    </row>
    <row r="245" spans="1:47" x14ac:dyDescent="0.2">
      <c r="A245" s="88" t="s">
        <v>292</v>
      </c>
      <c r="B245" s="4">
        <v>39539</v>
      </c>
      <c r="C245" s="3">
        <v>3.3715804139999999</v>
      </c>
      <c r="E245" s="3">
        <v>2.0822444760000001</v>
      </c>
      <c r="F245" s="3">
        <v>1.585825708</v>
      </c>
      <c r="H245" s="3">
        <v>4.0866439830000001</v>
      </c>
      <c r="I245" s="3">
        <v>2.6556534740000002</v>
      </c>
      <c r="J245" s="3">
        <v>1.4561288299999999</v>
      </c>
      <c r="K245" s="3">
        <v>2.544256265</v>
      </c>
      <c r="M245" s="3">
        <v>3.9604511389999999</v>
      </c>
      <c r="N245" s="3">
        <v>1.7618585520000001</v>
      </c>
      <c r="O245" s="3">
        <v>2.3971070210000001</v>
      </c>
      <c r="P245" s="3">
        <v>2.385711643</v>
      </c>
      <c r="Q245" s="3">
        <v>1.8014501380000001</v>
      </c>
      <c r="R245" s="3">
        <v>-2.6799541549999999</v>
      </c>
      <c r="S245" s="3">
        <v>6.0738093400000004</v>
      </c>
      <c r="T245" s="3">
        <v>6.070431857</v>
      </c>
      <c r="U245" s="3">
        <v>1.0472684210000001</v>
      </c>
      <c r="V245" s="3">
        <v>0.28646139500000001</v>
      </c>
      <c r="W245" s="3">
        <v>5.5675559789999998</v>
      </c>
      <c r="X245" s="3">
        <v>2.1670605429999998</v>
      </c>
      <c r="Y245" s="3">
        <v>4.5789258259999999</v>
      </c>
      <c r="Z245" s="3">
        <v>1.6392639959999999</v>
      </c>
      <c r="AA245" s="3">
        <v>3.3474002490000001</v>
      </c>
      <c r="AB245" s="3">
        <v>1.0974077980000001</v>
      </c>
      <c r="AC245" s="3">
        <v>2.0881563070000002</v>
      </c>
      <c r="AD245" s="3">
        <v>6.2370789929999999</v>
      </c>
      <c r="AE245" s="3">
        <v>1.7833610639999999</v>
      </c>
      <c r="AF245" s="3">
        <v>8.4670437130000007</v>
      </c>
      <c r="AH245" s="3">
        <v>1.662985591</v>
      </c>
      <c r="AI245" s="3">
        <v>1.5308488280000001</v>
      </c>
      <c r="AJ245" s="3">
        <v>1.4468030009999999</v>
      </c>
      <c r="AK245" s="3">
        <v>2.1494428210000001</v>
      </c>
      <c r="AN245" s="3">
        <v>4.3921285430000001</v>
      </c>
      <c r="AO245" s="3">
        <v>8.5376300000000001</v>
      </c>
      <c r="AP245" s="3">
        <v>3.8809365840000001</v>
      </c>
      <c r="AQ245" s="3">
        <v>11.000110756</v>
      </c>
      <c r="AR245" s="3">
        <v>11.5</v>
      </c>
      <c r="AS245" s="3">
        <v>6.2631362949999998</v>
      </c>
      <c r="AT245" s="3">
        <v>5.3793803740000001</v>
      </c>
      <c r="AU245" s="88">
        <v>7.683316628</v>
      </c>
    </row>
    <row r="246" spans="1:47" x14ac:dyDescent="0.2">
      <c r="A246" s="88" t="s">
        <v>293</v>
      </c>
      <c r="B246" s="4">
        <v>39630</v>
      </c>
      <c r="C246" s="3">
        <v>3.0091342820000002</v>
      </c>
      <c r="E246" s="3">
        <v>1.682569743</v>
      </c>
      <c r="F246" s="3">
        <v>0.97488014300000003</v>
      </c>
      <c r="H246" s="3">
        <v>3.9140624549999998</v>
      </c>
      <c r="I246" s="3">
        <v>1.5650485919999999</v>
      </c>
      <c r="J246" s="3">
        <v>0.97225072400000001</v>
      </c>
      <c r="K246" s="3">
        <v>1.7443984299999999</v>
      </c>
      <c r="M246" s="3">
        <v>1.3047360459999999</v>
      </c>
      <c r="N246" s="3">
        <v>0.55746824800000006</v>
      </c>
      <c r="O246" s="3">
        <v>1.2531785049999999</v>
      </c>
      <c r="P246" s="3">
        <v>-1.147594182</v>
      </c>
      <c r="Q246" s="3">
        <v>2.4450334269999998</v>
      </c>
      <c r="R246" s="3">
        <v>-3.6415777170000001</v>
      </c>
      <c r="S246" s="3">
        <v>4.0712730219999997</v>
      </c>
      <c r="T246" s="3">
        <v>4.4214917749999998</v>
      </c>
      <c r="U246" s="3">
        <v>-2.339856E-3</v>
      </c>
      <c r="V246" s="3">
        <v>-0.33441095599999998</v>
      </c>
      <c r="W246" s="3">
        <v>4.3152169730000001</v>
      </c>
      <c r="X246" s="3">
        <v>-0.54822218300000003</v>
      </c>
      <c r="Y246" s="3">
        <v>-1.0931742769999999</v>
      </c>
      <c r="Z246" s="3">
        <v>1.5916445690000001</v>
      </c>
      <c r="AA246" s="3">
        <v>3.3278025649999998</v>
      </c>
      <c r="AB246" s="3">
        <v>1.1493647</v>
      </c>
      <c r="AC246" s="3">
        <v>1.436449281</v>
      </c>
      <c r="AD246" s="3">
        <v>5.295218609</v>
      </c>
      <c r="AE246" s="3">
        <v>0.83514815200000003</v>
      </c>
      <c r="AF246" s="3">
        <v>7.1651344269999999</v>
      </c>
      <c r="AH246" s="3">
        <v>1.0331778069999999</v>
      </c>
      <c r="AI246" s="3">
        <v>0.30934429200000002</v>
      </c>
      <c r="AJ246" s="3">
        <v>1.380132559</v>
      </c>
      <c r="AK246" s="3">
        <v>1.1098614179999999</v>
      </c>
      <c r="AN246" s="3">
        <v>3.7982800700000001</v>
      </c>
      <c r="AO246" s="3">
        <v>6.9746899999999998</v>
      </c>
      <c r="AP246" s="3">
        <v>4.2944813990000004</v>
      </c>
      <c r="AQ246" s="3">
        <v>8.9406479999999995</v>
      </c>
      <c r="AR246" s="3">
        <v>10.9</v>
      </c>
      <c r="AS246" s="3">
        <v>2.4609971750000001</v>
      </c>
      <c r="AT246" s="3">
        <v>6.1796478700000002</v>
      </c>
      <c r="AU246" s="88">
        <v>6.0281091719999997</v>
      </c>
    </row>
    <row r="247" spans="1:47" x14ac:dyDescent="0.2">
      <c r="A247" s="88" t="s">
        <v>294</v>
      </c>
      <c r="B247" s="4">
        <v>39722</v>
      </c>
      <c r="C247" s="3">
        <v>2.6395869940000001</v>
      </c>
      <c r="E247" s="3">
        <v>0.31390365999999997</v>
      </c>
      <c r="F247" s="3">
        <v>1.377281448</v>
      </c>
      <c r="H247" s="3">
        <v>2.5839556080000001</v>
      </c>
      <c r="I247" s="3">
        <v>0.40813594399999997</v>
      </c>
      <c r="J247" s="3">
        <v>-0.55189543900000004</v>
      </c>
      <c r="K247" s="3">
        <v>0.78426446000000005</v>
      </c>
      <c r="M247" s="3">
        <v>0.729492064</v>
      </c>
      <c r="N247" s="3">
        <v>-7.8914050999999999E-2</v>
      </c>
      <c r="O247" s="3">
        <v>-1.085525624</v>
      </c>
      <c r="P247" s="3">
        <v>-0.624737981</v>
      </c>
      <c r="Q247" s="3">
        <v>1.6941584780000001</v>
      </c>
      <c r="R247" s="3">
        <v>-2.1271364620000002</v>
      </c>
      <c r="S247" s="3">
        <v>-1.0764969369999999</v>
      </c>
      <c r="T247" s="3">
        <v>2.6468917799999998</v>
      </c>
      <c r="U247" s="3">
        <v>-1.368930022</v>
      </c>
      <c r="V247" s="3">
        <v>-1.0392806160000001</v>
      </c>
      <c r="W247" s="3">
        <v>3.9461524219999999</v>
      </c>
      <c r="X247" s="3">
        <v>-1.7299044619999999</v>
      </c>
      <c r="Y247" s="3">
        <v>-6.8020285490000001</v>
      </c>
      <c r="Z247" s="3">
        <v>1.2574204419999999</v>
      </c>
      <c r="AA247" s="3">
        <v>2.0610554470000002</v>
      </c>
      <c r="AB247" s="3">
        <v>-0.31467297599999999</v>
      </c>
      <c r="AC247" s="3">
        <v>0.398764972</v>
      </c>
      <c r="AD247" s="3">
        <v>3.1895830680000001</v>
      </c>
      <c r="AE247" s="3">
        <v>0.54480643100000004</v>
      </c>
      <c r="AF247" s="3">
        <v>6.1508232359999999</v>
      </c>
      <c r="AH247" s="3">
        <v>-0.21726831399999999</v>
      </c>
      <c r="AI247" s="3">
        <v>-0.80854008600000005</v>
      </c>
      <c r="AJ247" s="3">
        <v>0.242202378</v>
      </c>
      <c r="AK247" s="3">
        <v>0.14250344400000001</v>
      </c>
      <c r="AN247" s="3">
        <v>3.2336637559999999</v>
      </c>
      <c r="AO247" s="3">
        <v>6.0034200000000002</v>
      </c>
      <c r="AP247" s="3">
        <v>3.332732273</v>
      </c>
      <c r="AQ247" s="3">
        <v>5.0013092029999999</v>
      </c>
      <c r="AR247" s="3">
        <v>9.5</v>
      </c>
      <c r="AS247" s="3">
        <v>1.2943583E-2</v>
      </c>
      <c r="AT247" s="3">
        <v>6.6018567399999997</v>
      </c>
      <c r="AU247" s="88">
        <v>5.4263393459999998</v>
      </c>
    </row>
    <row r="248" spans="1:47" x14ac:dyDescent="0.2">
      <c r="A248" s="88" t="s">
        <v>295</v>
      </c>
      <c r="B248" s="4">
        <v>39814</v>
      </c>
      <c r="C248" s="3">
        <v>1.674776692</v>
      </c>
      <c r="E248" s="3">
        <v>-2.2583763549999998</v>
      </c>
      <c r="F248" s="3">
        <v>8.8076009999999996E-2</v>
      </c>
      <c r="H248" s="3">
        <v>-0.45887356099999999</v>
      </c>
      <c r="I248" s="3">
        <v>-1.845717651</v>
      </c>
      <c r="J248" s="3">
        <v>-3.867425881</v>
      </c>
      <c r="K248" s="3">
        <v>-1.4757699820000001</v>
      </c>
      <c r="M248" s="3">
        <v>-2.7159965779999999</v>
      </c>
      <c r="N248" s="3">
        <v>-1.7593380030000001</v>
      </c>
      <c r="O248" s="3">
        <v>-3.6157988780000001</v>
      </c>
      <c r="P248" s="3">
        <v>-1.52470938</v>
      </c>
      <c r="Q248" s="3">
        <v>-2.1053726089999998</v>
      </c>
      <c r="R248" s="3">
        <v>-9.7474575269999999</v>
      </c>
      <c r="S248" s="3">
        <v>2.1443322000000001E-2</v>
      </c>
      <c r="T248" s="3">
        <v>0.40293050000000002</v>
      </c>
      <c r="U248" s="3">
        <v>-3.527383811</v>
      </c>
      <c r="V248" s="3">
        <v>-3.899608969</v>
      </c>
      <c r="W248" s="3">
        <v>-1.5899777559999999</v>
      </c>
      <c r="X248" s="3">
        <v>-5.0239365439999997</v>
      </c>
      <c r="Y248" s="3">
        <v>-7.9989291539999998</v>
      </c>
      <c r="Z248" s="3">
        <v>-0.75494380299999997</v>
      </c>
      <c r="AA248" s="3">
        <v>3.4028852999999998E-2</v>
      </c>
      <c r="AB248" s="3">
        <v>-1.078638931</v>
      </c>
      <c r="AC248" s="3">
        <v>-2.2894079729999999</v>
      </c>
      <c r="AD248" s="3">
        <v>2.2338700770000002</v>
      </c>
      <c r="AE248" s="3">
        <v>-1.8515323450000001</v>
      </c>
      <c r="AF248" s="3">
        <v>0.98022054199999997</v>
      </c>
      <c r="AH248" s="3">
        <v>-4.8225732429999999</v>
      </c>
      <c r="AI248" s="3">
        <v>-1.624940931</v>
      </c>
      <c r="AJ248" s="3">
        <v>-2.5403392600000001</v>
      </c>
      <c r="AK248" s="3">
        <v>-2.1416772609999999</v>
      </c>
      <c r="AN248" s="3">
        <v>-0.72837459000000004</v>
      </c>
      <c r="AO248" s="3">
        <v>2.6664300000000001</v>
      </c>
      <c r="AP248" s="3">
        <v>1.3090373310000001</v>
      </c>
      <c r="AQ248" s="3">
        <v>-1.557639212</v>
      </c>
      <c r="AR248" s="3">
        <v>7.1</v>
      </c>
      <c r="AS248" s="3">
        <v>-5.762221898</v>
      </c>
      <c r="AT248" s="3">
        <v>1.0268392200000001</v>
      </c>
      <c r="AU248" s="88">
        <v>-2.5563743720000001</v>
      </c>
    </row>
    <row r="249" spans="1:47" x14ac:dyDescent="0.2">
      <c r="A249" s="88" t="s">
        <v>296</v>
      </c>
      <c r="B249" s="4">
        <v>39904</v>
      </c>
      <c r="C249" s="3">
        <v>1.55253614</v>
      </c>
      <c r="E249" s="3">
        <v>-3.6259190239999999</v>
      </c>
      <c r="F249" s="3">
        <v>-2.2485177049999998</v>
      </c>
      <c r="H249" s="3">
        <v>-4.3328287239999996</v>
      </c>
      <c r="I249" s="3">
        <v>-7.0267688450000003</v>
      </c>
      <c r="J249" s="3">
        <v>-5.1964215720000002</v>
      </c>
      <c r="K249" s="3">
        <v>-4.2494510700000001</v>
      </c>
      <c r="M249" s="3">
        <v>-8.9056617239999998</v>
      </c>
      <c r="N249" s="3">
        <v>-3.755075004</v>
      </c>
      <c r="O249" s="3">
        <v>-5.7493605929999996</v>
      </c>
      <c r="P249" s="3">
        <v>-6.7702908109999997</v>
      </c>
      <c r="Q249" s="3">
        <v>-7.2692466519999996</v>
      </c>
      <c r="R249" s="3">
        <v>-6.8773744470000002</v>
      </c>
      <c r="S249" s="3">
        <v>-7.3756947110000004</v>
      </c>
      <c r="T249" s="3">
        <v>-0.452077805</v>
      </c>
      <c r="U249" s="3">
        <v>-7.1888151420000002</v>
      </c>
      <c r="V249" s="3">
        <v>-8.8510989420000001</v>
      </c>
      <c r="W249" s="3">
        <v>-1.896186505</v>
      </c>
      <c r="X249" s="3">
        <v>-5.9731036929999997</v>
      </c>
      <c r="Y249" s="3">
        <v>-13.055314681</v>
      </c>
      <c r="Z249" s="3">
        <v>-5.6648453999999999</v>
      </c>
      <c r="AA249" s="3">
        <v>-3.8756721729999999</v>
      </c>
      <c r="AB249" s="3">
        <v>-0.64740598900000002</v>
      </c>
      <c r="AC249" s="3">
        <v>-4.7247335110000002</v>
      </c>
      <c r="AD249" s="3">
        <v>1.893776873</v>
      </c>
      <c r="AE249" s="3">
        <v>-4.3289468649999998</v>
      </c>
      <c r="AF249" s="3">
        <v>-5.9753088529999996</v>
      </c>
      <c r="AH249" s="3">
        <v>-5.5033928400000001</v>
      </c>
      <c r="AI249" s="3">
        <v>-2.308385645</v>
      </c>
      <c r="AJ249" s="3">
        <v>-3.2823924440000001</v>
      </c>
      <c r="AK249" s="3">
        <v>-5.6256157590000004</v>
      </c>
      <c r="AN249" s="3">
        <v>-3.1114476550000001</v>
      </c>
      <c r="AO249" s="3">
        <v>0.16417000000000001</v>
      </c>
      <c r="AP249" s="3">
        <v>-0.68414950600000002</v>
      </c>
      <c r="AQ249" s="3">
        <v>-7.4842842210000002</v>
      </c>
      <c r="AR249" s="3">
        <v>6.4</v>
      </c>
      <c r="AS249" s="3">
        <v>-12.933908435999999</v>
      </c>
      <c r="AT249" s="3">
        <v>-1.471133561</v>
      </c>
      <c r="AU249" s="88">
        <v>-6.9718107869999999</v>
      </c>
    </row>
    <row r="250" spans="1:47" x14ac:dyDescent="0.2">
      <c r="A250" s="88" t="s">
        <v>297</v>
      </c>
      <c r="B250" s="4">
        <v>39995</v>
      </c>
      <c r="C250" s="3">
        <v>1.8890124939999999</v>
      </c>
      <c r="E250" s="3">
        <v>-3.6410151449999999</v>
      </c>
      <c r="F250" s="3">
        <v>-3.6636606239999998</v>
      </c>
      <c r="H250" s="3">
        <v>-5.3490520310000003</v>
      </c>
      <c r="I250" s="3">
        <v>-6.6606275300000002</v>
      </c>
      <c r="J250" s="3">
        <v>-6.1682680090000002</v>
      </c>
      <c r="K250" s="3">
        <v>-4.3642555490000001</v>
      </c>
      <c r="M250" s="3">
        <v>-8.5694242079999992</v>
      </c>
      <c r="N250" s="3">
        <v>-3.437906822</v>
      </c>
      <c r="O250" s="3">
        <v>-5.3989460779999998</v>
      </c>
      <c r="P250" s="3">
        <v>-3.564516207</v>
      </c>
      <c r="Q250" s="3">
        <v>-7.732974735</v>
      </c>
      <c r="R250" s="3">
        <v>-4.946852485</v>
      </c>
      <c r="S250" s="3">
        <v>-10.205126783000001</v>
      </c>
      <c r="T250" s="3">
        <v>0.42737093100000001</v>
      </c>
      <c r="U250" s="3">
        <v>-6.6159522620000004</v>
      </c>
      <c r="V250" s="3">
        <v>-6.5192014980000002</v>
      </c>
      <c r="W250" s="3">
        <v>-1.106362311</v>
      </c>
      <c r="X250" s="3">
        <v>-7.0412855250000002</v>
      </c>
      <c r="Y250" s="3">
        <v>-14.972342076</v>
      </c>
      <c r="Z250" s="3">
        <v>-7.7456646229999997</v>
      </c>
      <c r="AA250" s="3">
        <v>-4.3444474729999998</v>
      </c>
      <c r="AB250" s="3">
        <v>-1.5703625370000001</v>
      </c>
      <c r="AC250" s="3">
        <v>-4.5479850849999996</v>
      </c>
      <c r="AD250" s="3">
        <v>1.6936337640000001</v>
      </c>
      <c r="AE250" s="3">
        <v>-3.7693423250000002</v>
      </c>
      <c r="AF250" s="3">
        <v>-5.6526921960000003</v>
      </c>
      <c r="AH250" s="3">
        <v>-5.3782926240000002</v>
      </c>
      <c r="AI250" s="3">
        <v>-2.0537258249999999</v>
      </c>
      <c r="AJ250" s="3">
        <v>-3.995504779</v>
      </c>
      <c r="AK250" s="3">
        <v>-5.3565778609999999</v>
      </c>
      <c r="AN250" s="3">
        <v>-3.3728758640000001</v>
      </c>
      <c r="AO250" s="3">
        <v>4.8825200000000004</v>
      </c>
      <c r="AP250" s="3">
        <v>-2.218755722</v>
      </c>
      <c r="AQ250" s="3">
        <v>-9.3971492049999998</v>
      </c>
      <c r="AR250" s="3">
        <v>8.1999999999999993</v>
      </c>
      <c r="AS250" s="3">
        <v>-6.1135173890000001</v>
      </c>
      <c r="AT250" s="3">
        <v>-2.0056219949999998</v>
      </c>
      <c r="AU250" s="88">
        <v>-9.5209506830000006</v>
      </c>
    </row>
    <row r="251" spans="1:47" x14ac:dyDescent="0.2">
      <c r="A251" s="88" t="s">
        <v>298</v>
      </c>
      <c r="B251" s="4">
        <v>40087</v>
      </c>
      <c r="C251" s="3">
        <v>1.425598667</v>
      </c>
      <c r="E251" s="3">
        <v>-1.849735973</v>
      </c>
      <c r="F251" s="3">
        <v>-4.0173066549999996</v>
      </c>
      <c r="H251" s="3">
        <v>-5.0864063609999999</v>
      </c>
      <c r="I251" s="3">
        <v>-5.5274779179999998</v>
      </c>
      <c r="J251" s="3">
        <v>-5.2906003520000002</v>
      </c>
      <c r="K251" s="3">
        <v>-3.985540796</v>
      </c>
      <c r="M251" s="3">
        <v>-8.0415882409999995</v>
      </c>
      <c r="N251" s="3">
        <v>-3.0127953230000002</v>
      </c>
      <c r="O251" s="3">
        <v>-3.7785308519999998</v>
      </c>
      <c r="P251" s="3">
        <v>-4.1706773479999999</v>
      </c>
      <c r="Q251" s="3">
        <v>-7.559082278</v>
      </c>
      <c r="R251" s="3">
        <v>-5.7190328929999996</v>
      </c>
      <c r="S251" s="3">
        <v>-3.7367422229999998</v>
      </c>
      <c r="T251" s="3">
        <v>1.354309762</v>
      </c>
      <c r="U251" s="3">
        <v>-5.0387553189999998</v>
      </c>
      <c r="V251" s="3">
        <v>-5.3844301210000003</v>
      </c>
      <c r="W251" s="3">
        <v>1.028926786</v>
      </c>
      <c r="X251" s="3">
        <v>-4.627308287</v>
      </c>
      <c r="Y251" s="3">
        <v>-15.744952632</v>
      </c>
      <c r="Z251" s="3">
        <v>-5.0389045220000002</v>
      </c>
      <c r="AA251" s="3">
        <v>-3.8436950759999999</v>
      </c>
      <c r="AB251" s="3">
        <v>-1.3265879140000001</v>
      </c>
      <c r="AC251" s="3">
        <v>-3.5094081670000001</v>
      </c>
      <c r="AD251" s="3">
        <v>2.627213765</v>
      </c>
      <c r="AE251" s="3">
        <v>-2.8401853930000001</v>
      </c>
      <c r="AF251" s="3">
        <v>-5.4219666809999998</v>
      </c>
      <c r="AH251" s="3">
        <v>-4.9537359089999997</v>
      </c>
      <c r="AI251" s="3">
        <v>-1.209356152</v>
      </c>
      <c r="AJ251" s="3">
        <v>-3.137675003</v>
      </c>
      <c r="AK251" s="3">
        <v>-4.507210261</v>
      </c>
      <c r="AN251" s="3">
        <v>-2.6610322339999999</v>
      </c>
      <c r="AO251" s="3">
        <v>6.63314</v>
      </c>
      <c r="AP251" s="3">
        <v>-2.225654273</v>
      </c>
      <c r="AQ251" s="3">
        <v>-7.6486395800000002</v>
      </c>
      <c r="AR251" s="3">
        <v>10.6</v>
      </c>
      <c r="AS251" s="3">
        <v>-2.085237668</v>
      </c>
      <c r="AT251" s="3">
        <v>-1.134235361</v>
      </c>
      <c r="AU251" s="88">
        <v>-6.7128959520000002</v>
      </c>
    </row>
    <row r="252" spans="1:47" x14ac:dyDescent="0.2">
      <c r="A252" s="88" t="s">
        <v>299</v>
      </c>
      <c r="B252" s="4">
        <v>40179</v>
      </c>
      <c r="C252" s="3">
        <v>2.6432892610000001</v>
      </c>
      <c r="E252" s="3">
        <v>1.131078891</v>
      </c>
      <c r="F252" s="3">
        <v>-1.7588737109999999</v>
      </c>
      <c r="H252" s="3">
        <v>-3.2386401149999999</v>
      </c>
      <c r="I252" s="3">
        <v>-3.2908877649999999</v>
      </c>
      <c r="J252" s="3">
        <v>-2.9119422089999998</v>
      </c>
      <c r="K252" s="3">
        <v>-2.4303368590000001</v>
      </c>
      <c r="M252" s="3">
        <v>-6.7505678900000001</v>
      </c>
      <c r="N252" s="3">
        <v>-0.89503344900000004</v>
      </c>
      <c r="O252" s="3">
        <v>-1.4176992070000001</v>
      </c>
      <c r="P252" s="3">
        <v>-2.6883492979999999</v>
      </c>
      <c r="Q252" s="3">
        <v>-4.2408044399999998</v>
      </c>
      <c r="R252" s="3">
        <v>-2.6182273089999999</v>
      </c>
      <c r="S252" s="3">
        <v>-9.1223272580000003</v>
      </c>
      <c r="T252" s="3">
        <v>3.5394219339999999</v>
      </c>
      <c r="U252" s="3">
        <v>-2.3198865890000002</v>
      </c>
      <c r="V252" s="3">
        <v>-1.7848091589999999</v>
      </c>
      <c r="W252" s="3">
        <v>5.2394253290000004</v>
      </c>
      <c r="X252" s="3">
        <v>0.34854726699999999</v>
      </c>
      <c r="Y252" s="3">
        <v>-13.412647648</v>
      </c>
      <c r="Z252" s="3">
        <v>-1.8349674819999999</v>
      </c>
      <c r="AA252" s="3">
        <v>-2.62188036</v>
      </c>
      <c r="AB252" s="3">
        <v>-1.582413453</v>
      </c>
      <c r="AC252" s="3">
        <v>-0.66079516299999996</v>
      </c>
      <c r="AD252" s="3">
        <v>4.6630968749999999</v>
      </c>
      <c r="AE252" s="3">
        <v>-1.521659332</v>
      </c>
      <c r="AF252" s="3">
        <v>-4.7960699900000003</v>
      </c>
      <c r="AH252" s="3">
        <v>-0.98534336300000003</v>
      </c>
      <c r="AI252" s="3">
        <v>0.68337187899999996</v>
      </c>
      <c r="AJ252" s="3">
        <v>8.1657584000000005E-2</v>
      </c>
      <c r="AK252" s="3">
        <v>-2.3506296660000001</v>
      </c>
      <c r="AN252" s="3">
        <v>0.99569211400000002</v>
      </c>
      <c r="AO252" s="3">
        <v>8.7676200000000009</v>
      </c>
      <c r="AP252" s="3">
        <v>-1.010149744</v>
      </c>
      <c r="AQ252" s="3">
        <v>-3.5116623069999999</v>
      </c>
      <c r="AR252" s="3">
        <v>11.9</v>
      </c>
      <c r="AS252" s="3">
        <v>2.4281146589999998</v>
      </c>
      <c r="AT252" s="3">
        <v>5.3538032250000001</v>
      </c>
      <c r="AU252" s="88">
        <v>-0.24077933600000001</v>
      </c>
    </row>
    <row r="253" spans="1:47" x14ac:dyDescent="0.2">
      <c r="A253" s="88" t="s">
        <v>300</v>
      </c>
      <c r="B253" s="4">
        <v>40269</v>
      </c>
      <c r="C253" s="3">
        <v>2.1234812949999999</v>
      </c>
      <c r="E253" s="3">
        <v>2.6541432469999999</v>
      </c>
      <c r="F253" s="3">
        <v>1.7249135680000001</v>
      </c>
      <c r="H253" s="3">
        <v>0.84904334599999998</v>
      </c>
      <c r="I253" s="3">
        <v>2.2779730690000002</v>
      </c>
      <c r="J253" s="3">
        <v>-0.65945902199999995</v>
      </c>
      <c r="K253" s="3">
        <v>0.15163904</v>
      </c>
      <c r="M253" s="3">
        <v>0.70712215</v>
      </c>
      <c r="N253" s="3">
        <v>1.1245132419999999</v>
      </c>
      <c r="O253" s="3">
        <v>0.91897477599999999</v>
      </c>
      <c r="P253" s="3">
        <v>-3.740262966</v>
      </c>
      <c r="Q253" s="3">
        <v>5.6087301999999999E-2</v>
      </c>
      <c r="R253" s="3">
        <v>-0.27608114499999997</v>
      </c>
      <c r="S253" s="3">
        <v>-5.2163541369999997</v>
      </c>
      <c r="T253" s="3">
        <v>4.9843902880000002</v>
      </c>
      <c r="U253" s="3">
        <v>0.82188228600000002</v>
      </c>
      <c r="V253" s="3">
        <v>4.2636962250000003</v>
      </c>
      <c r="W253" s="3">
        <v>7.2046764559999996</v>
      </c>
      <c r="X253" s="3">
        <v>3.1529249789999998</v>
      </c>
      <c r="Y253" s="3">
        <v>-10.778115343</v>
      </c>
      <c r="Z253" s="3">
        <v>4.5449684399999999</v>
      </c>
      <c r="AA253" s="3">
        <v>0.81761397800000002</v>
      </c>
      <c r="AB253" s="3">
        <v>1.173461943</v>
      </c>
      <c r="AC253" s="3">
        <v>2.3002429900000001</v>
      </c>
      <c r="AD253" s="3">
        <v>2.6009552610000002</v>
      </c>
      <c r="AE253" s="3">
        <v>1.8521177310000001</v>
      </c>
      <c r="AF253" s="3">
        <v>6.8823554580000001</v>
      </c>
      <c r="AH253" s="3">
        <v>3.1547907899999998</v>
      </c>
      <c r="AI253" s="3">
        <v>2.022346958</v>
      </c>
      <c r="AJ253" s="3">
        <v>1.768457232</v>
      </c>
      <c r="AK253" s="3">
        <v>1.2130706680000001</v>
      </c>
      <c r="AN253" s="3">
        <v>3.334197396</v>
      </c>
      <c r="AO253" s="3">
        <v>13.69473</v>
      </c>
      <c r="AP253" s="3">
        <v>1.208820228</v>
      </c>
      <c r="AQ253" s="3">
        <v>2.1546811180000001</v>
      </c>
      <c r="AR253" s="3">
        <v>12.2</v>
      </c>
      <c r="AS253" s="3">
        <v>8.2576938200000001</v>
      </c>
      <c r="AT253" s="3">
        <v>9.2541715230000001</v>
      </c>
      <c r="AU253" s="88">
        <v>6.6788451059999998</v>
      </c>
    </row>
    <row r="254" spans="1:47" x14ac:dyDescent="0.2">
      <c r="A254" s="88" t="s">
        <v>301</v>
      </c>
      <c r="B254" s="4">
        <v>40360</v>
      </c>
      <c r="C254" s="3">
        <v>2.07970269</v>
      </c>
      <c r="E254" s="3">
        <v>3.6161084090000002</v>
      </c>
      <c r="F254" s="3">
        <v>3.3854023660000001</v>
      </c>
      <c r="H254" s="3">
        <v>2.3792545010000001</v>
      </c>
      <c r="I254" s="3">
        <v>4.4033870430000004</v>
      </c>
      <c r="J254" s="3">
        <v>1.996593348</v>
      </c>
      <c r="K254" s="3">
        <v>0.31260337999999999</v>
      </c>
      <c r="M254" s="3">
        <v>3.9426311749999998</v>
      </c>
      <c r="N254" s="3">
        <v>1.74115318</v>
      </c>
      <c r="O254" s="3">
        <v>2.1522622089999999</v>
      </c>
      <c r="P254" s="3">
        <v>-9.4573148329999999</v>
      </c>
      <c r="Q254" s="3">
        <v>0.88826589300000003</v>
      </c>
      <c r="R254" s="3">
        <v>0.37232358599999998</v>
      </c>
      <c r="S254" s="3">
        <v>-1.0764242930000001</v>
      </c>
      <c r="T254" s="3">
        <v>5.3314122560000001</v>
      </c>
      <c r="U254" s="3">
        <v>1.890241429</v>
      </c>
      <c r="V254" s="3">
        <v>3.4810924760000002</v>
      </c>
      <c r="W254" s="3">
        <v>7.8045573380000004</v>
      </c>
      <c r="X254" s="3">
        <v>7.1233311410000004</v>
      </c>
      <c r="Y254" s="3">
        <v>-5.9876148029999996</v>
      </c>
      <c r="Z254" s="3">
        <v>7.2742807110000003</v>
      </c>
      <c r="AA254" s="3">
        <v>1.2573240969999999</v>
      </c>
      <c r="AB254" s="3">
        <v>0.98630434199999995</v>
      </c>
      <c r="AC254" s="3">
        <v>3.2228304759999999</v>
      </c>
      <c r="AD254" s="3">
        <v>4.1186391249999996</v>
      </c>
      <c r="AE254" s="3">
        <v>2.3232618719999998</v>
      </c>
      <c r="AF254" s="3">
        <v>6.3627375869999998</v>
      </c>
      <c r="AH254" s="3">
        <v>5.1897253760000002</v>
      </c>
      <c r="AI254" s="3">
        <v>2.8071761820000001</v>
      </c>
      <c r="AJ254" s="3">
        <v>2.9274678449999998</v>
      </c>
      <c r="AK254" s="3">
        <v>2.231743458</v>
      </c>
      <c r="AN254" s="3">
        <v>3.566148563</v>
      </c>
      <c r="AO254" s="3">
        <v>10.03998</v>
      </c>
      <c r="AP254" s="3">
        <v>2.4098236970000002</v>
      </c>
      <c r="AQ254" s="3">
        <v>4.6519784560000002</v>
      </c>
      <c r="AR254" s="3">
        <v>10.8</v>
      </c>
      <c r="AS254" s="3">
        <v>8.0429741260000007</v>
      </c>
      <c r="AT254" s="3">
        <v>8.3827753909999991</v>
      </c>
      <c r="AU254" s="88">
        <v>13.979850514000001</v>
      </c>
    </row>
    <row r="255" spans="1:47" x14ac:dyDescent="0.2">
      <c r="A255" s="88" t="s">
        <v>302</v>
      </c>
      <c r="B255" s="4">
        <v>40452</v>
      </c>
      <c r="C255" s="3">
        <v>2.4743212300000001</v>
      </c>
      <c r="E255" s="3">
        <v>2.7498112259999998</v>
      </c>
      <c r="F255" s="3">
        <v>3.6517204460000001</v>
      </c>
      <c r="H255" s="3">
        <v>2.7838252030000001</v>
      </c>
      <c r="I255" s="3">
        <v>4.6959718400000003</v>
      </c>
      <c r="J255" s="3">
        <v>3.256597062</v>
      </c>
      <c r="K255" s="3">
        <v>5.007437E-2</v>
      </c>
      <c r="M255" s="3">
        <v>2.5673015069999998</v>
      </c>
      <c r="N255" s="3">
        <v>2.2325963820000001</v>
      </c>
      <c r="O255" s="3">
        <v>2.770468079</v>
      </c>
      <c r="P255" s="3">
        <v>-11.679305999</v>
      </c>
      <c r="Q255" s="3">
        <v>1.900261685</v>
      </c>
      <c r="R255" s="3">
        <v>2.0000423500000002</v>
      </c>
      <c r="S255" s="3">
        <v>-4.4762662259999999</v>
      </c>
      <c r="T255" s="3">
        <v>5.4962697780000003</v>
      </c>
      <c r="U255" s="3">
        <v>1.848413603</v>
      </c>
      <c r="V255" s="3">
        <v>5.4026469339999998</v>
      </c>
      <c r="W255" s="3">
        <v>5.881250359</v>
      </c>
      <c r="X255" s="3">
        <v>5.1905866359999999</v>
      </c>
      <c r="Y255" s="3">
        <v>-1.3677486590000001</v>
      </c>
      <c r="Z255" s="3">
        <v>4.8535500550000004</v>
      </c>
      <c r="AA255" s="3">
        <v>1.298589277</v>
      </c>
      <c r="AB255" s="3">
        <v>-1.583161807</v>
      </c>
      <c r="AC255" s="3">
        <v>3.504703745</v>
      </c>
      <c r="AD255" s="3">
        <v>4.8851946460000004</v>
      </c>
      <c r="AE255" s="3">
        <v>1.5134662210000001</v>
      </c>
      <c r="AF255" s="3">
        <v>5.7593649620000003</v>
      </c>
      <c r="AH255" s="3">
        <v>6.5172820009999999</v>
      </c>
      <c r="AI255" s="3">
        <v>2.0559309680000002</v>
      </c>
      <c r="AJ255" s="3">
        <v>3.3491938139999999</v>
      </c>
      <c r="AK255" s="3">
        <v>2.2954391479999998</v>
      </c>
      <c r="AN255" s="3">
        <v>2.991737943</v>
      </c>
      <c r="AO255" s="3">
        <v>10.47142</v>
      </c>
      <c r="AP255" s="3">
        <v>3.082470695</v>
      </c>
      <c r="AQ255" s="3">
        <v>4.7698428740000001</v>
      </c>
      <c r="AR255" s="3">
        <v>9.9</v>
      </c>
      <c r="AS255" s="3">
        <v>8.4385931349999996</v>
      </c>
      <c r="AT255" s="3">
        <v>6.9744954760000004</v>
      </c>
      <c r="AU255" s="88">
        <v>10.247564763</v>
      </c>
    </row>
    <row r="256" spans="1:47" x14ac:dyDescent="0.2">
      <c r="A256" s="88" t="s">
        <v>303</v>
      </c>
      <c r="B256" s="4">
        <v>40544</v>
      </c>
      <c r="C256" s="3">
        <v>2.7612039159999999</v>
      </c>
      <c r="E256" s="3">
        <v>2.4470176970000002</v>
      </c>
      <c r="F256" s="3">
        <v>3.6018732419999999</v>
      </c>
      <c r="H256" s="3">
        <v>3.0705295289999999</v>
      </c>
      <c r="I256" s="3">
        <v>4.7740381379999999</v>
      </c>
      <c r="J256" s="3">
        <v>2.9308156689999998</v>
      </c>
      <c r="K256" s="3">
        <v>0.137639866</v>
      </c>
      <c r="M256" s="3">
        <v>5.536019488</v>
      </c>
      <c r="N256" s="3">
        <v>2.2502345629999998</v>
      </c>
      <c r="O256" s="3">
        <v>2.4540620290000001</v>
      </c>
      <c r="P256" s="3">
        <v>-12.857705622999999</v>
      </c>
      <c r="Q256" s="3">
        <v>1.453875445</v>
      </c>
      <c r="R256" s="3">
        <v>3.1448904049999999</v>
      </c>
      <c r="S256" s="3">
        <v>-0.55538127500000001</v>
      </c>
      <c r="T256" s="3">
        <v>5.6799962549999998</v>
      </c>
      <c r="U256" s="3">
        <v>2.1317500429999998</v>
      </c>
      <c r="V256" s="3">
        <v>3.271762039</v>
      </c>
      <c r="W256" s="3">
        <v>6.3777791490000002</v>
      </c>
      <c r="X256" s="3">
        <v>4.0162119150000004</v>
      </c>
      <c r="Y256" s="3">
        <v>-0.42490878599999998</v>
      </c>
      <c r="Z256" s="3">
        <v>3.9181193240000001</v>
      </c>
      <c r="AA256" s="3">
        <v>1.8272358799999999</v>
      </c>
      <c r="AB256" s="3">
        <v>1.1258606149999999</v>
      </c>
      <c r="AC256" s="3">
        <v>3.1593062409999999</v>
      </c>
      <c r="AD256" s="3">
        <v>3.4316718260000001</v>
      </c>
      <c r="AE256" s="3">
        <v>1.268103738</v>
      </c>
      <c r="AF256" s="3">
        <v>4.5448901079999997</v>
      </c>
      <c r="AH256" s="3">
        <v>7.7799654909999996</v>
      </c>
      <c r="AI256" s="3">
        <v>0.28375387899999999</v>
      </c>
      <c r="AJ256" s="3">
        <v>2.7884496909999998</v>
      </c>
      <c r="AK256" s="3">
        <v>2.4829390170000001</v>
      </c>
      <c r="AN256" s="3">
        <v>2.9057546740000002</v>
      </c>
      <c r="AO256" s="3">
        <v>10.68164</v>
      </c>
      <c r="AP256" s="3">
        <v>3.3528190000000002</v>
      </c>
      <c r="AQ256" s="3">
        <v>4.9515095230000004</v>
      </c>
      <c r="AR256" s="3">
        <v>9.9</v>
      </c>
      <c r="AS256" s="3">
        <v>9.5775519819999992</v>
      </c>
      <c r="AT256" s="3">
        <v>5.7497105060000004</v>
      </c>
      <c r="AU256" s="88">
        <v>9.692054722</v>
      </c>
    </row>
    <row r="257" spans="1:47" x14ac:dyDescent="0.2">
      <c r="A257" s="88" t="s">
        <v>304</v>
      </c>
      <c r="B257" s="4">
        <v>40634</v>
      </c>
      <c r="C257" s="3">
        <v>1.976459277</v>
      </c>
      <c r="E257" s="3">
        <v>2.4095637320000001</v>
      </c>
      <c r="F257" s="3">
        <v>3.1402038609999998</v>
      </c>
      <c r="H257" s="3">
        <v>2.965960554</v>
      </c>
      <c r="I257" s="3">
        <v>5.9427989529999996</v>
      </c>
      <c r="J257" s="3">
        <v>2.2718550390000001</v>
      </c>
      <c r="K257" s="3">
        <v>9.6486409999999995E-3</v>
      </c>
      <c r="M257" s="3">
        <v>5.0726469959999996</v>
      </c>
      <c r="N257" s="3">
        <v>2.8875846570000001</v>
      </c>
      <c r="O257" s="3">
        <v>2.1686525560000001</v>
      </c>
      <c r="P257" s="3">
        <v>-10.840943648</v>
      </c>
      <c r="Q257" s="3">
        <v>2.576940166</v>
      </c>
      <c r="R257" s="3">
        <v>0.79049407100000002</v>
      </c>
      <c r="S257" s="3">
        <v>1.4019793</v>
      </c>
      <c r="T257" s="3">
        <v>5.765334255</v>
      </c>
      <c r="U257" s="3">
        <v>2.1603148879999998</v>
      </c>
      <c r="V257" s="3">
        <v>1.121047728</v>
      </c>
      <c r="W257" s="3">
        <v>5.3073706820000002</v>
      </c>
      <c r="X257" s="3">
        <v>4.6341653740000002</v>
      </c>
      <c r="Y257" s="3">
        <v>2.099265097</v>
      </c>
      <c r="Z257" s="3">
        <v>3.6269242190000002</v>
      </c>
      <c r="AA257" s="3">
        <v>2.609041666</v>
      </c>
      <c r="AB257" s="3">
        <v>-0.71681050999999996</v>
      </c>
      <c r="AC257" s="3">
        <v>2.826687293</v>
      </c>
      <c r="AD257" s="3">
        <v>5.0418665420000002</v>
      </c>
      <c r="AE257" s="3">
        <v>-0.22223320899999999</v>
      </c>
      <c r="AF257" s="3">
        <v>3.3035290929999999</v>
      </c>
      <c r="AH257" s="3">
        <v>5.3359278489999999</v>
      </c>
      <c r="AI257" s="3">
        <v>1.0539936910000001</v>
      </c>
      <c r="AJ257" s="3">
        <v>2.0306081909999998</v>
      </c>
      <c r="AK257" s="3">
        <v>2.9129017820000001</v>
      </c>
      <c r="AN257" s="3">
        <v>2.8459283690000001</v>
      </c>
      <c r="AO257" s="3">
        <v>9.8514900000000001</v>
      </c>
      <c r="AP257" s="3">
        <v>3.69531593</v>
      </c>
      <c r="AQ257" s="3">
        <v>3.8506293070000002</v>
      </c>
      <c r="AR257" s="3">
        <v>10.199999999999999</v>
      </c>
      <c r="AS257" s="3">
        <v>12.378786377999999</v>
      </c>
      <c r="AT257" s="3">
        <v>4.8980849339999999</v>
      </c>
      <c r="AU257" s="88">
        <v>9.0082692800000004</v>
      </c>
    </row>
    <row r="258" spans="1:47" x14ac:dyDescent="0.2">
      <c r="A258" s="88" t="s">
        <v>305</v>
      </c>
      <c r="B258" s="4">
        <v>40725</v>
      </c>
      <c r="C258" s="3">
        <v>2.6399958859999999</v>
      </c>
      <c r="E258" s="3">
        <v>1.6204249390000001</v>
      </c>
      <c r="F258" s="3">
        <v>2.80319874</v>
      </c>
      <c r="H258" s="3">
        <v>2.0877240499999998</v>
      </c>
      <c r="I258" s="3">
        <v>3.707855318</v>
      </c>
      <c r="J258" s="3">
        <v>2.5956930520000001</v>
      </c>
      <c r="K258" s="3">
        <v>-0.45651271700000001</v>
      </c>
      <c r="M258" s="3">
        <v>2.070675525</v>
      </c>
      <c r="N258" s="3">
        <v>2.398038605</v>
      </c>
      <c r="O258" s="3">
        <v>1.2138208829999999</v>
      </c>
      <c r="P258" s="3">
        <v>-9.6720514420000008</v>
      </c>
      <c r="Q258" s="3">
        <v>1.692342767</v>
      </c>
      <c r="R258" s="3">
        <v>2.2574043160000001</v>
      </c>
      <c r="S258" s="3">
        <v>0.22408208299999999</v>
      </c>
      <c r="T258" s="3">
        <v>5.316295427</v>
      </c>
      <c r="U258" s="3">
        <v>1.516108936</v>
      </c>
      <c r="V258" s="3">
        <v>-0.94693086800000004</v>
      </c>
      <c r="W258" s="3">
        <v>3.8512425129999999</v>
      </c>
      <c r="X258" s="3">
        <v>1.5307902069999999</v>
      </c>
      <c r="Y258" s="3">
        <v>6.3096458850000001</v>
      </c>
      <c r="Z258" s="3">
        <v>3.0347939639999999</v>
      </c>
      <c r="AA258" s="3">
        <v>2.0694538520000001</v>
      </c>
      <c r="AB258" s="3">
        <v>-6.4957981999999997E-2</v>
      </c>
      <c r="AC258" s="3">
        <v>2.089453191</v>
      </c>
      <c r="AD258" s="3">
        <v>4.8442401840000002</v>
      </c>
      <c r="AE258" s="3">
        <v>-1.196017007</v>
      </c>
      <c r="AF258" s="3">
        <v>2.9654940500000002</v>
      </c>
      <c r="AH258" s="3">
        <v>3.570332939</v>
      </c>
      <c r="AI258" s="3">
        <v>0.824736468</v>
      </c>
      <c r="AJ258" s="3">
        <v>1.737905069</v>
      </c>
      <c r="AK258" s="3">
        <v>1.9321527730000001</v>
      </c>
      <c r="AN258" s="3">
        <v>2.4825370160000002</v>
      </c>
      <c r="AO258" s="3">
        <v>8.5739400000000003</v>
      </c>
      <c r="AP258" s="3">
        <v>3.4076528499999998</v>
      </c>
      <c r="AQ258" s="3">
        <v>3.9190521760000001</v>
      </c>
      <c r="AR258" s="3">
        <v>10</v>
      </c>
      <c r="AS258" s="3">
        <v>11.238746556000001</v>
      </c>
      <c r="AT258" s="3">
        <v>4.8711944330000003</v>
      </c>
      <c r="AU258" s="88">
        <v>5.2949515419999997</v>
      </c>
    </row>
    <row r="259" spans="1:47" x14ac:dyDescent="0.2">
      <c r="A259" s="88" t="s">
        <v>306</v>
      </c>
      <c r="B259" s="4">
        <v>40817</v>
      </c>
      <c r="C259" s="3">
        <v>3.3124776549999999</v>
      </c>
      <c r="E259" s="3">
        <v>1.4881499170000001</v>
      </c>
      <c r="F259" s="3">
        <v>3.4880974490000001</v>
      </c>
      <c r="H259" s="3">
        <v>1.157237979</v>
      </c>
      <c r="I259" s="3">
        <v>3.7634872110000002</v>
      </c>
      <c r="J259" s="3">
        <v>-0.26152291599999999</v>
      </c>
      <c r="K259" s="3">
        <v>-1.051035465</v>
      </c>
      <c r="M259" s="3">
        <v>2.6170746540000001</v>
      </c>
      <c r="N259" s="3">
        <v>2.110568502</v>
      </c>
      <c r="O259" s="3">
        <v>0.81868880799999999</v>
      </c>
      <c r="P259" s="3">
        <v>-8.5528157389999997</v>
      </c>
      <c r="Q259" s="3">
        <v>1.0711983359999999</v>
      </c>
      <c r="R259" s="3">
        <v>-0.16801474699999999</v>
      </c>
      <c r="S259" s="3">
        <v>4.0598091299999997</v>
      </c>
      <c r="T259" s="3">
        <v>6.3111019580000001</v>
      </c>
      <c r="U259" s="3">
        <v>0.59161042699999999</v>
      </c>
      <c r="V259" s="3">
        <v>-0.34900809999999999</v>
      </c>
      <c r="W259" s="3">
        <v>3.2055896160000001</v>
      </c>
      <c r="X259" s="3">
        <v>2.401288015</v>
      </c>
      <c r="Y259" s="3">
        <v>8.6882690139999994</v>
      </c>
      <c r="Z259" s="3">
        <v>4.0645263319999998</v>
      </c>
      <c r="AA259" s="3">
        <v>1.6211538430000001</v>
      </c>
      <c r="AB259" s="3">
        <v>4.1292253060000004</v>
      </c>
      <c r="AC259" s="3">
        <v>1.8261011250000001</v>
      </c>
      <c r="AD259" s="3">
        <v>4.8131907739999997</v>
      </c>
      <c r="AE259" s="3">
        <v>-2.049629081</v>
      </c>
      <c r="AF259" s="3">
        <v>2.456083767</v>
      </c>
      <c r="AH259" s="3">
        <v>3.6317686810000001</v>
      </c>
      <c r="AI259" s="3">
        <v>2.1484534609999999</v>
      </c>
      <c r="AJ259" s="3">
        <v>0.91822084800000003</v>
      </c>
      <c r="AK259" s="3">
        <v>1.61916712</v>
      </c>
      <c r="AN259" s="3">
        <v>1.5144918350000001</v>
      </c>
      <c r="AO259" s="3">
        <v>5.4526000000000003</v>
      </c>
      <c r="AP259" s="3">
        <v>2.919288694</v>
      </c>
      <c r="AQ259" s="3">
        <v>4.628825602</v>
      </c>
      <c r="AR259" s="3">
        <v>9.4</v>
      </c>
      <c r="AS259" s="3">
        <v>11.117671024</v>
      </c>
      <c r="AT259" s="3">
        <v>3.6000941480000002</v>
      </c>
      <c r="AU259" s="88">
        <v>5.6029469030000003</v>
      </c>
    </row>
    <row r="260" spans="1:47" x14ac:dyDescent="0.2">
      <c r="A260" s="88" t="s">
        <v>307</v>
      </c>
      <c r="B260" s="4">
        <v>40909</v>
      </c>
      <c r="C260" s="3">
        <v>3.439271803</v>
      </c>
      <c r="E260" s="3">
        <v>1.272481695</v>
      </c>
      <c r="F260" s="3">
        <v>3.150369226</v>
      </c>
      <c r="H260" s="3">
        <v>0.86309468300000003</v>
      </c>
      <c r="I260" s="3">
        <v>2.6068483050000002</v>
      </c>
      <c r="J260" s="3">
        <v>0.78033347500000005</v>
      </c>
      <c r="K260" s="3">
        <v>-1.7587018139999999</v>
      </c>
      <c r="M260" s="3">
        <v>0.53424172999999997</v>
      </c>
      <c r="N260" s="3">
        <v>1.5645336540000001</v>
      </c>
      <c r="O260" s="3">
        <v>0.91684755699999998</v>
      </c>
      <c r="P260" s="3">
        <v>-11.182211438</v>
      </c>
      <c r="Q260" s="3">
        <v>2.45140337</v>
      </c>
      <c r="R260" s="3">
        <v>0.75683836100000002</v>
      </c>
      <c r="S260" s="3">
        <v>1.7255375879999999</v>
      </c>
      <c r="T260" s="3">
        <v>5.4995125959999998</v>
      </c>
      <c r="U260" s="3">
        <v>-0.86431451500000001</v>
      </c>
      <c r="V260" s="3">
        <v>0.33194108</v>
      </c>
      <c r="W260" s="3">
        <v>2.4439098600000002</v>
      </c>
      <c r="X260" s="3">
        <v>1.6769947059999999</v>
      </c>
      <c r="Y260" s="3">
        <v>7.701156224</v>
      </c>
      <c r="Z260" s="3">
        <v>3.950900061</v>
      </c>
      <c r="AA260" s="3">
        <v>-0.117624241</v>
      </c>
      <c r="AB260" s="3">
        <v>1.3380575400000001</v>
      </c>
      <c r="AC260" s="3">
        <v>1.6971389029999999</v>
      </c>
      <c r="AD260" s="3">
        <v>4.4563385750000002</v>
      </c>
      <c r="AE260" s="3">
        <v>-3.3101667080000001</v>
      </c>
      <c r="AF260" s="3">
        <v>2.675892406</v>
      </c>
      <c r="AH260" s="3">
        <v>0.58795153099999997</v>
      </c>
      <c r="AI260" s="3">
        <v>3.2522062360000001</v>
      </c>
      <c r="AJ260" s="3">
        <v>1.5226915240000001</v>
      </c>
      <c r="AK260" s="3">
        <v>0.59129549800000003</v>
      </c>
      <c r="AN260" s="3">
        <v>0.86436655500000004</v>
      </c>
      <c r="AO260" s="3">
        <v>4.7392500000000002</v>
      </c>
      <c r="AP260" s="3">
        <v>2.667733267</v>
      </c>
      <c r="AQ260" s="3">
        <v>4.6036794600000004</v>
      </c>
      <c r="AR260" s="3">
        <v>8.8000000000000007</v>
      </c>
      <c r="AS260" s="3">
        <v>9.3209064149999996</v>
      </c>
      <c r="AT260" s="3">
        <v>3.07348628</v>
      </c>
      <c r="AU260" s="88">
        <v>4.2737726909999996</v>
      </c>
    </row>
    <row r="261" spans="1:47" x14ac:dyDescent="0.2">
      <c r="A261" s="88" t="s">
        <v>308</v>
      </c>
      <c r="B261" s="4">
        <v>41000</v>
      </c>
      <c r="C261" s="3">
        <v>4.6767084609999996</v>
      </c>
      <c r="E261" s="3">
        <v>1.0036081379999999</v>
      </c>
      <c r="F261" s="3">
        <v>2.442677819</v>
      </c>
      <c r="H261" s="3">
        <v>2.7807877000000002E-2</v>
      </c>
      <c r="I261" s="3">
        <v>0.87614774600000001</v>
      </c>
      <c r="J261" s="3">
        <v>0.49142101599999999</v>
      </c>
      <c r="K261" s="3">
        <v>-2.5273289939999999</v>
      </c>
      <c r="M261" s="3">
        <v>-0.46093186000000003</v>
      </c>
      <c r="N261" s="3">
        <v>0.66395231300000002</v>
      </c>
      <c r="O261" s="3">
        <v>1.250401525</v>
      </c>
      <c r="P261" s="3">
        <v>-8.5358487620000005</v>
      </c>
      <c r="Q261" s="3">
        <v>-0.35853044499999998</v>
      </c>
      <c r="R261" s="3">
        <v>-0.81275840899999996</v>
      </c>
      <c r="S261" s="3">
        <v>2.6251040859999999</v>
      </c>
      <c r="T261" s="3">
        <v>4.4976027719999996</v>
      </c>
      <c r="U261" s="3">
        <v>-2.4031181429999999</v>
      </c>
      <c r="V261" s="3">
        <v>2.8206976159999999</v>
      </c>
      <c r="W261" s="3">
        <v>2.3754352729999999</v>
      </c>
      <c r="X261" s="3">
        <v>-1.5673621579999999</v>
      </c>
      <c r="Y261" s="3">
        <v>8.0366404550000006</v>
      </c>
      <c r="Z261" s="3">
        <v>3.842830857</v>
      </c>
      <c r="AA261" s="3">
        <v>-0.89917164400000005</v>
      </c>
      <c r="AB261" s="3">
        <v>3.4399449529999999</v>
      </c>
      <c r="AC261" s="3">
        <v>1.8972271000000001</v>
      </c>
      <c r="AD261" s="3">
        <v>3.3617419740000001</v>
      </c>
      <c r="AE261" s="3">
        <v>-3.19826619</v>
      </c>
      <c r="AF261" s="3">
        <v>2.7349599439999999</v>
      </c>
      <c r="AH261" s="3">
        <v>0.37296940699999998</v>
      </c>
      <c r="AI261" s="3">
        <v>2.7242691570000002</v>
      </c>
      <c r="AJ261" s="3">
        <v>2.600249298</v>
      </c>
      <c r="AK261" s="3">
        <v>-0.49407099300000001</v>
      </c>
      <c r="AN261" s="3">
        <v>1.2434004439999999</v>
      </c>
      <c r="AO261" s="3">
        <v>4.2765399999999998</v>
      </c>
      <c r="AP261" s="3">
        <v>2.2428094729999999</v>
      </c>
      <c r="AQ261" s="3">
        <v>5.064430948</v>
      </c>
      <c r="AR261" s="3">
        <v>8.1</v>
      </c>
      <c r="AS261" s="3">
        <v>5.9600093440000004</v>
      </c>
      <c r="AT261" s="3">
        <v>0.26497869899999998</v>
      </c>
      <c r="AU261" s="88">
        <v>0.73300071499999997</v>
      </c>
    </row>
    <row r="262" spans="1:47" x14ac:dyDescent="0.2">
      <c r="A262" s="88" t="s">
        <v>309</v>
      </c>
      <c r="B262" s="4">
        <v>41091</v>
      </c>
      <c r="C262" s="3">
        <v>4.2368890400000003</v>
      </c>
      <c r="E262" s="3">
        <v>0.79376285999999996</v>
      </c>
      <c r="F262" s="3">
        <v>2.5769820449999998</v>
      </c>
      <c r="H262" s="3">
        <v>-0.69375683600000004</v>
      </c>
      <c r="I262" s="3">
        <v>0.98056245200000003</v>
      </c>
      <c r="J262" s="3">
        <v>-0.43096579600000001</v>
      </c>
      <c r="K262" s="3">
        <v>-3.157385348</v>
      </c>
      <c r="M262" s="3">
        <v>-1.342555677</v>
      </c>
      <c r="N262" s="3">
        <v>0.47240443599999998</v>
      </c>
      <c r="O262" s="3">
        <v>1.015041616</v>
      </c>
      <c r="P262" s="3">
        <v>-8.1973958590000002</v>
      </c>
      <c r="Q262" s="3">
        <v>-1.0544897259999999</v>
      </c>
      <c r="R262" s="3">
        <v>-0.100610352</v>
      </c>
      <c r="S262" s="3">
        <v>1.303316363</v>
      </c>
      <c r="T262" s="3">
        <v>3.3949005890000001</v>
      </c>
      <c r="U262" s="3">
        <v>-3.209315771</v>
      </c>
      <c r="V262" s="3">
        <v>2.7568810899999998</v>
      </c>
      <c r="W262" s="3">
        <v>2.4520288529999998</v>
      </c>
      <c r="X262" s="3">
        <v>0.43315710099999999</v>
      </c>
      <c r="Y262" s="3">
        <v>4.0574985840000002</v>
      </c>
      <c r="Z262" s="3">
        <v>4.1574799389999999</v>
      </c>
      <c r="AA262" s="3">
        <v>-0.75916764000000003</v>
      </c>
      <c r="AB262" s="3">
        <v>4.1142058720000003</v>
      </c>
      <c r="AC262" s="3">
        <v>1.6520773719999999</v>
      </c>
      <c r="AD262" s="3">
        <v>1.749923653</v>
      </c>
      <c r="AE262" s="3">
        <v>-4.0917441290000003</v>
      </c>
      <c r="AF262" s="3">
        <v>2.2280186030000002</v>
      </c>
      <c r="AH262" s="3">
        <v>0.225370873</v>
      </c>
      <c r="AI262" s="3">
        <v>2.5741569800000001</v>
      </c>
      <c r="AJ262" s="3">
        <v>2.3738163499999998</v>
      </c>
      <c r="AK262" s="3">
        <v>-0.75512618099999995</v>
      </c>
      <c r="AN262" s="3">
        <v>0.71364753999999997</v>
      </c>
      <c r="AO262" s="3">
        <v>4.2212199999999998</v>
      </c>
      <c r="AP262" s="3">
        <v>2.5224753670000002</v>
      </c>
      <c r="AQ262" s="3">
        <v>4.4271946130000002</v>
      </c>
      <c r="AR262" s="3">
        <v>7.7</v>
      </c>
      <c r="AS262" s="3">
        <v>4.9079508409999999</v>
      </c>
      <c r="AT262" s="3">
        <v>1.021102521</v>
      </c>
      <c r="AU262" s="88">
        <v>-3.657249588</v>
      </c>
    </row>
    <row r="263" spans="1:47" x14ac:dyDescent="0.2">
      <c r="A263" s="88" t="s">
        <v>310</v>
      </c>
      <c r="B263" s="4">
        <v>41183</v>
      </c>
      <c r="C263" s="3">
        <v>3.4719973500000001</v>
      </c>
      <c r="E263" s="3">
        <v>0.75026148500000001</v>
      </c>
      <c r="F263" s="3">
        <v>1.318874171</v>
      </c>
      <c r="H263" s="3">
        <v>-0.91740148200000005</v>
      </c>
      <c r="I263" s="3">
        <v>0.37782384800000002</v>
      </c>
      <c r="J263" s="3">
        <v>0.91764258600000004</v>
      </c>
      <c r="K263" s="3">
        <v>-3.022491654</v>
      </c>
      <c r="M263" s="3">
        <v>-1.8428314779999999</v>
      </c>
      <c r="N263" s="3">
        <v>0.30198553099999997</v>
      </c>
      <c r="O263" s="3">
        <v>1.9036469330000001</v>
      </c>
      <c r="P263" s="3">
        <v>-7.6738585280000002</v>
      </c>
      <c r="Q263" s="3">
        <v>-1.2334524630000001</v>
      </c>
      <c r="R263" s="3">
        <v>-0.37242276499999999</v>
      </c>
      <c r="S263" s="3">
        <v>0.15176810099999999</v>
      </c>
      <c r="T263" s="3">
        <v>2.1347086370000001</v>
      </c>
      <c r="U263" s="3">
        <v>-3.277812613</v>
      </c>
      <c r="V263" s="3">
        <v>-5.9840799E-2</v>
      </c>
      <c r="W263" s="3">
        <v>2.3760541210000001</v>
      </c>
      <c r="X263" s="3">
        <v>-0.59859732300000001</v>
      </c>
      <c r="Y263" s="3">
        <v>3.1469617250000002</v>
      </c>
      <c r="Z263" s="3">
        <v>2.8143076279999999</v>
      </c>
      <c r="AA263" s="3">
        <v>-1.185036124</v>
      </c>
      <c r="AB263" s="3">
        <v>0.97817984000000002</v>
      </c>
      <c r="AC263" s="3">
        <v>1.2282265269999999</v>
      </c>
      <c r="AD263" s="3">
        <v>0.89659636799999998</v>
      </c>
      <c r="AE263" s="3">
        <v>-4.4286947659999996</v>
      </c>
      <c r="AF263" s="3">
        <v>1.814009057</v>
      </c>
      <c r="AH263" s="3">
        <v>-1.1902653459999999</v>
      </c>
      <c r="AI263" s="3">
        <v>1.737079606</v>
      </c>
      <c r="AJ263" s="3">
        <v>2.592622977</v>
      </c>
      <c r="AK263" s="3">
        <v>-1.013267476</v>
      </c>
      <c r="AN263" s="3">
        <v>1.809899642</v>
      </c>
      <c r="AO263" s="3">
        <v>6.0950300000000004</v>
      </c>
      <c r="AP263" s="3">
        <v>2.5151112150000001</v>
      </c>
      <c r="AQ263" s="3">
        <v>3.7108489389999999</v>
      </c>
      <c r="AR263" s="3">
        <v>7.5</v>
      </c>
      <c r="AS263" s="3">
        <v>3.9943142659999999</v>
      </c>
      <c r="AT263" s="3">
        <v>3.0158250550000001</v>
      </c>
      <c r="AU263" s="88">
        <v>-1.382521372</v>
      </c>
    </row>
    <row r="264" spans="1:47" x14ac:dyDescent="0.2">
      <c r="A264" s="88" t="s">
        <v>311</v>
      </c>
      <c r="B264" s="4">
        <v>41275</v>
      </c>
      <c r="C264" s="3">
        <v>2.8354426670000001</v>
      </c>
      <c r="E264" s="3">
        <v>0.41114297700000002</v>
      </c>
      <c r="F264" s="3">
        <v>0.73508072999999996</v>
      </c>
      <c r="H264" s="3">
        <v>-1.2339184750000001</v>
      </c>
      <c r="I264" s="3">
        <v>0.243074925</v>
      </c>
      <c r="J264" s="3">
        <v>-6.2150336E-2</v>
      </c>
      <c r="K264" s="3">
        <v>-3.1338623060000002</v>
      </c>
      <c r="M264" s="3">
        <v>-1.9460079990000001</v>
      </c>
      <c r="N264" s="3">
        <v>5.8215138999999999E-2</v>
      </c>
      <c r="O264" s="3">
        <v>1.54997487</v>
      </c>
      <c r="P264" s="3">
        <v>-4.3255774699999998</v>
      </c>
      <c r="Q264" s="3">
        <v>-2.2699722549999999</v>
      </c>
      <c r="R264" s="3">
        <v>0.69881247199999996</v>
      </c>
      <c r="S264" s="3">
        <v>0.25914760199999998</v>
      </c>
      <c r="T264" s="3">
        <v>1.9888973169999999</v>
      </c>
      <c r="U264" s="3">
        <v>-3.1612661809999998</v>
      </c>
      <c r="V264" s="3">
        <v>1.5891169E-2</v>
      </c>
      <c r="W264" s="3">
        <v>2.4065722859999998</v>
      </c>
      <c r="X264" s="3">
        <v>0.30174330799999999</v>
      </c>
      <c r="Y264" s="3">
        <v>3.1092448890000002</v>
      </c>
      <c r="Z264" s="3">
        <v>2.9616400409999999</v>
      </c>
      <c r="AA264" s="3">
        <v>-1.2815194320000001</v>
      </c>
      <c r="AB264" s="3">
        <v>1.7508287840000001</v>
      </c>
      <c r="AC264" s="3">
        <v>0.83117533200000004</v>
      </c>
      <c r="AD264" s="3">
        <v>-0.26683697499999998</v>
      </c>
      <c r="AE264" s="3">
        <v>-4.5276429540000001</v>
      </c>
      <c r="AF264" s="3">
        <v>0.83238336199999996</v>
      </c>
      <c r="AH264" s="3">
        <v>-0.48767870299999999</v>
      </c>
      <c r="AI264" s="3">
        <v>2.7676616539999999</v>
      </c>
      <c r="AJ264" s="3">
        <v>1.5660643460000001</v>
      </c>
      <c r="AK264" s="3">
        <v>-1.039266427</v>
      </c>
      <c r="AN264" s="3">
        <v>1.5881563430000001</v>
      </c>
      <c r="AO264" s="3">
        <v>5.6335699999999997</v>
      </c>
      <c r="AP264" s="3">
        <v>2.3042006800000001</v>
      </c>
      <c r="AQ264" s="3">
        <v>2.5168763919999999</v>
      </c>
      <c r="AR264" s="3">
        <v>8.1</v>
      </c>
      <c r="AS264" s="3">
        <v>4.2462833499999997</v>
      </c>
      <c r="AT264" s="3">
        <v>2.1119605479999999</v>
      </c>
      <c r="AU264" s="88">
        <v>0.21010041900000001</v>
      </c>
    </row>
    <row r="265" spans="1:47" x14ac:dyDescent="0.2">
      <c r="A265" s="88" t="s">
        <v>312</v>
      </c>
      <c r="B265" s="4">
        <v>41365</v>
      </c>
      <c r="C265" s="3">
        <v>2.1932044080000002</v>
      </c>
      <c r="E265" s="3">
        <v>-7.9050592000000003E-2</v>
      </c>
      <c r="F265" s="3">
        <v>1.573583484</v>
      </c>
      <c r="H265" s="3">
        <v>-1.359149167</v>
      </c>
      <c r="I265" s="3">
        <v>-0.43561151799999998</v>
      </c>
      <c r="J265" s="3">
        <v>0.57118820299999995</v>
      </c>
      <c r="K265" s="3">
        <v>-2.530045721</v>
      </c>
      <c r="M265" s="3">
        <v>-2.3599642940000001</v>
      </c>
      <c r="N265" s="3">
        <v>-4.5884985000000003E-2</v>
      </c>
      <c r="O265" s="3">
        <v>1.384914416</v>
      </c>
      <c r="P265" s="3">
        <v>-4.7613782609999999</v>
      </c>
      <c r="Q265" s="3">
        <v>-0.320140333</v>
      </c>
      <c r="R265" s="3">
        <v>-0.71704356499999999</v>
      </c>
      <c r="S265" s="3">
        <v>4.3647503429999999</v>
      </c>
      <c r="T265" s="3">
        <v>2.930666649</v>
      </c>
      <c r="U265" s="3">
        <v>-2.8924208669999998</v>
      </c>
      <c r="V265" s="3">
        <v>1.1022025E-2</v>
      </c>
      <c r="W265" s="3">
        <v>2.4039883020000001</v>
      </c>
      <c r="X265" s="3">
        <v>2.1828911799999999</v>
      </c>
      <c r="Y265" s="3">
        <v>1.754454738</v>
      </c>
      <c r="Z265" s="3">
        <v>2.5574069509999999</v>
      </c>
      <c r="AA265" s="3">
        <v>-0.75497942799999995</v>
      </c>
      <c r="AB265" s="3">
        <v>-0.25980073300000001</v>
      </c>
      <c r="AC265" s="3">
        <v>0.94203988699999996</v>
      </c>
      <c r="AD265" s="3">
        <v>-0.26198877399999998</v>
      </c>
      <c r="AE265" s="3">
        <v>-3.6042074770000001</v>
      </c>
      <c r="AF265" s="3">
        <v>0.32641996099999998</v>
      </c>
      <c r="AH265" s="3">
        <v>0.69738558500000003</v>
      </c>
      <c r="AI265" s="3">
        <v>1.856456165</v>
      </c>
      <c r="AJ265" s="3">
        <v>1.6163010950000001</v>
      </c>
      <c r="AK265" s="3">
        <v>-1.173055623</v>
      </c>
      <c r="AN265" s="3">
        <v>1.0012703199999999</v>
      </c>
      <c r="AO265" s="3">
        <v>5.8606600000000002</v>
      </c>
      <c r="AP265" s="3">
        <v>2.5169958920000002</v>
      </c>
      <c r="AQ265" s="3">
        <v>1.7376219289999999</v>
      </c>
      <c r="AR265" s="3">
        <v>7.9</v>
      </c>
      <c r="AS265" s="3">
        <v>8.2638838620000001</v>
      </c>
      <c r="AT265" s="3">
        <v>3.9270759979999998</v>
      </c>
      <c r="AU265" s="88">
        <v>1.27767067</v>
      </c>
    </row>
    <row r="266" spans="1:47" x14ac:dyDescent="0.2">
      <c r="A266" s="88" t="s">
        <v>313</v>
      </c>
      <c r="B266" s="4">
        <v>41456</v>
      </c>
      <c r="C266" s="3">
        <v>1.864837716</v>
      </c>
      <c r="E266" s="3">
        <v>0.50532846399999998</v>
      </c>
      <c r="F266" s="3">
        <v>1.8309374890000001</v>
      </c>
      <c r="H266" s="3">
        <v>-0.54368924799999996</v>
      </c>
      <c r="I266" s="3">
        <v>0.439963565</v>
      </c>
      <c r="J266" s="3">
        <v>0.57021508499999995</v>
      </c>
      <c r="K266" s="3">
        <v>-1.670138916</v>
      </c>
      <c r="M266" s="3">
        <v>-0.86085371099999997</v>
      </c>
      <c r="N266" s="3">
        <v>0.77109299600000003</v>
      </c>
      <c r="O266" s="3">
        <v>2.350491619</v>
      </c>
      <c r="P266" s="3">
        <v>-2.9932928950000002</v>
      </c>
      <c r="Q266" s="3">
        <v>1.409325269</v>
      </c>
      <c r="R266" s="3">
        <v>0.203741963</v>
      </c>
      <c r="S266" s="3">
        <v>4.549940909</v>
      </c>
      <c r="T266" s="3">
        <v>5.0920047300000002</v>
      </c>
      <c r="U266" s="3">
        <v>-2.1956909960000002</v>
      </c>
      <c r="V266" s="3">
        <v>1.829307623</v>
      </c>
      <c r="W266" s="3">
        <v>3.014827768</v>
      </c>
      <c r="X266" s="3">
        <v>3.585357482</v>
      </c>
      <c r="Y266" s="3">
        <v>2.1743826149999999</v>
      </c>
      <c r="Z266" s="3">
        <v>1.106305192</v>
      </c>
      <c r="AA266" s="3">
        <v>-0.98590584699999995</v>
      </c>
      <c r="AB266" s="3">
        <v>0.224409788</v>
      </c>
      <c r="AC266" s="3">
        <v>1.3545109239999999</v>
      </c>
      <c r="AD266" s="3">
        <v>1.059234048</v>
      </c>
      <c r="AE266" s="3">
        <v>-1.546055897</v>
      </c>
      <c r="AF266" s="3">
        <v>0.36703316200000002</v>
      </c>
      <c r="AH266" s="3">
        <v>0.42494724900000003</v>
      </c>
      <c r="AI266" s="3">
        <v>2.6924375079999998</v>
      </c>
      <c r="AJ266" s="3">
        <v>1.29617049</v>
      </c>
      <c r="AK266" s="3">
        <v>-0.38534162799999999</v>
      </c>
      <c r="AN266" s="3">
        <v>1.9470918100000001</v>
      </c>
      <c r="AO266" s="3">
        <v>6.1179500000000004</v>
      </c>
      <c r="AP266" s="3">
        <v>2.4078499149999999</v>
      </c>
      <c r="AQ266" s="3">
        <v>1.673388893</v>
      </c>
      <c r="AR266" s="3">
        <v>7.6</v>
      </c>
      <c r="AS266" s="3">
        <v>9.5497674400000001</v>
      </c>
      <c r="AT266" s="3">
        <v>3.9184145400000001</v>
      </c>
      <c r="AU266" s="88">
        <v>5.4511074590000002</v>
      </c>
    </row>
    <row r="267" spans="1:47" x14ac:dyDescent="0.2">
      <c r="A267" s="88" t="s">
        <v>314</v>
      </c>
      <c r="B267" s="4">
        <v>41548</v>
      </c>
      <c r="C267" s="3">
        <v>2.0872103719999999</v>
      </c>
      <c r="E267" s="3">
        <v>0.57198187199999995</v>
      </c>
      <c r="F267" s="3">
        <v>2.5211811590000002</v>
      </c>
      <c r="H267" s="3">
        <v>0.113273973</v>
      </c>
      <c r="I267" s="3">
        <v>0.72942525499999999</v>
      </c>
      <c r="J267" s="3">
        <v>1.1122699899999999</v>
      </c>
      <c r="K267" s="3">
        <v>-1.2204827840000001</v>
      </c>
      <c r="M267" s="3">
        <v>-0.130193592</v>
      </c>
      <c r="N267" s="3">
        <v>0.58893926799999996</v>
      </c>
      <c r="O267" s="3">
        <v>2.0631177159999998</v>
      </c>
      <c r="P267" s="3">
        <v>-1.6880552929999999</v>
      </c>
      <c r="Q267" s="3">
        <v>2.7389511830000002</v>
      </c>
      <c r="R267" s="3">
        <v>3.9823999309999998</v>
      </c>
      <c r="S267" s="3">
        <v>3.6283827460000002</v>
      </c>
      <c r="T267" s="3">
        <v>5.3007976140000004</v>
      </c>
      <c r="U267" s="3">
        <v>-1.4565259070000001</v>
      </c>
      <c r="V267" s="3">
        <v>3.1964312060000002</v>
      </c>
      <c r="W267" s="3">
        <v>3.4735116160000001</v>
      </c>
      <c r="X267" s="3">
        <v>5.6700986650000003</v>
      </c>
      <c r="Y267" s="3">
        <v>2.478014028</v>
      </c>
      <c r="Z267" s="3">
        <v>1.4558114660000001</v>
      </c>
      <c r="AA267" s="3">
        <v>3.9970727999999997E-2</v>
      </c>
      <c r="AB267" s="3">
        <v>2.6959855140000002</v>
      </c>
      <c r="AC267" s="3">
        <v>1.909674187</v>
      </c>
      <c r="AD267" s="3">
        <v>1.3804584660000001</v>
      </c>
      <c r="AE267" s="3">
        <v>-0.56010572800000002</v>
      </c>
      <c r="AF267" s="3">
        <v>0.65640001000000003</v>
      </c>
      <c r="AH267" s="3">
        <v>1.0353797650000001</v>
      </c>
      <c r="AI267" s="3">
        <v>3.0128963240000002</v>
      </c>
      <c r="AJ267" s="3">
        <v>1.9198446199999999</v>
      </c>
      <c r="AK267" s="3">
        <v>4.9202920999999997E-2</v>
      </c>
      <c r="AN267" s="3">
        <v>2.012326812</v>
      </c>
      <c r="AO267" s="3">
        <v>5.9168799999999999</v>
      </c>
      <c r="AP267" s="3">
        <v>2.4771044930000001</v>
      </c>
      <c r="AQ267" s="3">
        <v>1.192622281</v>
      </c>
      <c r="AR267" s="3">
        <v>7.9</v>
      </c>
      <c r="AS267" s="3">
        <v>9.2280902559999998</v>
      </c>
      <c r="AT267" s="3">
        <v>2.4355368839999998</v>
      </c>
      <c r="AU267" s="88">
        <v>2.8841276530000002</v>
      </c>
    </row>
    <row r="268" spans="1:47" x14ac:dyDescent="0.2">
      <c r="A268" s="88" t="s">
        <v>315</v>
      </c>
      <c r="B268" s="4">
        <v>41640</v>
      </c>
      <c r="C268" s="3">
        <v>2.3867913770000002</v>
      </c>
      <c r="E268" s="3">
        <v>0.83789398000000004</v>
      </c>
      <c r="F268" s="3">
        <v>3.3844473329999998</v>
      </c>
      <c r="H268" s="3">
        <v>1.630396629</v>
      </c>
      <c r="I268" s="3">
        <v>1.4836484919999999</v>
      </c>
      <c r="J268" s="3">
        <v>1.479632236</v>
      </c>
      <c r="K268" s="3">
        <v>-0.29549400799999997</v>
      </c>
      <c r="M268" s="3">
        <v>-0.23226391199999999</v>
      </c>
      <c r="N268" s="3">
        <v>1.144735351</v>
      </c>
      <c r="O268" s="3">
        <v>2.9412751610000001</v>
      </c>
      <c r="P268" s="3">
        <v>-0.71918570699999995</v>
      </c>
      <c r="Q268" s="3">
        <v>3.6749029809999998</v>
      </c>
      <c r="R268" s="3">
        <v>2.8837281890000002</v>
      </c>
      <c r="S268" s="3">
        <v>5.6458683900000004</v>
      </c>
      <c r="T268" s="3">
        <v>5.4018433530000003</v>
      </c>
      <c r="U268" s="3">
        <v>-0.88572429799999997</v>
      </c>
      <c r="V268" s="3">
        <v>3.1618788950000001</v>
      </c>
      <c r="W268" s="3">
        <v>3.7551838229999999</v>
      </c>
      <c r="X268" s="3">
        <v>3.1788593490000001</v>
      </c>
      <c r="Y268" s="3">
        <v>3.0667302109999999</v>
      </c>
      <c r="Z268" s="3">
        <v>1.1950138830000001</v>
      </c>
      <c r="AA268" s="3">
        <v>1.38497114</v>
      </c>
      <c r="AB268" s="3">
        <v>1.6830993670000001</v>
      </c>
      <c r="AC268" s="3">
        <v>2.369501788</v>
      </c>
      <c r="AD268" s="3">
        <v>2.185589475</v>
      </c>
      <c r="AE268" s="3">
        <v>2.1430560930000002</v>
      </c>
      <c r="AF268" s="3">
        <v>1.3148958930000001</v>
      </c>
      <c r="AH268" s="3">
        <v>2.4516383259999999</v>
      </c>
      <c r="AI268" s="3">
        <v>1.672377832</v>
      </c>
      <c r="AJ268" s="3">
        <v>2.5320497780000002</v>
      </c>
      <c r="AK268" s="3">
        <v>0.74531966599999999</v>
      </c>
      <c r="AN268" s="3">
        <v>2.4570090580000001</v>
      </c>
      <c r="AO268" s="3">
        <v>6.9785599999999999</v>
      </c>
      <c r="AP268" s="3">
        <v>2.5397362000000001</v>
      </c>
      <c r="AQ268" s="3">
        <v>1.708580709</v>
      </c>
      <c r="AR268" s="3">
        <v>7.7</v>
      </c>
      <c r="AS268" s="3">
        <v>7.7132791860000003</v>
      </c>
      <c r="AT268" s="3">
        <v>2.5902561909999999</v>
      </c>
      <c r="AU268" s="88">
        <v>0.14438072199999999</v>
      </c>
    </row>
    <row r="269" spans="1:47" x14ac:dyDescent="0.2">
      <c r="A269" s="88" t="s">
        <v>316</v>
      </c>
      <c r="B269" s="4">
        <v>41730</v>
      </c>
      <c r="C269" s="3">
        <v>2.7761389940000001</v>
      </c>
      <c r="E269" s="3">
        <v>1.55021681</v>
      </c>
      <c r="F269" s="3">
        <v>2.6328056470000001</v>
      </c>
      <c r="H269" s="3">
        <v>1.3960077559999999</v>
      </c>
      <c r="I269" s="3">
        <v>2.913075283</v>
      </c>
      <c r="J269" s="3">
        <v>1.1662242860000001</v>
      </c>
      <c r="K269" s="3">
        <v>0.39174025600000001</v>
      </c>
      <c r="M269" s="3">
        <v>-0.146658286</v>
      </c>
      <c r="N269" s="3">
        <v>1.226428283</v>
      </c>
      <c r="O269" s="3">
        <v>3.1859344909999998</v>
      </c>
      <c r="P269" s="3">
        <v>0.97638259599999999</v>
      </c>
      <c r="Q269" s="3">
        <v>4.2713789010000003</v>
      </c>
      <c r="R269" s="3">
        <v>8.2536517759999999</v>
      </c>
      <c r="S269" s="3">
        <v>1.9246878839999999</v>
      </c>
      <c r="T269" s="3">
        <v>5.0889426660000003</v>
      </c>
      <c r="U269" s="3">
        <v>0.10311366199999999</v>
      </c>
      <c r="V269" s="3">
        <v>2.5872691269999999</v>
      </c>
      <c r="W269" s="3">
        <v>3.8246887090000001</v>
      </c>
      <c r="X269" s="3">
        <v>6.9022206170000002</v>
      </c>
      <c r="Y269" s="3">
        <v>1.3899741299999999</v>
      </c>
      <c r="Z269" s="3">
        <v>1.625375046</v>
      </c>
      <c r="AA269" s="3">
        <v>0.96269611600000005</v>
      </c>
      <c r="AB269" s="3">
        <v>2.0588711160000002</v>
      </c>
      <c r="AC269" s="3">
        <v>2.1302606759999998</v>
      </c>
      <c r="AD269" s="3">
        <v>3.1658477760000001</v>
      </c>
      <c r="AE269" s="3">
        <v>1.066874721</v>
      </c>
      <c r="AF269" s="3">
        <v>1.975426881</v>
      </c>
      <c r="AH269" s="3">
        <v>1.8930710639999999</v>
      </c>
      <c r="AI269" s="3">
        <v>3.4954390439999998</v>
      </c>
      <c r="AJ269" s="3">
        <v>1.294055859</v>
      </c>
      <c r="AK269" s="3">
        <v>1.538534061</v>
      </c>
      <c r="AN269" s="3">
        <v>2.6517808939999998</v>
      </c>
      <c r="AO269" s="3">
        <v>6.5155799999999999</v>
      </c>
      <c r="AP269" s="3">
        <v>1.6097810450000001</v>
      </c>
      <c r="AQ269" s="3">
        <v>0.95351965999999999</v>
      </c>
      <c r="AR269" s="3">
        <v>7.5</v>
      </c>
      <c r="AS269" s="3">
        <v>7.6831303159999997</v>
      </c>
      <c r="AT269" s="3">
        <v>3.068135469</v>
      </c>
      <c r="AU269" s="88">
        <v>-1.3304362599999999</v>
      </c>
    </row>
    <row r="270" spans="1:47" x14ac:dyDescent="0.2">
      <c r="A270" s="88" t="s">
        <v>317</v>
      </c>
      <c r="B270" s="4">
        <v>41821</v>
      </c>
      <c r="C270" s="3">
        <v>2.876744</v>
      </c>
      <c r="E270" s="3">
        <v>1.228594186</v>
      </c>
      <c r="F270" s="3">
        <v>2.972572204</v>
      </c>
      <c r="H270" s="3">
        <v>2.049605777</v>
      </c>
      <c r="I270" s="3">
        <v>1.82472532</v>
      </c>
      <c r="J270" s="3">
        <v>1.017899621</v>
      </c>
      <c r="K270" s="3">
        <v>0.94522170500000002</v>
      </c>
      <c r="M270" s="3">
        <v>-0.44364394699999998</v>
      </c>
      <c r="N270" s="3">
        <v>0.69443532100000005</v>
      </c>
      <c r="O270" s="3">
        <v>3.0293184549999999</v>
      </c>
      <c r="P270" s="3">
        <v>0.56442636000000002</v>
      </c>
      <c r="Q270" s="3">
        <v>4.5922878149999997</v>
      </c>
      <c r="R270" s="3">
        <v>9.5708173050000003</v>
      </c>
      <c r="S270" s="3">
        <v>0.361291152</v>
      </c>
      <c r="T270" s="3">
        <v>3.979461804</v>
      </c>
      <c r="U270" s="3">
        <v>0.117493893</v>
      </c>
      <c r="V270" s="3">
        <v>-0.19204006600000001</v>
      </c>
      <c r="W270" s="3">
        <v>3.5002730689999999</v>
      </c>
      <c r="X270" s="3">
        <v>2.371729121</v>
      </c>
      <c r="Y270" s="3">
        <v>1.8478279440000001</v>
      </c>
      <c r="Z270" s="3">
        <v>3.5073029349999998</v>
      </c>
      <c r="AA270" s="3">
        <v>1.737896984</v>
      </c>
      <c r="AB270" s="3">
        <v>2.0757410030000001</v>
      </c>
      <c r="AC270" s="3">
        <v>2.0595982300000002</v>
      </c>
      <c r="AD270" s="3">
        <v>3.2270879629999998</v>
      </c>
      <c r="AE270" s="3">
        <v>0.63991803300000005</v>
      </c>
      <c r="AF270" s="3">
        <v>2.3988859520000001</v>
      </c>
      <c r="AH270" s="3">
        <v>2.8505442900000002</v>
      </c>
      <c r="AI270" s="3">
        <v>2.8639593809999999</v>
      </c>
      <c r="AJ270" s="3">
        <v>2.451999168</v>
      </c>
      <c r="AK270" s="3">
        <v>1.2307530229999999</v>
      </c>
      <c r="AN270" s="3">
        <v>2.43282723</v>
      </c>
      <c r="AO270" s="3">
        <v>7.4461300000000001</v>
      </c>
      <c r="AP270" s="3">
        <v>1.274154405</v>
      </c>
      <c r="AQ270" s="3">
        <v>1.0956289459999999</v>
      </c>
      <c r="AR270" s="3">
        <v>7.6</v>
      </c>
      <c r="AS270" s="3">
        <v>2.9147265529999999</v>
      </c>
      <c r="AT270" s="3">
        <v>-0.21367403700000001</v>
      </c>
      <c r="AU270" s="88">
        <v>-2.447981559</v>
      </c>
    </row>
    <row r="271" spans="1:47" x14ac:dyDescent="0.2">
      <c r="A271" s="88" t="s">
        <v>318</v>
      </c>
      <c r="B271" s="4">
        <v>41913</v>
      </c>
      <c r="C271" s="3">
        <v>2.558888364</v>
      </c>
      <c r="E271" s="3">
        <v>1.6128872169999999</v>
      </c>
      <c r="F271" s="3">
        <v>3.1197336029999998</v>
      </c>
      <c r="H271" s="3">
        <v>2.7950652379999998</v>
      </c>
      <c r="I271" s="3">
        <v>1.783270004</v>
      </c>
      <c r="J271" s="3">
        <v>2.0623688850000002</v>
      </c>
      <c r="K271" s="3">
        <v>1.74793584</v>
      </c>
      <c r="M271" s="3">
        <v>-0.406204538</v>
      </c>
      <c r="N271" s="3">
        <v>1.192750419</v>
      </c>
      <c r="O271" s="3">
        <v>2.6510678080000001</v>
      </c>
      <c r="P271" s="3">
        <v>1.408444139</v>
      </c>
      <c r="Q271" s="3">
        <v>4.0173593209999998</v>
      </c>
      <c r="R271" s="3">
        <v>7.6947193169999997</v>
      </c>
      <c r="S271" s="3">
        <v>4.1586789599999996</v>
      </c>
      <c r="T271" s="3">
        <v>3.7560288609999999</v>
      </c>
      <c r="U271" s="3">
        <v>4.0882090000000003E-2</v>
      </c>
      <c r="V271" s="3">
        <v>-1.0476079030000001</v>
      </c>
      <c r="W271" s="3">
        <v>2.9304339860000002</v>
      </c>
      <c r="X271" s="3">
        <v>2.8304078270000002</v>
      </c>
      <c r="Y271" s="3">
        <v>0.96822511099999997</v>
      </c>
      <c r="Z271" s="3">
        <v>2.8957289890000002</v>
      </c>
      <c r="AA271" s="3">
        <v>1.3807327039999999</v>
      </c>
      <c r="AB271" s="3">
        <v>1.509140696</v>
      </c>
      <c r="AC271" s="3">
        <v>2.1040183130000001</v>
      </c>
      <c r="AD271" s="3">
        <v>3.3100957360000001</v>
      </c>
      <c r="AE271" s="3">
        <v>0.87572742400000003</v>
      </c>
      <c r="AF271" s="3">
        <v>2.8605163619999998</v>
      </c>
      <c r="AH271" s="3">
        <v>3.114338585</v>
      </c>
      <c r="AI271" s="3">
        <v>3.5891822100000002</v>
      </c>
      <c r="AJ271" s="3">
        <v>2.831456926</v>
      </c>
      <c r="AK271" s="3">
        <v>1.3668115219999999</v>
      </c>
      <c r="AN271" s="3">
        <v>2.2084121140000001</v>
      </c>
      <c r="AO271" s="3">
        <v>7.6837200000000001</v>
      </c>
      <c r="AP271" s="3">
        <v>1.280322755</v>
      </c>
      <c r="AQ271" s="3">
        <v>0.73325464500000004</v>
      </c>
      <c r="AR271" s="3">
        <v>7.2</v>
      </c>
      <c r="AS271" s="3">
        <v>3.921101733</v>
      </c>
      <c r="AT271" s="3">
        <v>-0.54621794999999995</v>
      </c>
      <c r="AU271" s="88">
        <v>-3.8528528660000001</v>
      </c>
    </row>
    <row r="272" spans="1:47" x14ac:dyDescent="0.2">
      <c r="A272" s="88" t="s">
        <v>319</v>
      </c>
      <c r="B272" s="4">
        <v>42005</v>
      </c>
      <c r="C272" s="3">
        <v>2.0844357800000002</v>
      </c>
      <c r="E272" s="3">
        <v>1.9213437520000001</v>
      </c>
      <c r="F272" s="3">
        <v>2.7538071400000002</v>
      </c>
      <c r="H272" s="3">
        <v>2.79273164</v>
      </c>
      <c r="I272" s="3">
        <v>2.3021057460000001</v>
      </c>
      <c r="J272" s="3">
        <v>2.2228855059999999</v>
      </c>
      <c r="K272" s="3">
        <v>2.450614801</v>
      </c>
      <c r="M272" s="3">
        <v>-0.46560926699999999</v>
      </c>
      <c r="N272" s="3">
        <v>0.78776333499999995</v>
      </c>
      <c r="O272" s="3">
        <v>2.5934127720000002</v>
      </c>
      <c r="P272" s="3">
        <v>3.6966930000000002E-2</v>
      </c>
      <c r="Q272" s="3">
        <v>3.7151512420000001</v>
      </c>
      <c r="R272" s="3">
        <v>8.396588693</v>
      </c>
      <c r="S272" s="3">
        <v>0.35760029999999998</v>
      </c>
      <c r="T272" s="3">
        <v>4.5484561039999996</v>
      </c>
      <c r="U272" s="3">
        <v>1.632552E-2</v>
      </c>
      <c r="V272" s="3">
        <v>-0.44582075199999999</v>
      </c>
      <c r="W272" s="3">
        <v>2.5745954090000001</v>
      </c>
      <c r="X272" s="3">
        <v>5.176833523</v>
      </c>
      <c r="Y272" s="3">
        <v>0.68585423700000003</v>
      </c>
      <c r="Z272" s="3">
        <v>3.3995360730000002</v>
      </c>
      <c r="AA272" s="3">
        <v>1.643506055</v>
      </c>
      <c r="AB272" s="3">
        <v>2.932525278</v>
      </c>
      <c r="AC272" s="3">
        <v>2.1688028680000002</v>
      </c>
      <c r="AD272" s="3">
        <v>3.7102647609999999</v>
      </c>
      <c r="AE272" s="3">
        <v>0.590349244</v>
      </c>
      <c r="AF272" s="3">
        <v>3.3215415080000001</v>
      </c>
      <c r="AH272" s="3">
        <v>3.1596900259999998</v>
      </c>
      <c r="AI272" s="3">
        <v>4.9544681300000004</v>
      </c>
      <c r="AJ272" s="3">
        <v>2.5637596660000002</v>
      </c>
      <c r="AK272" s="3">
        <v>1.5102560840000001</v>
      </c>
      <c r="AN272" s="3">
        <v>2.4014666729999998</v>
      </c>
      <c r="AO272" s="3">
        <v>6.9806900000000001</v>
      </c>
      <c r="AP272" s="3">
        <v>1.4922992829999999</v>
      </c>
      <c r="AQ272" s="3">
        <v>-8.1061665000000005E-2</v>
      </c>
      <c r="AR272" s="3">
        <v>7.3</v>
      </c>
      <c r="AS272" s="3">
        <v>5.117751062</v>
      </c>
      <c r="AT272" s="3">
        <v>-0.16434443400000001</v>
      </c>
      <c r="AU272" s="88">
        <v>-2.403877466</v>
      </c>
    </row>
    <row r="273" spans="1:47" x14ac:dyDescent="0.2">
      <c r="A273" s="88" t="s">
        <v>320</v>
      </c>
      <c r="B273" s="4">
        <v>42095</v>
      </c>
      <c r="C273" s="3">
        <v>2.2479240530000002</v>
      </c>
      <c r="E273" s="3">
        <v>2.0127212659999998</v>
      </c>
      <c r="F273" s="3">
        <v>2.0224016960000002</v>
      </c>
      <c r="H273" s="3">
        <v>5.2815465980000003</v>
      </c>
      <c r="I273" s="3">
        <v>0.81967864000000001</v>
      </c>
      <c r="J273" s="3">
        <v>2.6627859950000001</v>
      </c>
      <c r="K273" s="3">
        <v>3.2469654530000001</v>
      </c>
      <c r="M273" s="3">
        <v>-0.47114027400000003</v>
      </c>
      <c r="N273" s="3">
        <v>1.1822691359999999</v>
      </c>
      <c r="O273" s="3">
        <v>2.3623766499999999</v>
      </c>
      <c r="P273" s="3">
        <v>-0.121666836</v>
      </c>
      <c r="Q273" s="3">
        <v>4.6621636960000004</v>
      </c>
      <c r="R273" s="3">
        <v>29.400004799000001</v>
      </c>
      <c r="S273" s="3">
        <v>1.5184081629999999</v>
      </c>
      <c r="T273" s="3">
        <v>3.4541563279999998</v>
      </c>
      <c r="U273" s="3">
        <v>0.14673265999999999</v>
      </c>
      <c r="V273" s="3">
        <v>0.26487872600000001</v>
      </c>
      <c r="W273" s="3">
        <v>2.4802682890000001</v>
      </c>
      <c r="X273" s="3">
        <v>3.8817021839999999</v>
      </c>
      <c r="Y273" s="3">
        <v>3.2189728240000002</v>
      </c>
      <c r="Z273" s="3">
        <v>3.2535485390000001</v>
      </c>
      <c r="AA273" s="3">
        <v>2.3459811699999999</v>
      </c>
      <c r="AB273" s="3">
        <v>2.136295482</v>
      </c>
      <c r="AC273" s="3">
        <v>2.6372060180000001</v>
      </c>
      <c r="AD273" s="3">
        <v>4.1065528709999999</v>
      </c>
      <c r="AE273" s="3">
        <v>1.892981477</v>
      </c>
      <c r="AF273" s="3">
        <v>4.4176609100000004</v>
      </c>
      <c r="AH273" s="3">
        <v>3.7833561360000001</v>
      </c>
      <c r="AI273" s="3">
        <v>3.78406339</v>
      </c>
      <c r="AJ273" s="3">
        <v>3.7612027729999999</v>
      </c>
      <c r="AK273" s="3">
        <v>1.761872219</v>
      </c>
      <c r="AN273" s="3">
        <v>1.5952260899999999</v>
      </c>
      <c r="AO273" s="3">
        <v>7.5360699999999996</v>
      </c>
      <c r="AP273" s="3">
        <v>2.3666304870000001</v>
      </c>
      <c r="AQ273" s="3">
        <v>-1.090845082</v>
      </c>
      <c r="AR273" s="3">
        <v>7.1</v>
      </c>
      <c r="AS273" s="3">
        <v>4.0856609300000004</v>
      </c>
      <c r="AT273" s="3">
        <v>-1.7112777669999999</v>
      </c>
      <c r="AU273" s="88">
        <v>0.53807850300000004</v>
      </c>
    </row>
    <row r="274" spans="1:47" x14ac:dyDescent="0.2">
      <c r="A274" s="88" t="s">
        <v>321</v>
      </c>
      <c r="B274" s="4">
        <v>42186</v>
      </c>
      <c r="C274" s="3">
        <v>1.885680478</v>
      </c>
      <c r="E274" s="3">
        <v>2.4263823590000002</v>
      </c>
      <c r="F274" s="3">
        <v>0.82387143900000004</v>
      </c>
      <c r="H274" s="3">
        <v>5.7457399980000003</v>
      </c>
      <c r="I274" s="3">
        <v>1.532410198</v>
      </c>
      <c r="J274" s="3">
        <v>3.2177876630000002</v>
      </c>
      <c r="K274" s="3">
        <v>3.8732762529999998</v>
      </c>
      <c r="M274" s="3">
        <v>0.87981565799999994</v>
      </c>
      <c r="N274" s="3">
        <v>1.078271113</v>
      </c>
      <c r="O274" s="3">
        <v>2.459781982</v>
      </c>
      <c r="P274" s="3">
        <v>1.9063892999999998E-2</v>
      </c>
      <c r="Q274" s="3">
        <v>3.4538416110000001</v>
      </c>
      <c r="R274" s="3">
        <v>21.618111009</v>
      </c>
      <c r="S274" s="3">
        <v>7.7831962539999999</v>
      </c>
      <c r="T274" s="3">
        <v>2.5700407059999999</v>
      </c>
      <c r="U274" s="3">
        <v>0.51621063499999997</v>
      </c>
      <c r="V274" s="3">
        <v>2.241079348</v>
      </c>
      <c r="W274" s="3">
        <v>2.0432410700000001</v>
      </c>
      <c r="X274" s="3">
        <v>6.3669926459999999</v>
      </c>
      <c r="Y274" s="3">
        <v>4.0807875009999997</v>
      </c>
      <c r="Z274" s="3">
        <v>3.1756647280000001</v>
      </c>
      <c r="AA274" s="3">
        <v>2.0647271759999999</v>
      </c>
      <c r="AB274" s="3">
        <v>1.9244537770000001</v>
      </c>
      <c r="AC274" s="3">
        <v>2.7095212580000001</v>
      </c>
      <c r="AD274" s="3">
        <v>3.740776168</v>
      </c>
      <c r="AE274" s="3">
        <v>1.857357964</v>
      </c>
      <c r="AF274" s="3">
        <v>4.8883994230000001</v>
      </c>
      <c r="AH274" s="3">
        <v>3.9333835100000001</v>
      </c>
      <c r="AI274" s="3">
        <v>3.914086256</v>
      </c>
      <c r="AJ274" s="3">
        <v>3.039854675</v>
      </c>
      <c r="AK274" s="3">
        <v>1.9751100720000001</v>
      </c>
      <c r="AN274" s="3">
        <v>1.637641039</v>
      </c>
      <c r="AO274" s="3">
        <v>7.3803900000000002</v>
      </c>
      <c r="AP274" s="3">
        <v>1.1033660569999999</v>
      </c>
      <c r="AQ274" s="3">
        <v>-2.2247467080000001</v>
      </c>
      <c r="AR274" s="3">
        <v>7.1</v>
      </c>
      <c r="AS274" s="3">
        <v>7.4143840340000002</v>
      </c>
      <c r="AT274" s="3">
        <v>-2.783570809</v>
      </c>
      <c r="AU274" s="88">
        <v>3.5113010619999998</v>
      </c>
    </row>
    <row r="275" spans="1:47" x14ac:dyDescent="0.2">
      <c r="A275" s="88" t="s">
        <v>322</v>
      </c>
      <c r="B275" s="4">
        <v>42278</v>
      </c>
      <c r="C275" s="3">
        <v>2.473594984</v>
      </c>
      <c r="E275" s="3">
        <v>1.918418379</v>
      </c>
      <c r="F275" s="3">
        <v>0.21933249699999999</v>
      </c>
      <c r="H275" s="3">
        <v>5.757359353</v>
      </c>
      <c r="I275" s="3">
        <v>1.4937711119999999</v>
      </c>
      <c r="J275" s="3">
        <v>1.824728012</v>
      </c>
      <c r="K275" s="3">
        <v>4.0485580949999997</v>
      </c>
      <c r="M275" s="3">
        <v>0.48184543000000002</v>
      </c>
      <c r="N275" s="3">
        <v>0.92296223200000005</v>
      </c>
      <c r="O275" s="3">
        <v>2.2794003090000001</v>
      </c>
      <c r="P275" s="3">
        <v>-2.3284759990000001</v>
      </c>
      <c r="Q275" s="3">
        <v>3.2541334150000001</v>
      </c>
      <c r="R275" s="3">
        <v>24.784595927000002</v>
      </c>
      <c r="S275" s="3">
        <v>3.2637285720000002</v>
      </c>
      <c r="T275" s="3">
        <v>1.7324461799999999</v>
      </c>
      <c r="U275" s="3">
        <v>0.61123042000000005</v>
      </c>
      <c r="V275" s="3">
        <v>2.2491538649999998</v>
      </c>
      <c r="W275" s="3">
        <v>3.2325957650000001</v>
      </c>
      <c r="X275" s="3">
        <v>3.1007053550000001</v>
      </c>
      <c r="Y275" s="3">
        <v>4.4473534929999996</v>
      </c>
      <c r="Z275" s="3">
        <v>4.0988745069999997</v>
      </c>
      <c r="AA275" s="3">
        <v>2.159549803</v>
      </c>
      <c r="AB275" s="3">
        <v>2.6871449369999998</v>
      </c>
      <c r="AC275" s="3">
        <v>2.4598266089999998</v>
      </c>
      <c r="AD275" s="3">
        <v>4.1874879150000002</v>
      </c>
      <c r="AE275" s="3">
        <v>1.876774457</v>
      </c>
      <c r="AF275" s="3">
        <v>5.1195811879999997</v>
      </c>
      <c r="AH275" s="3">
        <v>4.6439669459999999</v>
      </c>
      <c r="AI275" s="3">
        <v>3.7065567119999998</v>
      </c>
      <c r="AJ275" s="3">
        <v>2.1826685110000001</v>
      </c>
      <c r="AK275" s="3">
        <v>1.9716665209999999</v>
      </c>
      <c r="AN275" s="3">
        <v>1.7097666739999999</v>
      </c>
      <c r="AO275" s="3">
        <v>7.40198</v>
      </c>
      <c r="AP275" s="3">
        <v>1.0730239100000001</v>
      </c>
      <c r="AQ275" s="3">
        <v>-1.722941557</v>
      </c>
      <c r="AR275" s="3">
        <v>7</v>
      </c>
      <c r="AS275" s="3">
        <v>6.306599319</v>
      </c>
      <c r="AT275" s="3">
        <v>-4.2223643720000004</v>
      </c>
      <c r="AU275" s="88">
        <v>4.2908268930000002</v>
      </c>
    </row>
    <row r="276" spans="1:47" x14ac:dyDescent="0.2">
      <c r="A276" s="88" t="s">
        <v>323</v>
      </c>
      <c r="B276" s="4">
        <v>42370</v>
      </c>
      <c r="C276" s="3">
        <v>2.688926226</v>
      </c>
      <c r="E276" s="3">
        <v>1.811273819</v>
      </c>
      <c r="F276" s="3">
        <v>-0.39486916599999999</v>
      </c>
      <c r="H276" s="3">
        <v>5.0987886949999996</v>
      </c>
      <c r="I276" s="3">
        <v>1.1100328779999999</v>
      </c>
      <c r="J276" s="3">
        <v>1.6868750180000001</v>
      </c>
      <c r="K276" s="3">
        <v>4.1627441640000002</v>
      </c>
      <c r="M276" s="3">
        <v>1.2873659390000001</v>
      </c>
      <c r="N276" s="3">
        <v>0.98543892600000005</v>
      </c>
      <c r="O276" s="3">
        <v>2.3513222090000001</v>
      </c>
      <c r="P276" s="3">
        <v>-0.28234988799999999</v>
      </c>
      <c r="Q276" s="3">
        <v>3.743152094</v>
      </c>
      <c r="R276" s="3">
        <v>25.788779959999999</v>
      </c>
      <c r="S276" s="3">
        <v>5.1961674149999997</v>
      </c>
      <c r="T276" s="3">
        <v>1.039977889</v>
      </c>
      <c r="U276" s="3">
        <v>1.367830917</v>
      </c>
      <c r="V276" s="3">
        <v>1.655357741</v>
      </c>
      <c r="W276" s="3">
        <v>3.470945248</v>
      </c>
      <c r="X276" s="3">
        <v>3.9436004200000001</v>
      </c>
      <c r="Y276" s="3">
        <v>3.7207808330000001</v>
      </c>
      <c r="Z276" s="3">
        <v>2.7219889350000002</v>
      </c>
      <c r="AA276" s="3">
        <v>1.2679556869999999</v>
      </c>
      <c r="AB276" s="3">
        <v>0.55603943899999997</v>
      </c>
      <c r="AC276" s="3">
        <v>2.2114513979999999</v>
      </c>
      <c r="AD276" s="3">
        <v>4.7940422219999999</v>
      </c>
      <c r="AE276" s="3">
        <v>1.5435730759999999</v>
      </c>
      <c r="AF276" s="3">
        <v>4.8280859759999997</v>
      </c>
      <c r="AH276" s="3">
        <v>4.5786133580000001</v>
      </c>
      <c r="AI276" s="3">
        <v>3.1943195960000001</v>
      </c>
      <c r="AJ276" s="3">
        <v>1.874684059</v>
      </c>
      <c r="AK276" s="3">
        <v>2.0168340520000001</v>
      </c>
      <c r="AN276" s="3">
        <v>1.5844667109999999</v>
      </c>
      <c r="AO276" s="3">
        <v>7.9296499999999996</v>
      </c>
      <c r="AP276" s="3">
        <v>0.75669968200000004</v>
      </c>
      <c r="AQ276" s="3">
        <v>-1.744654001</v>
      </c>
      <c r="AR276" s="3">
        <v>6.9</v>
      </c>
      <c r="AS276" s="3">
        <v>6.1170653310000001</v>
      </c>
      <c r="AT276" s="3">
        <v>-5.445186337</v>
      </c>
      <c r="AU276" s="88">
        <v>2.6097948620000002</v>
      </c>
    </row>
    <row r="277" spans="1:47" x14ac:dyDescent="0.2">
      <c r="A277" s="88" t="s">
        <v>324</v>
      </c>
      <c r="B277" s="4">
        <v>42461</v>
      </c>
      <c r="C277" s="3">
        <v>2.6846046139999999</v>
      </c>
      <c r="E277" s="3">
        <v>1.3427295400000001</v>
      </c>
      <c r="F277" s="3">
        <v>0.70485855600000002</v>
      </c>
      <c r="H277" s="3">
        <v>3.3935594359999999</v>
      </c>
      <c r="I277" s="3">
        <v>2.4768189889999999</v>
      </c>
      <c r="J277" s="3">
        <v>2.1589061780000001</v>
      </c>
      <c r="K277" s="3">
        <v>3.6787924009999999</v>
      </c>
      <c r="M277" s="3">
        <v>3.3404243089999999</v>
      </c>
      <c r="N277" s="3">
        <v>1.13636154</v>
      </c>
      <c r="O277" s="3">
        <v>2.0031047929999999</v>
      </c>
      <c r="P277" s="3">
        <v>-1.2101657109999999</v>
      </c>
      <c r="Q277" s="3">
        <v>1.3841972819999999</v>
      </c>
      <c r="R277" s="3">
        <v>-1.2251519150000001</v>
      </c>
      <c r="S277" s="3">
        <v>3.9123796209999999</v>
      </c>
      <c r="T277" s="3">
        <v>1.948492468</v>
      </c>
      <c r="U277" s="3">
        <v>1.4454125040000001</v>
      </c>
      <c r="V277" s="3">
        <v>0.822299369</v>
      </c>
      <c r="W277" s="3">
        <v>2.926494945</v>
      </c>
      <c r="X277" s="3">
        <v>2.1537378949999999</v>
      </c>
      <c r="Y277" s="3">
        <v>3.738157003</v>
      </c>
      <c r="Z277" s="3">
        <v>2.7560959349999998</v>
      </c>
      <c r="AA277" s="3">
        <v>1.5949483250000001</v>
      </c>
      <c r="AB277" s="3">
        <v>1.7265607409999999</v>
      </c>
      <c r="AC277" s="3">
        <v>1.93146449</v>
      </c>
      <c r="AD277" s="3">
        <v>3.0246369789999998</v>
      </c>
      <c r="AE277" s="3">
        <v>1.3639343829999999</v>
      </c>
      <c r="AF277" s="3">
        <v>3.228922174</v>
      </c>
      <c r="AH277" s="3">
        <v>3.101633825</v>
      </c>
      <c r="AI277" s="3">
        <v>4.0681080180000002</v>
      </c>
      <c r="AJ277" s="3">
        <v>1.648190603</v>
      </c>
      <c r="AK277" s="3">
        <v>1.9027733529999999</v>
      </c>
      <c r="AN277" s="3">
        <v>2.1992798150000001</v>
      </c>
      <c r="AO277" s="3">
        <v>9.2231400000000008</v>
      </c>
      <c r="AP277" s="3">
        <v>0.27304739</v>
      </c>
      <c r="AQ277" s="3">
        <v>-0.54570160599999995</v>
      </c>
      <c r="AR277" s="3">
        <v>6.9</v>
      </c>
      <c r="AS277" s="3">
        <v>4.5244235330000002</v>
      </c>
      <c r="AT277" s="3">
        <v>-6.342760771</v>
      </c>
      <c r="AU277" s="88">
        <v>0.19842016400000001</v>
      </c>
    </row>
    <row r="278" spans="1:47" x14ac:dyDescent="0.2">
      <c r="A278" s="88" t="s">
        <v>325</v>
      </c>
      <c r="B278" s="4">
        <v>42552</v>
      </c>
      <c r="C278" s="3">
        <v>3.2304821750000001</v>
      </c>
      <c r="E278" s="3">
        <v>1.219500485</v>
      </c>
      <c r="F278" s="3">
        <v>0.48316809100000002</v>
      </c>
      <c r="H278" s="3">
        <v>2.255475396</v>
      </c>
      <c r="I278" s="3">
        <v>2.178643906</v>
      </c>
      <c r="J278" s="3">
        <v>3.0586654449999999</v>
      </c>
      <c r="K278" s="3">
        <v>3.0085783629999998</v>
      </c>
      <c r="M278" s="3">
        <v>1.9500500249999999</v>
      </c>
      <c r="N278" s="3">
        <v>0.95870859200000003</v>
      </c>
      <c r="O278" s="3">
        <v>1.7053686079999999</v>
      </c>
      <c r="P278" s="3">
        <v>-1.4167969410000001</v>
      </c>
      <c r="Q278" s="3">
        <v>2.6215304979999998</v>
      </c>
      <c r="R278" s="3">
        <v>2.8067477799999998</v>
      </c>
      <c r="S278" s="3">
        <v>4.6434669299999998</v>
      </c>
      <c r="T278" s="3">
        <v>4.2506073730000002</v>
      </c>
      <c r="U278" s="3">
        <v>1.2726377550000001</v>
      </c>
      <c r="V278" s="3">
        <v>0.50354286500000001</v>
      </c>
      <c r="W278" s="3">
        <v>3.6712156039999999</v>
      </c>
      <c r="X278" s="3">
        <v>4.0673931200000002</v>
      </c>
      <c r="Y278" s="3">
        <v>1.6308345319999999</v>
      </c>
      <c r="Z278" s="3">
        <v>1.978708119</v>
      </c>
      <c r="AA278" s="3">
        <v>1.5204331630000001</v>
      </c>
      <c r="AB278" s="3">
        <v>0.51999849099999995</v>
      </c>
      <c r="AC278" s="3">
        <v>1.732452267</v>
      </c>
      <c r="AD278" s="3">
        <v>3.5549913320000002</v>
      </c>
      <c r="AE278" s="3">
        <v>1.3658777129999999</v>
      </c>
      <c r="AF278" s="3">
        <v>2.3015386850000001</v>
      </c>
      <c r="AH278" s="3">
        <v>2.0772345489999999</v>
      </c>
      <c r="AI278" s="3">
        <v>4.2592639959999996</v>
      </c>
      <c r="AJ278" s="3">
        <v>1.36762965</v>
      </c>
      <c r="AK278" s="3">
        <v>1.7248137020000001</v>
      </c>
      <c r="AN278" s="3">
        <v>1.9828799239999999</v>
      </c>
      <c r="AO278" s="3">
        <v>8.8380700000000001</v>
      </c>
      <c r="AP278" s="3">
        <v>1.224121386</v>
      </c>
      <c r="AQ278" s="3">
        <v>0.17916338300000001</v>
      </c>
      <c r="AR278" s="3">
        <v>6.8</v>
      </c>
      <c r="AS278" s="3">
        <v>4.4287952639999997</v>
      </c>
      <c r="AT278" s="3">
        <v>-3.274170679</v>
      </c>
      <c r="AU278" s="88">
        <v>-3.646170261</v>
      </c>
    </row>
    <row r="279" spans="1:47" x14ac:dyDescent="0.2">
      <c r="A279" s="88" t="s">
        <v>326</v>
      </c>
      <c r="B279" s="4">
        <v>42644</v>
      </c>
      <c r="C279" s="3">
        <v>2.2740531270000002</v>
      </c>
      <c r="E279" s="3">
        <v>1.2037569480000001</v>
      </c>
      <c r="F279" s="3">
        <v>1.1615540019999999</v>
      </c>
      <c r="H279" s="3">
        <v>1.9596201049999999</v>
      </c>
      <c r="I279" s="3">
        <v>2.0181250249999998</v>
      </c>
      <c r="J279" s="3">
        <v>3.6204224250000001</v>
      </c>
      <c r="K279" s="3">
        <v>2.9851407970000001</v>
      </c>
      <c r="M279" s="3">
        <v>3.1113124910000001</v>
      </c>
      <c r="N279" s="3">
        <v>0.80960054699999995</v>
      </c>
      <c r="O279" s="3">
        <v>1.6226297190000001</v>
      </c>
      <c r="P279" s="3">
        <v>0.68677369200000005</v>
      </c>
      <c r="Q279" s="3">
        <v>2.341578336</v>
      </c>
      <c r="R279" s="3">
        <v>-1.2433406659999999</v>
      </c>
      <c r="S279" s="3">
        <v>7.3382498160000003</v>
      </c>
      <c r="T279" s="3">
        <v>5.4385296539999999</v>
      </c>
      <c r="U279" s="3">
        <v>1.5785827690000001</v>
      </c>
      <c r="V279" s="3">
        <v>0.58634857100000004</v>
      </c>
      <c r="W279" s="3">
        <v>2.6305051480000001</v>
      </c>
      <c r="X279" s="3">
        <v>6.1946015259999996</v>
      </c>
      <c r="Y279" s="3">
        <v>1.035787383</v>
      </c>
      <c r="Z279" s="3">
        <v>1.764013195</v>
      </c>
      <c r="AA279" s="3">
        <v>2.30395343</v>
      </c>
      <c r="AB279" s="3">
        <v>-1.5008049800000001</v>
      </c>
      <c r="AC279" s="3">
        <v>1.5898695700000001</v>
      </c>
      <c r="AD279" s="3">
        <v>2.5278395480000002</v>
      </c>
      <c r="AE279" s="3">
        <v>2.4394637970000002</v>
      </c>
      <c r="AF279" s="3">
        <v>1.5732081979999999</v>
      </c>
      <c r="AH279" s="3">
        <v>1.064971616</v>
      </c>
      <c r="AI279" s="3">
        <v>4.1135985579999996</v>
      </c>
      <c r="AJ279" s="3">
        <v>1.648263356</v>
      </c>
      <c r="AK279" s="3">
        <v>1.7319701919999999</v>
      </c>
      <c r="AN279" s="3">
        <v>1.9237085730000001</v>
      </c>
      <c r="AO279" s="3">
        <v>9.3134999999999994</v>
      </c>
      <c r="AP279" s="3">
        <v>0.75795112499999995</v>
      </c>
      <c r="AQ279" s="3">
        <v>8.6420364999999999E-2</v>
      </c>
      <c r="AR279" s="3">
        <v>6.8</v>
      </c>
      <c r="AS279" s="3">
        <v>3.2153910000000001E-2</v>
      </c>
      <c r="AT279" s="3">
        <v>-2.4429451520000001</v>
      </c>
      <c r="AU279" s="88">
        <v>-3.2754685609999998</v>
      </c>
    </row>
    <row r="280" spans="1:47" x14ac:dyDescent="0.2">
      <c r="A280" s="88" t="s">
        <v>327</v>
      </c>
      <c r="B280" s="4">
        <v>42736</v>
      </c>
      <c r="C280" s="3">
        <v>2.7318738539999998</v>
      </c>
      <c r="E280" s="3">
        <v>1.300882844</v>
      </c>
      <c r="F280" s="3">
        <v>1.6534435869999999</v>
      </c>
      <c r="H280" s="3">
        <v>2.1706344980000001</v>
      </c>
      <c r="I280" s="3">
        <v>1.9002158899999999</v>
      </c>
      <c r="J280" s="3">
        <v>4.1349655670000001</v>
      </c>
      <c r="K280" s="3">
        <v>2.4705723079999999</v>
      </c>
      <c r="M280" s="3">
        <v>2.8517788419999999</v>
      </c>
      <c r="N280" s="3">
        <v>1.199685858</v>
      </c>
      <c r="O280" s="3">
        <v>1.562578818</v>
      </c>
      <c r="P280" s="3">
        <v>1.7313910000000001E-3</v>
      </c>
      <c r="Q280" s="3">
        <v>2.1212269689999999</v>
      </c>
      <c r="R280" s="3">
        <v>8.9492778190000006</v>
      </c>
      <c r="S280" s="3">
        <v>9.1656729810000002</v>
      </c>
      <c r="T280" s="3">
        <v>5.7111136120000001</v>
      </c>
      <c r="U280" s="3">
        <v>1.32459499</v>
      </c>
      <c r="V280" s="3">
        <v>0.98280527399999995</v>
      </c>
      <c r="W280" s="3">
        <v>2.5721908230000001</v>
      </c>
      <c r="X280" s="3">
        <v>5.9020120440000001</v>
      </c>
      <c r="Y280" s="3">
        <v>2.3779741049999998</v>
      </c>
      <c r="Z280" s="3">
        <v>3.1065495479999998</v>
      </c>
      <c r="AA280" s="3">
        <v>3.144898161</v>
      </c>
      <c r="AB280" s="3">
        <v>1.7269423690000001</v>
      </c>
      <c r="AC280" s="3">
        <v>2.1112615159999999</v>
      </c>
      <c r="AD280" s="3">
        <v>3.5862370339999998</v>
      </c>
      <c r="AE280" s="3">
        <v>2.9010111080000001</v>
      </c>
      <c r="AF280" s="3">
        <v>1.458948957</v>
      </c>
      <c r="AH280" s="3">
        <v>1.180864801</v>
      </c>
      <c r="AI280" s="3">
        <v>3.3778185399999998</v>
      </c>
      <c r="AJ280" s="3">
        <v>2.0041770460000001</v>
      </c>
      <c r="AK280" s="3">
        <v>2.0344220279999998</v>
      </c>
      <c r="AN280" s="3">
        <v>1.8507419810000001</v>
      </c>
      <c r="AO280" s="3">
        <v>8.5953099999999996</v>
      </c>
      <c r="AP280" s="3">
        <v>0.40827237799999999</v>
      </c>
      <c r="AQ280" s="3">
        <v>1.1730491270000001</v>
      </c>
      <c r="AR280" s="3">
        <v>6.9</v>
      </c>
      <c r="AS280" s="3">
        <v>4.3261893249999996</v>
      </c>
      <c r="AT280" s="3">
        <v>-1.8225822780000001</v>
      </c>
      <c r="AU280" s="88">
        <v>-1.5401524010000001</v>
      </c>
    </row>
    <row r="281" spans="1:47" x14ac:dyDescent="0.2">
      <c r="A281" s="88" t="s">
        <v>328</v>
      </c>
      <c r="B281" s="4">
        <v>42826</v>
      </c>
      <c r="C281" s="3">
        <v>2.1217031589999999</v>
      </c>
      <c r="E281" s="3">
        <v>1.9048981730000001</v>
      </c>
      <c r="F281" s="3">
        <v>2.1977790920000002</v>
      </c>
      <c r="H281" s="3">
        <v>3.570373762</v>
      </c>
      <c r="I281" s="3">
        <v>2.306102514</v>
      </c>
      <c r="J281" s="3">
        <v>3.6226212389999999</v>
      </c>
      <c r="K281" s="3">
        <v>2.5887791710000001</v>
      </c>
      <c r="M281" s="3">
        <v>2.78921405</v>
      </c>
      <c r="N281" s="3">
        <v>1.3876680100000001</v>
      </c>
      <c r="O281" s="3">
        <v>1.8636631189999999</v>
      </c>
      <c r="P281" s="3">
        <v>0.439302211</v>
      </c>
      <c r="Q281" s="3">
        <v>4.2310685760000002</v>
      </c>
      <c r="R281" s="3">
        <v>7.1710609070000002</v>
      </c>
      <c r="S281" s="3">
        <v>8.0602982529999991</v>
      </c>
      <c r="T281" s="3">
        <v>4.8862587929999997</v>
      </c>
      <c r="U281" s="3">
        <v>1.5857112250000001</v>
      </c>
      <c r="V281" s="3">
        <v>1.0127659840000001</v>
      </c>
      <c r="W281" s="3">
        <v>3.2421475380000002</v>
      </c>
      <c r="X281" s="3">
        <v>2.97688474</v>
      </c>
      <c r="Y281" s="3">
        <v>2.049676029</v>
      </c>
      <c r="Z281" s="3">
        <v>3.004126914</v>
      </c>
      <c r="AA281" s="3">
        <v>2.7328280440000001</v>
      </c>
      <c r="AB281" s="3">
        <v>1.499134599</v>
      </c>
      <c r="AC281" s="3">
        <v>2.204607711</v>
      </c>
      <c r="AD281" s="3">
        <v>4.8766142270000001</v>
      </c>
      <c r="AE281" s="3">
        <v>3.6220976340000002</v>
      </c>
      <c r="AF281" s="3">
        <v>2.151068472</v>
      </c>
      <c r="AH281" s="3">
        <v>1.68766726</v>
      </c>
      <c r="AI281" s="3">
        <v>3.2208905790000002</v>
      </c>
      <c r="AJ281" s="3">
        <v>1.8852788700000001</v>
      </c>
      <c r="AK281" s="3">
        <v>2.1897400469999999</v>
      </c>
      <c r="AN281" s="3">
        <v>1.563070041</v>
      </c>
      <c r="AO281" s="3">
        <v>6.37601</v>
      </c>
      <c r="AP281" s="3">
        <v>0.64192753000000002</v>
      </c>
      <c r="AQ281" s="3">
        <v>1.184907997</v>
      </c>
      <c r="AR281" s="3">
        <v>7</v>
      </c>
      <c r="AS281" s="3">
        <v>5.3733098119999996</v>
      </c>
      <c r="AT281" s="3">
        <v>0.87738811299999997</v>
      </c>
      <c r="AU281" s="88">
        <v>0.24223787399999999</v>
      </c>
    </row>
    <row r="282" spans="1:47" x14ac:dyDescent="0.2">
      <c r="A282" s="88" t="s">
        <v>329</v>
      </c>
      <c r="B282" s="4">
        <v>42917</v>
      </c>
      <c r="C282" s="3">
        <v>2.0795723119999998</v>
      </c>
      <c r="E282" s="3">
        <v>1.5947102289999999</v>
      </c>
      <c r="F282" s="3">
        <v>3.75347556</v>
      </c>
      <c r="H282" s="3">
        <v>6.1313612270000002</v>
      </c>
      <c r="I282" s="3">
        <v>2.6793629550000002</v>
      </c>
      <c r="J282" s="3">
        <v>3.3825010080000002</v>
      </c>
      <c r="K282" s="3">
        <v>3.2572936229999998</v>
      </c>
      <c r="M282" s="3">
        <v>3.6440395510000001</v>
      </c>
      <c r="N282" s="3">
        <v>2.3867058999999999</v>
      </c>
      <c r="O282" s="3">
        <v>1.7016388010000001</v>
      </c>
      <c r="P282" s="3">
        <v>1.6097923700000001</v>
      </c>
      <c r="Q282" s="3">
        <v>4.059829852</v>
      </c>
      <c r="R282" s="3">
        <v>9.0433695350000001</v>
      </c>
      <c r="S282" s="3">
        <v>4.5755985529999998</v>
      </c>
      <c r="T282" s="3">
        <v>3.977461693</v>
      </c>
      <c r="U282" s="3">
        <v>1.779629626</v>
      </c>
      <c r="V282" s="3">
        <v>1.494276382</v>
      </c>
      <c r="W282" s="3">
        <v>2.757337588</v>
      </c>
      <c r="X282" s="3">
        <v>1.11134972</v>
      </c>
      <c r="Y282" s="3">
        <v>3.622298426</v>
      </c>
      <c r="Z282" s="3">
        <v>2.9547294970000002</v>
      </c>
      <c r="AA282" s="3">
        <v>3.3926725879999999</v>
      </c>
      <c r="AB282" s="3">
        <v>2.9374727389999999</v>
      </c>
      <c r="AC282" s="3">
        <v>2.5744592910000001</v>
      </c>
      <c r="AD282" s="3">
        <v>4.4169330010000003</v>
      </c>
      <c r="AE282" s="3">
        <v>3.8345971639999998</v>
      </c>
      <c r="AF282" s="3">
        <v>2.8344873270000002</v>
      </c>
      <c r="AH282" s="3">
        <v>2.9499266290000001</v>
      </c>
      <c r="AI282" s="3">
        <v>3.425818574</v>
      </c>
      <c r="AJ282" s="3">
        <v>2.1467165829999999</v>
      </c>
      <c r="AK282" s="3">
        <v>2.7479201789999999</v>
      </c>
      <c r="AN282" s="3">
        <v>1.381013968</v>
      </c>
      <c r="AO282" s="3">
        <v>6.6504399999999997</v>
      </c>
      <c r="AP282" s="3">
        <v>1.0934649860000001</v>
      </c>
      <c r="AQ282" s="3">
        <v>1.828812514</v>
      </c>
      <c r="AR282" s="3">
        <v>7</v>
      </c>
      <c r="AS282" s="3">
        <v>6.2557580340000003</v>
      </c>
      <c r="AT282" s="3">
        <v>1.0322037740000001</v>
      </c>
      <c r="AU282" s="88">
        <v>2.9042986129999999</v>
      </c>
    </row>
    <row r="283" spans="1:47" x14ac:dyDescent="0.2">
      <c r="A283" s="88" t="s">
        <v>330</v>
      </c>
      <c r="B283" s="4">
        <v>43009</v>
      </c>
      <c r="C283" s="3">
        <v>3.0183552749999998</v>
      </c>
      <c r="E283" s="3">
        <v>1.359899996</v>
      </c>
      <c r="F283" s="3">
        <v>3.12771636</v>
      </c>
      <c r="H283" s="3">
        <v>5.8793927559999997</v>
      </c>
      <c r="I283" s="3">
        <v>3.2277027129999998</v>
      </c>
      <c r="J283" s="3">
        <v>2.1368106280000001</v>
      </c>
      <c r="K283" s="3">
        <v>2.9402268669999998</v>
      </c>
      <c r="M283" s="3">
        <v>2.891094185</v>
      </c>
      <c r="N283" s="3">
        <v>2.8365459099999999</v>
      </c>
      <c r="O283" s="3">
        <v>1.8211726450000001</v>
      </c>
      <c r="P283" s="3">
        <v>1.931374454</v>
      </c>
      <c r="Q283" s="3">
        <v>4.4369410609999997</v>
      </c>
      <c r="R283" s="3">
        <v>13.670770292</v>
      </c>
      <c r="S283" s="3">
        <v>2.3681202579999998</v>
      </c>
      <c r="T283" s="3">
        <v>4.2468950699999999</v>
      </c>
      <c r="U283" s="3">
        <v>1.657976095</v>
      </c>
      <c r="V283" s="3">
        <v>2.1019201970000001</v>
      </c>
      <c r="W283" s="3">
        <v>3.7676756810000001</v>
      </c>
      <c r="X283" s="3">
        <v>1.7608399720000001</v>
      </c>
      <c r="Y283" s="3">
        <v>3.9548093940000002</v>
      </c>
      <c r="Z283" s="3">
        <v>1.579478618</v>
      </c>
      <c r="AA283" s="3">
        <v>2.9939201870000001</v>
      </c>
      <c r="AB283" s="3">
        <v>4.5926604009999998</v>
      </c>
      <c r="AC283" s="3">
        <v>2.9270809729999998</v>
      </c>
      <c r="AD283" s="3">
        <v>5.3421978750000001</v>
      </c>
      <c r="AE283" s="3">
        <v>3.3428961410000002</v>
      </c>
      <c r="AF283" s="3">
        <v>3.2350127620000002</v>
      </c>
      <c r="AH283" s="3">
        <v>3.6801560389999999</v>
      </c>
      <c r="AI283" s="3">
        <v>3.4675164189999998</v>
      </c>
      <c r="AJ283" s="3">
        <v>2.2665646380000002</v>
      </c>
      <c r="AK283" s="3">
        <v>3.0024803100000002</v>
      </c>
      <c r="AN283" s="3">
        <v>1.4636064150000001</v>
      </c>
      <c r="AO283" s="3">
        <v>5.99404</v>
      </c>
      <c r="AP283" s="3">
        <v>1.2917122889999999</v>
      </c>
      <c r="AQ283" s="3">
        <v>2.4174711840000001</v>
      </c>
      <c r="AR283" s="3">
        <v>6.9</v>
      </c>
      <c r="AS283" s="3">
        <v>11.051091386</v>
      </c>
      <c r="AT283" s="3">
        <v>1.9956797740000001</v>
      </c>
      <c r="AU283" s="88">
        <v>3.8419908550000001</v>
      </c>
    </row>
    <row r="284" spans="1:47" x14ac:dyDescent="0.2">
      <c r="A284" s="88" t="s">
        <v>331</v>
      </c>
      <c r="B284" s="4">
        <v>43101</v>
      </c>
      <c r="C284" s="3">
        <v>2.451902665</v>
      </c>
      <c r="E284" s="3">
        <v>1.629011287</v>
      </c>
      <c r="F284" s="3">
        <v>3.0831140669999999</v>
      </c>
      <c r="H284" s="3">
        <v>5.8948496209999997</v>
      </c>
      <c r="I284" s="3">
        <v>3.7344002230000002</v>
      </c>
      <c r="J284" s="3">
        <v>2.171760752</v>
      </c>
      <c r="K284" s="3">
        <v>3.1051708809999998</v>
      </c>
      <c r="M284" s="3">
        <v>3.449912383</v>
      </c>
      <c r="N284" s="3">
        <v>3.1525944940000001</v>
      </c>
      <c r="O284" s="3">
        <v>1.5765524829999999</v>
      </c>
      <c r="P284" s="3">
        <v>1.1272716840000001</v>
      </c>
      <c r="Q284" s="3">
        <v>5.01843167</v>
      </c>
      <c r="R284" s="3">
        <v>6.9762301539999996</v>
      </c>
      <c r="S284" s="3">
        <v>2.1646903819999999</v>
      </c>
      <c r="T284" s="3">
        <v>4.589956344</v>
      </c>
      <c r="U284" s="3">
        <v>1.9417765890000001</v>
      </c>
      <c r="V284" s="3">
        <v>2.2165550569999999</v>
      </c>
      <c r="W284" s="3">
        <v>2.8724935880000002</v>
      </c>
      <c r="X284" s="3">
        <v>1.4194750810000001</v>
      </c>
      <c r="Y284" s="3">
        <v>3.2757921579999998</v>
      </c>
      <c r="Z284" s="3">
        <v>1.7849750740000001</v>
      </c>
      <c r="AA284" s="3">
        <v>2.9370418329999999</v>
      </c>
      <c r="AB284" s="3">
        <v>1.95791867</v>
      </c>
      <c r="AC284" s="3">
        <v>2.9278805750000001</v>
      </c>
      <c r="AD284" s="3">
        <v>4.7889339370000004</v>
      </c>
      <c r="AE284" s="3">
        <v>3.2338227869999998</v>
      </c>
      <c r="AF284" s="3">
        <v>3.7266249349999998</v>
      </c>
      <c r="AH284" s="3">
        <v>2.9473191409999999</v>
      </c>
      <c r="AI284" s="3">
        <v>3.9593931480000002</v>
      </c>
      <c r="AJ284" s="3">
        <v>2.7178855820000001</v>
      </c>
      <c r="AK284" s="3">
        <v>3.1145025479999999</v>
      </c>
      <c r="AN284" s="3">
        <v>2.2143853610000002</v>
      </c>
      <c r="AO284" s="3">
        <v>6.5323900000000004</v>
      </c>
      <c r="AP284" s="3">
        <v>1.603878997</v>
      </c>
      <c r="AQ284" s="3">
        <v>1.600592735</v>
      </c>
      <c r="AR284" s="3">
        <v>6.8</v>
      </c>
      <c r="AS284" s="3">
        <v>7.2337548180000004</v>
      </c>
      <c r="AT284" s="3">
        <v>2.5908383430000002</v>
      </c>
      <c r="AU284" s="88">
        <v>4.3091224769999998</v>
      </c>
    </row>
    <row r="285" spans="1:47" x14ac:dyDescent="0.2">
      <c r="A285" s="88" t="s">
        <v>332</v>
      </c>
      <c r="B285" s="4">
        <v>43191</v>
      </c>
      <c r="C285" s="3">
        <v>3.0771943180000001</v>
      </c>
      <c r="E285" s="3">
        <v>1.386288752</v>
      </c>
      <c r="F285" s="3">
        <v>2.6448003739999999</v>
      </c>
      <c r="H285" s="3">
        <v>4.8044975550000002</v>
      </c>
      <c r="I285" s="3">
        <v>2.0421842520000002</v>
      </c>
      <c r="J285" s="3">
        <v>2.0272795459999999</v>
      </c>
      <c r="K285" s="3">
        <v>2.679684843</v>
      </c>
      <c r="M285" s="3">
        <v>2.3220149389999998</v>
      </c>
      <c r="N285" s="3">
        <v>2.3518767349999998</v>
      </c>
      <c r="O285" s="3">
        <v>1.144880731</v>
      </c>
      <c r="P285" s="3">
        <v>2.0472260919999998</v>
      </c>
      <c r="Q285" s="3">
        <v>5.4328563110000001</v>
      </c>
      <c r="R285" s="3">
        <v>12.77311621</v>
      </c>
      <c r="S285" s="3">
        <v>7.0056174139999996</v>
      </c>
      <c r="T285" s="3">
        <v>5.6433009609999996</v>
      </c>
      <c r="U285" s="3">
        <v>1.394061274</v>
      </c>
      <c r="V285" s="3">
        <v>1.4394703200000001</v>
      </c>
      <c r="W285" s="3">
        <v>3.0620915960000001</v>
      </c>
      <c r="X285" s="3">
        <v>4.6714342789999996</v>
      </c>
      <c r="Y285" s="3">
        <v>2.9821766709999999</v>
      </c>
      <c r="Z285" s="3">
        <v>2.4960129360000001</v>
      </c>
      <c r="AA285" s="3">
        <v>2.8157852760000002</v>
      </c>
      <c r="AB285" s="3">
        <v>1.7359911779999999</v>
      </c>
      <c r="AC285" s="3">
        <v>2.8411046390000001</v>
      </c>
      <c r="AD285" s="3">
        <v>5.1266374780000001</v>
      </c>
      <c r="AE285" s="3">
        <v>2.7813323579999998</v>
      </c>
      <c r="AF285" s="3">
        <v>3.6148843259999999</v>
      </c>
      <c r="AH285" s="3">
        <v>2.7619241329999999</v>
      </c>
      <c r="AI285" s="3">
        <v>3.5809681850000001</v>
      </c>
      <c r="AJ285" s="3">
        <v>3.0153118829999999</v>
      </c>
      <c r="AK285" s="3">
        <v>2.4770709320000002</v>
      </c>
      <c r="AN285" s="3">
        <v>3.135769877</v>
      </c>
      <c r="AO285" s="3">
        <v>7.9792399999999999</v>
      </c>
      <c r="AP285" s="3">
        <v>1.570386415</v>
      </c>
      <c r="AQ285" s="3">
        <v>2.7711361760000002</v>
      </c>
      <c r="AR285" s="3">
        <v>6.9</v>
      </c>
      <c r="AS285" s="3">
        <v>7.3634451470000002</v>
      </c>
      <c r="AT285" s="3">
        <v>2.0125578260000001</v>
      </c>
      <c r="AU285" s="88">
        <v>3.0072871239999999</v>
      </c>
    </row>
    <row r="286" spans="1:47" x14ac:dyDescent="0.2">
      <c r="A286" s="88" t="s">
        <v>333</v>
      </c>
      <c r="B286" s="4">
        <v>43282</v>
      </c>
      <c r="C286" s="3">
        <v>3.2473995599999999</v>
      </c>
      <c r="E286" s="3">
        <v>1.6154334589999999</v>
      </c>
      <c r="F286" s="3">
        <v>2.2628050860000002</v>
      </c>
      <c r="H286" s="3">
        <v>2.6817571459999998</v>
      </c>
      <c r="I286" s="3">
        <v>1.816096978</v>
      </c>
      <c r="J286" s="3">
        <v>1.4065674850000001</v>
      </c>
      <c r="K286" s="3">
        <v>2.1843443640000002</v>
      </c>
      <c r="M286" s="3">
        <v>1.2952442209999999</v>
      </c>
      <c r="N286" s="3">
        <v>1.8756310679999999</v>
      </c>
      <c r="O286" s="3">
        <v>1.235354098</v>
      </c>
      <c r="P286" s="3">
        <v>1.4365979499999999</v>
      </c>
      <c r="Q286" s="3">
        <v>5.2996922489999996</v>
      </c>
      <c r="R286" s="3">
        <v>12.477822402999999</v>
      </c>
      <c r="S286" s="3">
        <v>5.2994663409999996</v>
      </c>
      <c r="T286" s="3">
        <v>4.4440611759999999</v>
      </c>
      <c r="U286" s="3">
        <v>0.970375141</v>
      </c>
      <c r="V286" s="3">
        <v>1.233726423</v>
      </c>
      <c r="W286" s="3">
        <v>3.0235219390000001</v>
      </c>
      <c r="X286" s="3">
        <v>3.45409129</v>
      </c>
      <c r="Y286" s="3">
        <v>3.9100368429999999</v>
      </c>
      <c r="Z286" s="3">
        <v>2.1783193860000001</v>
      </c>
      <c r="AA286" s="3">
        <v>2.5578644650000002</v>
      </c>
      <c r="AB286" s="3">
        <v>1.1480427230000001</v>
      </c>
      <c r="AC286" s="3">
        <v>2.7222987980000002</v>
      </c>
      <c r="AD286" s="3">
        <v>5.5583167470000001</v>
      </c>
      <c r="AE286" s="3">
        <v>3.0618326900000001</v>
      </c>
      <c r="AF286" s="3">
        <v>3.7635971100000001</v>
      </c>
      <c r="AH286" s="3">
        <v>2.4219215260000002</v>
      </c>
      <c r="AI286" s="3">
        <v>3.6739123610000002</v>
      </c>
      <c r="AJ286" s="3">
        <v>3.2961522830000001</v>
      </c>
      <c r="AK286" s="3">
        <v>2.1596333570000001</v>
      </c>
      <c r="AN286" s="3">
        <v>3.7587097109999998</v>
      </c>
      <c r="AO286" s="3">
        <v>7.2152099999999999</v>
      </c>
      <c r="AP286" s="3">
        <v>0.88400945399999997</v>
      </c>
      <c r="AQ286" s="3">
        <v>2.6359803419999999</v>
      </c>
      <c r="AR286" s="3">
        <v>6.9</v>
      </c>
      <c r="AS286" s="3">
        <v>5.5035136979999999</v>
      </c>
      <c r="AT286" s="3">
        <v>1.442515663</v>
      </c>
      <c r="AU286" s="88">
        <v>-2.824371588</v>
      </c>
    </row>
    <row r="287" spans="1:47" x14ac:dyDescent="0.2">
      <c r="A287" s="88" t="s">
        <v>334</v>
      </c>
      <c r="B287" s="4">
        <v>43374</v>
      </c>
      <c r="C287" s="3">
        <v>2.7025256400000002</v>
      </c>
      <c r="E287" s="3">
        <v>2.0236938489999998</v>
      </c>
      <c r="F287" s="3">
        <v>2.5300520660000001</v>
      </c>
      <c r="H287" s="3">
        <v>2.7294056680000001</v>
      </c>
      <c r="I287" s="3">
        <v>0.50217442300000004</v>
      </c>
      <c r="J287" s="3">
        <v>2.392719949</v>
      </c>
      <c r="K287" s="3">
        <v>2.123714933</v>
      </c>
      <c r="M287" s="3">
        <v>0.81857816500000002</v>
      </c>
      <c r="N287" s="3">
        <v>1.660619617</v>
      </c>
      <c r="O287" s="3">
        <v>1.409817007</v>
      </c>
      <c r="P287" s="3">
        <v>0.70751309500000004</v>
      </c>
      <c r="Q287" s="3">
        <v>5.6539767269999999</v>
      </c>
      <c r="R287" s="3">
        <v>8.1199031730000009</v>
      </c>
      <c r="S287" s="3">
        <v>4.6016573200000002</v>
      </c>
      <c r="T287" s="3">
        <v>3.7625963570000001</v>
      </c>
      <c r="U287" s="3">
        <v>0.62868505399999997</v>
      </c>
      <c r="V287" s="3">
        <v>-0.23653178799999999</v>
      </c>
      <c r="W287" s="3">
        <v>2.2176325270000001</v>
      </c>
      <c r="X287" s="3">
        <v>2.5378934580000001</v>
      </c>
      <c r="Y287" s="3">
        <v>4.7703649349999999</v>
      </c>
      <c r="Z287" s="3">
        <v>2.8140875379999999</v>
      </c>
      <c r="AA287" s="3">
        <v>2.109475019</v>
      </c>
      <c r="AB287" s="3">
        <v>1.1012545869999999</v>
      </c>
      <c r="AC287" s="3">
        <v>2.198549672</v>
      </c>
      <c r="AD287" s="3">
        <v>5.865428885</v>
      </c>
      <c r="AE287" s="3">
        <v>2.8885880319999999</v>
      </c>
      <c r="AF287" s="3">
        <v>3.9240679690000002</v>
      </c>
      <c r="AH287" s="3">
        <v>0.89516690300000001</v>
      </c>
      <c r="AI287" s="3">
        <v>3.0944582440000001</v>
      </c>
      <c r="AJ287" s="3">
        <v>3.0528859119999998</v>
      </c>
      <c r="AK287" s="3">
        <v>1.5314291499999999</v>
      </c>
      <c r="AN287" s="3">
        <v>2.8892656269999999</v>
      </c>
      <c r="AO287" s="3">
        <v>6.9488399999999997</v>
      </c>
      <c r="AP287" s="3">
        <v>1.8027347499999999</v>
      </c>
      <c r="AQ287" s="3">
        <v>2.1892958509999998</v>
      </c>
      <c r="AR287" s="3">
        <v>6.7</v>
      </c>
      <c r="AS287" s="3">
        <v>2.2750231799999998</v>
      </c>
      <c r="AT287" s="3">
        <v>2.008459803</v>
      </c>
      <c r="AU287" s="88">
        <v>-4.0986248520000004</v>
      </c>
    </row>
    <row r="288" spans="1:47" x14ac:dyDescent="0.2">
      <c r="A288" s="88" t="s">
        <v>335</v>
      </c>
      <c r="B288" s="4">
        <v>43466</v>
      </c>
      <c r="C288" s="3">
        <v>2.3742910990000001</v>
      </c>
      <c r="E288" s="3">
        <v>2.1220577189999998</v>
      </c>
      <c r="F288" s="3">
        <v>2.283662955</v>
      </c>
      <c r="H288" s="3">
        <v>2.558305925</v>
      </c>
      <c r="I288" s="3">
        <v>8.4593111999999998E-2</v>
      </c>
      <c r="J288" s="3">
        <v>2.1329458849999998</v>
      </c>
      <c r="K288" s="3">
        <v>2.1738904570000002</v>
      </c>
      <c r="M288" s="3">
        <v>0.153509546</v>
      </c>
      <c r="N288" s="3">
        <v>1.485319941</v>
      </c>
      <c r="O288" s="3">
        <v>1.2195878790000001</v>
      </c>
      <c r="P288" s="3">
        <v>1.6308242959999999</v>
      </c>
      <c r="Q288" s="3">
        <v>5.3427258850000001</v>
      </c>
      <c r="R288" s="3">
        <v>3.9370201740000002</v>
      </c>
      <c r="S288" s="3">
        <v>2.7903948609999998</v>
      </c>
      <c r="T288" s="3">
        <v>3.0533708580000001</v>
      </c>
      <c r="U288" s="3">
        <v>0.28300545599999999</v>
      </c>
      <c r="V288" s="3">
        <v>-0.20421679600000001</v>
      </c>
      <c r="W288" s="3">
        <v>3.3324700969999999</v>
      </c>
      <c r="X288" s="3">
        <v>1.9035326450000001</v>
      </c>
      <c r="Y288" s="3">
        <v>5.1288647730000001</v>
      </c>
      <c r="Z288" s="3">
        <v>1.228718851</v>
      </c>
      <c r="AA288" s="3">
        <v>1.8071992530000001</v>
      </c>
      <c r="AB288" s="3">
        <v>1.4635544789999999</v>
      </c>
      <c r="AC288" s="3">
        <v>1.611247093</v>
      </c>
      <c r="AD288" s="3">
        <v>4.9290773569999997</v>
      </c>
      <c r="AE288" s="3">
        <v>2.6677071969999999</v>
      </c>
      <c r="AF288" s="3">
        <v>3.3020824150000001</v>
      </c>
      <c r="AH288" s="3">
        <v>2.104721885</v>
      </c>
      <c r="AI288" s="3">
        <v>3.3595424880000002</v>
      </c>
      <c r="AJ288" s="3">
        <v>2.3206170949999998</v>
      </c>
      <c r="AK288" s="3">
        <v>1.1881211780000001</v>
      </c>
      <c r="AN288" s="3">
        <v>1.9990070129999999</v>
      </c>
      <c r="AO288" s="3">
        <v>6.61172</v>
      </c>
      <c r="AP288" s="3">
        <v>1.692026805</v>
      </c>
      <c r="AQ288" s="3">
        <v>2.8460631109999999</v>
      </c>
      <c r="AR288" s="3">
        <v>6.5</v>
      </c>
      <c r="AS288" s="3">
        <v>-2.61596129</v>
      </c>
      <c r="AT288" s="3">
        <v>1.2263212400000001</v>
      </c>
      <c r="AU288" s="88">
        <v>-6.3894602279999999</v>
      </c>
    </row>
    <row r="289" spans="1:47" x14ac:dyDescent="0.2">
      <c r="A289" s="88" t="s">
        <v>336</v>
      </c>
      <c r="B289" s="4">
        <v>43556</v>
      </c>
      <c r="C289" s="3">
        <v>1.930493877</v>
      </c>
      <c r="E289" s="3">
        <v>1.8917396799999999</v>
      </c>
      <c r="F289" s="3">
        <v>1.705611829</v>
      </c>
      <c r="H289" s="3">
        <v>2.967140332</v>
      </c>
      <c r="I289" s="3">
        <v>1.578883507</v>
      </c>
      <c r="J289" s="3">
        <v>2.3475508719999998</v>
      </c>
      <c r="K289" s="3">
        <v>2.401358009</v>
      </c>
      <c r="M289" s="3">
        <v>0.81462803900000003</v>
      </c>
      <c r="N289" s="3">
        <v>2.123322098</v>
      </c>
      <c r="O289" s="3">
        <v>1.708500594</v>
      </c>
      <c r="P289" s="3">
        <v>1.835358679</v>
      </c>
      <c r="Q289" s="3">
        <v>5.2336823199999998</v>
      </c>
      <c r="R289" s="3">
        <v>5.1840661849999998</v>
      </c>
      <c r="S289" s="3">
        <v>3.9397183660000001</v>
      </c>
      <c r="T289" s="3">
        <v>3.3173171529999999</v>
      </c>
      <c r="U289" s="3">
        <v>0.31768957399999997</v>
      </c>
      <c r="V289" s="3">
        <v>0.110608733</v>
      </c>
      <c r="W289" s="3">
        <v>1.955154074</v>
      </c>
      <c r="X289" s="3">
        <v>0.33401150200000002</v>
      </c>
      <c r="Y289" s="3">
        <v>3.6037229609999999</v>
      </c>
      <c r="Z289" s="3">
        <v>0.25746643200000002</v>
      </c>
      <c r="AA289" s="3">
        <v>2.0221611500000001</v>
      </c>
      <c r="AB289" s="3">
        <v>0.85126686200000001</v>
      </c>
      <c r="AC289" s="3">
        <v>1.6685611979999999</v>
      </c>
      <c r="AD289" s="3">
        <v>5.5516952149999996</v>
      </c>
      <c r="AE289" s="3">
        <v>2.824818654</v>
      </c>
      <c r="AF289" s="3">
        <v>3.4370824259999999</v>
      </c>
      <c r="AH289" s="3">
        <v>2.351940946</v>
      </c>
      <c r="AI289" s="3">
        <v>2.9489543770000002</v>
      </c>
      <c r="AJ289" s="3">
        <v>2.1530015140000001</v>
      </c>
      <c r="AK289" s="3">
        <v>1.7965890200000001</v>
      </c>
      <c r="AN289" s="3">
        <v>1.182003181</v>
      </c>
      <c r="AO289" s="3">
        <v>5.4116999999999997</v>
      </c>
      <c r="AP289" s="3">
        <v>0.25890409599999997</v>
      </c>
      <c r="AQ289" s="3">
        <v>1.431857369</v>
      </c>
      <c r="AR289" s="3">
        <v>6.3</v>
      </c>
      <c r="AS289" s="3">
        <v>-2.3334229209999999</v>
      </c>
      <c r="AT289" s="3">
        <v>1.3940211600000001</v>
      </c>
      <c r="AU289" s="88">
        <v>-6.0528054490000001</v>
      </c>
    </row>
    <row r="290" spans="1:47" x14ac:dyDescent="0.2">
      <c r="A290" s="88" t="s">
        <v>337</v>
      </c>
      <c r="B290" s="4">
        <v>43647</v>
      </c>
      <c r="C290" s="3">
        <v>1.6497929229999999</v>
      </c>
      <c r="E290" s="3">
        <v>1.742294757</v>
      </c>
      <c r="F290" s="3">
        <v>2.1321025360000001</v>
      </c>
      <c r="H290" s="3">
        <v>3.0195256069999998</v>
      </c>
      <c r="I290" s="3">
        <v>0.51867434899999998</v>
      </c>
      <c r="J290" s="3">
        <v>2.3253510830000002</v>
      </c>
      <c r="K290" s="3">
        <v>2.1767540780000001</v>
      </c>
      <c r="M290" s="3">
        <v>1.668459761</v>
      </c>
      <c r="N290" s="3">
        <v>2.2835999660000001</v>
      </c>
      <c r="O290" s="3">
        <v>1.4610401770000001</v>
      </c>
      <c r="P290" s="3">
        <v>2.2572106509999998</v>
      </c>
      <c r="Q290" s="3">
        <v>4.8693018720000003</v>
      </c>
      <c r="R290" s="3">
        <v>4.444061306</v>
      </c>
      <c r="S290" s="3">
        <v>1.5595753809999999</v>
      </c>
      <c r="T290" s="3">
        <v>3.4020185289999998</v>
      </c>
      <c r="U290" s="3">
        <v>0.40879676300000001</v>
      </c>
      <c r="V290" s="3">
        <v>0.26926245199999999</v>
      </c>
      <c r="W290" s="3">
        <v>2.3729841270000001</v>
      </c>
      <c r="X290" s="3">
        <v>3.1488901330000001</v>
      </c>
      <c r="Y290" s="3">
        <v>2.4653110599999999</v>
      </c>
      <c r="Z290" s="3">
        <v>3.6305852E-2</v>
      </c>
      <c r="AA290" s="3">
        <v>1.810296957</v>
      </c>
      <c r="AB290" s="3">
        <v>0.801456744</v>
      </c>
      <c r="AC290" s="3">
        <v>1.630700547</v>
      </c>
      <c r="AD290" s="3">
        <v>4.8759879809999997</v>
      </c>
      <c r="AE290" s="3">
        <v>2.6055713659999999</v>
      </c>
      <c r="AF290" s="3">
        <v>2.7019162049999998</v>
      </c>
      <c r="AH290" s="3">
        <v>1.6433966659999999</v>
      </c>
      <c r="AI290" s="3">
        <v>2.2226160689999999</v>
      </c>
      <c r="AJ290" s="3">
        <v>2.1114788359999999</v>
      </c>
      <c r="AK290" s="3">
        <v>1.4744851489999999</v>
      </c>
      <c r="AN290" s="3">
        <v>0.65615650400000003</v>
      </c>
      <c r="AO290" s="3">
        <v>5.4643199999999998</v>
      </c>
      <c r="AP290" s="3">
        <v>0.88356024200000005</v>
      </c>
      <c r="AQ290" s="3">
        <v>3.150957043</v>
      </c>
      <c r="AR290" s="3">
        <v>6</v>
      </c>
      <c r="AS290" s="3">
        <v>-0.51483434100000003</v>
      </c>
      <c r="AT290" s="3">
        <v>1.7713994710000001</v>
      </c>
      <c r="AU290" s="88">
        <v>-1.004575043</v>
      </c>
    </row>
    <row r="291" spans="1:47" x14ac:dyDescent="0.2">
      <c r="A291" s="88" t="s">
        <v>338</v>
      </c>
      <c r="B291" s="4">
        <v>43739</v>
      </c>
      <c r="C291" s="3">
        <v>1.926025001</v>
      </c>
      <c r="E291" s="3">
        <v>1.9002179530000001</v>
      </c>
      <c r="F291" s="3">
        <v>1.896558628</v>
      </c>
      <c r="H291" s="3">
        <v>2.9550639950000002</v>
      </c>
      <c r="I291" s="3">
        <v>1.359957007</v>
      </c>
      <c r="J291" s="3">
        <v>2.1114973950000002</v>
      </c>
      <c r="K291" s="3">
        <v>2.0358717460000002</v>
      </c>
      <c r="M291" s="3">
        <v>1.7085870620000001</v>
      </c>
      <c r="N291" s="3">
        <v>2.0055583060000002</v>
      </c>
      <c r="O291" s="3">
        <v>1.360998723</v>
      </c>
      <c r="P291" s="3">
        <v>1.566261471</v>
      </c>
      <c r="Q291" s="3">
        <v>4.4289750339999996</v>
      </c>
      <c r="R291" s="3">
        <v>5.6435443420000002</v>
      </c>
      <c r="S291" s="3">
        <v>0.97821943300000003</v>
      </c>
      <c r="T291" s="3">
        <v>3.616733048</v>
      </c>
      <c r="U291" s="3">
        <v>0.526955854</v>
      </c>
      <c r="V291" s="3">
        <v>1.0690094349999999</v>
      </c>
      <c r="W291" s="3">
        <v>2.0850006209999998</v>
      </c>
      <c r="X291" s="3">
        <v>3.0334808629999999</v>
      </c>
      <c r="Y291" s="3">
        <v>1.5271668940000001</v>
      </c>
      <c r="Z291" s="3">
        <v>-0.1248073</v>
      </c>
      <c r="AA291" s="3">
        <v>1.8889308039999999</v>
      </c>
      <c r="AB291" s="3">
        <v>7.4488812000000001E-2</v>
      </c>
      <c r="AC291" s="3">
        <v>1.883917343</v>
      </c>
      <c r="AD291" s="3">
        <v>4.6061561150000001</v>
      </c>
      <c r="AE291" s="3">
        <v>2.5409247979999998</v>
      </c>
      <c r="AF291" s="3">
        <v>1.9670546600000001</v>
      </c>
      <c r="AH291" s="3">
        <v>2.6993165380000002</v>
      </c>
      <c r="AI291" s="3">
        <v>2.7120904530000001</v>
      </c>
      <c r="AJ291" s="3">
        <v>2.3183259980000002</v>
      </c>
      <c r="AK291" s="3">
        <v>1.67984753</v>
      </c>
      <c r="AN291" s="3">
        <v>1.4326688809999999</v>
      </c>
      <c r="AO291" s="3">
        <v>4.5013199999999998</v>
      </c>
      <c r="AP291" s="3">
        <v>-0.22965200699999999</v>
      </c>
      <c r="AQ291" s="3">
        <v>1.896150164</v>
      </c>
      <c r="AR291" s="3">
        <v>5.9</v>
      </c>
      <c r="AS291" s="3">
        <v>1.1442792260000001</v>
      </c>
      <c r="AT291" s="3">
        <v>0.88485577599999998</v>
      </c>
      <c r="AU291" s="88">
        <v>-0.25833235799999998</v>
      </c>
    </row>
    <row r="292" spans="1:47" x14ac:dyDescent="0.2">
      <c r="A292" s="88" t="s">
        <v>581</v>
      </c>
      <c r="B292" s="4">
        <v>43831</v>
      </c>
      <c r="C292" s="3">
        <v>2.1384056170000001</v>
      </c>
      <c r="E292" s="3">
        <v>1.606812157</v>
      </c>
      <c r="F292" s="3">
        <v>1.711588487</v>
      </c>
      <c r="H292" s="3">
        <v>2.8846397640000001</v>
      </c>
      <c r="I292" s="3">
        <v>0.89453405200000002</v>
      </c>
      <c r="J292" s="3">
        <v>1.6802278420000001</v>
      </c>
      <c r="K292" s="3">
        <v>1.7334300490000001</v>
      </c>
      <c r="M292" s="3">
        <v>1.1786261689999999</v>
      </c>
      <c r="N292" s="3">
        <v>0.94829661700000001</v>
      </c>
      <c r="O292" s="3">
        <v>1.2097238690000001</v>
      </c>
      <c r="P292" s="3">
        <v>0.95674453800000003</v>
      </c>
      <c r="Q292" s="3">
        <v>4.0483619060000002</v>
      </c>
      <c r="R292" s="3">
        <v>5.1568334739999999</v>
      </c>
      <c r="S292" s="3">
        <v>3.271694407</v>
      </c>
      <c r="T292" s="3">
        <v>4.0008492579999997</v>
      </c>
      <c r="U292" s="3">
        <v>-0.115731933</v>
      </c>
      <c r="V292" s="3">
        <v>-1.327094958</v>
      </c>
      <c r="W292" s="3">
        <v>2.557298587</v>
      </c>
      <c r="X292" s="3">
        <v>2.6967798200000002</v>
      </c>
      <c r="Y292" s="3">
        <v>0.60521510099999998</v>
      </c>
      <c r="Z292" s="3">
        <v>-0.85929705499999998</v>
      </c>
      <c r="AA292" s="3">
        <v>1.9101793060000001</v>
      </c>
      <c r="AB292" s="3">
        <v>1.7173967670000001</v>
      </c>
      <c r="AC292" s="3">
        <v>1.7088064759999999</v>
      </c>
      <c r="AD292" s="3">
        <v>4.0223702250000004</v>
      </c>
      <c r="AE292" s="3">
        <v>2.7606841809999998</v>
      </c>
      <c r="AF292" s="3">
        <v>1.9634273200000001</v>
      </c>
      <c r="AH292" s="3">
        <v>1.42765414</v>
      </c>
      <c r="AI292" s="3">
        <v>1.843407571</v>
      </c>
      <c r="AJ292" s="3">
        <v>2.5694235349999999</v>
      </c>
      <c r="AK292" s="3">
        <v>1.1216362719999999</v>
      </c>
      <c r="AN292" s="3">
        <v>1.7093228620000001</v>
      </c>
      <c r="AO292" s="3">
        <v>3.3246699999999998</v>
      </c>
      <c r="AP292" s="3">
        <v>-0.44925669400000001</v>
      </c>
      <c r="AQ292" s="3">
        <v>0.76560195099999995</v>
      </c>
      <c r="AR292" s="3">
        <v>5.8</v>
      </c>
      <c r="AS292" s="3">
        <v>5.6839073600000001</v>
      </c>
      <c r="AT292" s="3">
        <v>1.5830488359999999</v>
      </c>
      <c r="AU292" s="88">
        <v>-0.56788552999999997</v>
      </c>
    </row>
    <row r="293" spans="1:47" x14ac:dyDescent="0.2">
      <c r="A293" s="88" t="s">
        <v>582</v>
      </c>
      <c r="B293" s="4">
        <v>43922</v>
      </c>
      <c r="C293" s="3">
        <v>1.3892924820000001</v>
      </c>
      <c r="E293" s="3">
        <v>-1.977129809</v>
      </c>
      <c r="F293" s="3">
        <v>-0.44886224600000002</v>
      </c>
      <c r="H293" s="3">
        <v>-1.462598866</v>
      </c>
      <c r="I293" s="3">
        <v>-1.919182065</v>
      </c>
      <c r="J293" s="3">
        <v>0.22014878700000001</v>
      </c>
      <c r="K293" s="3">
        <v>-4.3265407890000001</v>
      </c>
      <c r="M293" s="3">
        <v>6.1215565999999999E-2</v>
      </c>
      <c r="N293" s="3">
        <v>-5.4158004870000003</v>
      </c>
      <c r="O293" s="3">
        <v>-2.2121416489999999</v>
      </c>
      <c r="P293" s="3">
        <v>-0.43767300799999997</v>
      </c>
      <c r="Q293" s="3">
        <v>1.9546057779999999</v>
      </c>
      <c r="R293" s="3">
        <v>6.8316579229999999</v>
      </c>
      <c r="S293" s="3">
        <v>-3.3744086379999998</v>
      </c>
      <c r="T293" s="3">
        <v>1.310283117</v>
      </c>
      <c r="U293" s="3">
        <v>-5.7992391249999997</v>
      </c>
      <c r="V293" s="3">
        <v>-2.1941908149999998</v>
      </c>
      <c r="W293" s="3">
        <v>1.4661467210000001</v>
      </c>
      <c r="X293" s="3">
        <v>1.1226797260000001</v>
      </c>
      <c r="Y293" s="3">
        <v>-1.1667208630000001</v>
      </c>
      <c r="Z293" s="3">
        <v>-1.9781899949999999</v>
      </c>
      <c r="AA293" s="3">
        <v>-0.37328283000000001</v>
      </c>
      <c r="AB293" s="3">
        <v>0.36919477299999998</v>
      </c>
      <c r="AC293" s="3">
        <v>-0.73540808199999996</v>
      </c>
      <c r="AD293" s="3">
        <v>2.04284387</v>
      </c>
      <c r="AE293" s="3">
        <v>-2.6340061010000002</v>
      </c>
      <c r="AF293" s="3">
        <v>-3.2283700390000001</v>
      </c>
      <c r="AH293" s="3">
        <v>0.11735701699999999</v>
      </c>
      <c r="AI293" s="3">
        <v>0.14453044900000001</v>
      </c>
      <c r="AJ293" s="3">
        <v>0.63078516399999995</v>
      </c>
      <c r="AK293" s="3">
        <v>-3.0395952039999998</v>
      </c>
      <c r="AN293" s="3">
        <v>-0.171995595</v>
      </c>
      <c r="AO293" s="3">
        <v>2.9354900000000002</v>
      </c>
      <c r="AP293" s="3">
        <v>0.66933736300000002</v>
      </c>
      <c r="AQ293" s="3">
        <v>0.60382464400000002</v>
      </c>
      <c r="AR293" s="3">
        <v>-6.8</v>
      </c>
      <c r="AS293" s="3">
        <v>4.2929284550000002</v>
      </c>
      <c r="AT293" s="3">
        <v>-1.4998781379999999</v>
      </c>
      <c r="AU293" s="88">
        <v>-4.8347102260000003</v>
      </c>
    </row>
    <row r="294" spans="1:47" x14ac:dyDescent="0.2">
      <c r="A294" s="88" t="s">
        <v>583</v>
      </c>
      <c r="B294" s="4">
        <v>44013</v>
      </c>
      <c r="C294" s="3">
        <v>-6.204095089</v>
      </c>
      <c r="E294" s="3">
        <v>-13.951660977</v>
      </c>
      <c r="F294" s="3">
        <v>-12.612544486000001</v>
      </c>
      <c r="H294" s="3">
        <v>-10.942126828999999</v>
      </c>
      <c r="I294" s="3">
        <v>-11.286579908</v>
      </c>
      <c r="J294" s="3">
        <v>-6.6464996129999996</v>
      </c>
      <c r="K294" s="3">
        <v>-21.501874910000002</v>
      </c>
      <c r="M294" s="3">
        <v>-7.0535172169999996</v>
      </c>
      <c r="N294" s="3">
        <v>-18.598113721000001</v>
      </c>
      <c r="O294" s="3">
        <v>-21.357741759</v>
      </c>
      <c r="P294" s="3">
        <v>-13.908356806</v>
      </c>
      <c r="Q294" s="3">
        <v>-13.344876679</v>
      </c>
      <c r="R294" s="3">
        <v>0.88009688900000005</v>
      </c>
      <c r="S294" s="3">
        <v>-10.452892330999999</v>
      </c>
      <c r="T294" s="3">
        <v>-8.3789509530000004</v>
      </c>
      <c r="U294" s="3">
        <v>-18.162699088</v>
      </c>
      <c r="V294" s="3">
        <v>-10.135014584</v>
      </c>
      <c r="W294" s="3">
        <v>-2.7480632460000001</v>
      </c>
      <c r="X294" s="3">
        <v>-7.9544954370000003</v>
      </c>
      <c r="Y294" s="3">
        <v>-8.5820189599999992</v>
      </c>
      <c r="Z294" s="3">
        <v>-18.795670002000001</v>
      </c>
      <c r="AA294" s="3">
        <v>-9.0970243909999997</v>
      </c>
      <c r="AB294" s="3">
        <v>-4.3228599360000004</v>
      </c>
      <c r="AC294" s="3">
        <v>-11.595126218000001</v>
      </c>
      <c r="AD294" s="3">
        <v>-7.9558562960000003</v>
      </c>
      <c r="AE294" s="3">
        <v>-17.945345508999999</v>
      </c>
      <c r="AF294" s="3">
        <v>-10.465479029000001</v>
      </c>
      <c r="AH294" s="3">
        <v>-8.1579798780000008</v>
      </c>
      <c r="AI294" s="3">
        <v>-10.171182533</v>
      </c>
      <c r="AJ294" s="3">
        <v>-9.0837374240000006</v>
      </c>
      <c r="AK294" s="3">
        <v>-14.521056601</v>
      </c>
      <c r="AN294" s="3">
        <v>-6.6996346359999999</v>
      </c>
      <c r="AO294" s="3">
        <v>-23.32677</v>
      </c>
      <c r="AP294" s="3">
        <v>-17.245082083</v>
      </c>
      <c r="AQ294" s="3">
        <v>-5.9372376850000004</v>
      </c>
      <c r="AR294" s="3">
        <v>3.2</v>
      </c>
      <c r="AS294" s="3">
        <v>-9.1025785149999994</v>
      </c>
      <c r="AT294" s="3">
        <v>-10.807178541000001</v>
      </c>
      <c r="AU294" s="88">
        <v>-19.910034370000002</v>
      </c>
    </row>
    <row r="295" spans="1:47" x14ac:dyDescent="0.2">
      <c r="A295" s="88" t="s">
        <v>584</v>
      </c>
      <c r="B295" s="4">
        <v>44105</v>
      </c>
      <c r="C295" s="3">
        <v>-3.6456135750000001</v>
      </c>
      <c r="E295" s="3">
        <v>-4.2975384859999997</v>
      </c>
      <c r="F295" s="3">
        <v>-5.092942206</v>
      </c>
      <c r="H295" s="3">
        <v>-5.4469678869999996</v>
      </c>
      <c r="I295" s="3">
        <v>-3.6600779540000001</v>
      </c>
      <c r="J295" s="3">
        <v>-1.3130093430000001</v>
      </c>
      <c r="K295" s="3">
        <v>-8.6615832249999993</v>
      </c>
      <c r="M295" s="3">
        <v>-2.7194002390000001</v>
      </c>
      <c r="N295" s="3">
        <v>-3.6199767889999999</v>
      </c>
      <c r="O295" s="3">
        <v>-8.4845191030000002</v>
      </c>
      <c r="P295" s="3">
        <v>-10.034397475</v>
      </c>
      <c r="Q295" s="3">
        <v>-4.8691468909999998</v>
      </c>
      <c r="R295" s="3">
        <v>11.275944103</v>
      </c>
      <c r="S295" s="3">
        <v>-6.8015484979999998</v>
      </c>
      <c r="T295" s="3">
        <v>-1.275527646</v>
      </c>
      <c r="U295" s="3">
        <v>-5.2337706319999997</v>
      </c>
      <c r="V295" s="3">
        <v>-5.428223579</v>
      </c>
      <c r="W295" s="3">
        <v>-0.97709461500000006</v>
      </c>
      <c r="X295" s="3">
        <v>-0.13560876699999999</v>
      </c>
      <c r="Y295" s="3">
        <v>-2.8247152720000002</v>
      </c>
      <c r="Z295" s="3">
        <v>-8.6504368730000003</v>
      </c>
      <c r="AA295" s="3">
        <v>-2.6290247980000001</v>
      </c>
      <c r="AB295" s="3">
        <v>-0.15825472800000001</v>
      </c>
      <c r="AC295" s="3">
        <v>-3.736330809</v>
      </c>
      <c r="AD295" s="3">
        <v>-2.0527441089999998</v>
      </c>
      <c r="AE295" s="3">
        <v>-6.3388432520000002</v>
      </c>
      <c r="AF295" s="3">
        <v>-2.6751384389999999</v>
      </c>
      <c r="AH295" s="3">
        <v>-1.891505929</v>
      </c>
      <c r="AI295" s="3">
        <v>1.4411465489999999</v>
      </c>
      <c r="AJ295" s="3">
        <v>-2.8875059890000001</v>
      </c>
      <c r="AK295" s="3">
        <v>-3.9909011109999999</v>
      </c>
      <c r="AN295" s="3">
        <v>-1.322868004</v>
      </c>
      <c r="AO295" s="3">
        <v>-7.5368300000000001</v>
      </c>
      <c r="AP295" s="3">
        <v>-5.7301219379999999</v>
      </c>
      <c r="AQ295" s="3">
        <v>-2.7656891180000001</v>
      </c>
      <c r="AR295" s="3">
        <v>4.9000000000000004</v>
      </c>
      <c r="AS295" s="3">
        <v>5.7515175770000004</v>
      </c>
      <c r="AT295" s="3">
        <v>-3.8979420249999999</v>
      </c>
      <c r="AU295" s="88">
        <v>-10.180626563000001</v>
      </c>
    </row>
    <row r="296" spans="1:47" x14ac:dyDescent="0.2">
      <c r="A296" s="88" t="s">
        <v>585</v>
      </c>
      <c r="B296" s="4">
        <v>44197</v>
      </c>
      <c r="C296" s="3">
        <v>-0.92923042300000003</v>
      </c>
      <c r="E296" s="3">
        <v>-4.9193216949999998</v>
      </c>
      <c r="F296" s="3">
        <v>-3.0592972089999999</v>
      </c>
      <c r="H296" s="3">
        <v>-5.3454798539999997</v>
      </c>
      <c r="I296" s="3">
        <v>-2.8716205910000001</v>
      </c>
      <c r="J296" s="3">
        <v>-0.50842277700000005</v>
      </c>
      <c r="K296" s="3">
        <v>-8.8016765729999999</v>
      </c>
      <c r="M296" s="3">
        <v>-1.734285217</v>
      </c>
      <c r="N296" s="3">
        <v>-4.3045437230000001</v>
      </c>
      <c r="O296" s="3">
        <v>-7.3413947750000004</v>
      </c>
      <c r="P296" s="3">
        <v>-6.8469473179999998</v>
      </c>
      <c r="Q296" s="3">
        <v>-4.0870473560000002</v>
      </c>
      <c r="R296" s="3">
        <v>4.444592482</v>
      </c>
      <c r="S296" s="3">
        <v>-5.4272109899999998</v>
      </c>
      <c r="T296" s="3">
        <v>-2.2445908000000001E-2</v>
      </c>
      <c r="U296" s="3">
        <v>-6.5220168679999997</v>
      </c>
      <c r="V296" s="3">
        <v>-0.81415452300000002</v>
      </c>
      <c r="W296" s="3">
        <v>-1.1200573890000001</v>
      </c>
      <c r="X296" s="3">
        <v>1.7307652259999999</v>
      </c>
      <c r="Y296" s="3">
        <v>-1.847614968</v>
      </c>
      <c r="Z296" s="3">
        <v>-4.6089597619999996</v>
      </c>
      <c r="AA296" s="3">
        <v>-3.117371989</v>
      </c>
      <c r="AB296" s="3">
        <v>-1.1015554409999999</v>
      </c>
      <c r="AC296" s="3">
        <v>-2.7628386479999998</v>
      </c>
      <c r="AD296" s="3">
        <v>-2.6338768770000001</v>
      </c>
      <c r="AE296" s="3">
        <v>-6.8493098520000002</v>
      </c>
      <c r="AF296" s="3">
        <v>-2.662680054</v>
      </c>
      <c r="AH296" s="3">
        <v>-1.8316189140000001</v>
      </c>
      <c r="AI296" s="3">
        <v>0.13675821399999999</v>
      </c>
      <c r="AJ296" s="3">
        <v>-2.2629152430000001</v>
      </c>
      <c r="AK296" s="3">
        <v>-4.3848968340000001</v>
      </c>
      <c r="AN296" s="3">
        <v>-1.8345273769999999</v>
      </c>
      <c r="AO296" s="3">
        <v>1.504E-2</v>
      </c>
      <c r="AP296" s="3">
        <v>-3.3887495639999998</v>
      </c>
      <c r="AQ296" s="3">
        <v>-1.2885090539999999</v>
      </c>
      <c r="AR296" s="3">
        <v>6.5</v>
      </c>
      <c r="AS296" s="3">
        <v>5.5823967640000003</v>
      </c>
      <c r="AT296" s="3">
        <v>-1.2459491970000001</v>
      </c>
      <c r="AU296" s="88">
        <v>-4.5798158530000004</v>
      </c>
    </row>
    <row r="297" spans="1:47" x14ac:dyDescent="0.2">
      <c r="A297" s="88" t="s">
        <v>586</v>
      </c>
      <c r="B297" s="4">
        <v>44287</v>
      </c>
      <c r="C297" s="3">
        <v>1.278219011</v>
      </c>
      <c r="E297" s="3">
        <v>-0.53152153800000002</v>
      </c>
      <c r="F297" s="3">
        <v>0.29695326</v>
      </c>
      <c r="H297" s="3">
        <v>-2.4562265829999999</v>
      </c>
      <c r="I297" s="3">
        <v>-3.1078290530000001</v>
      </c>
      <c r="J297" s="3">
        <v>-0.66249338499999999</v>
      </c>
      <c r="K297" s="3">
        <v>-4.2140480010000001</v>
      </c>
      <c r="M297" s="3">
        <v>-1.227058207</v>
      </c>
      <c r="N297" s="3">
        <v>1.5228564929999999</v>
      </c>
      <c r="O297" s="3">
        <v>-6.1384331369999998</v>
      </c>
      <c r="P297" s="3">
        <v>-2.2558716059999999</v>
      </c>
      <c r="Q297" s="3">
        <v>-1.8767916769999999</v>
      </c>
      <c r="R297" s="3">
        <v>10.637347656999999</v>
      </c>
      <c r="S297" s="3">
        <v>-3.8806626130000001</v>
      </c>
      <c r="T297" s="3">
        <v>0.83267171299999998</v>
      </c>
      <c r="U297" s="3">
        <v>-0.70106504000000003</v>
      </c>
      <c r="V297" s="3">
        <v>-1.2855928640000001</v>
      </c>
      <c r="W297" s="3">
        <v>1.8861570860000001</v>
      </c>
      <c r="X297" s="3">
        <v>4.8717183110000004</v>
      </c>
      <c r="Y297" s="3">
        <v>-1.19335882</v>
      </c>
      <c r="Z297" s="3">
        <v>-2.654294873</v>
      </c>
      <c r="AA297" s="3">
        <v>-2.2636515400000001</v>
      </c>
      <c r="AB297" s="3">
        <v>-0.201691759</v>
      </c>
      <c r="AC297" s="3">
        <v>-0.322694131</v>
      </c>
      <c r="AD297" s="3">
        <v>-1.3132623139999999</v>
      </c>
      <c r="AE297" s="3">
        <v>-5.7407427240000004</v>
      </c>
      <c r="AF297" s="3">
        <v>0.29598179499999999</v>
      </c>
      <c r="AH297" s="3">
        <v>-0.243822715</v>
      </c>
      <c r="AI297" s="3">
        <v>2.9404878120000002</v>
      </c>
      <c r="AJ297" s="3">
        <v>0.54697680299999996</v>
      </c>
      <c r="AK297" s="3">
        <v>-1.22764578</v>
      </c>
      <c r="AN297" s="3">
        <v>-0.69753401800000003</v>
      </c>
      <c r="AO297" s="3">
        <v>1.6406099999999999</v>
      </c>
      <c r="AP297" s="3">
        <v>-2.531143782</v>
      </c>
      <c r="AQ297" s="3">
        <v>-0.129119542</v>
      </c>
      <c r="AR297" s="3">
        <v>18.3</v>
      </c>
      <c r="AS297" s="3">
        <v>7.3952408299999997</v>
      </c>
      <c r="AT297" s="3">
        <v>2.3451797289999998</v>
      </c>
      <c r="AU297" s="88">
        <v>2.50688954</v>
      </c>
    </row>
    <row r="298" spans="1:47" x14ac:dyDescent="0.2">
      <c r="A298" s="88" t="s">
        <v>587</v>
      </c>
      <c r="B298" s="4">
        <v>44378</v>
      </c>
      <c r="C298" s="3">
        <v>9.6011143800000003</v>
      </c>
      <c r="E298" s="3">
        <v>14.87860944</v>
      </c>
      <c r="F298" s="3">
        <v>12.722730786</v>
      </c>
      <c r="H298" s="3">
        <v>8.181832065</v>
      </c>
      <c r="I298" s="3">
        <v>9.4115205960000008</v>
      </c>
      <c r="J298" s="3">
        <v>8.5235373449999994</v>
      </c>
      <c r="K298" s="3">
        <v>17.548571404</v>
      </c>
      <c r="M298" s="3">
        <v>7.7623695850000001</v>
      </c>
      <c r="N298" s="3">
        <v>18.652979417000001</v>
      </c>
      <c r="O298" s="3">
        <v>22.164398154000001</v>
      </c>
      <c r="P298" s="3">
        <v>16.195134448000001</v>
      </c>
      <c r="Q298" s="3">
        <v>17.726221471999999</v>
      </c>
      <c r="R298" s="3">
        <v>21.127504810000001</v>
      </c>
      <c r="S298" s="3">
        <v>8.5555982040000007</v>
      </c>
      <c r="T298" s="3">
        <v>15.437706673999999</v>
      </c>
      <c r="U298" s="3">
        <v>17.276763098</v>
      </c>
      <c r="V298" s="3">
        <v>7.7196054890000001</v>
      </c>
      <c r="W298" s="3">
        <v>6.0115519959999997</v>
      </c>
      <c r="Y298" s="3">
        <v>10.79672017</v>
      </c>
      <c r="Z298" s="3">
        <v>19.455566527999999</v>
      </c>
      <c r="AA298" s="3">
        <v>9.9971023159999994</v>
      </c>
      <c r="AB298" s="3">
        <v>5.7126677020000001</v>
      </c>
      <c r="AC298" s="3">
        <v>13.1</v>
      </c>
      <c r="AD298" s="3">
        <v>10.963778431</v>
      </c>
      <c r="AE298" s="3">
        <v>16.241162582000001</v>
      </c>
      <c r="AF298" s="3">
        <v>10.174917900000001</v>
      </c>
      <c r="AH298" s="3">
        <v>9.50999646</v>
      </c>
      <c r="AI298" s="3">
        <v>17.402086719</v>
      </c>
      <c r="AJ298" s="3">
        <v>12.182002705</v>
      </c>
      <c r="AK298" s="3">
        <v>14.322079311</v>
      </c>
      <c r="AN298" s="3">
        <v>7.7296955609999998</v>
      </c>
      <c r="AO298" s="3">
        <v>20.897259999999999</v>
      </c>
      <c r="AP298" s="3">
        <v>19.365082559000001</v>
      </c>
      <c r="AQ298" s="3">
        <v>8.0658041439999995</v>
      </c>
      <c r="AR298" s="3">
        <v>7.9</v>
      </c>
      <c r="AS298" s="3">
        <v>21.441534228999998</v>
      </c>
      <c r="AT298" s="3">
        <v>12.358305133</v>
      </c>
      <c r="AU298" s="88">
        <v>19.578712309</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7312D-BD80-49F6-A019-3A95CF571D60}">
  <sheetPr codeName="Sheet5">
    <tabColor rgb="FF0070C0"/>
  </sheetPr>
  <dimension ref="A1:BT378"/>
  <sheetViews>
    <sheetView zoomScale="130" zoomScaleNormal="130" workbookViewId="0">
      <pane xSplit="2" ySplit="9" topLeftCell="C10" activePane="bottomRight" state="frozen"/>
      <selection activeCell="J97" sqref="J97"/>
      <selection pane="topRight" activeCell="J97" sqref="J97"/>
      <selection pane="bottomLeft" activeCell="J97" sqref="J97"/>
      <selection pane="bottomRight" activeCell="AD98" sqref="AD98"/>
    </sheetView>
  </sheetViews>
  <sheetFormatPr baseColWidth="10" defaultColWidth="8.83203125" defaultRowHeight="15" x14ac:dyDescent="0.2"/>
  <cols>
    <col min="1" max="1" width="9.1640625" style="1"/>
    <col min="2" max="2" width="13" bestFit="1" customWidth="1"/>
    <col min="3" max="26" width="9" bestFit="1" customWidth="1"/>
    <col min="27" max="27" width="9" customWidth="1"/>
    <col min="28" max="28" width="6.1640625" customWidth="1"/>
    <col min="29" max="29" width="8" style="1" bestFit="1" customWidth="1"/>
    <col min="30" max="30" width="16.33203125" style="1" bestFit="1" customWidth="1"/>
    <col min="31" max="31" width="8" style="1" bestFit="1" customWidth="1"/>
    <col min="32" max="32" width="5.33203125" style="1" bestFit="1" customWidth="1"/>
    <col min="33" max="33" width="37" style="1" bestFit="1" customWidth="1"/>
    <col min="34" max="34" width="41" style="1" bestFit="1" customWidth="1"/>
    <col min="35" max="72" width="9.1640625" style="1"/>
  </cols>
  <sheetData>
    <row r="1" spans="2:34" x14ac:dyDescent="0.2">
      <c r="C1" t="s">
        <v>34</v>
      </c>
      <c r="D1" t="s">
        <v>47</v>
      </c>
      <c r="E1" t="s">
        <v>35</v>
      </c>
      <c r="F1" t="s">
        <v>21</v>
      </c>
      <c r="G1" t="s">
        <v>8</v>
      </c>
      <c r="H1" t="s">
        <v>13</v>
      </c>
      <c r="I1" t="s">
        <v>14</v>
      </c>
      <c r="J1" t="s">
        <v>20</v>
      </c>
      <c r="K1" t="s">
        <v>10</v>
      </c>
      <c r="L1" t="s">
        <v>33</v>
      </c>
      <c r="M1" t="s">
        <v>25</v>
      </c>
      <c r="N1" t="s">
        <v>41</v>
      </c>
      <c r="O1" t="s">
        <v>39</v>
      </c>
      <c r="P1" t="s">
        <v>5</v>
      </c>
      <c r="Q1" t="s">
        <v>2</v>
      </c>
      <c r="R1" t="s">
        <v>38</v>
      </c>
      <c r="S1" t="s">
        <v>22</v>
      </c>
      <c r="T1" t="s">
        <v>44</v>
      </c>
      <c r="U1" t="s">
        <v>15</v>
      </c>
      <c r="V1" t="s">
        <v>17</v>
      </c>
      <c r="W1" t="s">
        <v>43</v>
      </c>
      <c r="X1" t="s">
        <v>7</v>
      </c>
      <c r="Y1" t="s">
        <v>29</v>
      </c>
      <c r="Z1" t="s">
        <v>48</v>
      </c>
      <c r="AA1" t="s">
        <v>46</v>
      </c>
      <c r="AH1" s="77" t="s">
        <v>377</v>
      </c>
    </row>
    <row r="2" spans="2:34" s="1" customFormat="1" x14ac:dyDescent="0.2">
      <c r="AD2" s="1" t="s">
        <v>578</v>
      </c>
      <c r="AE2" s="74" t="s">
        <v>587</v>
      </c>
      <c r="AH2" s="77" t="s">
        <v>378</v>
      </c>
    </row>
    <row r="3" spans="2:34" ht="75.75" customHeight="1" x14ac:dyDescent="0.2">
      <c r="B3" s="6"/>
      <c r="C3" s="7" t="s">
        <v>341</v>
      </c>
      <c r="D3" s="8" t="s">
        <v>342</v>
      </c>
      <c r="E3" s="9" t="s">
        <v>343</v>
      </c>
      <c r="F3" s="10" t="s">
        <v>344</v>
      </c>
      <c r="G3" s="11" t="s">
        <v>345</v>
      </c>
      <c r="H3" s="11" t="s">
        <v>346</v>
      </c>
      <c r="I3" s="11" t="s">
        <v>347</v>
      </c>
      <c r="J3" s="11" t="s">
        <v>348</v>
      </c>
      <c r="K3" s="11" t="s">
        <v>349</v>
      </c>
      <c r="L3" s="11" t="s">
        <v>350</v>
      </c>
      <c r="M3" s="11" t="s">
        <v>351</v>
      </c>
      <c r="N3" s="11" t="s">
        <v>352</v>
      </c>
      <c r="O3" s="11" t="s">
        <v>353</v>
      </c>
      <c r="P3" s="11" t="s">
        <v>354</v>
      </c>
      <c r="Q3" s="11" t="s">
        <v>355</v>
      </c>
      <c r="R3" s="12" t="s">
        <v>356</v>
      </c>
      <c r="S3" s="11" t="s">
        <v>357</v>
      </c>
      <c r="T3" s="11" t="s">
        <v>358</v>
      </c>
      <c r="U3" s="11" t="s">
        <v>359</v>
      </c>
      <c r="V3" s="11" t="s">
        <v>360</v>
      </c>
      <c r="W3" s="11" t="s">
        <v>361</v>
      </c>
      <c r="X3" s="11" t="s">
        <v>362</v>
      </c>
      <c r="Y3" s="11" t="s">
        <v>363</v>
      </c>
      <c r="Z3" s="11" t="s">
        <v>364</v>
      </c>
      <c r="AA3" s="11" t="s">
        <v>365</v>
      </c>
      <c r="AB3" s="1"/>
      <c r="AD3" s="13" t="s">
        <v>366</v>
      </c>
      <c r="AE3" s="75" t="s">
        <v>583</v>
      </c>
    </row>
    <row r="4" spans="2:34" ht="16" thickBot="1" x14ac:dyDescent="0.25">
      <c r="B4" s="6" t="s">
        <v>367</v>
      </c>
      <c r="C4" s="15">
        <f>MAX(C90:C93)</f>
        <v>2.5694235349999999</v>
      </c>
      <c r="D4" s="15">
        <f t="shared" ref="D4:AA4" si="0">MAX(D90:D93)</f>
        <v>5.8</v>
      </c>
      <c r="E4" s="15">
        <f t="shared" si="0"/>
        <v>1.1216362719999999</v>
      </c>
      <c r="F4" s="15">
        <f t="shared" si="0"/>
        <v>-1.327094958</v>
      </c>
      <c r="G4" s="15">
        <f t="shared" si="0"/>
        <v>0.89453405200000002</v>
      </c>
      <c r="H4" s="15">
        <f t="shared" si="0"/>
        <v>0.94829661700000001</v>
      </c>
      <c r="I4" s="15">
        <f t="shared" si="0"/>
        <v>1.2097238690000001</v>
      </c>
      <c r="J4" s="15">
        <f t="shared" si="0"/>
        <v>-0.115731933</v>
      </c>
      <c r="K4" s="15">
        <f t="shared" si="0"/>
        <v>1.7334300490000001</v>
      </c>
      <c r="L4" s="15">
        <f t="shared" si="0"/>
        <v>1.42765414</v>
      </c>
      <c r="M4" s="15">
        <f t="shared" si="0"/>
        <v>-0.85929705499999998</v>
      </c>
      <c r="N4" s="15">
        <f t="shared" si="0"/>
        <v>0.76560195099999995</v>
      </c>
      <c r="O4" s="15">
        <f t="shared" si="0"/>
        <v>1.9634273200000001</v>
      </c>
      <c r="P4" s="15">
        <f t="shared" si="0"/>
        <v>1.711588487</v>
      </c>
      <c r="Q4" s="15">
        <f t="shared" si="0"/>
        <v>2.1384056170000001</v>
      </c>
      <c r="R4" s="15">
        <f t="shared" si="0"/>
        <v>1.7093228620000001</v>
      </c>
      <c r="S4" s="15">
        <f t="shared" si="0"/>
        <v>2.557298587</v>
      </c>
      <c r="T4" s="15">
        <f t="shared" si="0"/>
        <v>1.5830488359999999</v>
      </c>
      <c r="U4" s="15">
        <f t="shared" si="0"/>
        <v>0.95674453800000003</v>
      </c>
      <c r="V4" s="15">
        <f t="shared" si="0"/>
        <v>11.275944103</v>
      </c>
      <c r="W4" s="15">
        <f t="shared" si="0"/>
        <v>5.7515175770000004</v>
      </c>
      <c r="X4" s="15">
        <f t="shared" si="0"/>
        <v>2.8846397640000001</v>
      </c>
      <c r="Y4" s="15">
        <f t="shared" si="0"/>
        <v>4.0223702250000004</v>
      </c>
      <c r="Z4" s="15">
        <f t="shared" si="0"/>
        <v>-0.56788552999999997</v>
      </c>
      <c r="AA4" s="15">
        <f t="shared" si="0"/>
        <v>1.843407571</v>
      </c>
      <c r="AB4" s="1"/>
      <c r="AD4" s="16" t="s">
        <v>368</v>
      </c>
      <c r="AE4" s="76" t="s">
        <v>338</v>
      </c>
    </row>
    <row r="5" spans="2:34" x14ac:dyDescent="0.2">
      <c r="B5" s="6" t="s">
        <v>369</v>
      </c>
      <c r="C5" s="15">
        <f>MIN(C90:C93)</f>
        <v>-9.0837374240000006</v>
      </c>
      <c r="D5" s="15">
        <f t="shared" ref="D5:AA5" si="1">MIN(D90:D93)</f>
        <v>-6.8</v>
      </c>
      <c r="E5" s="15">
        <f t="shared" si="1"/>
        <v>-14.521056601</v>
      </c>
      <c r="F5" s="15">
        <f t="shared" si="1"/>
        <v>-10.135014584</v>
      </c>
      <c r="G5" s="15">
        <f t="shared" si="1"/>
        <v>-11.286579908</v>
      </c>
      <c r="H5" s="15">
        <f t="shared" si="1"/>
        <v>-18.598113721000001</v>
      </c>
      <c r="I5" s="15">
        <f t="shared" si="1"/>
        <v>-21.357741759</v>
      </c>
      <c r="J5" s="15">
        <f t="shared" si="1"/>
        <v>-18.162699088</v>
      </c>
      <c r="K5" s="15">
        <f t="shared" si="1"/>
        <v>-21.501874910000002</v>
      </c>
      <c r="L5" s="15">
        <f t="shared" si="1"/>
        <v>-8.1579798780000008</v>
      </c>
      <c r="M5" s="15">
        <f t="shared" si="1"/>
        <v>-18.795670002000001</v>
      </c>
      <c r="N5" s="15">
        <f t="shared" si="1"/>
        <v>-5.9372376850000004</v>
      </c>
      <c r="O5" s="15">
        <f t="shared" si="1"/>
        <v>-10.465479029000001</v>
      </c>
      <c r="P5" s="15">
        <f t="shared" si="1"/>
        <v>-12.612544486000001</v>
      </c>
      <c r="Q5" s="15">
        <f t="shared" si="1"/>
        <v>-6.204095089</v>
      </c>
      <c r="R5" s="15">
        <f t="shared" si="1"/>
        <v>-6.6996346359999999</v>
      </c>
      <c r="S5" s="15">
        <f t="shared" si="1"/>
        <v>-2.7480632460000001</v>
      </c>
      <c r="T5" s="15">
        <f t="shared" si="1"/>
        <v>-10.807178541000001</v>
      </c>
      <c r="U5" s="15">
        <f t="shared" si="1"/>
        <v>-13.908356806</v>
      </c>
      <c r="V5" s="15">
        <f t="shared" si="1"/>
        <v>0.88009688900000005</v>
      </c>
      <c r="W5" s="15">
        <f t="shared" si="1"/>
        <v>-9.1025785149999994</v>
      </c>
      <c r="X5" s="15">
        <f t="shared" si="1"/>
        <v>-10.942126828999999</v>
      </c>
      <c r="Y5" s="15">
        <f t="shared" si="1"/>
        <v>-7.9558562960000003</v>
      </c>
      <c r="Z5" s="15">
        <f t="shared" si="1"/>
        <v>-19.910034370000002</v>
      </c>
      <c r="AA5" s="15">
        <f t="shared" si="1"/>
        <v>-10.171182533</v>
      </c>
      <c r="AB5" s="1"/>
      <c r="AC5" s="18" t="s">
        <v>370</v>
      </c>
      <c r="AE5" s="19"/>
    </row>
    <row r="6" spans="2:34" x14ac:dyDescent="0.2">
      <c r="B6" s="6" t="s">
        <v>371</v>
      </c>
      <c r="C6" s="15">
        <f>AVERAGE(C90:C93)</f>
        <v>-2.1927586785000002</v>
      </c>
      <c r="D6" s="15">
        <f t="shared" ref="D6:AA6" si="2">AVERAGE(D90:D93)</f>
        <v>1.7750000000000001</v>
      </c>
      <c r="E6" s="15">
        <f t="shared" si="2"/>
        <v>-5.1074791609999997</v>
      </c>
      <c r="F6" s="15">
        <f t="shared" si="2"/>
        <v>-4.771130984</v>
      </c>
      <c r="G6" s="15">
        <f t="shared" si="2"/>
        <v>-3.9928264687500001</v>
      </c>
      <c r="H6" s="15">
        <f t="shared" si="2"/>
        <v>-6.6713985949999994</v>
      </c>
      <c r="I6" s="15">
        <f t="shared" si="2"/>
        <v>-7.7111696604999995</v>
      </c>
      <c r="J6" s="15">
        <f t="shared" si="2"/>
        <v>-7.3278601944999995</v>
      </c>
      <c r="K6" s="15">
        <f t="shared" si="2"/>
        <v>-8.1891422187499998</v>
      </c>
      <c r="L6" s="15">
        <f t="shared" si="2"/>
        <v>-2.1261186625000001</v>
      </c>
      <c r="M6" s="15">
        <f t="shared" si="2"/>
        <v>-7.5708984812500004</v>
      </c>
      <c r="N6" s="15">
        <f t="shared" si="2"/>
        <v>-1.8333750520000001</v>
      </c>
      <c r="O6" s="15">
        <f t="shared" si="2"/>
        <v>-3.6013900467500002</v>
      </c>
      <c r="P6" s="15">
        <f t="shared" si="2"/>
        <v>-4.1106901127500004</v>
      </c>
      <c r="Q6" s="15">
        <f t="shared" si="2"/>
        <v>-1.5805026412499998</v>
      </c>
      <c r="R6" s="15">
        <f t="shared" si="2"/>
        <v>-1.6212938432499999</v>
      </c>
      <c r="S6" s="15">
        <f t="shared" si="2"/>
        <v>7.4571861750000051E-2</v>
      </c>
      <c r="T6" s="15">
        <f t="shared" si="2"/>
        <v>-3.6554874670000004</v>
      </c>
      <c r="U6" s="15">
        <f t="shared" si="2"/>
        <v>-5.8559206877500003</v>
      </c>
      <c r="V6" s="15">
        <f t="shared" si="2"/>
        <v>6.0361330972500005</v>
      </c>
      <c r="W6" s="15">
        <f t="shared" si="2"/>
        <v>1.6564437192500006</v>
      </c>
      <c r="X6" s="15">
        <f t="shared" si="2"/>
        <v>-3.7417634544999996</v>
      </c>
      <c r="Y6" s="15">
        <f t="shared" si="2"/>
        <v>-0.98584657750000004</v>
      </c>
      <c r="Z6" s="15">
        <f t="shared" si="2"/>
        <v>-8.8733141722500015</v>
      </c>
      <c r="AA6" s="15">
        <f t="shared" si="2"/>
        <v>-1.685524491</v>
      </c>
      <c r="AB6" s="1"/>
      <c r="AC6" s="20"/>
      <c r="AD6" s="1" t="s">
        <v>372</v>
      </c>
      <c r="AE6" s="19" t="s">
        <v>14</v>
      </c>
      <c r="AG6" s="1" t="str">
        <f>AE6&amp;" Growth yoy% vs "&amp;AE7&amp;" Growth yoy %"</f>
        <v>GBR Growth yoy% vs EA19 Growth yoy %</v>
      </c>
    </row>
    <row r="7" spans="2:34" ht="16" thickBot="1" x14ac:dyDescent="0.25">
      <c r="B7" s="6" t="s">
        <v>373</v>
      </c>
      <c r="C7" s="15" t="str">
        <f t="shared" ref="C7" si="3">IF((VLOOKUP($AE$2,$B:$Y,MATCH(C3,$B$3:$Y$3,),))&gt;C6,"above","below")</f>
        <v>above</v>
      </c>
      <c r="D7" s="15" t="str">
        <f t="shared" ref="D7:AA7" si="4">IF((VLOOKUP($AE$2,$B:$Y,MATCH(D3,$B$3:$Y$3,),))&gt;D6,"above","below")</f>
        <v>above</v>
      </c>
      <c r="E7" s="15" t="str">
        <f t="shared" si="4"/>
        <v>above</v>
      </c>
      <c r="F7" s="15" t="str">
        <f t="shared" si="4"/>
        <v>above</v>
      </c>
      <c r="G7" s="15" t="str">
        <f t="shared" si="4"/>
        <v>above</v>
      </c>
      <c r="H7" s="15" t="str">
        <f t="shared" si="4"/>
        <v>above</v>
      </c>
      <c r="I7" s="15" t="str">
        <f t="shared" si="4"/>
        <v>above</v>
      </c>
      <c r="J7" s="15" t="str">
        <f t="shared" si="4"/>
        <v>above</v>
      </c>
      <c r="K7" s="15" t="str">
        <f t="shared" si="4"/>
        <v>above</v>
      </c>
      <c r="L7" s="15" t="str">
        <f t="shared" si="4"/>
        <v>above</v>
      </c>
      <c r="M7" s="15" t="str">
        <f t="shared" si="4"/>
        <v>above</v>
      </c>
      <c r="N7" s="15" t="str">
        <f t="shared" si="4"/>
        <v>above</v>
      </c>
      <c r="O7" s="15" t="str">
        <f t="shared" si="4"/>
        <v>above</v>
      </c>
      <c r="P7" s="15" t="str">
        <f t="shared" si="4"/>
        <v>above</v>
      </c>
      <c r="Q7" s="15" t="str">
        <f t="shared" si="4"/>
        <v>above</v>
      </c>
      <c r="R7" s="15" t="str">
        <f t="shared" si="4"/>
        <v>above</v>
      </c>
      <c r="S7" s="15" t="str">
        <f t="shared" si="4"/>
        <v>above</v>
      </c>
      <c r="T7" s="15" t="str">
        <f t="shared" si="4"/>
        <v>above</v>
      </c>
      <c r="U7" s="15" t="str">
        <f t="shared" si="4"/>
        <v>above</v>
      </c>
      <c r="V7" s="15" t="str">
        <f t="shared" si="4"/>
        <v>above</v>
      </c>
      <c r="W7" s="15" t="str">
        <f t="shared" si="4"/>
        <v>above</v>
      </c>
      <c r="X7" s="15" t="str">
        <f t="shared" si="4"/>
        <v>above</v>
      </c>
      <c r="Y7" s="15" t="str">
        <f t="shared" si="4"/>
        <v>above</v>
      </c>
      <c r="Z7" s="15" t="e">
        <f t="shared" si="4"/>
        <v>#N/A</v>
      </c>
      <c r="AA7" s="15" t="e">
        <f t="shared" si="4"/>
        <v>#N/A</v>
      </c>
      <c r="AB7" s="1"/>
      <c r="AC7" s="21"/>
      <c r="AD7" s="22" t="s">
        <v>374</v>
      </c>
      <c r="AE7" s="23" t="s">
        <v>35</v>
      </c>
    </row>
    <row r="8" spans="2:34" x14ac:dyDescent="0.2">
      <c r="B8" s="6" t="s">
        <v>375</v>
      </c>
      <c r="C8" s="15">
        <f t="shared" ref="C8" si="5">VLOOKUP($AE$2,$B:$Y,MATCH(C3,$B$3:$Y$3,),)-VLOOKUP($AE$4,$B:$Y,MATCH(C3,$B$3:$Y$3,),)</f>
        <v>9.8636767069999998</v>
      </c>
      <c r="D8" s="15">
        <f t="shared" ref="D8:AA8" si="6">VLOOKUP($AE$2,$B:$Y,MATCH(D3,$B$3:$Y$3,),)-VLOOKUP($AE$4,$B:$Y,MATCH(D3,$B$3:$Y$3,),)</f>
        <v>2</v>
      </c>
      <c r="E8" s="15">
        <f t="shared" si="6"/>
        <v>12.642231781</v>
      </c>
      <c r="F8" s="15">
        <f t="shared" si="6"/>
        <v>6.6505960540000002</v>
      </c>
      <c r="G8" s="15">
        <f t="shared" si="6"/>
        <v>8.0515635890000006</v>
      </c>
      <c r="H8" s="15">
        <f t="shared" si="6"/>
        <v>16.647421111</v>
      </c>
      <c r="I8" s="15">
        <f t="shared" si="6"/>
        <v>20.803399430999999</v>
      </c>
      <c r="J8" s="15">
        <f t="shared" si="6"/>
        <v>16.749807243999999</v>
      </c>
      <c r="K8" s="15">
        <f t="shared" si="6"/>
        <v>15.512699658000001</v>
      </c>
      <c r="L8" s="15">
        <f t="shared" si="6"/>
        <v>6.8106799220000003</v>
      </c>
      <c r="M8" s="15">
        <f t="shared" si="6"/>
        <v>19.580373827999999</v>
      </c>
      <c r="N8" s="15">
        <f t="shared" si="6"/>
        <v>6.1696539799999996</v>
      </c>
      <c r="O8" s="15">
        <f t="shared" si="6"/>
        <v>8.20786324</v>
      </c>
      <c r="P8" s="15">
        <f t="shared" si="6"/>
        <v>10.826172158</v>
      </c>
      <c r="Q8" s="15">
        <f t="shared" si="6"/>
        <v>7.6750893790000001</v>
      </c>
      <c r="R8" s="15">
        <f t="shared" si="6"/>
        <v>6.2970266800000001</v>
      </c>
      <c r="S8" s="15">
        <f t="shared" si="6"/>
        <v>3.9265513749999998</v>
      </c>
      <c r="T8" s="15">
        <f t="shared" si="6"/>
        <v>11.473449357</v>
      </c>
      <c r="U8" s="15">
        <f t="shared" si="6"/>
        <v>14.628872977</v>
      </c>
      <c r="V8" s="15">
        <f t="shared" si="6"/>
        <v>15.483960468000001</v>
      </c>
      <c r="W8" s="15">
        <f t="shared" si="6"/>
        <v>20.297255002999997</v>
      </c>
      <c r="X8" s="15">
        <f t="shared" si="6"/>
        <v>5.2267680700000003</v>
      </c>
      <c r="Y8" s="15">
        <f t="shared" si="6"/>
        <v>6.3576223159999996</v>
      </c>
      <c r="Z8" s="15" t="e">
        <f t="shared" si="6"/>
        <v>#N/A</v>
      </c>
      <c r="AA8" s="15" t="e">
        <f t="shared" si="6"/>
        <v>#N/A</v>
      </c>
      <c r="AB8" s="1"/>
    </row>
    <row r="9" spans="2:34" x14ac:dyDescent="0.2">
      <c r="B9" s="6" t="s">
        <v>376</v>
      </c>
      <c r="C9" s="15">
        <f>VLOOKUP($AE$2,$B:$Y,MATCH(C3,$B$3:$Y$3,),)-VLOOKUP($AE$3,$B:$Y,MATCH(C3,$B$3:$Y$3,),)</f>
        <v>21.265740129000001</v>
      </c>
      <c r="D9" s="15">
        <f t="shared" ref="D9:AA9" si="7">VLOOKUP($AE$2,$B:$Y,MATCH(D3,$B$3:$Y$3,),)-VLOOKUP($AE$3,$B:$Y,MATCH(D3,$B$3:$Y$3,),)</f>
        <v>4.7</v>
      </c>
      <c r="E9" s="15">
        <f t="shared" si="7"/>
        <v>28.843135912000001</v>
      </c>
      <c r="F9" s="15">
        <f t="shared" si="7"/>
        <v>17.854620073</v>
      </c>
      <c r="G9" s="15">
        <f t="shared" si="7"/>
        <v>20.698100504000003</v>
      </c>
      <c r="H9" s="15">
        <f t="shared" si="7"/>
        <v>37.251093138000002</v>
      </c>
      <c r="I9" s="15">
        <f t="shared" si="7"/>
        <v>43.522139913000004</v>
      </c>
      <c r="J9" s="15">
        <f t="shared" si="7"/>
        <v>35.439462186</v>
      </c>
      <c r="K9" s="15">
        <f t="shared" si="7"/>
        <v>39.050446313999998</v>
      </c>
      <c r="L9" s="15">
        <f t="shared" si="7"/>
        <v>17.667976338000003</v>
      </c>
      <c r="M9" s="15">
        <f t="shared" si="7"/>
        <v>38.25123653</v>
      </c>
      <c r="N9" s="15">
        <f t="shared" si="7"/>
        <v>14.003041829000001</v>
      </c>
      <c r="O9" s="15">
        <f t="shared" si="7"/>
        <v>20.640396929000001</v>
      </c>
      <c r="P9" s="15">
        <f t="shared" si="7"/>
        <v>25.335275272000001</v>
      </c>
      <c r="Q9" s="15">
        <f t="shared" si="7"/>
        <v>15.805209469000001</v>
      </c>
      <c r="R9" s="15">
        <f t="shared" si="7"/>
        <v>14.429330196999999</v>
      </c>
      <c r="S9" s="15">
        <f t="shared" si="7"/>
        <v>8.7596152419999989</v>
      </c>
      <c r="T9" s="15">
        <f t="shared" si="7"/>
        <v>23.165483674000001</v>
      </c>
      <c r="U9" s="15">
        <f t="shared" si="7"/>
        <v>30.103491254000001</v>
      </c>
      <c r="V9" s="15">
        <f t="shared" si="7"/>
        <v>20.247407921000001</v>
      </c>
      <c r="W9" s="15">
        <f t="shared" si="7"/>
        <v>30.544112743999996</v>
      </c>
      <c r="X9" s="15">
        <f t="shared" si="7"/>
        <v>19.123958893999998</v>
      </c>
      <c r="Y9" s="15">
        <f t="shared" si="7"/>
        <v>18.919634727000002</v>
      </c>
      <c r="Z9" s="15" t="e">
        <f t="shared" si="7"/>
        <v>#N/A</v>
      </c>
      <c r="AA9" s="15" t="e">
        <f t="shared" si="7"/>
        <v>#N/A</v>
      </c>
      <c r="AB9" s="1"/>
    </row>
    <row r="10" spans="2:34" x14ac:dyDescent="0.2">
      <c r="B10" s="6"/>
      <c r="C10" s="24"/>
      <c r="D10" s="24"/>
      <c r="E10" s="24"/>
      <c r="F10" s="24"/>
      <c r="G10" s="24"/>
      <c r="H10" s="24"/>
      <c r="I10" s="24"/>
      <c r="J10" s="24"/>
      <c r="K10" s="24"/>
      <c r="L10" s="24"/>
      <c r="M10" s="24"/>
      <c r="N10" s="24"/>
      <c r="O10" s="24"/>
      <c r="P10" s="24"/>
      <c r="Q10" s="24"/>
      <c r="R10" s="25"/>
      <c r="S10" s="24"/>
      <c r="T10" s="24"/>
      <c r="U10" s="24"/>
      <c r="V10" s="24"/>
      <c r="W10" s="24"/>
      <c r="X10" s="24"/>
      <c r="Y10" s="24"/>
      <c r="Z10" s="24"/>
      <c r="AA10" s="24"/>
      <c r="AB10" s="1"/>
    </row>
    <row r="11" spans="2:34" hidden="1" x14ac:dyDescent="0.2">
      <c r="B11" s="26" t="s">
        <v>260</v>
      </c>
      <c r="C11" s="27">
        <f>VLOOKUP(B11,'Data yoy'!$A:$AT,MATCH($C$1,'Data yoy'!$A$1:$AT$1,),)</f>
        <v>4.2259558589999999</v>
      </c>
      <c r="D11" s="27">
        <f>VLOOKUP(B11,'Data yoy'!$A:$AT,MATCH($D$1,'Data yoy'!$A$1:$AT$1,),)</f>
        <v>8.6999999999999993</v>
      </c>
      <c r="E11" s="27">
        <f>VLOOKUP(B11,'Data yoy'!$A:$AT,MATCH($E$1,'Data yoy'!$A$1:$AT$1,),)</f>
        <v>4.1586014069999999</v>
      </c>
      <c r="F11" s="27">
        <f>VLOOKUP(B11,'Data yoy'!$A:$AT,MATCH($F$1,'Data yoy'!$A$1:$AT$1,),)</f>
        <v>2.6743443689999999</v>
      </c>
      <c r="G11" s="27">
        <f>VLOOKUP(B11,'Data yoy'!$A:$AT,MATCH($G$1,'Data yoy'!$A$1:$AT$1,),)</f>
        <v>3.3908313419999998</v>
      </c>
      <c r="H11" s="27">
        <f>VLOOKUP(B11,'Data yoy'!$A:$AT,MATCH($H$1,'Data yoy'!$A$1:$AT$1,),)</f>
        <v>4.4287115149999998</v>
      </c>
      <c r="I11" s="27">
        <f>VLOOKUP(B11,'Data yoy'!$A:$AT,MATCH($I$1,'Data yoy'!$A$1:$AT$1,),)</f>
        <v>4.2313563419999998</v>
      </c>
      <c r="J11" s="27">
        <f>VLOOKUP(B11,'Data yoy'!$A:$AT,MATCH($J$1,'Data yoy'!$A$1:$AT$1,),)</f>
        <v>3.872557515</v>
      </c>
      <c r="K11" s="27">
        <f>VLOOKUP(B11,'Data yoy'!$A:$AT,MATCH($K$1,'Data yoy'!$A$1:$AT$1,),)</f>
        <v>5.352987572</v>
      </c>
      <c r="L11" s="27">
        <f>VLOOKUP(B11,'Data yoy'!$A:$AT,MATCH($L$1,'Data yoy'!$A$1:$AT$1,),)</f>
        <v>4.0215801249999998</v>
      </c>
      <c r="M11" s="27">
        <f>VLOOKUP(B11,'Data yoy'!$A:$AT,MATCH($M$1,'Data yoy'!$A$1:$AT$1,),)</f>
        <v>4.4810081459999997</v>
      </c>
      <c r="N11" s="27">
        <f>VLOOKUP(B11,'Data yoy'!$A:$AT,MATCH($N$1,'Data yoy'!$A$1:$AT$1,),)</f>
        <v>0</v>
      </c>
      <c r="O11" s="27">
        <f>VLOOKUP(B11,'Data yoy'!$A:$AT,MATCH($C$1,'Data yoy'!$J$1:$AT$1,),)</f>
        <v>4.5948738799999997</v>
      </c>
      <c r="P11" s="27">
        <f>VLOOKUP(B11,'Data yoy'!$A:$AT,MATCH($P$1,'Data yoy'!$A$1:$AT$1,),)</f>
        <v>5.516373336</v>
      </c>
      <c r="Q11" s="27">
        <f>VLOOKUP(B11,'Data yoy'!$A:$AT,MATCH($Q$1,'Data yoy'!$A$1:$AT$1,),)</f>
        <v>3.607433763</v>
      </c>
      <c r="R11" s="27">
        <f>VLOOKUP(B11,'Data yoy'!$A:$AT,MATCH($E$1,'Data yoy'!$A$1:$AT$1,),)</f>
        <v>4.1586014069999999</v>
      </c>
      <c r="S11" s="27">
        <f>VLOOKUP(B11,'Data yoy'!$A:$AT,MATCH($S$1,'Data yoy'!$A$1:$AT$1,),)</f>
        <v>12.474605041</v>
      </c>
      <c r="T11" s="27">
        <f>VLOOKUP(B11,'Data yoy'!$A:$AT,MATCH($T$1,'Data yoy'!$A$1:$AT$1,),)</f>
        <v>2.8877984109999999</v>
      </c>
      <c r="U11" s="27">
        <f>VLOOKUP(B11,'Data yoy'!$A:$AT,MATCH($U$1,'Data yoy'!$A$1:$AT$1,),)</f>
        <v>3.3304217739999999</v>
      </c>
      <c r="V11" s="27">
        <f>VLOOKUP(B11,'Data yoy'!$A:$AT,MATCH($V$1,'Data yoy'!$A$1:$AT$1,),)</f>
        <v>8.5940704990000008</v>
      </c>
      <c r="W11" s="27">
        <f>VLOOKUP(B11,'Data yoy'!$A:$AT,MATCH($W$1,'Data yoy'!$A$1:$AT$1,),)</f>
        <v>2.2652062910000001</v>
      </c>
      <c r="X11" s="27">
        <f>VLOOKUP(B11,'Data yoy'!$A:$AT,MATCH($X$1,'Data yoy'!$A$1:$AT$1,),)</f>
        <v>3.7868942749999999</v>
      </c>
      <c r="Y11" s="27">
        <f>VLOOKUP(B11,'Data yoy'!$A:$AT,MATCH($Y$1,'Data yoy'!$A$1:$AT$1,),)</f>
        <v>6.2648614729999998</v>
      </c>
      <c r="Z11" s="27">
        <f>VLOOKUP(B11,'Data yoy'!$A:$AU,MATCH($Z$1,'Data yoy'!$A$1:$AU$1,),)</f>
        <v>-0.106447324</v>
      </c>
      <c r="AA11" s="27" t="e">
        <f>VLOOKUP(C11,'Data yoy'!$A:$AU,MATCH($Z$1,'Data yoy'!$A$1:$AU$1,),)</f>
        <v>#N/A</v>
      </c>
      <c r="AB11" s="1"/>
      <c r="AC11" s="28" t="str">
        <f>B11</f>
        <v>2000-Q1</v>
      </c>
      <c r="AD11" s="29">
        <f t="shared" ref="AD11:AD42" si="8">(VLOOKUP(AC11,B:Y,MATCH($AE$6,$B$1:$Y$1,),))</f>
        <v>4.2313563419999998</v>
      </c>
      <c r="AE11" s="29">
        <f t="shared" ref="AE11:AE42" si="9">(VLOOKUP(AC11,B:Y,MATCH($AE$7,$B$1:$Y$1,),))</f>
        <v>4.1586014069999999</v>
      </c>
    </row>
    <row r="12" spans="2:34" hidden="1" x14ac:dyDescent="0.2">
      <c r="B12" s="26" t="s">
        <v>261</v>
      </c>
      <c r="C12" s="27">
        <f>VLOOKUP(B12,'Data yoy'!$A:$AT,MATCH($C$1,'Data yoy'!$A$1:$AT$1,),)</f>
        <v>5.2446827689999997</v>
      </c>
      <c r="D12" s="27">
        <f>VLOOKUP(B12,'Data yoy'!$A:$AT,MATCH($D$1,'Data yoy'!$A$1:$AT$1,),)</f>
        <v>9.1</v>
      </c>
      <c r="E12" s="27">
        <f>VLOOKUP(B12,'Data yoy'!$A:$AT,MATCH($E$1,'Data yoy'!$A$1:$AT$1,),)</f>
        <v>4.4996774000000004</v>
      </c>
      <c r="F12" s="27">
        <f>VLOOKUP(B12,'Data yoy'!$A:$AT,MATCH($F$1,'Data yoy'!$A$1:$AT$1,),)</f>
        <v>2.7593563739999998</v>
      </c>
      <c r="G12" s="27">
        <f>VLOOKUP(B12,'Data yoy'!$A:$AT,MATCH($G$1,'Data yoy'!$A$1:$AT$1,),)</f>
        <v>4.24010877</v>
      </c>
      <c r="H12" s="27">
        <f>VLOOKUP(B12,'Data yoy'!$A:$AT,MATCH($H$1,'Data yoy'!$A$1:$AT$1,),)</f>
        <v>4.5969453329999999</v>
      </c>
      <c r="I12" s="27">
        <f>VLOOKUP(B12,'Data yoy'!$A:$AT,MATCH($I$1,'Data yoy'!$A$1:$AT$1,),)</f>
        <v>4.6803404459999998</v>
      </c>
      <c r="J12" s="27">
        <f>VLOOKUP(B12,'Data yoy'!$A:$AT,MATCH($J$1,'Data yoy'!$A$1:$AT$1,),)</f>
        <v>4.2657381089999999</v>
      </c>
      <c r="K12" s="27">
        <f>VLOOKUP(B12,'Data yoy'!$A:$AT,MATCH($K$1,'Data yoy'!$A$1:$AT$1,),)</f>
        <v>5.4219317360000003</v>
      </c>
      <c r="L12" s="27">
        <f>VLOOKUP(B12,'Data yoy'!$A:$AT,MATCH($L$1,'Data yoy'!$A$1:$AT$1,),)</f>
        <v>5.9657752759999996</v>
      </c>
      <c r="M12" s="27">
        <f>VLOOKUP(B12,'Data yoy'!$A:$AT,MATCH($M$1,'Data yoy'!$A$1:$AT$1,),)</f>
        <v>5.4086615460000003</v>
      </c>
      <c r="N12" s="27">
        <f>VLOOKUP(B12,'Data yoy'!$A:$AT,MATCH($N$1,'Data yoy'!$A$1:$AT$1,),)</f>
        <v>0</v>
      </c>
      <c r="O12" s="27">
        <f>VLOOKUP(B12,'Data yoy'!$A:$AT,MATCH($C$1,'Data yoy'!$J$1:$AT$1,),)</f>
        <v>4.5989091970000002</v>
      </c>
      <c r="P12" s="27">
        <f>VLOOKUP(B12,'Data yoy'!$A:$AT,MATCH($P$1,'Data yoy'!$A$1:$AT$1,),)</f>
        <v>5.8847515399999999</v>
      </c>
      <c r="Q12" s="27">
        <f>VLOOKUP(B12,'Data yoy'!$A:$AT,MATCH($Q$1,'Data yoy'!$A$1:$AT$1,),)</f>
        <v>4.2262243379999997</v>
      </c>
      <c r="R12" s="27">
        <f>VLOOKUP(B12,'Data yoy'!$A:$AT,MATCH($E$1,'Data yoy'!$A$1:$AT$1,),)</f>
        <v>4.4996774000000004</v>
      </c>
      <c r="S12" s="27">
        <f>VLOOKUP(B12,'Data yoy'!$A:$AT,MATCH($S$1,'Data yoy'!$A$1:$AT$1,),)</f>
        <v>9.1874736769999998</v>
      </c>
      <c r="T12" s="27">
        <f>VLOOKUP(B12,'Data yoy'!$A:$AT,MATCH($T$1,'Data yoy'!$A$1:$AT$1,),)</f>
        <v>4.0794946730000001</v>
      </c>
      <c r="U12" s="27">
        <f>VLOOKUP(B12,'Data yoy'!$A:$AT,MATCH($U$1,'Data yoy'!$A$1:$AT$1,),)</f>
        <v>3.3189444950000002</v>
      </c>
      <c r="V12" s="27">
        <f>VLOOKUP(B12,'Data yoy'!$A:$AT,MATCH($V$1,'Data yoy'!$A$1:$AT$1,),)</f>
        <v>10.380575776000001</v>
      </c>
      <c r="W12" s="27">
        <f>VLOOKUP(B12,'Data yoy'!$A:$AT,MATCH($W$1,'Data yoy'!$A$1:$AT$1,),)</f>
        <v>6.8490946040000003</v>
      </c>
      <c r="X12" s="27">
        <f>VLOOKUP(B12,'Data yoy'!$A:$AT,MATCH($X$1,'Data yoy'!$A$1:$AT$1,),)</f>
        <v>4.5073324250000004</v>
      </c>
      <c r="Y12" s="27">
        <f>VLOOKUP(B12,'Data yoy'!$A:$AT,MATCH($Y$1,'Data yoy'!$A$1:$AT$1,),)</f>
        <v>5.1051361609999999</v>
      </c>
      <c r="Z12" s="27">
        <f>VLOOKUP(B12,'Data yoy'!$A:$AU,MATCH($Z$1,'Data yoy'!$A$1:$AU$1,),)</f>
        <v>-0.59039067000000001</v>
      </c>
      <c r="AA12" s="27" t="e">
        <f>VLOOKUP(C12,'Data yoy'!$A:$AU,MATCH($Z$1,'Data yoy'!$A$1:$AU$1,),)</f>
        <v>#N/A</v>
      </c>
      <c r="AB12" s="1"/>
      <c r="AC12" s="28" t="str">
        <f t="shared" ref="AC12:AC75" si="10">B12</f>
        <v>2000-Q2</v>
      </c>
      <c r="AD12" s="29">
        <f t="shared" si="8"/>
        <v>4.6803404459999998</v>
      </c>
      <c r="AE12" s="29">
        <f t="shared" si="9"/>
        <v>4.4996774000000004</v>
      </c>
    </row>
    <row r="13" spans="2:34" hidden="1" x14ac:dyDescent="0.2">
      <c r="B13" s="26" t="s">
        <v>262</v>
      </c>
      <c r="C13" s="27">
        <f>VLOOKUP(B13,'Data yoy'!$A:$AT,MATCH($C$1,'Data yoy'!$A$1:$AT$1,),)</f>
        <v>3.9740844960000001</v>
      </c>
      <c r="D13" s="27">
        <f>VLOOKUP(B13,'Data yoy'!$A:$AT,MATCH($D$1,'Data yoy'!$A$1:$AT$1,),)</f>
        <v>8.8000000000000007</v>
      </c>
      <c r="E13" s="27">
        <f>VLOOKUP(B13,'Data yoy'!$A:$AT,MATCH($E$1,'Data yoy'!$A$1:$AT$1,),)</f>
        <v>3.8748756640000002</v>
      </c>
      <c r="F13" s="27">
        <f>VLOOKUP(B13,'Data yoy'!$A:$AT,MATCH($F$1,'Data yoy'!$A$1:$AT$1,),)</f>
        <v>2.2437766799999999</v>
      </c>
      <c r="G13" s="27">
        <f>VLOOKUP(B13,'Data yoy'!$A:$AT,MATCH($G$1,'Data yoy'!$A$1:$AT$1,),)</f>
        <v>3.0235947329999999</v>
      </c>
      <c r="H13" s="27">
        <f>VLOOKUP(B13,'Data yoy'!$A:$AT,MATCH($H$1,'Data yoy'!$A$1:$AT$1,),)</f>
        <v>3.9766764640000001</v>
      </c>
      <c r="I13" s="27">
        <f>VLOOKUP(B13,'Data yoy'!$A:$AT,MATCH($I$1,'Data yoy'!$A$1:$AT$1,),)</f>
        <v>3.2157286479999998</v>
      </c>
      <c r="J13" s="27">
        <f>VLOOKUP(B13,'Data yoy'!$A:$AT,MATCH($J$1,'Data yoy'!$A$1:$AT$1,),)</f>
        <v>4.0426694000000003</v>
      </c>
      <c r="K13" s="27">
        <f>VLOOKUP(B13,'Data yoy'!$A:$AT,MATCH($K$1,'Data yoy'!$A$1:$AT$1,),)</f>
        <v>5.1615893279999998</v>
      </c>
      <c r="L13" s="27">
        <f>VLOOKUP(B13,'Data yoy'!$A:$AT,MATCH($L$1,'Data yoy'!$A$1:$AT$1,),)</f>
        <v>5.957198698</v>
      </c>
      <c r="M13" s="27">
        <f>VLOOKUP(B13,'Data yoy'!$A:$AT,MATCH($M$1,'Data yoy'!$A$1:$AT$1,),)</f>
        <v>5.3673051650000003</v>
      </c>
      <c r="N13" s="27">
        <f>VLOOKUP(B13,'Data yoy'!$A:$AT,MATCH($N$1,'Data yoy'!$A$1:$AT$1,),)</f>
        <v>0</v>
      </c>
      <c r="O13" s="27">
        <f>VLOOKUP(B13,'Data yoy'!$A:$AT,MATCH($C$1,'Data yoy'!$J$1:$AT$1,),)</f>
        <v>4.0292995060000001</v>
      </c>
      <c r="P13" s="27">
        <f>VLOOKUP(B13,'Data yoy'!$A:$AT,MATCH($P$1,'Data yoy'!$A$1:$AT$1,),)</f>
        <v>5.3137609430000001</v>
      </c>
      <c r="Q13" s="27">
        <f>VLOOKUP(B13,'Data yoy'!$A:$AT,MATCH($Q$1,'Data yoy'!$A$1:$AT$1,),)</f>
        <v>3.2133973400000002</v>
      </c>
      <c r="R13" s="27">
        <f>VLOOKUP(B13,'Data yoy'!$A:$AT,MATCH($E$1,'Data yoy'!$A$1:$AT$1,),)</f>
        <v>3.8748756640000002</v>
      </c>
      <c r="S13" s="27">
        <f>VLOOKUP(B13,'Data yoy'!$A:$AT,MATCH($S$1,'Data yoy'!$A$1:$AT$1,),)</f>
        <v>9.1592371569999997</v>
      </c>
      <c r="T13" s="27">
        <f>VLOOKUP(B13,'Data yoy'!$A:$AT,MATCH($T$1,'Data yoy'!$A$1:$AT$1,),)</f>
        <v>5.1576383579999998</v>
      </c>
      <c r="U13" s="27">
        <f>VLOOKUP(B13,'Data yoy'!$A:$AT,MATCH($U$1,'Data yoy'!$A$1:$AT$1,),)</f>
        <v>4.848009813</v>
      </c>
      <c r="V13" s="27">
        <f>VLOOKUP(B13,'Data yoy'!$A:$AT,MATCH($V$1,'Data yoy'!$A$1:$AT$1,),)</f>
        <v>8.6584836299999992</v>
      </c>
      <c r="W13" s="27">
        <f>VLOOKUP(B13,'Data yoy'!$A:$AT,MATCH($W$1,'Data yoy'!$A$1:$AT$1,),)</f>
        <v>10.300768391</v>
      </c>
      <c r="X13" s="27">
        <f>VLOOKUP(B13,'Data yoy'!$A:$AT,MATCH($X$1,'Data yoy'!$A$1:$AT$1,),)</f>
        <v>4.8926757109999999</v>
      </c>
      <c r="Y13" s="27">
        <f>VLOOKUP(B13,'Data yoy'!$A:$AT,MATCH($Y$1,'Data yoy'!$A$1:$AT$1,),)</f>
        <v>3.228101208</v>
      </c>
      <c r="Z13" s="27">
        <f>VLOOKUP(B13,'Data yoy'!$A:$AU,MATCH($Z$1,'Data yoy'!$A$1:$AU$1,),)</f>
        <v>-0.55752517599999996</v>
      </c>
      <c r="AA13" s="27" t="e">
        <f>VLOOKUP(C13,'Data yoy'!$A:$AU,MATCH($Z$1,'Data yoy'!$A$1:$AU$1,),)</f>
        <v>#N/A</v>
      </c>
      <c r="AB13" s="1"/>
      <c r="AC13" s="28" t="str">
        <f t="shared" si="10"/>
        <v>2000-Q3</v>
      </c>
      <c r="AD13" s="29">
        <f t="shared" si="8"/>
        <v>3.2157286479999998</v>
      </c>
      <c r="AE13" s="29">
        <f t="shared" si="9"/>
        <v>3.8748756640000002</v>
      </c>
    </row>
    <row r="14" spans="2:34" hidden="1" x14ac:dyDescent="0.2">
      <c r="B14" s="26" t="s">
        <v>263</v>
      </c>
      <c r="C14" s="27">
        <f>VLOOKUP(B14,'Data yoy'!$A:$AT,MATCH($C$1,'Data yoy'!$A$1:$AT$1,),)</f>
        <v>2.9016204719999998</v>
      </c>
      <c r="D14" s="27">
        <f>VLOOKUP(B14,'Data yoy'!$A:$AT,MATCH($D$1,'Data yoy'!$A$1:$AT$1,),)</f>
        <v>7.5</v>
      </c>
      <c r="E14" s="27">
        <f>VLOOKUP(B14,'Data yoy'!$A:$AT,MATCH($E$1,'Data yoy'!$A$1:$AT$1,),)</f>
        <v>3.3922373339999998</v>
      </c>
      <c r="F14" s="27">
        <f>VLOOKUP(B14,'Data yoy'!$A:$AT,MATCH($F$1,'Data yoy'!$A$1:$AT$1,),)</f>
        <v>3.199425057</v>
      </c>
      <c r="G14" s="27">
        <f>VLOOKUP(B14,'Data yoy'!$A:$AT,MATCH($G$1,'Data yoy'!$A$1:$AT$1,),)</f>
        <v>1.925958447</v>
      </c>
      <c r="H14" s="27">
        <f>VLOOKUP(B14,'Data yoy'!$A:$AT,MATCH($H$1,'Data yoy'!$A$1:$AT$1,),)</f>
        <v>3.378246699</v>
      </c>
      <c r="I14" s="27">
        <f>VLOOKUP(B14,'Data yoy'!$A:$AT,MATCH($I$1,'Data yoy'!$A$1:$AT$1,),)</f>
        <v>1.953930752</v>
      </c>
      <c r="J14" s="27">
        <f>VLOOKUP(B14,'Data yoy'!$A:$AT,MATCH($J$1,'Data yoy'!$A$1:$AT$1,),)</f>
        <v>4.0373673329999997</v>
      </c>
      <c r="K14" s="27">
        <f>VLOOKUP(B14,'Data yoy'!$A:$AT,MATCH($K$1,'Data yoy'!$A$1:$AT$1,),)</f>
        <v>5.0536212029999996</v>
      </c>
      <c r="L14" s="27">
        <f>VLOOKUP(B14,'Data yoy'!$A:$AT,MATCH($L$1,'Data yoy'!$A$1:$AT$1,),)</f>
        <v>3.7227829670000001</v>
      </c>
      <c r="M14" s="27">
        <f>VLOOKUP(B14,'Data yoy'!$A:$AT,MATCH($M$1,'Data yoy'!$A$1:$AT$1,),)</f>
        <v>3.5958940830000001</v>
      </c>
      <c r="N14" s="27">
        <f>VLOOKUP(B14,'Data yoy'!$A:$AT,MATCH($N$1,'Data yoy'!$A$1:$AT$1,),)</f>
        <v>0</v>
      </c>
      <c r="O14" s="27">
        <f>VLOOKUP(B14,'Data yoy'!$A:$AT,MATCH($C$1,'Data yoy'!$J$1:$AT$1,),)</f>
        <v>3.919383045</v>
      </c>
      <c r="P14" s="27">
        <f>VLOOKUP(B14,'Data yoy'!$A:$AT,MATCH($P$1,'Data yoy'!$A$1:$AT$1,),)</f>
        <v>4.0306702640000003</v>
      </c>
      <c r="Q14" s="27">
        <f>VLOOKUP(B14,'Data yoy'!$A:$AT,MATCH($Q$1,'Data yoy'!$A$1:$AT$1,),)</f>
        <v>1.1049839749999999</v>
      </c>
      <c r="R14" s="27">
        <f>VLOOKUP(B14,'Data yoy'!$A:$AT,MATCH($E$1,'Data yoy'!$A$1:$AT$1,),)</f>
        <v>3.3922373339999998</v>
      </c>
      <c r="S14" s="27">
        <f>VLOOKUP(B14,'Data yoy'!$A:$AT,MATCH($S$1,'Data yoy'!$A$1:$AT$1,),)</f>
        <v>5.752766405</v>
      </c>
      <c r="T14" s="27">
        <f>VLOOKUP(B14,'Data yoy'!$A:$AT,MATCH($T$1,'Data yoy'!$A$1:$AT$1,),)</f>
        <v>4.9774153170000002</v>
      </c>
      <c r="U14" s="27">
        <f>VLOOKUP(B14,'Data yoy'!$A:$AT,MATCH($U$1,'Data yoy'!$A$1:$AT$1,),)</f>
        <v>4.6622546160000002</v>
      </c>
      <c r="V14" s="27">
        <f>VLOOKUP(B14,'Data yoy'!$A:$AT,MATCH($V$1,'Data yoy'!$A$1:$AT$1,),)</f>
        <v>7.0216166920000003</v>
      </c>
      <c r="W14" s="27">
        <f>VLOOKUP(B14,'Data yoy'!$A:$AT,MATCH($W$1,'Data yoy'!$A$1:$AT$1,),)</f>
        <v>8.6398569419999998</v>
      </c>
      <c r="X14" s="27">
        <f>VLOOKUP(B14,'Data yoy'!$A:$AT,MATCH($X$1,'Data yoy'!$A$1:$AT$1,),)</f>
        <v>4.2278822439999999</v>
      </c>
      <c r="Y14" s="27">
        <f>VLOOKUP(B14,'Data yoy'!$A:$AT,MATCH($Y$1,'Data yoy'!$A$1:$AT$1,),)</f>
        <v>4.2187978360000002</v>
      </c>
      <c r="Z14" s="27">
        <f>VLOOKUP(B14,'Data yoy'!$A:$AU,MATCH($Z$1,'Data yoy'!$A$1:$AU$1,),)</f>
        <v>-1.8935236049999999</v>
      </c>
      <c r="AA14" s="27" t="e">
        <f>VLOOKUP(C14,'Data yoy'!$A:$AU,MATCH($Z$1,'Data yoy'!$A$1:$AU$1,),)</f>
        <v>#N/A</v>
      </c>
      <c r="AB14" s="1"/>
      <c r="AC14" s="28" t="str">
        <f t="shared" si="10"/>
        <v>2000-Q4</v>
      </c>
      <c r="AD14" s="29">
        <f t="shared" si="8"/>
        <v>1.953930752</v>
      </c>
      <c r="AE14" s="29">
        <f t="shared" si="9"/>
        <v>3.3922373339999998</v>
      </c>
    </row>
    <row r="15" spans="2:34" hidden="1" x14ac:dyDescent="0.2">
      <c r="B15" s="26" t="s">
        <v>264</v>
      </c>
      <c r="C15" s="27">
        <f>VLOOKUP(B15,'Data yoy'!$A:$AT,MATCH($C$1,'Data yoy'!$A$1:$AT$1,),)</f>
        <v>2.195542847</v>
      </c>
      <c r="D15" s="27">
        <f>VLOOKUP(B15,'Data yoy'!$A:$AT,MATCH($D$1,'Data yoy'!$A$1:$AT$1,),)</f>
        <v>9.5</v>
      </c>
      <c r="E15" s="27">
        <f>VLOOKUP(B15,'Data yoy'!$A:$AT,MATCH($E$1,'Data yoy'!$A$1:$AT$1,),)</f>
        <v>3.1568050909999998</v>
      </c>
      <c r="F15" s="27">
        <f>VLOOKUP(B15,'Data yoy'!$A:$AT,MATCH($F$1,'Data yoy'!$A$1:$AT$1,),)</f>
        <v>2.219415599</v>
      </c>
      <c r="G15" s="27">
        <f>VLOOKUP(B15,'Data yoy'!$A:$AT,MATCH($G$1,'Data yoy'!$A$1:$AT$1,),)</f>
        <v>2.508870736</v>
      </c>
      <c r="H15" s="27">
        <f>VLOOKUP(B15,'Data yoy'!$A:$AT,MATCH($H$1,'Data yoy'!$A$1:$AT$1,),)</f>
        <v>3.003744969</v>
      </c>
      <c r="I15" s="27">
        <f>VLOOKUP(B15,'Data yoy'!$A:$AT,MATCH($I$1,'Data yoy'!$A$1:$AT$1,),)</f>
        <v>2.3177194289999998</v>
      </c>
      <c r="J15" s="27">
        <f>VLOOKUP(B15,'Data yoy'!$A:$AT,MATCH($J$1,'Data yoy'!$A$1:$AT$1,),)</f>
        <v>3.4188352690000001</v>
      </c>
      <c r="K15" s="27">
        <f>VLOOKUP(B15,'Data yoy'!$A:$AT,MATCH($K$1,'Data yoy'!$A$1:$AT$1,),)</f>
        <v>4.4974332270000001</v>
      </c>
      <c r="L15" s="27">
        <f>VLOOKUP(B15,'Data yoy'!$A:$AT,MATCH($L$1,'Data yoy'!$A$1:$AT$1,),)</f>
        <v>3.401905105</v>
      </c>
      <c r="M15" s="27">
        <f>VLOOKUP(B15,'Data yoy'!$A:$AT,MATCH($M$1,'Data yoy'!$A$1:$AT$1,),)</f>
        <v>1.670795206</v>
      </c>
      <c r="N15" s="27">
        <f>VLOOKUP(B15,'Data yoy'!$A:$AT,MATCH($N$1,'Data yoy'!$A$1:$AT$1,),)</f>
        <v>0</v>
      </c>
      <c r="O15" s="27">
        <f>VLOOKUP(B15,'Data yoy'!$A:$AT,MATCH($C$1,'Data yoy'!$J$1:$AT$1,),)</f>
        <v>3.3883473799999999</v>
      </c>
      <c r="P15" s="27">
        <f>VLOOKUP(B15,'Data yoy'!$A:$AT,MATCH($P$1,'Data yoy'!$A$1:$AT$1,),)</f>
        <v>2.9349821249999999</v>
      </c>
      <c r="Q15" s="27">
        <f>VLOOKUP(B15,'Data yoy'!$A:$AT,MATCH($Q$1,'Data yoy'!$A$1:$AT$1,),)</f>
        <v>1.7634015729999999</v>
      </c>
      <c r="R15" s="27">
        <f>VLOOKUP(B15,'Data yoy'!$A:$AT,MATCH($E$1,'Data yoy'!$A$1:$AT$1,),)</f>
        <v>3.1568050909999998</v>
      </c>
      <c r="S15" s="27">
        <f>VLOOKUP(B15,'Data yoy'!$A:$AT,MATCH($S$1,'Data yoy'!$A$1:$AT$1,),)</f>
        <v>5.0579225250000004</v>
      </c>
      <c r="T15" s="27">
        <f>VLOOKUP(B15,'Data yoy'!$A:$AT,MATCH($T$1,'Data yoy'!$A$1:$AT$1,),)</f>
        <v>4.2389125249999999</v>
      </c>
      <c r="U15" s="27">
        <f>VLOOKUP(B15,'Data yoy'!$A:$AT,MATCH($U$1,'Data yoy'!$A$1:$AT$1,),)</f>
        <v>5.5570850160000003</v>
      </c>
      <c r="V15" s="27">
        <f>VLOOKUP(B15,'Data yoy'!$A:$AT,MATCH($V$1,'Data yoy'!$A$1:$AT$1,),)</f>
        <v>8.1449401679999998</v>
      </c>
      <c r="W15" s="27">
        <f>VLOOKUP(B15,'Data yoy'!$A:$AT,MATCH($W$1,'Data yoy'!$A$1:$AT$1,),)</f>
        <v>1.4738609680000001</v>
      </c>
      <c r="X15" s="27">
        <f>VLOOKUP(B15,'Data yoy'!$A:$AT,MATCH($X$1,'Data yoy'!$A$1:$AT$1,),)</f>
        <v>4.0178279679999997</v>
      </c>
      <c r="Y15" s="27">
        <f>VLOOKUP(B15,'Data yoy'!$A:$AT,MATCH($Y$1,'Data yoy'!$A$1:$AT$1,),)</f>
        <v>3.1653903990000001</v>
      </c>
      <c r="Z15" s="27">
        <f>VLOOKUP(B15,'Data yoy'!$A:$AU,MATCH($Z$1,'Data yoy'!$A$1:$AU$1,),)</f>
        <v>-1.397726021</v>
      </c>
      <c r="AA15" s="27" t="e">
        <f>VLOOKUP(C15,'Data yoy'!$A:$AU,MATCH($Z$1,'Data yoy'!$A$1:$AU$1,),)</f>
        <v>#N/A</v>
      </c>
      <c r="AB15" s="1"/>
      <c r="AC15" s="28" t="str">
        <f t="shared" si="10"/>
        <v>2001-Q1</v>
      </c>
      <c r="AD15" s="29">
        <f t="shared" si="8"/>
        <v>2.3177194289999998</v>
      </c>
      <c r="AE15" s="29">
        <f t="shared" si="9"/>
        <v>3.1568050909999998</v>
      </c>
    </row>
    <row r="16" spans="2:34" hidden="1" x14ac:dyDescent="0.2">
      <c r="B16" s="26" t="s">
        <v>265</v>
      </c>
      <c r="C16" s="27">
        <f>VLOOKUP(B16,'Data yoy'!$A:$AT,MATCH($C$1,'Data yoy'!$A$1:$AT$1,),)</f>
        <v>0.99193295699999995</v>
      </c>
      <c r="D16" s="27">
        <f>VLOOKUP(B16,'Data yoy'!$A:$AT,MATCH($D$1,'Data yoy'!$A$1:$AT$1,),)</f>
        <v>8.6</v>
      </c>
      <c r="E16" s="27">
        <f>VLOOKUP(B16,'Data yoy'!$A:$AT,MATCH($E$1,'Data yoy'!$A$1:$AT$1,),)</f>
        <v>2.3436164540000002</v>
      </c>
      <c r="F16" s="27">
        <f>VLOOKUP(B16,'Data yoy'!$A:$AT,MATCH($F$1,'Data yoy'!$A$1:$AT$1,),)</f>
        <v>0.98176432999999996</v>
      </c>
      <c r="G16" s="27">
        <f>VLOOKUP(B16,'Data yoy'!$A:$AT,MATCH($G$1,'Data yoy'!$A$1:$AT$1,),)</f>
        <v>1.614648595</v>
      </c>
      <c r="H16" s="27">
        <f>VLOOKUP(B16,'Data yoy'!$A:$AT,MATCH($H$1,'Data yoy'!$A$1:$AT$1,),)</f>
        <v>2.1866860099999998</v>
      </c>
      <c r="I16" s="27">
        <f>VLOOKUP(B16,'Data yoy'!$A:$AT,MATCH($I$1,'Data yoy'!$A$1:$AT$1,),)</f>
        <v>2.4868631950000002</v>
      </c>
      <c r="J16" s="27">
        <f>VLOOKUP(B16,'Data yoy'!$A:$AT,MATCH($J$1,'Data yoy'!$A$1:$AT$1,),)</f>
        <v>2.3519833960000001</v>
      </c>
      <c r="K16" s="27">
        <f>VLOOKUP(B16,'Data yoy'!$A:$AT,MATCH($K$1,'Data yoy'!$A$1:$AT$1,),)</f>
        <v>3.9678712649999999</v>
      </c>
      <c r="L16" s="27">
        <f>VLOOKUP(B16,'Data yoy'!$A:$AT,MATCH($L$1,'Data yoy'!$A$1:$AT$1,),)</f>
        <v>0.88913648999999995</v>
      </c>
      <c r="M16" s="27">
        <f>VLOOKUP(B16,'Data yoy'!$A:$AT,MATCH($M$1,'Data yoy'!$A$1:$AT$1,),)</f>
        <v>-0.37547730099999999</v>
      </c>
      <c r="N16" s="27">
        <f>VLOOKUP(B16,'Data yoy'!$A:$AT,MATCH($N$1,'Data yoy'!$A$1:$AT$1,),)</f>
        <v>0</v>
      </c>
      <c r="O16" s="27">
        <f>VLOOKUP(B16,'Data yoy'!$A:$AT,MATCH($C$1,'Data yoy'!$J$1:$AT$1,),)</f>
        <v>2.7634846720000001</v>
      </c>
      <c r="P16" s="27">
        <f>VLOOKUP(B16,'Data yoy'!$A:$AT,MATCH($P$1,'Data yoy'!$A$1:$AT$1,),)</f>
        <v>2.0000249349999999</v>
      </c>
      <c r="Q16" s="27">
        <f>VLOOKUP(B16,'Data yoy'!$A:$AT,MATCH($Q$1,'Data yoy'!$A$1:$AT$1,),)</f>
        <v>1.667127263</v>
      </c>
      <c r="R16" s="27">
        <f>VLOOKUP(B16,'Data yoy'!$A:$AT,MATCH($E$1,'Data yoy'!$A$1:$AT$1,),)</f>
        <v>2.3436164540000002</v>
      </c>
      <c r="S16" s="27">
        <f>VLOOKUP(B16,'Data yoy'!$A:$AT,MATCH($S$1,'Data yoy'!$A$1:$AT$1,),)</f>
        <v>5.0230569850000002</v>
      </c>
      <c r="T16" s="27">
        <f>VLOOKUP(B16,'Data yoy'!$A:$AT,MATCH($T$1,'Data yoy'!$A$1:$AT$1,),)</f>
        <v>2.2950973170000002</v>
      </c>
      <c r="U16" s="27">
        <f>VLOOKUP(B16,'Data yoy'!$A:$AT,MATCH($U$1,'Data yoy'!$A$1:$AT$1,),)</f>
        <v>4.3170669449999997</v>
      </c>
      <c r="V16" s="27">
        <f>VLOOKUP(B16,'Data yoy'!$A:$AT,MATCH($V$1,'Data yoy'!$A$1:$AT$1,),)</f>
        <v>6.260847772</v>
      </c>
      <c r="W16" s="27">
        <f>VLOOKUP(B16,'Data yoy'!$A:$AT,MATCH($W$1,'Data yoy'!$A$1:$AT$1,),)</f>
        <v>-7.0600679099999999</v>
      </c>
      <c r="X16" s="27">
        <f>VLOOKUP(B16,'Data yoy'!$A:$AT,MATCH($X$1,'Data yoy'!$A$1:$AT$1,),)</f>
        <v>3.2293324019999998</v>
      </c>
      <c r="Y16" s="27">
        <f>VLOOKUP(B16,'Data yoy'!$A:$AT,MATCH($Y$1,'Data yoy'!$A$1:$AT$1,),)</f>
        <v>1.4756068229999999</v>
      </c>
      <c r="Z16" s="27">
        <f>VLOOKUP(B16,'Data yoy'!$A:$AU,MATCH($Z$1,'Data yoy'!$A$1:$AU$1,),)</f>
        <v>-0.61697928899999999</v>
      </c>
      <c r="AA16" s="27" t="e">
        <f>VLOOKUP(C16,'Data yoy'!$A:$AU,MATCH($Z$1,'Data yoy'!$A$1:$AU$1,),)</f>
        <v>#N/A</v>
      </c>
      <c r="AB16" s="1"/>
      <c r="AC16" s="28" t="str">
        <f t="shared" si="10"/>
        <v>2001-Q2</v>
      </c>
      <c r="AD16" s="29">
        <f t="shared" si="8"/>
        <v>2.4868631950000002</v>
      </c>
      <c r="AE16" s="29">
        <f t="shared" si="9"/>
        <v>2.3436164540000002</v>
      </c>
    </row>
    <row r="17" spans="2:31" hidden="1" x14ac:dyDescent="0.2">
      <c r="B17" s="26" t="s">
        <v>266</v>
      </c>
      <c r="C17" s="27">
        <f>VLOOKUP(B17,'Data yoy'!$A:$AT,MATCH($C$1,'Data yoy'!$A$1:$AT$1,),)</f>
        <v>0.48735236700000001</v>
      </c>
      <c r="D17" s="27">
        <f>VLOOKUP(B17,'Data yoy'!$A:$AT,MATCH($D$1,'Data yoy'!$A$1:$AT$1,),)</f>
        <v>8</v>
      </c>
      <c r="E17" s="27">
        <f>VLOOKUP(B17,'Data yoy'!$A:$AT,MATCH($E$1,'Data yoy'!$A$1:$AT$1,),)</f>
        <v>1.9043159620000001</v>
      </c>
      <c r="F17" s="27">
        <f>VLOOKUP(B17,'Data yoy'!$A:$AT,MATCH($F$1,'Data yoy'!$A$1:$AT$1,),)</f>
        <v>-0.13967662</v>
      </c>
      <c r="G17" s="27">
        <f>VLOOKUP(B17,'Data yoy'!$A:$AT,MATCH($G$1,'Data yoy'!$A$1:$AT$1,),)</f>
        <v>1.473312741</v>
      </c>
      <c r="H17" s="27">
        <f>VLOOKUP(B17,'Data yoy'!$A:$AT,MATCH($H$1,'Data yoy'!$A$1:$AT$1,),)</f>
        <v>1.8331006729999999</v>
      </c>
      <c r="I17" s="27">
        <f>VLOOKUP(B17,'Data yoy'!$A:$AT,MATCH($I$1,'Data yoy'!$A$1:$AT$1,),)</f>
        <v>2.9754544599999999</v>
      </c>
      <c r="J17" s="27">
        <f>VLOOKUP(B17,'Data yoy'!$A:$AT,MATCH($J$1,'Data yoy'!$A$1:$AT$1,),)</f>
        <v>1.464158954</v>
      </c>
      <c r="K17" s="27">
        <f>VLOOKUP(B17,'Data yoy'!$A:$AT,MATCH($K$1,'Data yoy'!$A$1:$AT$1,),)</f>
        <v>3.8164644089999999</v>
      </c>
      <c r="L17" s="27">
        <f>VLOOKUP(B17,'Data yoy'!$A:$AT,MATCH($L$1,'Data yoy'!$A$1:$AT$1,),)</f>
        <v>0.45639417199999999</v>
      </c>
      <c r="M17" s="27">
        <f>VLOOKUP(B17,'Data yoy'!$A:$AT,MATCH($M$1,'Data yoy'!$A$1:$AT$1,),)</f>
        <v>-1.1167897010000001</v>
      </c>
      <c r="N17" s="27">
        <f>VLOOKUP(B17,'Data yoy'!$A:$AT,MATCH($N$1,'Data yoy'!$A$1:$AT$1,),)</f>
        <v>0</v>
      </c>
      <c r="O17" s="27">
        <f>VLOOKUP(B17,'Data yoy'!$A:$AT,MATCH($C$1,'Data yoy'!$J$1:$AT$1,),)</f>
        <v>2.0995866950000002</v>
      </c>
      <c r="P17" s="27">
        <f>VLOOKUP(B17,'Data yoy'!$A:$AT,MATCH($P$1,'Data yoy'!$A$1:$AT$1,),)</f>
        <v>0.90588392600000001</v>
      </c>
      <c r="Q17" s="27">
        <f>VLOOKUP(B17,'Data yoy'!$A:$AT,MATCH($Q$1,'Data yoy'!$A$1:$AT$1,),)</f>
        <v>2.698239214</v>
      </c>
      <c r="R17" s="27">
        <f>VLOOKUP(B17,'Data yoy'!$A:$AT,MATCH($E$1,'Data yoy'!$A$1:$AT$1,),)</f>
        <v>1.9043159620000001</v>
      </c>
      <c r="S17" s="27">
        <f>VLOOKUP(B17,'Data yoy'!$A:$AT,MATCH($S$1,'Data yoy'!$A$1:$AT$1,),)</f>
        <v>3.5876551980000002</v>
      </c>
      <c r="T17" s="27">
        <f>VLOOKUP(B17,'Data yoy'!$A:$AT,MATCH($T$1,'Data yoy'!$A$1:$AT$1,),)</f>
        <v>0.57705194199999998</v>
      </c>
      <c r="U17" s="27">
        <f>VLOOKUP(B17,'Data yoy'!$A:$AT,MATCH($U$1,'Data yoy'!$A$1:$AT$1,),)</f>
        <v>4.0643412909999999</v>
      </c>
      <c r="V17" s="27">
        <f>VLOOKUP(B17,'Data yoy'!$A:$AT,MATCH($V$1,'Data yoy'!$A$1:$AT$1,),)</f>
        <v>3.7904521010000001</v>
      </c>
      <c r="W17" s="27">
        <f>VLOOKUP(B17,'Data yoy'!$A:$AT,MATCH($W$1,'Data yoy'!$A$1:$AT$1,),)</f>
        <v>-7.2775891540000002</v>
      </c>
      <c r="X17" s="27">
        <f>VLOOKUP(B17,'Data yoy'!$A:$AT,MATCH($X$1,'Data yoy'!$A$1:$AT$1,),)</f>
        <v>2.3498407960000001</v>
      </c>
      <c r="Y17" s="27">
        <f>VLOOKUP(B17,'Data yoy'!$A:$AT,MATCH($Y$1,'Data yoy'!$A$1:$AT$1,),)</f>
        <v>1.875557954</v>
      </c>
      <c r="Z17" s="27">
        <f>VLOOKUP(B17,'Data yoy'!$A:$AU,MATCH($Z$1,'Data yoy'!$A$1:$AU$1,),)</f>
        <v>-4.9917471659999997</v>
      </c>
      <c r="AA17" s="27" t="e">
        <f>VLOOKUP(C17,'Data yoy'!$A:$AU,MATCH($Z$1,'Data yoy'!$A$1:$AU$1,),)</f>
        <v>#N/A</v>
      </c>
      <c r="AB17" s="1"/>
      <c r="AC17" s="28" t="str">
        <f t="shared" si="10"/>
        <v>2001-Q3</v>
      </c>
      <c r="AD17" s="29">
        <f t="shared" si="8"/>
        <v>2.9754544599999999</v>
      </c>
      <c r="AE17" s="29">
        <f t="shared" si="9"/>
        <v>1.9043159620000001</v>
      </c>
    </row>
    <row r="18" spans="2:31" hidden="1" x14ac:dyDescent="0.2">
      <c r="B18" s="26" t="s">
        <v>267</v>
      </c>
      <c r="C18" s="27">
        <f>VLOOKUP(B18,'Data yoy'!$A:$AT,MATCH($C$1,'Data yoy'!$A$1:$AT$1,),)</f>
        <v>0.170642236</v>
      </c>
      <c r="D18" s="27">
        <f>VLOOKUP(B18,'Data yoy'!$A:$AT,MATCH($D$1,'Data yoy'!$A$1:$AT$1,),)</f>
        <v>7.5</v>
      </c>
      <c r="E18" s="27">
        <f>VLOOKUP(B18,'Data yoy'!$A:$AT,MATCH($E$1,'Data yoy'!$A$1:$AT$1,),)</f>
        <v>1.357495297</v>
      </c>
      <c r="F18" s="27">
        <f>VLOOKUP(B18,'Data yoy'!$A:$AT,MATCH($F$1,'Data yoy'!$A$1:$AT$1,),)</f>
        <v>-1.44013357</v>
      </c>
      <c r="G18" s="27">
        <f>VLOOKUP(B18,'Data yoy'!$A:$AT,MATCH($G$1,'Data yoy'!$A$1:$AT$1,),)</f>
        <v>1.6674100940000001</v>
      </c>
      <c r="H18" s="27">
        <f>VLOOKUP(B18,'Data yoy'!$A:$AT,MATCH($H$1,'Data yoy'!$A$1:$AT$1,),)</f>
        <v>1.0294780450000001</v>
      </c>
      <c r="I18" s="27">
        <f>VLOOKUP(B18,'Data yoy'!$A:$AT,MATCH($I$1,'Data yoy'!$A$1:$AT$1,),)</f>
        <v>3.1356977619999999</v>
      </c>
      <c r="J18" s="27">
        <f>VLOOKUP(B18,'Data yoy'!$A:$AT,MATCH($J$1,'Data yoy'!$A$1:$AT$1,),)</f>
        <v>-7.0844377E-2</v>
      </c>
      <c r="K18" s="27">
        <f>VLOOKUP(B18,'Data yoy'!$A:$AT,MATCH($K$1,'Data yoy'!$A$1:$AT$1,),)</f>
        <v>3.4685902130000001</v>
      </c>
      <c r="L18" s="27">
        <f>VLOOKUP(B18,'Data yoy'!$A:$AT,MATCH($L$1,'Data yoy'!$A$1:$AT$1,),)</f>
        <v>1.642938829</v>
      </c>
      <c r="M18" s="27">
        <f>VLOOKUP(B18,'Data yoy'!$A:$AT,MATCH($M$1,'Data yoy'!$A$1:$AT$1,),)</f>
        <v>-0.92582115600000003</v>
      </c>
      <c r="N18" s="27">
        <f>VLOOKUP(B18,'Data yoy'!$A:$AT,MATCH($N$1,'Data yoy'!$A$1:$AT$1,),)</f>
        <v>0</v>
      </c>
      <c r="O18" s="27">
        <f>VLOOKUP(B18,'Data yoy'!$A:$AT,MATCH($C$1,'Data yoy'!$J$1:$AT$1,),)</f>
        <v>1.1146564859999999</v>
      </c>
      <c r="P18" s="27">
        <f>VLOOKUP(B18,'Data yoy'!$A:$AT,MATCH($P$1,'Data yoy'!$A$1:$AT$1,),)</f>
        <v>1.346715383</v>
      </c>
      <c r="Q18" s="27">
        <f>VLOOKUP(B18,'Data yoy'!$A:$AT,MATCH($Q$1,'Data yoy'!$A$1:$AT$1,),)</f>
        <v>4.3200647849999996</v>
      </c>
      <c r="R18" s="27">
        <f>VLOOKUP(B18,'Data yoy'!$A:$AT,MATCH($E$1,'Data yoy'!$A$1:$AT$1,),)</f>
        <v>1.357495297</v>
      </c>
      <c r="S18" s="27">
        <f>VLOOKUP(B18,'Data yoy'!$A:$AT,MATCH($S$1,'Data yoy'!$A$1:$AT$1,),)</f>
        <v>5.7566119650000003</v>
      </c>
      <c r="T18" s="27">
        <f>VLOOKUP(B18,'Data yoy'!$A:$AT,MATCH($T$1,'Data yoy'!$A$1:$AT$1,),)</f>
        <v>-0.93854807799999995</v>
      </c>
      <c r="U18" s="27">
        <f>VLOOKUP(B18,'Data yoy'!$A:$AT,MATCH($U$1,'Data yoy'!$A$1:$AT$1,),)</f>
        <v>2.8802126440000002</v>
      </c>
      <c r="V18" s="27">
        <f>VLOOKUP(B18,'Data yoy'!$A:$AT,MATCH($V$1,'Data yoy'!$A$1:$AT$1,),)</f>
        <v>4.9024199140000002</v>
      </c>
      <c r="W18" s="27">
        <f>VLOOKUP(B18,'Data yoy'!$A:$AT,MATCH($W$1,'Data yoy'!$A$1:$AT$1,),)</f>
        <v>-10.129126144000001</v>
      </c>
      <c r="X18" s="27">
        <f>VLOOKUP(B18,'Data yoy'!$A:$AT,MATCH($X$1,'Data yoy'!$A$1:$AT$1,),)</f>
        <v>2.5512227360000002</v>
      </c>
      <c r="Y18" s="27">
        <f>VLOOKUP(B18,'Data yoy'!$A:$AT,MATCH($Y$1,'Data yoy'!$A$1:$AT$1,),)</f>
        <v>-0.73380106300000003</v>
      </c>
      <c r="Z18" s="27">
        <f>VLOOKUP(B18,'Data yoy'!$A:$AU,MATCH($Z$1,'Data yoy'!$A$1:$AU$1,),)</f>
        <v>-10.676443041000001</v>
      </c>
      <c r="AA18" s="27" t="e">
        <f>VLOOKUP(C18,'Data yoy'!$A:$AU,MATCH($Z$1,'Data yoy'!$A$1:$AU$1,),)</f>
        <v>#N/A</v>
      </c>
      <c r="AB18" s="1"/>
      <c r="AC18" s="28" t="str">
        <f t="shared" si="10"/>
        <v>2001-Q4</v>
      </c>
      <c r="AD18" s="29">
        <f t="shared" si="8"/>
        <v>3.1356977619999999</v>
      </c>
      <c r="AE18" s="29">
        <f t="shared" si="9"/>
        <v>1.357495297</v>
      </c>
    </row>
    <row r="19" spans="2:31" hidden="1" x14ac:dyDescent="0.2">
      <c r="B19" s="26" t="s">
        <v>268</v>
      </c>
      <c r="C19" s="27">
        <f>VLOOKUP(B19,'Data yoy'!$A:$AT,MATCH($C$1,'Data yoy'!$A$1:$AT$1,),)</f>
        <v>1.3288120480000001</v>
      </c>
      <c r="D19" s="27">
        <f>VLOOKUP(B19,'Data yoy'!$A:$AT,MATCH($D$1,'Data yoy'!$A$1:$AT$1,),)</f>
        <v>8.9</v>
      </c>
      <c r="E19" s="27">
        <f>VLOOKUP(B19,'Data yoy'!$A:$AT,MATCH($E$1,'Data yoy'!$A$1:$AT$1,),)</f>
        <v>0.43040231299999998</v>
      </c>
      <c r="F19" s="27">
        <f>VLOOKUP(B19,'Data yoy'!$A:$AT,MATCH($F$1,'Data yoy'!$A$1:$AT$1,),)</f>
        <v>-2.00249721</v>
      </c>
      <c r="G19" s="27">
        <f>VLOOKUP(B19,'Data yoy'!$A:$AT,MATCH($G$1,'Data yoy'!$A$1:$AT$1,),)</f>
        <v>-0.85936547900000004</v>
      </c>
      <c r="H19" s="27">
        <f>VLOOKUP(B19,'Data yoy'!$A:$AT,MATCH($H$1,'Data yoy'!$A$1:$AT$1,),)</f>
        <v>0.85732389099999995</v>
      </c>
      <c r="I19" s="27">
        <f>VLOOKUP(B19,'Data yoy'!$A:$AT,MATCH($I$1,'Data yoy'!$A$1:$AT$1,),)</f>
        <v>2.347258622</v>
      </c>
      <c r="J19" s="27">
        <f>VLOOKUP(B19,'Data yoy'!$A:$AT,MATCH($J$1,'Data yoy'!$A$1:$AT$1,),)</f>
        <v>-0.62094276999999998</v>
      </c>
      <c r="K19" s="27">
        <f>VLOOKUP(B19,'Data yoy'!$A:$AT,MATCH($K$1,'Data yoy'!$A$1:$AT$1,),)</f>
        <v>2.81718344</v>
      </c>
      <c r="L19" s="27">
        <f>VLOOKUP(B19,'Data yoy'!$A:$AT,MATCH($L$1,'Data yoy'!$A$1:$AT$1,),)</f>
        <v>1.107200231</v>
      </c>
      <c r="M19" s="27">
        <f>VLOOKUP(B19,'Data yoy'!$A:$AT,MATCH($M$1,'Data yoy'!$A$1:$AT$1,),)</f>
        <v>-1.6566977119999999</v>
      </c>
      <c r="N19" s="27">
        <f>VLOOKUP(B19,'Data yoy'!$A:$AT,MATCH($N$1,'Data yoy'!$A$1:$AT$1,),)</f>
        <v>0</v>
      </c>
      <c r="O19" s="27">
        <f>VLOOKUP(B19,'Data yoy'!$A:$AT,MATCH($C$1,'Data yoy'!$J$1:$AT$1,),)</f>
        <v>0.38873254600000001</v>
      </c>
      <c r="P19" s="27">
        <f>VLOOKUP(B19,'Data yoy'!$A:$AT,MATCH($P$1,'Data yoy'!$A$1:$AT$1,),)</f>
        <v>2.309048819</v>
      </c>
      <c r="Q19" s="27">
        <f>VLOOKUP(B19,'Data yoy'!$A:$AT,MATCH($Q$1,'Data yoy'!$A$1:$AT$1,),)</f>
        <v>4.0511836649999999</v>
      </c>
      <c r="R19" s="27">
        <f>VLOOKUP(B19,'Data yoy'!$A:$AT,MATCH($E$1,'Data yoy'!$A$1:$AT$1,),)</f>
        <v>0.43040231299999998</v>
      </c>
      <c r="S19" s="27">
        <f>VLOOKUP(B19,'Data yoy'!$A:$AT,MATCH($S$1,'Data yoy'!$A$1:$AT$1,),)</f>
        <v>7.1345765419999996</v>
      </c>
      <c r="T19" s="27">
        <f>VLOOKUP(B19,'Data yoy'!$A:$AT,MATCH($T$1,'Data yoy'!$A$1:$AT$1,),)</f>
        <v>0.99504832600000004</v>
      </c>
      <c r="U19" s="27">
        <f>VLOOKUP(B19,'Data yoy'!$A:$AT,MATCH($U$1,'Data yoy'!$A$1:$AT$1,),)</f>
        <v>2.4525552749999999</v>
      </c>
      <c r="V19" s="27">
        <f>VLOOKUP(B19,'Data yoy'!$A:$AT,MATCH($V$1,'Data yoy'!$A$1:$AT$1,),)</f>
        <v>5.3943320200000002</v>
      </c>
      <c r="W19" s="27">
        <f>VLOOKUP(B19,'Data yoy'!$A:$AT,MATCH($W$1,'Data yoy'!$A$1:$AT$1,),)</f>
        <v>-1.6959707850000001</v>
      </c>
      <c r="X19" s="27">
        <f>VLOOKUP(B19,'Data yoy'!$A:$AT,MATCH($X$1,'Data yoy'!$A$1:$AT$1,),)</f>
        <v>1.255544526</v>
      </c>
      <c r="Y19" s="27">
        <f>VLOOKUP(B19,'Data yoy'!$A:$AT,MATCH($Y$1,'Data yoy'!$A$1:$AT$1,),)</f>
        <v>0.83577034500000003</v>
      </c>
      <c r="Z19" s="27">
        <f>VLOOKUP(B19,'Data yoy'!$A:$AU,MATCH($Z$1,'Data yoy'!$A$1:$AU$1,),)</f>
        <v>-15.219743824</v>
      </c>
      <c r="AA19" s="27" t="e">
        <f>VLOOKUP(C19,'Data yoy'!$A:$AU,MATCH($Z$1,'Data yoy'!$A$1:$AU$1,),)</f>
        <v>#N/A</v>
      </c>
      <c r="AB19" s="1"/>
      <c r="AC19" s="28" t="str">
        <f t="shared" si="10"/>
        <v>2002-Q1</v>
      </c>
      <c r="AD19" s="29">
        <f t="shared" si="8"/>
        <v>2.347258622</v>
      </c>
      <c r="AE19" s="29">
        <f t="shared" si="9"/>
        <v>0.43040231299999998</v>
      </c>
    </row>
    <row r="20" spans="2:31" hidden="1" x14ac:dyDescent="0.2">
      <c r="B20" s="26" t="s">
        <v>269</v>
      </c>
      <c r="C20" s="27">
        <f>VLOOKUP(B20,'Data yoy'!$A:$AT,MATCH($C$1,'Data yoy'!$A$1:$AT$1,),)</f>
        <v>1.3228839020000001</v>
      </c>
      <c r="D20" s="27">
        <f>VLOOKUP(B20,'Data yoy'!$A:$AT,MATCH($D$1,'Data yoy'!$A$1:$AT$1,),)</f>
        <v>8.8000000000000007</v>
      </c>
      <c r="E20" s="27">
        <f>VLOOKUP(B20,'Data yoy'!$A:$AT,MATCH($E$1,'Data yoy'!$A$1:$AT$1,),)</f>
        <v>0.86412026399999997</v>
      </c>
      <c r="F20" s="27">
        <f>VLOOKUP(B20,'Data yoy'!$A:$AT,MATCH($F$1,'Data yoy'!$A$1:$AT$1,),)</f>
        <v>-0.46144170400000001</v>
      </c>
      <c r="G20" s="27">
        <f>VLOOKUP(B20,'Data yoy'!$A:$AT,MATCH($G$1,'Data yoy'!$A$1:$AT$1,),)</f>
        <v>-0.36021390199999997</v>
      </c>
      <c r="H20" s="27">
        <f>VLOOKUP(B20,'Data yoy'!$A:$AT,MATCH($H$1,'Data yoy'!$A$1:$AT$1,),)</f>
        <v>1.1334034589999999</v>
      </c>
      <c r="I20" s="27">
        <f>VLOOKUP(B20,'Data yoy'!$A:$AT,MATCH($I$1,'Data yoy'!$A$1:$AT$1,),)</f>
        <v>2.060536774</v>
      </c>
      <c r="J20" s="27">
        <f>VLOOKUP(B20,'Data yoy'!$A:$AT,MATCH($J$1,'Data yoy'!$A$1:$AT$1,),)</f>
        <v>7.4083541000000003E-2</v>
      </c>
      <c r="K20" s="27">
        <f>VLOOKUP(B20,'Data yoy'!$A:$AT,MATCH($K$1,'Data yoy'!$A$1:$AT$1,),)</f>
        <v>2.8945752659999999</v>
      </c>
      <c r="L20" s="27">
        <f>VLOOKUP(B20,'Data yoy'!$A:$AT,MATCH($L$1,'Data yoy'!$A$1:$AT$1,),)</f>
        <v>2.6895883079999998</v>
      </c>
      <c r="M20" s="27">
        <f>VLOOKUP(B20,'Data yoy'!$A:$AT,MATCH($M$1,'Data yoy'!$A$1:$AT$1,),)</f>
        <v>-0.20747877200000001</v>
      </c>
      <c r="N20" s="27">
        <f>VLOOKUP(B20,'Data yoy'!$A:$AT,MATCH($N$1,'Data yoy'!$A$1:$AT$1,),)</f>
        <v>0</v>
      </c>
      <c r="O20" s="27">
        <f>VLOOKUP(B20,'Data yoy'!$A:$AT,MATCH($C$1,'Data yoy'!$J$1:$AT$1,),)</f>
        <v>0.23151022800000001</v>
      </c>
      <c r="P20" s="27">
        <f>VLOOKUP(B20,'Data yoy'!$A:$AT,MATCH($P$1,'Data yoy'!$A$1:$AT$1,),)</f>
        <v>2.6354387780000001</v>
      </c>
      <c r="Q20" s="27">
        <f>VLOOKUP(B20,'Data yoy'!$A:$AT,MATCH($Q$1,'Data yoy'!$A$1:$AT$1,),)</f>
        <v>4.9234470249999998</v>
      </c>
      <c r="R20" s="27">
        <f>VLOOKUP(B20,'Data yoy'!$A:$AT,MATCH($E$1,'Data yoy'!$A$1:$AT$1,),)</f>
        <v>0.86412026399999997</v>
      </c>
      <c r="S20" s="27">
        <f>VLOOKUP(B20,'Data yoy'!$A:$AT,MATCH($S$1,'Data yoy'!$A$1:$AT$1,),)</f>
        <v>7.6773988439999998</v>
      </c>
      <c r="T20" s="27">
        <f>VLOOKUP(B20,'Data yoy'!$A:$AT,MATCH($T$1,'Data yoy'!$A$1:$AT$1,),)</f>
        <v>2.074531431</v>
      </c>
      <c r="U20" s="27">
        <f>VLOOKUP(B20,'Data yoy'!$A:$AT,MATCH($U$1,'Data yoy'!$A$1:$AT$1,),)</f>
        <v>5.0225698220000004</v>
      </c>
      <c r="V20" s="27">
        <f>VLOOKUP(B20,'Data yoy'!$A:$AT,MATCH($V$1,'Data yoy'!$A$1:$AT$1,),)</f>
        <v>4.3426658250000001</v>
      </c>
      <c r="W20" s="27">
        <f>VLOOKUP(B20,'Data yoy'!$A:$AT,MATCH($W$1,'Data yoy'!$A$1:$AT$1,),)</f>
        <v>7.7675409220000002</v>
      </c>
      <c r="X20" s="27">
        <f>VLOOKUP(B20,'Data yoy'!$A:$AT,MATCH($X$1,'Data yoy'!$A$1:$AT$1,),)</f>
        <v>1.4937941320000001</v>
      </c>
      <c r="Y20" s="27">
        <f>VLOOKUP(B20,'Data yoy'!$A:$AT,MATCH($Y$1,'Data yoy'!$A$1:$AT$1,),)</f>
        <v>2.2108744850000002</v>
      </c>
      <c r="Z20" s="27">
        <f>VLOOKUP(B20,'Data yoy'!$A:$AU,MATCH($Z$1,'Data yoy'!$A$1:$AU$1,),)</f>
        <v>-14.147871056</v>
      </c>
      <c r="AA20" s="27" t="e">
        <f>VLOOKUP(C20,'Data yoy'!$A:$AU,MATCH($Z$1,'Data yoy'!$A$1:$AU$1,),)</f>
        <v>#N/A</v>
      </c>
      <c r="AB20" s="1"/>
      <c r="AC20" s="28" t="str">
        <f t="shared" si="10"/>
        <v>2002-Q2</v>
      </c>
      <c r="AD20" s="29">
        <f t="shared" si="8"/>
        <v>2.060536774</v>
      </c>
      <c r="AE20" s="29">
        <f t="shared" si="9"/>
        <v>0.86412026399999997</v>
      </c>
    </row>
    <row r="21" spans="2:31" hidden="1" x14ac:dyDescent="0.2">
      <c r="B21" s="26" t="s">
        <v>270</v>
      </c>
      <c r="C21" s="27">
        <f>VLOOKUP(B21,'Data yoy'!$A:$AT,MATCH($C$1,'Data yoy'!$A$1:$AT$1,),)</f>
        <v>2.1406699900000001</v>
      </c>
      <c r="D21" s="27">
        <f>VLOOKUP(B21,'Data yoy'!$A:$AT,MATCH($D$1,'Data yoy'!$A$1:$AT$1,),)</f>
        <v>9.6</v>
      </c>
      <c r="E21" s="27">
        <f>VLOOKUP(B21,'Data yoy'!$A:$AT,MATCH($E$1,'Data yoy'!$A$1:$AT$1,),)</f>
        <v>1.1730300039999999</v>
      </c>
      <c r="F21" s="27">
        <f>VLOOKUP(B21,'Data yoy'!$A:$AT,MATCH($F$1,'Data yoy'!$A$1:$AT$1,),)</f>
        <v>0.95348010500000002</v>
      </c>
      <c r="G21" s="27">
        <f>VLOOKUP(B21,'Data yoy'!$A:$AT,MATCH($G$1,'Data yoy'!$A$1:$AT$1,),)</f>
        <v>0.29096179700000002</v>
      </c>
      <c r="H21" s="27">
        <f>VLOOKUP(B21,'Data yoy'!$A:$AT,MATCH($H$1,'Data yoy'!$A$1:$AT$1,),)</f>
        <v>1.2818037499999999</v>
      </c>
      <c r="I21" s="27">
        <f>VLOOKUP(B21,'Data yoy'!$A:$AT,MATCH($I$1,'Data yoy'!$A$1:$AT$1,),)</f>
        <v>1.9524305319999999</v>
      </c>
      <c r="J21" s="27">
        <f>VLOOKUP(B21,'Data yoy'!$A:$AT,MATCH($J$1,'Data yoy'!$A$1:$AT$1,),)</f>
        <v>0.53161172999999995</v>
      </c>
      <c r="K21" s="27">
        <f>VLOOKUP(B21,'Data yoy'!$A:$AT,MATCH($K$1,'Data yoy'!$A$1:$AT$1,),)</f>
        <v>2.5728777809999999</v>
      </c>
      <c r="L21" s="27">
        <f>VLOOKUP(B21,'Data yoy'!$A:$AT,MATCH($L$1,'Data yoy'!$A$1:$AT$1,),)</f>
        <v>2.881919473</v>
      </c>
      <c r="M21" s="27">
        <f>VLOOKUP(B21,'Data yoy'!$A:$AT,MATCH($M$1,'Data yoy'!$A$1:$AT$1,),)</f>
        <v>0.45307033899999999</v>
      </c>
      <c r="N21" s="27">
        <f>VLOOKUP(B21,'Data yoy'!$A:$AT,MATCH($N$1,'Data yoy'!$A$1:$AT$1,),)</f>
        <v>0</v>
      </c>
      <c r="O21" s="27">
        <f>VLOOKUP(B21,'Data yoy'!$A:$AT,MATCH($C$1,'Data yoy'!$J$1:$AT$1,),)</f>
        <v>0.212975631</v>
      </c>
      <c r="P21" s="27">
        <f>VLOOKUP(B21,'Data yoy'!$A:$AT,MATCH($P$1,'Data yoy'!$A$1:$AT$1,),)</f>
        <v>3.5927041059999998</v>
      </c>
      <c r="Q21" s="27">
        <f>VLOOKUP(B21,'Data yoy'!$A:$AT,MATCH($Q$1,'Data yoy'!$A$1:$AT$1,),)</f>
        <v>4.0313294190000004</v>
      </c>
      <c r="R21" s="27">
        <f>VLOOKUP(B21,'Data yoy'!$A:$AT,MATCH($E$1,'Data yoy'!$A$1:$AT$1,),)</f>
        <v>1.1730300039999999</v>
      </c>
      <c r="S21" s="27">
        <f>VLOOKUP(B21,'Data yoy'!$A:$AT,MATCH($S$1,'Data yoy'!$A$1:$AT$1,),)</f>
        <v>8.3909467919999994</v>
      </c>
      <c r="T21" s="27">
        <f>VLOOKUP(B21,'Data yoy'!$A:$AT,MATCH($T$1,'Data yoy'!$A$1:$AT$1,),)</f>
        <v>3.8399894259999998</v>
      </c>
      <c r="U21" s="27">
        <f>VLOOKUP(B21,'Data yoy'!$A:$AT,MATCH($U$1,'Data yoy'!$A$1:$AT$1,),)</f>
        <v>3.943039937</v>
      </c>
      <c r="V21" s="27">
        <f>VLOOKUP(B21,'Data yoy'!$A:$AT,MATCH($V$1,'Data yoy'!$A$1:$AT$1,),)</f>
        <v>7.2555873789999996</v>
      </c>
      <c r="W21" s="27">
        <f>VLOOKUP(B21,'Data yoy'!$A:$AT,MATCH($W$1,'Data yoy'!$A$1:$AT$1,),)</f>
        <v>7.8896032150000002</v>
      </c>
      <c r="X21" s="27">
        <f>VLOOKUP(B21,'Data yoy'!$A:$AT,MATCH($X$1,'Data yoy'!$A$1:$AT$1,),)</f>
        <v>1.519330472</v>
      </c>
      <c r="Y21" s="27">
        <f>VLOOKUP(B21,'Data yoy'!$A:$AT,MATCH($Y$1,'Data yoy'!$A$1:$AT$1,),)</f>
        <v>2.6669856329999999</v>
      </c>
      <c r="Z21" s="27">
        <f>VLOOKUP(B21,'Data yoy'!$A:$AU,MATCH($Z$1,'Data yoy'!$A$1:$AU$1,),)</f>
        <v>-9.897878081</v>
      </c>
      <c r="AA21" s="27" t="e">
        <f>VLOOKUP(C21,'Data yoy'!$A:$AU,MATCH($Z$1,'Data yoy'!$A$1:$AU$1,),)</f>
        <v>#N/A</v>
      </c>
      <c r="AB21" s="1"/>
      <c r="AC21" s="28" t="str">
        <f t="shared" si="10"/>
        <v>2002-Q3</v>
      </c>
      <c r="AD21" s="29">
        <f t="shared" si="8"/>
        <v>1.9524305319999999</v>
      </c>
      <c r="AE21" s="29">
        <f t="shared" si="9"/>
        <v>1.1730300039999999</v>
      </c>
    </row>
    <row r="22" spans="2:31" hidden="1" x14ac:dyDescent="0.2">
      <c r="B22" s="26" t="s">
        <v>271</v>
      </c>
      <c r="C22" s="27">
        <f>VLOOKUP(B22,'Data yoy'!$A:$AT,MATCH($C$1,'Data yoy'!$A$1:$AT$1,),)</f>
        <v>1.9912861850000001</v>
      </c>
      <c r="D22" s="27">
        <f>VLOOKUP(B22,'Data yoy'!$A:$AT,MATCH($D$1,'Data yoy'!$A$1:$AT$1,),)</f>
        <v>9.1</v>
      </c>
      <c r="E22" s="27">
        <f>VLOOKUP(B22,'Data yoy'!$A:$AT,MATCH($E$1,'Data yoy'!$A$1:$AT$1,),)</f>
        <v>1.1982944870000001</v>
      </c>
      <c r="F22" s="27">
        <f>VLOOKUP(B22,'Data yoy'!$A:$AT,MATCH($F$1,'Data yoy'!$A$1:$AT$1,),)</f>
        <v>1.5799042139999999</v>
      </c>
      <c r="G22" s="27">
        <f>VLOOKUP(B22,'Data yoy'!$A:$AT,MATCH($G$1,'Data yoy'!$A$1:$AT$1,),)</f>
        <v>0.26800379299999999</v>
      </c>
      <c r="H22" s="27">
        <f>VLOOKUP(B22,'Data yoy'!$A:$AT,MATCH($H$1,'Data yoy'!$A$1:$AT$1,),)</f>
        <v>1.207728951</v>
      </c>
      <c r="I22" s="27">
        <f>VLOOKUP(B22,'Data yoy'!$A:$AT,MATCH($I$1,'Data yoy'!$A$1:$AT$1,),)</f>
        <v>2.3559741999999999</v>
      </c>
      <c r="J22" s="27">
        <f>VLOOKUP(B22,'Data yoy'!$A:$AT,MATCH($J$1,'Data yoy'!$A$1:$AT$1,),)</f>
        <v>1.01869214</v>
      </c>
      <c r="K22" s="27">
        <f>VLOOKUP(B22,'Data yoy'!$A:$AT,MATCH($K$1,'Data yoy'!$A$1:$AT$1,),)</f>
        <v>2.6429937410000002</v>
      </c>
      <c r="L22" s="27">
        <f>VLOOKUP(B22,'Data yoy'!$A:$AT,MATCH($L$1,'Data yoy'!$A$1:$AT$1,),)</f>
        <v>2.1862898510000002</v>
      </c>
      <c r="M22" s="27">
        <f>VLOOKUP(B22,'Data yoy'!$A:$AT,MATCH($M$1,'Data yoy'!$A$1:$AT$1,),)</f>
        <v>1.23188681</v>
      </c>
      <c r="N22" s="27">
        <f>VLOOKUP(B22,'Data yoy'!$A:$AT,MATCH($N$1,'Data yoy'!$A$1:$AT$1,),)</f>
        <v>0</v>
      </c>
      <c r="O22" s="27">
        <f>VLOOKUP(B22,'Data yoy'!$A:$AT,MATCH($C$1,'Data yoy'!$J$1:$AT$1,),)</f>
        <v>4.0300272999999998E-2</v>
      </c>
      <c r="P22" s="27">
        <f>VLOOKUP(B22,'Data yoy'!$A:$AT,MATCH($P$1,'Data yoy'!$A$1:$AT$1,),)</f>
        <v>3.5307100930000002</v>
      </c>
      <c r="Q22" s="27">
        <f>VLOOKUP(B22,'Data yoy'!$A:$AT,MATCH($Q$1,'Data yoy'!$A$1:$AT$1,),)</f>
        <v>3.554639941</v>
      </c>
      <c r="R22" s="27">
        <f>VLOOKUP(B22,'Data yoy'!$A:$AT,MATCH($E$1,'Data yoy'!$A$1:$AT$1,),)</f>
        <v>1.1982944870000001</v>
      </c>
      <c r="S22" s="27">
        <f>VLOOKUP(B22,'Data yoy'!$A:$AT,MATCH($S$1,'Data yoy'!$A$1:$AT$1,),)</f>
        <v>7.6823850499999997</v>
      </c>
      <c r="T22" s="27">
        <f>VLOOKUP(B22,'Data yoy'!$A:$AT,MATCH($T$1,'Data yoy'!$A$1:$AT$1,),)</f>
        <v>5.2021811910000002</v>
      </c>
      <c r="U22" s="27">
        <f>VLOOKUP(B22,'Data yoy'!$A:$AT,MATCH($U$1,'Data yoy'!$A$1:$AT$1,),)</f>
        <v>4.4677284549999996</v>
      </c>
      <c r="V22" s="27">
        <f>VLOOKUP(B22,'Data yoy'!$A:$AT,MATCH($V$1,'Data yoy'!$A$1:$AT$1,),)</f>
        <v>6.5510182219999997</v>
      </c>
      <c r="W22" s="27">
        <f>VLOOKUP(B22,'Data yoy'!$A:$AT,MATCH($W$1,'Data yoy'!$A$1:$AT$1,),)</f>
        <v>12.077725729999999</v>
      </c>
      <c r="X22" s="27">
        <f>VLOOKUP(B22,'Data yoy'!$A:$AT,MATCH($X$1,'Data yoy'!$A$1:$AT$1,),)</f>
        <v>1.671351657</v>
      </c>
      <c r="Y22" s="27">
        <f>VLOOKUP(B22,'Data yoy'!$A:$AT,MATCH($Y$1,'Data yoy'!$A$1:$AT$1,),)</f>
        <v>2.4608257519999999</v>
      </c>
      <c r="Z22" s="27">
        <f>VLOOKUP(B22,'Data yoy'!$A:$AU,MATCH($Z$1,'Data yoy'!$A$1:$AU$1,),)</f>
        <v>-3.4831756490000001</v>
      </c>
      <c r="AA22" s="27" t="e">
        <f>VLOOKUP(C22,'Data yoy'!$A:$AU,MATCH($Z$1,'Data yoy'!$A$1:$AU$1,),)</f>
        <v>#N/A</v>
      </c>
      <c r="AB22" s="1"/>
      <c r="AC22" s="28" t="str">
        <f t="shared" si="10"/>
        <v>2002-Q4</v>
      </c>
      <c r="AD22" s="29">
        <f t="shared" si="8"/>
        <v>2.3559741999999999</v>
      </c>
      <c r="AE22" s="29">
        <f t="shared" si="9"/>
        <v>1.1982944870000001</v>
      </c>
    </row>
    <row r="23" spans="2:31" hidden="1" x14ac:dyDescent="0.2">
      <c r="B23" s="26" t="s">
        <v>272</v>
      </c>
      <c r="C23" s="27">
        <f>VLOOKUP(B23,'Data yoy'!$A:$AT,MATCH($C$1,'Data yoy'!$A$1:$AT$1,),)</f>
        <v>1.6761889400000001</v>
      </c>
      <c r="D23" s="27">
        <f>VLOOKUP(B23,'Data yoy'!$A:$AT,MATCH($D$1,'Data yoy'!$A$1:$AT$1,),)</f>
        <v>11.1</v>
      </c>
      <c r="E23" s="27">
        <f>VLOOKUP(B23,'Data yoy'!$A:$AT,MATCH($E$1,'Data yoy'!$A$1:$AT$1,),)</f>
        <v>0.80090738500000003</v>
      </c>
      <c r="F23" s="27">
        <f>VLOOKUP(B23,'Data yoy'!$A:$AT,MATCH($F$1,'Data yoy'!$A$1:$AT$1,),)</f>
        <v>1.4706350399999999</v>
      </c>
      <c r="G23" s="27">
        <f>VLOOKUP(B23,'Data yoy'!$A:$AT,MATCH($G$1,'Data yoy'!$A$1:$AT$1,),)</f>
        <v>-0.70573230099999995</v>
      </c>
      <c r="H23" s="27">
        <f>VLOOKUP(B23,'Data yoy'!$A:$AT,MATCH($H$1,'Data yoy'!$A$1:$AT$1,),)</f>
        <v>1.0314543359999999</v>
      </c>
      <c r="I23" s="27">
        <f>VLOOKUP(B23,'Data yoy'!$A:$AT,MATCH($I$1,'Data yoy'!$A$1:$AT$1,),)</f>
        <v>2.7156619580000001</v>
      </c>
      <c r="J23" s="27">
        <f>VLOOKUP(B23,'Data yoy'!$A:$AT,MATCH($J$1,'Data yoy'!$A$1:$AT$1,),)</f>
        <v>0.58861195399999999</v>
      </c>
      <c r="K23" s="27">
        <f>VLOOKUP(B23,'Data yoy'!$A:$AT,MATCH($K$1,'Data yoy'!$A$1:$AT$1,),)</f>
        <v>3.1593662220000001</v>
      </c>
      <c r="L23" s="27">
        <f>VLOOKUP(B23,'Data yoy'!$A:$AT,MATCH($L$1,'Data yoy'!$A$1:$AT$1,),)</f>
        <v>3.509185413</v>
      </c>
      <c r="M23" s="27">
        <f>VLOOKUP(B23,'Data yoy'!$A:$AT,MATCH($M$1,'Data yoy'!$A$1:$AT$1,),)</f>
        <v>2.1423165439999998</v>
      </c>
      <c r="N23" s="27">
        <f>VLOOKUP(B23,'Data yoy'!$A:$AT,MATCH($N$1,'Data yoy'!$A$1:$AT$1,),)</f>
        <v>0</v>
      </c>
      <c r="O23" s="27">
        <f>VLOOKUP(B23,'Data yoy'!$A:$AT,MATCH($C$1,'Data yoy'!$J$1:$AT$1,),)</f>
        <v>0.67193139499999999</v>
      </c>
      <c r="P23" s="27">
        <f>VLOOKUP(B23,'Data yoy'!$A:$AT,MATCH($P$1,'Data yoy'!$A$1:$AT$1,),)</f>
        <v>2.5810371669999999</v>
      </c>
      <c r="Q23" s="27">
        <f>VLOOKUP(B23,'Data yoy'!$A:$AT,MATCH($Q$1,'Data yoy'!$A$1:$AT$1,),)</f>
        <v>2.8800026339999998</v>
      </c>
      <c r="R23" s="27">
        <f>VLOOKUP(B23,'Data yoy'!$A:$AT,MATCH($E$1,'Data yoy'!$A$1:$AT$1,),)</f>
        <v>0.80090738500000003</v>
      </c>
      <c r="S23" s="27">
        <f>VLOOKUP(B23,'Data yoy'!$A:$AT,MATCH($S$1,'Data yoy'!$A$1:$AT$1,),)</f>
        <v>4.3182279120000002</v>
      </c>
      <c r="T23" s="27">
        <f>VLOOKUP(B23,'Data yoy'!$A:$AT,MATCH($T$1,'Data yoy'!$A$1:$AT$1,),)</f>
        <v>2.410886804</v>
      </c>
      <c r="U23" s="27">
        <f>VLOOKUP(B23,'Data yoy'!$A:$AT,MATCH($U$1,'Data yoy'!$A$1:$AT$1,),)</f>
        <v>5.7784367750000003</v>
      </c>
      <c r="V23" s="27">
        <f>VLOOKUP(B23,'Data yoy'!$A:$AT,MATCH($V$1,'Data yoy'!$A$1:$AT$1,),)</f>
        <v>3.1628617110000001</v>
      </c>
      <c r="W23" s="27">
        <f>VLOOKUP(B23,'Data yoy'!$A:$AT,MATCH($W$1,'Data yoy'!$A$1:$AT$1,),)</f>
        <v>8.0882987750000002</v>
      </c>
      <c r="X23" s="27">
        <f>VLOOKUP(B23,'Data yoy'!$A:$AT,MATCH($X$1,'Data yoy'!$A$1:$AT$1,),)</f>
        <v>2.8959249059999999</v>
      </c>
      <c r="Y23" s="27">
        <f>VLOOKUP(B23,'Data yoy'!$A:$AT,MATCH($Y$1,'Data yoy'!$A$1:$AT$1,),)</f>
        <v>2.6019154379999998</v>
      </c>
      <c r="Z23" s="27">
        <f>VLOOKUP(B23,'Data yoy'!$A:$AU,MATCH($Z$1,'Data yoy'!$A$1:$AU$1,),)</f>
        <v>5.274229353</v>
      </c>
      <c r="AA23" s="27" t="e">
        <f>VLOOKUP(C23,'Data yoy'!$A:$AU,MATCH($Z$1,'Data yoy'!$A$1:$AU$1,),)</f>
        <v>#N/A</v>
      </c>
      <c r="AB23" s="1"/>
      <c r="AC23" s="28" t="str">
        <f t="shared" si="10"/>
        <v>2003-Q1</v>
      </c>
      <c r="AD23" s="29">
        <f t="shared" si="8"/>
        <v>2.7156619580000001</v>
      </c>
      <c r="AE23" s="29">
        <f t="shared" si="9"/>
        <v>0.80090738500000003</v>
      </c>
    </row>
    <row r="24" spans="2:31" hidden="1" x14ac:dyDescent="0.2">
      <c r="B24" s="26" t="s">
        <v>273</v>
      </c>
      <c r="C24" s="27">
        <f>VLOOKUP(B24,'Data yoy'!$A:$AT,MATCH($C$1,'Data yoy'!$A$1:$AT$1,),)</f>
        <v>1.956993642</v>
      </c>
      <c r="D24" s="27">
        <f>VLOOKUP(B24,'Data yoy'!$A:$AT,MATCH($D$1,'Data yoy'!$A$1:$AT$1,),)</f>
        <v>9.1</v>
      </c>
      <c r="E24" s="27">
        <f>VLOOKUP(B24,'Data yoy'!$A:$AT,MATCH($E$1,'Data yoy'!$A$1:$AT$1,),)</f>
        <v>0.35708920100000002</v>
      </c>
      <c r="F24" s="27">
        <f>VLOOKUP(B24,'Data yoy'!$A:$AT,MATCH($F$1,'Data yoy'!$A$1:$AT$1,),)</f>
        <v>1.347739708</v>
      </c>
      <c r="G24" s="27">
        <f>VLOOKUP(B24,'Data yoy'!$A:$AT,MATCH($G$1,'Data yoy'!$A$1:$AT$1,),)</f>
        <v>-1.029136139</v>
      </c>
      <c r="H24" s="27">
        <f>VLOOKUP(B24,'Data yoy'!$A:$AT,MATCH($H$1,'Data yoy'!$A$1:$AT$1,),)</f>
        <v>0.35201381700000001</v>
      </c>
      <c r="I24" s="27">
        <f>VLOOKUP(B24,'Data yoy'!$A:$AT,MATCH($I$1,'Data yoy'!$A$1:$AT$1,),)</f>
        <v>3.1478136480000001</v>
      </c>
      <c r="J24" s="27">
        <f>VLOOKUP(B24,'Data yoy'!$A:$AT,MATCH($J$1,'Data yoy'!$A$1:$AT$1,),)</f>
        <v>0.128794826</v>
      </c>
      <c r="K24" s="27">
        <f>VLOOKUP(B24,'Data yoy'!$A:$AT,MATCH($K$1,'Data yoy'!$A$1:$AT$1,),)</f>
        <v>2.8586515100000001</v>
      </c>
      <c r="L24" s="27">
        <f>VLOOKUP(B24,'Data yoy'!$A:$AT,MATCH($L$1,'Data yoy'!$A$1:$AT$1,),)</f>
        <v>1.363684734</v>
      </c>
      <c r="M24" s="27">
        <f>VLOOKUP(B24,'Data yoy'!$A:$AT,MATCH($M$1,'Data yoy'!$A$1:$AT$1,),)</f>
        <v>1.463156125</v>
      </c>
      <c r="N24" s="27">
        <f>VLOOKUP(B24,'Data yoy'!$A:$AT,MATCH($N$1,'Data yoy'!$A$1:$AT$1,),)</f>
        <v>0</v>
      </c>
      <c r="O24" s="27">
        <f>VLOOKUP(B24,'Data yoy'!$A:$AT,MATCH($C$1,'Data yoy'!$J$1:$AT$1,),)</f>
        <v>-2.3899152E-2</v>
      </c>
      <c r="P24" s="27">
        <f>VLOOKUP(B24,'Data yoy'!$A:$AT,MATCH($P$1,'Data yoy'!$A$1:$AT$1,),)</f>
        <v>1.8296107960000001</v>
      </c>
      <c r="Q24" s="27">
        <f>VLOOKUP(B24,'Data yoy'!$A:$AT,MATCH($Q$1,'Data yoy'!$A$1:$AT$1,),)</f>
        <v>1.52625034</v>
      </c>
      <c r="R24" s="27">
        <f>VLOOKUP(B24,'Data yoy'!$A:$AT,MATCH($E$1,'Data yoy'!$A$1:$AT$1,),)</f>
        <v>0.35708920100000002</v>
      </c>
      <c r="S24" s="27">
        <f>VLOOKUP(B24,'Data yoy'!$A:$AT,MATCH($S$1,'Data yoy'!$A$1:$AT$1,),)</f>
        <v>2.3035458499999999</v>
      </c>
      <c r="T24" s="27">
        <f>VLOOKUP(B24,'Data yoy'!$A:$AT,MATCH($T$1,'Data yoy'!$A$1:$AT$1,),)</f>
        <v>0.93016282299999997</v>
      </c>
      <c r="U24" s="27">
        <f>VLOOKUP(B24,'Data yoy'!$A:$AT,MATCH($U$1,'Data yoy'!$A$1:$AT$1,),)</f>
        <v>5.2951285600000002</v>
      </c>
      <c r="V24" s="27">
        <f>VLOOKUP(B24,'Data yoy'!$A:$AT,MATCH($V$1,'Data yoy'!$A$1:$AT$1,),)</f>
        <v>2.9660630459999999</v>
      </c>
      <c r="W24" s="27">
        <f>VLOOKUP(B24,'Data yoy'!$A:$AT,MATCH($W$1,'Data yoy'!$A$1:$AT$1,),)</f>
        <v>3.9642978769999999</v>
      </c>
      <c r="X24" s="27">
        <f>VLOOKUP(B24,'Data yoy'!$A:$AT,MATCH($X$1,'Data yoy'!$A$1:$AT$1,),)</f>
        <v>3.4371002869999998</v>
      </c>
      <c r="Y24" s="27">
        <f>VLOOKUP(B24,'Data yoy'!$A:$AT,MATCH($Y$1,'Data yoy'!$A$1:$AT$1,),)</f>
        <v>3.8143046040000002</v>
      </c>
      <c r="Z24" s="27">
        <f>VLOOKUP(B24,'Data yoy'!$A:$AU,MATCH($Z$1,'Data yoy'!$A$1:$AU$1,),)</f>
        <v>8.1469202010000004</v>
      </c>
      <c r="AA24" s="27" t="e">
        <f>VLOOKUP(C24,'Data yoy'!$A:$AU,MATCH($Z$1,'Data yoy'!$A$1:$AU$1,),)</f>
        <v>#N/A</v>
      </c>
      <c r="AB24" s="1"/>
      <c r="AC24" s="28" t="str">
        <f t="shared" si="10"/>
        <v>2003-Q2</v>
      </c>
      <c r="AD24" s="29">
        <f t="shared" si="8"/>
        <v>3.1478136480000001</v>
      </c>
      <c r="AE24" s="29">
        <f t="shared" si="9"/>
        <v>0.35708920100000002</v>
      </c>
    </row>
    <row r="25" spans="2:31" hidden="1" x14ac:dyDescent="0.2">
      <c r="B25" s="26" t="s">
        <v>274</v>
      </c>
      <c r="C25" s="27">
        <f>VLOOKUP(B25,'Data yoy'!$A:$AT,MATCH($C$1,'Data yoy'!$A$1:$AT$1,),)</f>
        <v>3.2399083019999999</v>
      </c>
      <c r="D25" s="27">
        <f>VLOOKUP(B25,'Data yoy'!$A:$AT,MATCH($D$1,'Data yoy'!$A$1:$AT$1,),)</f>
        <v>10</v>
      </c>
      <c r="E25" s="27">
        <f>VLOOKUP(B25,'Data yoy'!$A:$AT,MATCH($E$1,'Data yoy'!$A$1:$AT$1,),)</f>
        <v>0.48010313700000001</v>
      </c>
      <c r="F25" s="27">
        <f>VLOOKUP(B25,'Data yoy'!$A:$AT,MATCH($F$1,'Data yoy'!$A$1:$AT$1,),)</f>
        <v>1.329295007</v>
      </c>
      <c r="G25" s="27">
        <f>VLOOKUP(B25,'Data yoy'!$A:$AT,MATCH($G$1,'Data yoy'!$A$1:$AT$1,),)</f>
        <v>-0.75723085300000004</v>
      </c>
      <c r="H25" s="27">
        <f>VLOOKUP(B25,'Data yoy'!$A:$AT,MATCH($H$1,'Data yoy'!$A$1:$AT$1,),)</f>
        <v>0.60557279500000005</v>
      </c>
      <c r="I25" s="27">
        <f>VLOOKUP(B25,'Data yoy'!$A:$AT,MATCH($I$1,'Data yoy'!$A$1:$AT$1,),)</f>
        <v>3.6337842949999999</v>
      </c>
      <c r="J25" s="27">
        <f>VLOOKUP(B25,'Data yoy'!$A:$AT,MATCH($J$1,'Data yoy'!$A$1:$AT$1,),)</f>
        <v>-0.150177382</v>
      </c>
      <c r="K25" s="27">
        <f>VLOOKUP(B25,'Data yoy'!$A:$AT,MATCH($K$1,'Data yoy'!$A$1:$AT$1,),)</f>
        <v>2.9025761800000001</v>
      </c>
      <c r="L25" s="27">
        <f>VLOOKUP(B25,'Data yoy'!$A:$AT,MATCH($L$1,'Data yoy'!$A$1:$AT$1,),)</f>
        <v>2.2122489230000002</v>
      </c>
      <c r="M25" s="27">
        <f>VLOOKUP(B25,'Data yoy'!$A:$AT,MATCH($M$1,'Data yoy'!$A$1:$AT$1,),)</f>
        <v>0.77087136599999995</v>
      </c>
      <c r="N25" s="27">
        <f>VLOOKUP(B25,'Data yoy'!$A:$AT,MATCH($N$1,'Data yoy'!$A$1:$AT$1,),)</f>
        <v>0</v>
      </c>
      <c r="O25" s="27">
        <f>VLOOKUP(B25,'Data yoy'!$A:$AT,MATCH($C$1,'Data yoy'!$J$1:$AT$1,),)</f>
        <v>-9.0331270000000005E-2</v>
      </c>
      <c r="P25" s="27">
        <f>VLOOKUP(B25,'Data yoy'!$A:$AT,MATCH($P$1,'Data yoy'!$A$1:$AT$1,),)</f>
        <v>1.3331146899999999</v>
      </c>
      <c r="Q25" s="27">
        <f>VLOOKUP(B25,'Data yoy'!$A:$AT,MATCH($Q$1,'Data yoy'!$A$1:$AT$1,),)</f>
        <v>2.8785800730000002</v>
      </c>
      <c r="R25" s="27">
        <f>VLOOKUP(B25,'Data yoy'!$A:$AT,MATCH($E$1,'Data yoy'!$A$1:$AT$1,),)</f>
        <v>0.48010313700000001</v>
      </c>
      <c r="S25" s="27">
        <f>VLOOKUP(B25,'Data yoy'!$A:$AT,MATCH($S$1,'Data yoy'!$A$1:$AT$1,),)</f>
        <v>2.2141562349999999</v>
      </c>
      <c r="T25" s="27">
        <f>VLOOKUP(B25,'Data yoy'!$A:$AT,MATCH($T$1,'Data yoy'!$A$1:$AT$1,),)</f>
        <v>0.65583832099999995</v>
      </c>
      <c r="U25" s="27">
        <f>VLOOKUP(B25,'Data yoy'!$A:$AT,MATCH($U$1,'Data yoy'!$A$1:$AT$1,),)</f>
        <v>5.3477605940000004</v>
      </c>
      <c r="V25" s="27">
        <f>VLOOKUP(B25,'Data yoy'!$A:$AT,MATCH($V$1,'Data yoy'!$A$1:$AT$1,),)</f>
        <v>1.924227031</v>
      </c>
      <c r="W25" s="27">
        <f>VLOOKUP(B25,'Data yoy'!$A:$AT,MATCH($W$1,'Data yoy'!$A$1:$AT$1,),)</f>
        <v>5.4870934240000002</v>
      </c>
      <c r="X25" s="27">
        <f>VLOOKUP(B25,'Data yoy'!$A:$AT,MATCH($X$1,'Data yoy'!$A$1:$AT$1,),)</f>
        <v>3.8544160220000001</v>
      </c>
      <c r="Y25" s="27">
        <f>VLOOKUP(B25,'Data yoy'!$A:$AT,MATCH($Y$1,'Data yoy'!$A$1:$AT$1,),)</f>
        <v>3.6922032659999999</v>
      </c>
      <c r="Z25" s="27">
        <f>VLOOKUP(B25,'Data yoy'!$A:$AU,MATCH($Z$1,'Data yoy'!$A$1:$AU$1,),)</f>
        <v>10.707165721999999</v>
      </c>
      <c r="AA25" s="27" t="e">
        <f>VLOOKUP(C25,'Data yoy'!$A:$AU,MATCH($Z$1,'Data yoy'!$A$1:$AU$1,),)</f>
        <v>#N/A</v>
      </c>
      <c r="AB25" s="1"/>
      <c r="AC25" s="28" t="str">
        <f t="shared" si="10"/>
        <v>2003-Q3</v>
      </c>
      <c r="AD25" s="29">
        <f t="shared" si="8"/>
        <v>3.6337842949999999</v>
      </c>
      <c r="AE25" s="29">
        <f t="shared" si="9"/>
        <v>0.48010313700000001</v>
      </c>
    </row>
    <row r="26" spans="2:31" hidden="1" x14ac:dyDescent="0.2">
      <c r="B26" s="26" t="s">
        <v>275</v>
      </c>
      <c r="C26" s="27">
        <f>VLOOKUP(B26,'Data yoy'!$A:$AT,MATCH($C$1,'Data yoy'!$A$1:$AT$1,),)</f>
        <v>4.2950765200000003</v>
      </c>
      <c r="D26" s="27">
        <f>VLOOKUP(B26,'Data yoy'!$A:$AT,MATCH($D$1,'Data yoy'!$A$1:$AT$1,),)</f>
        <v>10</v>
      </c>
      <c r="E26" s="27">
        <f>VLOOKUP(B26,'Data yoy'!$A:$AT,MATCH($E$1,'Data yoy'!$A$1:$AT$1,),)</f>
        <v>1.0420028050000001</v>
      </c>
      <c r="F26" s="27">
        <f>VLOOKUP(B26,'Data yoy'!$A:$AT,MATCH($F$1,'Data yoy'!$A$1:$AT$1,),)</f>
        <v>2.1467319840000001</v>
      </c>
      <c r="G26" s="27">
        <f>VLOOKUP(B26,'Data yoy'!$A:$AT,MATCH($G$1,'Data yoy'!$A$1:$AT$1,),)</f>
        <v>-0.35156150899999999</v>
      </c>
      <c r="H26" s="27">
        <f>VLOOKUP(B26,'Data yoy'!$A:$AT,MATCH($H$1,'Data yoy'!$A$1:$AT$1,),)</f>
        <v>1.383196504</v>
      </c>
      <c r="I26" s="27">
        <f>VLOOKUP(B26,'Data yoy'!$A:$AT,MATCH($I$1,'Data yoy'!$A$1:$AT$1,),)</f>
        <v>3.7785716850000002</v>
      </c>
      <c r="J26" s="27">
        <f>VLOOKUP(B26,'Data yoy'!$A:$AT,MATCH($J$1,'Data yoy'!$A$1:$AT$1,),)</f>
        <v>0.32720017800000001</v>
      </c>
      <c r="K26" s="27">
        <f>VLOOKUP(B26,'Data yoy'!$A:$AT,MATCH($K$1,'Data yoy'!$A$1:$AT$1,),)</f>
        <v>3.008540784</v>
      </c>
      <c r="L26" s="27">
        <f>VLOOKUP(B26,'Data yoy'!$A:$AT,MATCH($L$1,'Data yoy'!$A$1:$AT$1,),)</f>
        <v>2.689924972</v>
      </c>
      <c r="M26" s="27">
        <f>VLOOKUP(B26,'Data yoy'!$A:$AT,MATCH($M$1,'Data yoy'!$A$1:$AT$1,),)</f>
        <v>1.5036884989999999</v>
      </c>
      <c r="N26" s="27">
        <f>VLOOKUP(B26,'Data yoy'!$A:$AT,MATCH($N$1,'Data yoy'!$A$1:$AT$1,),)</f>
        <v>0</v>
      </c>
      <c r="O26" s="27">
        <f>VLOOKUP(B26,'Data yoy'!$A:$AT,MATCH($C$1,'Data yoy'!$J$1:$AT$1,),)</f>
        <v>0.29448898000000001</v>
      </c>
      <c r="P26" s="27">
        <f>VLOOKUP(B26,'Data yoy'!$A:$AT,MATCH($P$1,'Data yoy'!$A$1:$AT$1,),)</f>
        <v>1.475555706</v>
      </c>
      <c r="Q26" s="27">
        <f>VLOOKUP(B26,'Data yoy'!$A:$AT,MATCH($Q$1,'Data yoy'!$A$1:$AT$1,),)</f>
        <v>3.8257002999999998</v>
      </c>
      <c r="R26" s="27">
        <f>VLOOKUP(B26,'Data yoy'!$A:$AT,MATCH($E$1,'Data yoy'!$A$1:$AT$1,),)</f>
        <v>1.0420028050000001</v>
      </c>
      <c r="S26" s="27">
        <f>VLOOKUP(B26,'Data yoy'!$A:$AT,MATCH($S$1,'Data yoy'!$A$1:$AT$1,),)</f>
        <v>3.7733173820000001</v>
      </c>
      <c r="T26" s="27">
        <f>VLOOKUP(B26,'Data yoy'!$A:$AT,MATCH($T$1,'Data yoy'!$A$1:$AT$1,),)</f>
        <v>0.68059496200000003</v>
      </c>
      <c r="U26" s="27">
        <f>VLOOKUP(B26,'Data yoy'!$A:$AT,MATCH($U$1,'Data yoy'!$A$1:$AT$1,),)</f>
        <v>6.7759668309999999</v>
      </c>
      <c r="V26" s="27">
        <f>VLOOKUP(B26,'Data yoy'!$A:$AT,MATCH($V$1,'Data yoy'!$A$1:$AT$1,),)</f>
        <v>6.1318057860000001</v>
      </c>
      <c r="W26" s="27">
        <f>VLOOKUP(B26,'Data yoy'!$A:$AT,MATCH($W$1,'Data yoy'!$A$1:$AT$1,),)</f>
        <v>6.405673062</v>
      </c>
      <c r="X26" s="27">
        <f>VLOOKUP(B26,'Data yoy'!$A:$AT,MATCH($X$1,'Data yoy'!$A$1:$AT$1,),)</f>
        <v>4.120358349</v>
      </c>
      <c r="Y26" s="27">
        <f>VLOOKUP(B26,'Data yoy'!$A:$AT,MATCH($Y$1,'Data yoy'!$A$1:$AT$1,),)</f>
        <v>3.884645554</v>
      </c>
      <c r="Z26" s="27">
        <f>VLOOKUP(B26,'Data yoy'!$A:$AU,MATCH($Z$1,'Data yoy'!$A$1:$AU$1,),)</f>
        <v>11.646839589000001</v>
      </c>
      <c r="AA26" s="27" t="e">
        <f>VLOOKUP(C26,'Data yoy'!$A:$AU,MATCH($Z$1,'Data yoy'!$A$1:$AU$1,),)</f>
        <v>#N/A</v>
      </c>
      <c r="AB26" s="1"/>
      <c r="AC26" s="28" t="str">
        <f t="shared" si="10"/>
        <v>2003-Q4</v>
      </c>
      <c r="AD26" s="29">
        <f t="shared" si="8"/>
        <v>3.7785716850000002</v>
      </c>
      <c r="AE26" s="29">
        <f t="shared" si="9"/>
        <v>1.0420028050000001</v>
      </c>
    </row>
    <row r="27" spans="2:31" hidden="1" x14ac:dyDescent="0.2">
      <c r="B27" s="26" t="s">
        <v>276</v>
      </c>
      <c r="C27" s="27">
        <f>VLOOKUP(B27,'Data yoy'!$A:$AT,MATCH($C$1,'Data yoy'!$A$1:$AT$1,),)</f>
        <v>4.3533820859999999</v>
      </c>
      <c r="D27" s="27">
        <f>VLOOKUP(B27,'Data yoy'!$A:$AT,MATCH($D$1,'Data yoy'!$A$1:$AT$1,),)</f>
        <v>10.6</v>
      </c>
      <c r="E27" s="27">
        <f>VLOOKUP(B27,'Data yoy'!$A:$AT,MATCH($E$1,'Data yoy'!$A$1:$AT$1,),)</f>
        <v>1.8975329599999999</v>
      </c>
      <c r="F27" s="27">
        <f>VLOOKUP(B27,'Data yoy'!$A:$AT,MATCH($F$1,'Data yoy'!$A$1:$AT$1,),)</f>
        <v>2.843187903</v>
      </c>
      <c r="G27" s="27">
        <f>VLOOKUP(B27,'Data yoy'!$A:$AT,MATCH($G$1,'Data yoy'!$A$1:$AT$1,),)</f>
        <v>0.98208276800000005</v>
      </c>
      <c r="H27" s="27">
        <f>VLOOKUP(B27,'Data yoy'!$A:$AT,MATCH($H$1,'Data yoy'!$A$1:$AT$1,),)</f>
        <v>2.1256030469999998</v>
      </c>
      <c r="I27" s="27">
        <f>VLOOKUP(B27,'Data yoy'!$A:$AT,MATCH($I$1,'Data yoy'!$A$1:$AT$1,),)</f>
        <v>3.3734996920000002</v>
      </c>
      <c r="J27" s="27">
        <f>VLOOKUP(B27,'Data yoy'!$A:$AT,MATCH($J$1,'Data yoy'!$A$1:$AT$1,),)</f>
        <v>1.1003402920000001</v>
      </c>
      <c r="K27" s="27">
        <f>VLOOKUP(B27,'Data yoy'!$A:$AT,MATCH($K$1,'Data yoy'!$A$1:$AT$1,),)</f>
        <v>2.6741176129999999</v>
      </c>
      <c r="L27" s="27">
        <f>VLOOKUP(B27,'Data yoy'!$A:$AT,MATCH($L$1,'Data yoy'!$A$1:$AT$1,),)</f>
        <v>3.3314599380000001</v>
      </c>
      <c r="M27" s="27">
        <f>VLOOKUP(B27,'Data yoy'!$A:$AT,MATCH($M$1,'Data yoy'!$A$1:$AT$1,),)</f>
        <v>2.7032661099999999</v>
      </c>
      <c r="N27" s="27">
        <f>VLOOKUP(B27,'Data yoy'!$A:$AT,MATCH($N$1,'Data yoy'!$A$1:$AT$1,),)</f>
        <v>6.6646506250000002</v>
      </c>
      <c r="O27" s="27">
        <f>VLOOKUP(B27,'Data yoy'!$A:$AT,MATCH($C$1,'Data yoy'!$J$1:$AT$1,),)</f>
        <v>1.184842103</v>
      </c>
      <c r="P27" s="27">
        <f>VLOOKUP(B27,'Data yoy'!$A:$AT,MATCH($P$1,'Data yoy'!$A$1:$AT$1,),)</f>
        <v>1.6440291789999999</v>
      </c>
      <c r="Q27" s="27">
        <f>VLOOKUP(B27,'Data yoy'!$A:$AT,MATCH($Q$1,'Data yoy'!$A$1:$AT$1,),)</f>
        <v>4.5778366650000004</v>
      </c>
      <c r="R27" s="27">
        <f>VLOOKUP(B27,'Data yoy'!$A:$AT,MATCH($E$1,'Data yoy'!$A$1:$AT$1,),)</f>
        <v>1.8975329599999999</v>
      </c>
      <c r="S27" s="27">
        <f>VLOOKUP(B27,'Data yoy'!$A:$AT,MATCH($S$1,'Data yoy'!$A$1:$AT$1,),)</f>
        <v>5.7726765809999998</v>
      </c>
      <c r="T27" s="27">
        <f>VLOOKUP(B27,'Data yoy'!$A:$AT,MATCH($T$1,'Data yoy'!$A$1:$AT$1,),)</f>
        <v>2.5284477540000001</v>
      </c>
      <c r="U27" s="27">
        <f>VLOOKUP(B27,'Data yoy'!$A:$AT,MATCH($U$1,'Data yoy'!$A$1:$AT$1,),)</f>
        <v>6.5109272929999999</v>
      </c>
      <c r="V27" s="27">
        <f>VLOOKUP(B27,'Data yoy'!$A:$AT,MATCH($V$1,'Data yoy'!$A$1:$AT$1,),)</f>
        <v>6.5034067230000003</v>
      </c>
      <c r="W27" s="27">
        <f>VLOOKUP(B27,'Data yoy'!$A:$AT,MATCH($W$1,'Data yoy'!$A$1:$AT$1,),)</f>
        <v>9.2450567899999996</v>
      </c>
      <c r="X27" s="27">
        <f>VLOOKUP(B27,'Data yoy'!$A:$AT,MATCH($X$1,'Data yoy'!$A$1:$AT$1,),)</f>
        <v>4.0132278770000003</v>
      </c>
      <c r="Y27" s="27">
        <f>VLOOKUP(B27,'Data yoy'!$A:$AT,MATCH($Y$1,'Data yoy'!$A$1:$AT$1,),)</f>
        <v>6.615217973</v>
      </c>
      <c r="Z27" s="27">
        <f>VLOOKUP(B27,'Data yoy'!$A:$AU,MATCH($Z$1,'Data yoy'!$A$1:$AU$1,),)</f>
        <v>11.194164854</v>
      </c>
      <c r="AA27" s="27" t="e">
        <f>VLOOKUP(C27,'Data yoy'!$A:$AU,MATCH($Z$1,'Data yoy'!$A$1:$AU$1,),)</f>
        <v>#N/A</v>
      </c>
      <c r="AB27" s="1"/>
      <c r="AC27" s="28" t="str">
        <f t="shared" si="10"/>
        <v>2004-Q1</v>
      </c>
      <c r="AD27" s="29">
        <f t="shared" si="8"/>
        <v>3.3734996920000002</v>
      </c>
      <c r="AE27" s="29">
        <f t="shared" si="9"/>
        <v>1.8975329599999999</v>
      </c>
    </row>
    <row r="28" spans="2:31" hidden="1" x14ac:dyDescent="0.2">
      <c r="B28" s="26" t="s">
        <v>277</v>
      </c>
      <c r="C28" s="27">
        <f>VLOOKUP(B28,'Data yoy'!$A:$AT,MATCH($C$1,'Data yoy'!$A$1:$AT$1,),)</f>
        <v>4.2348116490000001</v>
      </c>
      <c r="D28" s="27">
        <f>VLOOKUP(B28,'Data yoy'!$A:$AT,MATCH($D$1,'Data yoy'!$A$1:$AT$1,),)</f>
        <v>11.6</v>
      </c>
      <c r="E28" s="27">
        <f>VLOOKUP(B28,'Data yoy'!$A:$AT,MATCH($E$1,'Data yoy'!$A$1:$AT$1,),)</f>
        <v>2.408852827</v>
      </c>
      <c r="F28" s="27">
        <f>VLOOKUP(B28,'Data yoy'!$A:$AT,MATCH($F$1,'Data yoy'!$A$1:$AT$1,),)</f>
        <v>2.147693313</v>
      </c>
      <c r="G28" s="27">
        <f>VLOOKUP(B28,'Data yoy'!$A:$AT,MATCH($G$1,'Data yoy'!$A$1:$AT$1,),)</f>
        <v>1.3697656819999999</v>
      </c>
      <c r="H28" s="27">
        <f>VLOOKUP(B28,'Data yoy'!$A:$AT,MATCH($H$1,'Data yoy'!$A$1:$AT$1,),)</f>
        <v>3.0122486529999999</v>
      </c>
      <c r="I28" s="27">
        <f>VLOOKUP(B28,'Data yoy'!$A:$AT,MATCH($I$1,'Data yoy'!$A$1:$AT$1,),)</f>
        <v>2.815517549</v>
      </c>
      <c r="J28" s="27">
        <f>VLOOKUP(B28,'Data yoy'!$A:$AT,MATCH($J$1,'Data yoy'!$A$1:$AT$1,),)</f>
        <v>1.4607991090000001</v>
      </c>
      <c r="K28" s="27">
        <f>VLOOKUP(B28,'Data yoy'!$A:$AT,MATCH($K$1,'Data yoy'!$A$1:$AT$1,),)</f>
        <v>3.139803256</v>
      </c>
      <c r="L28" s="27">
        <f>VLOOKUP(B28,'Data yoy'!$A:$AT,MATCH($L$1,'Data yoy'!$A$1:$AT$1,),)</f>
        <v>4.3769851729999996</v>
      </c>
      <c r="M28" s="27">
        <f>VLOOKUP(B28,'Data yoy'!$A:$AT,MATCH($M$1,'Data yoy'!$A$1:$AT$1,),)</f>
        <v>4.0549290229999997</v>
      </c>
      <c r="N28" s="27">
        <f>VLOOKUP(B28,'Data yoy'!$A:$AT,MATCH($N$1,'Data yoy'!$A$1:$AT$1,),)</f>
        <v>7.5209468179999996</v>
      </c>
      <c r="O28" s="27">
        <f>VLOOKUP(B28,'Data yoy'!$A:$AT,MATCH($C$1,'Data yoy'!$J$1:$AT$1,),)</f>
        <v>2.0195915609999999</v>
      </c>
      <c r="P28" s="27">
        <f>VLOOKUP(B28,'Data yoy'!$A:$AT,MATCH($P$1,'Data yoy'!$A$1:$AT$1,),)</f>
        <v>3.0032687450000002</v>
      </c>
      <c r="Q28" s="27">
        <f>VLOOKUP(B28,'Data yoy'!$A:$AT,MATCH($Q$1,'Data yoy'!$A$1:$AT$1,),)</f>
        <v>4.9274502489999996</v>
      </c>
      <c r="R28" s="27">
        <f>VLOOKUP(B28,'Data yoy'!$A:$AT,MATCH($E$1,'Data yoy'!$A$1:$AT$1,),)</f>
        <v>2.408852827</v>
      </c>
      <c r="S28" s="27">
        <f>VLOOKUP(B28,'Data yoy'!$A:$AT,MATCH($S$1,'Data yoy'!$A$1:$AT$1,),)</f>
        <v>6.7447940510000004</v>
      </c>
      <c r="T28" s="27">
        <f>VLOOKUP(B28,'Data yoy'!$A:$AT,MATCH($T$1,'Data yoy'!$A$1:$AT$1,),)</f>
        <v>6.2667084429999997</v>
      </c>
      <c r="U28" s="27">
        <f>VLOOKUP(B28,'Data yoy'!$A:$AT,MATCH($U$1,'Data yoy'!$A$1:$AT$1,),)</f>
        <v>4.637807316</v>
      </c>
      <c r="V28" s="27">
        <f>VLOOKUP(B28,'Data yoy'!$A:$AT,MATCH($V$1,'Data yoy'!$A$1:$AT$1,),)</f>
        <v>8.3455139519999992</v>
      </c>
      <c r="W28" s="27">
        <f>VLOOKUP(B28,'Data yoy'!$A:$AT,MATCH($W$1,'Data yoy'!$A$1:$AT$1,),)</f>
        <v>11.413895422</v>
      </c>
      <c r="X28" s="27">
        <f>VLOOKUP(B28,'Data yoy'!$A:$AT,MATCH($X$1,'Data yoy'!$A$1:$AT$1,),)</f>
        <v>4.1440925289999999</v>
      </c>
      <c r="Y28" s="27">
        <f>VLOOKUP(B28,'Data yoy'!$A:$AT,MATCH($Y$1,'Data yoy'!$A$1:$AT$1,),)</f>
        <v>5.2708475119999996</v>
      </c>
      <c r="Z28" s="27">
        <f>VLOOKUP(B28,'Data yoy'!$A:$AU,MATCH($Z$1,'Data yoy'!$A$1:$AU$1,),)</f>
        <v>6.5504459480000001</v>
      </c>
      <c r="AA28" s="27" t="e">
        <f>VLOOKUP(C28,'Data yoy'!$A:$AU,MATCH($Z$1,'Data yoy'!$A$1:$AU$1,),)</f>
        <v>#N/A</v>
      </c>
      <c r="AB28" s="1"/>
      <c r="AC28" s="28" t="str">
        <f t="shared" si="10"/>
        <v>2004-Q2</v>
      </c>
      <c r="AD28" s="29">
        <f t="shared" si="8"/>
        <v>2.815517549</v>
      </c>
      <c r="AE28" s="29">
        <f t="shared" si="9"/>
        <v>2.408852827</v>
      </c>
    </row>
    <row r="29" spans="2:31" hidden="1" x14ac:dyDescent="0.2">
      <c r="B29" s="26" t="s">
        <v>278</v>
      </c>
      <c r="C29" s="27">
        <f>VLOOKUP(B29,'Data yoy'!$A:$AT,MATCH($C$1,'Data yoy'!$A$1:$AT$1,),)</f>
        <v>3.4908340689999999</v>
      </c>
      <c r="D29" s="27">
        <f>VLOOKUP(B29,'Data yoy'!$A:$AT,MATCH($D$1,'Data yoy'!$A$1:$AT$1,),)</f>
        <v>9.8000000000000007</v>
      </c>
      <c r="E29" s="27">
        <f>VLOOKUP(B29,'Data yoy'!$A:$AT,MATCH($E$1,'Data yoy'!$A$1:$AT$1,),)</f>
        <v>2.103246145</v>
      </c>
      <c r="F29" s="27">
        <f>VLOOKUP(B29,'Data yoy'!$A:$AT,MATCH($F$1,'Data yoy'!$A$1:$AT$1,),)</f>
        <v>2.4702737930000001</v>
      </c>
      <c r="G29" s="27">
        <f>VLOOKUP(B29,'Data yoy'!$A:$AT,MATCH($G$1,'Data yoy'!$A$1:$AT$1,),)</f>
        <v>0.41221011600000002</v>
      </c>
      <c r="H29" s="27">
        <f>VLOOKUP(B29,'Data yoy'!$A:$AT,MATCH($H$1,'Data yoy'!$A$1:$AT$1,),)</f>
        <v>2.5900365070000002</v>
      </c>
      <c r="I29" s="27">
        <f>VLOOKUP(B29,'Data yoy'!$A:$AT,MATCH($I$1,'Data yoy'!$A$1:$AT$1,),)</f>
        <v>1.839990332</v>
      </c>
      <c r="J29" s="27">
        <f>VLOOKUP(B29,'Data yoy'!$A:$AT,MATCH($J$1,'Data yoy'!$A$1:$AT$1,),)</f>
        <v>1.4994798629999999</v>
      </c>
      <c r="K29" s="27">
        <f>VLOOKUP(B29,'Data yoy'!$A:$AT,MATCH($K$1,'Data yoy'!$A$1:$AT$1,),)</f>
        <v>3.4277161139999999</v>
      </c>
      <c r="L29" s="27">
        <f>VLOOKUP(B29,'Data yoy'!$A:$AT,MATCH($L$1,'Data yoy'!$A$1:$AT$1,),)</f>
        <v>3.7033121329999998</v>
      </c>
      <c r="M29" s="27">
        <f>VLOOKUP(B29,'Data yoy'!$A:$AT,MATCH($M$1,'Data yoy'!$A$1:$AT$1,),)</f>
        <v>3.921808161</v>
      </c>
      <c r="N29" s="27">
        <f>VLOOKUP(B29,'Data yoy'!$A:$AT,MATCH($N$1,'Data yoy'!$A$1:$AT$1,),)</f>
        <v>7.3373553889999998</v>
      </c>
      <c r="O29" s="27">
        <f>VLOOKUP(B29,'Data yoy'!$A:$AT,MATCH($C$1,'Data yoy'!$J$1:$AT$1,),)</f>
        <v>2.0814376179999998</v>
      </c>
      <c r="P29" s="27">
        <f>VLOOKUP(B29,'Data yoy'!$A:$AT,MATCH($P$1,'Data yoy'!$A$1:$AT$1,),)</f>
        <v>3.8311862329999999</v>
      </c>
      <c r="Q29" s="27">
        <f>VLOOKUP(B29,'Data yoy'!$A:$AT,MATCH($Q$1,'Data yoy'!$A$1:$AT$1,),)</f>
        <v>3.9683809339999998</v>
      </c>
      <c r="R29" s="27">
        <f>VLOOKUP(B29,'Data yoy'!$A:$AT,MATCH($E$1,'Data yoy'!$A$1:$AT$1,),)</f>
        <v>2.103246145</v>
      </c>
      <c r="S29" s="27">
        <f>VLOOKUP(B29,'Data yoy'!$A:$AT,MATCH($S$1,'Data yoy'!$A$1:$AT$1,),)</f>
        <v>5.1456188139999997</v>
      </c>
      <c r="T29" s="27">
        <f>VLOOKUP(B29,'Data yoy'!$A:$AT,MATCH($T$1,'Data yoy'!$A$1:$AT$1,),)</f>
        <v>6.5848433359999996</v>
      </c>
      <c r="U29" s="27">
        <f>VLOOKUP(B29,'Data yoy'!$A:$AT,MATCH($U$1,'Data yoy'!$A$1:$AT$1,),)</f>
        <v>5.3731311120000003</v>
      </c>
      <c r="V29" s="27">
        <f>VLOOKUP(B29,'Data yoy'!$A:$AT,MATCH($V$1,'Data yoy'!$A$1:$AT$1,),)</f>
        <v>6.89521754</v>
      </c>
      <c r="W29" s="27">
        <f>VLOOKUP(B29,'Data yoy'!$A:$AT,MATCH($W$1,'Data yoy'!$A$1:$AT$1,),)</f>
        <v>9.5469283340000004</v>
      </c>
      <c r="X29" s="27">
        <f>VLOOKUP(B29,'Data yoy'!$A:$AT,MATCH($X$1,'Data yoy'!$A$1:$AT$1,),)</f>
        <v>4.8071999200000004</v>
      </c>
      <c r="Y29" s="27">
        <f>VLOOKUP(B29,'Data yoy'!$A:$AT,MATCH($Y$1,'Data yoy'!$A$1:$AT$1,),)</f>
        <v>3.587078269</v>
      </c>
      <c r="Z29" s="27">
        <f>VLOOKUP(B29,'Data yoy'!$A:$AU,MATCH($Z$1,'Data yoy'!$A$1:$AU$1,),)</f>
        <v>9.1890708540000006</v>
      </c>
      <c r="AA29" s="27" t="e">
        <f>VLOOKUP(C29,'Data yoy'!$A:$AU,MATCH($Z$1,'Data yoy'!$A$1:$AU$1,),)</f>
        <v>#N/A</v>
      </c>
      <c r="AB29" s="1"/>
      <c r="AC29" s="28" t="str">
        <f t="shared" si="10"/>
        <v>2004-Q3</v>
      </c>
      <c r="AD29" s="29">
        <f t="shared" si="8"/>
        <v>1.839990332</v>
      </c>
      <c r="AE29" s="29">
        <f t="shared" si="9"/>
        <v>2.103246145</v>
      </c>
    </row>
    <row r="30" spans="2:31" hidden="1" x14ac:dyDescent="0.2">
      <c r="B30" s="26" t="s">
        <v>279</v>
      </c>
      <c r="C30" s="27">
        <f>VLOOKUP(B30,'Data yoy'!$A:$AT,MATCH($C$1,'Data yoy'!$A$1:$AT$1,),)</f>
        <v>3.3557659160000002</v>
      </c>
      <c r="D30" s="27">
        <f>VLOOKUP(B30,'Data yoy'!$A:$AT,MATCH($D$1,'Data yoy'!$A$1:$AT$1,),)</f>
        <v>8.8000000000000007</v>
      </c>
      <c r="E30" s="27">
        <f>VLOOKUP(B30,'Data yoy'!$A:$AT,MATCH($E$1,'Data yoy'!$A$1:$AT$1,),)</f>
        <v>1.7423850439999999</v>
      </c>
      <c r="F30" s="27">
        <f>VLOOKUP(B30,'Data yoy'!$A:$AT,MATCH($F$1,'Data yoy'!$A$1:$AT$1,),)</f>
        <v>1.1707953019999999</v>
      </c>
      <c r="G30" s="27">
        <f>VLOOKUP(B30,'Data yoy'!$A:$AT,MATCH($G$1,'Data yoy'!$A$1:$AT$1,),)</f>
        <v>3.7919386999999999E-2</v>
      </c>
      <c r="H30" s="27">
        <f>VLOOKUP(B30,'Data yoy'!$A:$AT,MATCH($H$1,'Data yoy'!$A$1:$AT$1,),)</f>
        <v>2.6128489460000002</v>
      </c>
      <c r="I30" s="27">
        <f>VLOOKUP(B30,'Data yoy'!$A:$AT,MATCH($I$1,'Data yoy'!$A$1:$AT$1,),)</f>
        <v>1.1545626410000001</v>
      </c>
      <c r="J30" s="27">
        <f>VLOOKUP(B30,'Data yoy'!$A:$AT,MATCH($J$1,'Data yoy'!$A$1:$AT$1,),)</f>
        <v>0.84834356200000005</v>
      </c>
      <c r="K30" s="27">
        <f>VLOOKUP(B30,'Data yoy'!$A:$AT,MATCH($K$1,'Data yoy'!$A$1:$AT$1,),)</f>
        <v>3.2429521590000001</v>
      </c>
      <c r="L30" s="27">
        <f>VLOOKUP(B30,'Data yoy'!$A:$AT,MATCH($L$1,'Data yoy'!$A$1:$AT$1,),)</f>
        <v>3.9049063240000002</v>
      </c>
      <c r="M30" s="27">
        <f>VLOOKUP(B30,'Data yoy'!$A:$AT,MATCH($M$1,'Data yoy'!$A$1:$AT$1,),)</f>
        <v>4.1005783710000001</v>
      </c>
      <c r="N30" s="27">
        <f>VLOOKUP(B30,'Data yoy'!$A:$AT,MATCH($N$1,'Data yoy'!$A$1:$AT$1,),)</f>
        <v>6.5934981119999998</v>
      </c>
      <c r="O30" s="27">
        <f>VLOOKUP(B30,'Data yoy'!$A:$AT,MATCH($C$1,'Data yoy'!$J$1:$AT$1,),)</f>
        <v>1.7591751200000001</v>
      </c>
      <c r="P30" s="27">
        <f>VLOOKUP(B30,'Data yoy'!$A:$AT,MATCH($P$1,'Data yoy'!$A$1:$AT$1,),)</f>
        <v>3.860541692</v>
      </c>
      <c r="Q30" s="27">
        <f>VLOOKUP(B30,'Data yoy'!$A:$AT,MATCH($Q$1,'Data yoy'!$A$1:$AT$1,),)</f>
        <v>3.0577548490000002</v>
      </c>
      <c r="R30" s="27">
        <f>VLOOKUP(B30,'Data yoy'!$A:$AT,MATCH($E$1,'Data yoy'!$A$1:$AT$1,),)</f>
        <v>1.7423850439999999</v>
      </c>
      <c r="S30" s="27">
        <f>VLOOKUP(B30,'Data yoy'!$A:$AT,MATCH($S$1,'Data yoy'!$A$1:$AT$1,),)</f>
        <v>3.2181314620000001</v>
      </c>
      <c r="T30" s="27">
        <f>VLOOKUP(B30,'Data yoy'!$A:$AT,MATCH($T$1,'Data yoy'!$A$1:$AT$1,),)</f>
        <v>6.3037933830000004</v>
      </c>
      <c r="U30" s="27">
        <f>VLOOKUP(B30,'Data yoy'!$A:$AT,MATCH($U$1,'Data yoy'!$A$1:$AT$1,),)</f>
        <v>2.7748216029999999</v>
      </c>
      <c r="V30" s="27">
        <f>VLOOKUP(B30,'Data yoy'!$A:$AT,MATCH($V$1,'Data yoy'!$A$1:$AT$1,),)</f>
        <v>4.015452647</v>
      </c>
      <c r="W30" s="27">
        <f>VLOOKUP(B30,'Data yoy'!$A:$AT,MATCH($W$1,'Data yoy'!$A$1:$AT$1,),)</f>
        <v>8.057711694</v>
      </c>
      <c r="X30" s="27">
        <f>VLOOKUP(B30,'Data yoy'!$A:$AT,MATCH($X$1,'Data yoy'!$A$1:$AT$1,),)</f>
        <v>5.6118775300000001</v>
      </c>
      <c r="Y30" s="27">
        <f>VLOOKUP(B30,'Data yoy'!$A:$AT,MATCH($Y$1,'Data yoy'!$A$1:$AT$1,),)</f>
        <v>4.3928868689999998</v>
      </c>
      <c r="Z30" s="27">
        <f>VLOOKUP(B30,'Data yoy'!$A:$AU,MATCH($Z$1,'Data yoy'!$A$1:$AU$1,),)</f>
        <v>8.779958594</v>
      </c>
      <c r="AA30" s="27" t="e">
        <f>VLOOKUP(C30,'Data yoy'!$A:$AU,MATCH($Z$1,'Data yoy'!$A$1:$AU$1,),)</f>
        <v>#N/A</v>
      </c>
      <c r="AB30" s="1"/>
      <c r="AC30" s="28" t="str">
        <f t="shared" si="10"/>
        <v>2004-Q4</v>
      </c>
      <c r="AD30" s="29">
        <f t="shared" si="8"/>
        <v>1.1545626410000001</v>
      </c>
      <c r="AE30" s="29">
        <f t="shared" si="9"/>
        <v>1.7423850439999999</v>
      </c>
    </row>
    <row r="31" spans="2:31" hidden="1" x14ac:dyDescent="0.2">
      <c r="B31" s="26" t="s">
        <v>280</v>
      </c>
      <c r="C31" s="27">
        <f>VLOOKUP(B31,'Data yoy'!$A:$AT,MATCH($C$1,'Data yoy'!$A$1:$AT$1,),)</f>
        <v>3.9086174410000001</v>
      </c>
      <c r="D31" s="27">
        <f>VLOOKUP(B31,'Data yoy'!$A:$AT,MATCH($D$1,'Data yoy'!$A$1:$AT$1,),)</f>
        <v>11.1</v>
      </c>
      <c r="E31" s="27">
        <f>VLOOKUP(B31,'Data yoy'!$A:$AT,MATCH($E$1,'Data yoy'!$A$1:$AT$1,),)</f>
        <v>1.4715877909999999</v>
      </c>
      <c r="F31" s="27">
        <f>VLOOKUP(B31,'Data yoy'!$A:$AT,MATCH($F$1,'Data yoy'!$A$1:$AT$1,),)</f>
        <v>0.93869807800000005</v>
      </c>
      <c r="G31" s="27">
        <f>VLOOKUP(B31,'Data yoy'!$A:$AT,MATCH($G$1,'Data yoy'!$A$1:$AT$1,),)</f>
        <v>0.21317087500000001</v>
      </c>
      <c r="H31" s="27">
        <f>VLOOKUP(B31,'Data yoy'!$A:$AT,MATCH($H$1,'Data yoy'!$A$1:$AT$1,),)</f>
        <v>1.942189924</v>
      </c>
      <c r="I31" s="27">
        <f>VLOOKUP(B31,'Data yoy'!$A:$AT,MATCH($I$1,'Data yoy'!$A$1:$AT$1,),)</f>
        <v>1.604168866</v>
      </c>
      <c r="J31" s="27">
        <f>VLOOKUP(B31,'Data yoy'!$A:$AT,MATCH($J$1,'Data yoy'!$A$1:$AT$1,),)</f>
        <v>0.38037415699999999</v>
      </c>
      <c r="K31" s="27">
        <f>VLOOKUP(B31,'Data yoy'!$A:$AT,MATCH($K$1,'Data yoy'!$A$1:$AT$1,),)</f>
        <v>3.6259924080000001</v>
      </c>
      <c r="L31" s="27">
        <f>VLOOKUP(B31,'Data yoy'!$A:$AT,MATCH($L$1,'Data yoy'!$A$1:$AT$1,),)</f>
        <v>2.5254751049999999</v>
      </c>
      <c r="M31" s="27">
        <f>VLOOKUP(B31,'Data yoy'!$A:$AT,MATCH($M$1,'Data yoy'!$A$1:$AT$1,),)</f>
        <v>2.835346377</v>
      </c>
      <c r="N31" s="27">
        <f>VLOOKUP(B31,'Data yoy'!$A:$AT,MATCH($N$1,'Data yoy'!$A$1:$AT$1,),)</f>
        <v>6.4568699169999997</v>
      </c>
      <c r="O31" s="27">
        <f>VLOOKUP(B31,'Data yoy'!$A:$AT,MATCH($C$1,'Data yoy'!$J$1:$AT$1,),)</f>
        <v>1.171867896</v>
      </c>
      <c r="P31" s="27">
        <f>VLOOKUP(B31,'Data yoy'!$A:$AT,MATCH($P$1,'Data yoy'!$A$1:$AT$1,),)</f>
        <v>3.4746737969999999</v>
      </c>
      <c r="Q31" s="27">
        <f>VLOOKUP(B31,'Data yoy'!$A:$AT,MATCH($Q$1,'Data yoy'!$A$1:$AT$1,),)</f>
        <v>3.019285972</v>
      </c>
      <c r="R31" s="27">
        <f>VLOOKUP(B31,'Data yoy'!$A:$AT,MATCH($E$1,'Data yoy'!$A$1:$AT$1,),)</f>
        <v>1.4715877909999999</v>
      </c>
      <c r="S31" s="27">
        <f>VLOOKUP(B31,'Data yoy'!$A:$AT,MATCH($S$1,'Data yoy'!$A$1:$AT$1,),)</f>
        <v>2.806402673</v>
      </c>
      <c r="T31" s="27">
        <f>VLOOKUP(B31,'Data yoy'!$A:$AT,MATCH($T$1,'Data yoy'!$A$1:$AT$1,),)</f>
        <v>5.6015526339999999</v>
      </c>
      <c r="U31" s="27">
        <f>VLOOKUP(B31,'Data yoy'!$A:$AT,MATCH($U$1,'Data yoy'!$A$1:$AT$1,),)</f>
        <v>0.33570945699999999</v>
      </c>
      <c r="V31" s="27">
        <f>VLOOKUP(B31,'Data yoy'!$A:$AT,MATCH($V$1,'Data yoy'!$A$1:$AT$1,),)</f>
        <v>6.1863266619999999</v>
      </c>
      <c r="W31" s="27">
        <f>VLOOKUP(B31,'Data yoy'!$A:$AT,MATCH($W$1,'Data yoy'!$A$1:$AT$1,),)</f>
        <v>10.009156426000001</v>
      </c>
      <c r="X31" s="27">
        <f>VLOOKUP(B31,'Data yoy'!$A:$AT,MATCH($X$1,'Data yoy'!$A$1:$AT$1,),)</f>
        <v>6.4629873130000002</v>
      </c>
      <c r="Y31" s="27">
        <f>VLOOKUP(B31,'Data yoy'!$A:$AT,MATCH($Y$1,'Data yoy'!$A$1:$AT$1,),)</f>
        <v>2.4818700539999998</v>
      </c>
      <c r="Z31" s="27">
        <f>VLOOKUP(B31,'Data yoy'!$A:$AU,MATCH($Z$1,'Data yoy'!$A$1:$AU$1,),)</f>
        <v>8.3900735990000008</v>
      </c>
      <c r="AA31" s="27" t="e">
        <f>VLOOKUP(C31,'Data yoy'!$A:$AU,MATCH($Z$1,'Data yoy'!$A$1:$AU$1,),)</f>
        <v>#N/A</v>
      </c>
      <c r="AB31" s="1"/>
      <c r="AC31" s="28" t="str">
        <f t="shared" si="10"/>
        <v>2005-Q1</v>
      </c>
      <c r="AD31" s="29">
        <f t="shared" si="8"/>
        <v>1.604168866</v>
      </c>
      <c r="AE31" s="29">
        <f t="shared" si="9"/>
        <v>1.4715877909999999</v>
      </c>
    </row>
    <row r="32" spans="2:31" hidden="1" x14ac:dyDescent="0.2">
      <c r="B32" s="26" t="s">
        <v>281</v>
      </c>
      <c r="C32" s="27">
        <f>VLOOKUP(B32,'Data yoy'!$A:$AT,MATCH($C$1,'Data yoy'!$A$1:$AT$1,),)</f>
        <v>3.6074103659999999</v>
      </c>
      <c r="D32" s="27">
        <f>VLOOKUP(B32,'Data yoy'!$A:$AT,MATCH($D$1,'Data yoy'!$A$1:$AT$1,),)</f>
        <v>11.1</v>
      </c>
      <c r="E32" s="27">
        <f>VLOOKUP(B32,'Data yoy'!$A:$AT,MATCH($E$1,'Data yoy'!$A$1:$AT$1,),)</f>
        <v>1.4189274759999999</v>
      </c>
      <c r="F32" s="27">
        <f>VLOOKUP(B32,'Data yoy'!$A:$AT,MATCH($F$1,'Data yoy'!$A$1:$AT$1,),)</f>
        <v>1.721970123</v>
      </c>
      <c r="G32" s="27">
        <f>VLOOKUP(B32,'Data yoy'!$A:$AT,MATCH($G$1,'Data yoy'!$A$1:$AT$1,),)</f>
        <v>0.23537477500000001</v>
      </c>
      <c r="H32" s="27">
        <f>VLOOKUP(B32,'Data yoy'!$A:$AT,MATCH($H$1,'Data yoy'!$A$1:$AT$1,),)</f>
        <v>1.4688726160000001</v>
      </c>
      <c r="I32" s="27">
        <f>VLOOKUP(B32,'Data yoy'!$A:$AT,MATCH($I$1,'Data yoy'!$A$1:$AT$1,),)</f>
        <v>2.4210916170000001</v>
      </c>
      <c r="J32" s="27">
        <f>VLOOKUP(B32,'Data yoy'!$A:$AT,MATCH($J$1,'Data yoy'!$A$1:$AT$1,),)</f>
        <v>0.75731716599999999</v>
      </c>
      <c r="K32" s="27">
        <f>VLOOKUP(B32,'Data yoy'!$A:$AT,MATCH($K$1,'Data yoy'!$A$1:$AT$1,),)</f>
        <v>3.5285929330000001</v>
      </c>
      <c r="L32" s="27">
        <f>VLOOKUP(B32,'Data yoy'!$A:$AT,MATCH($L$1,'Data yoy'!$A$1:$AT$1,),)</f>
        <v>2.7207972790000001</v>
      </c>
      <c r="M32" s="27">
        <f>VLOOKUP(B32,'Data yoy'!$A:$AT,MATCH($M$1,'Data yoy'!$A$1:$AT$1,),)</f>
        <v>1.5520995319999999</v>
      </c>
      <c r="N32" s="27">
        <f>VLOOKUP(B32,'Data yoy'!$A:$AT,MATCH($N$1,'Data yoy'!$A$1:$AT$1,),)</f>
        <v>6.0339876200000004</v>
      </c>
      <c r="O32" s="27">
        <f>VLOOKUP(B32,'Data yoy'!$A:$AT,MATCH($C$1,'Data yoy'!$J$1:$AT$1,),)</f>
        <v>1.4001097259999999</v>
      </c>
      <c r="P32" s="27">
        <f>VLOOKUP(B32,'Data yoy'!$A:$AT,MATCH($P$1,'Data yoy'!$A$1:$AT$1,),)</f>
        <v>3.0019295459999999</v>
      </c>
      <c r="Q32" s="27">
        <f>VLOOKUP(B32,'Data yoy'!$A:$AT,MATCH($Q$1,'Data yoy'!$A$1:$AT$1,),)</f>
        <v>2.791550263</v>
      </c>
      <c r="R32" s="27">
        <f>VLOOKUP(B32,'Data yoy'!$A:$AT,MATCH($E$1,'Data yoy'!$A$1:$AT$1,),)</f>
        <v>1.4189274759999999</v>
      </c>
      <c r="S32" s="27">
        <f>VLOOKUP(B32,'Data yoy'!$A:$AT,MATCH($S$1,'Data yoy'!$A$1:$AT$1,),)</f>
        <v>3.9527455599999999</v>
      </c>
      <c r="T32" s="27">
        <f>VLOOKUP(B32,'Data yoy'!$A:$AT,MATCH($T$1,'Data yoy'!$A$1:$AT$1,),)</f>
        <v>4.2232552429999997</v>
      </c>
      <c r="U32" s="27">
        <f>VLOOKUP(B32,'Data yoy'!$A:$AT,MATCH($U$1,'Data yoy'!$A$1:$AT$1,),)</f>
        <v>0.59302548799999999</v>
      </c>
      <c r="V32" s="27">
        <f>VLOOKUP(B32,'Data yoy'!$A:$AT,MATCH($V$1,'Data yoy'!$A$1:$AT$1,),)</f>
        <v>5.773068597</v>
      </c>
      <c r="W32" s="27">
        <f>VLOOKUP(B32,'Data yoy'!$A:$AT,MATCH($W$1,'Data yoy'!$A$1:$AT$1,),)</f>
        <v>7.9599383059999997</v>
      </c>
      <c r="X32" s="27">
        <f>VLOOKUP(B32,'Data yoy'!$A:$AT,MATCH($X$1,'Data yoy'!$A$1:$AT$1,),)</f>
        <v>6.6631595600000004</v>
      </c>
      <c r="Y32" s="27">
        <f>VLOOKUP(B32,'Data yoy'!$A:$AT,MATCH($Y$1,'Data yoy'!$A$1:$AT$1,),)</f>
        <v>1.808895602</v>
      </c>
      <c r="Z32" s="27">
        <f>VLOOKUP(B32,'Data yoy'!$A:$AU,MATCH($Z$1,'Data yoy'!$A$1:$AU$1,),)</f>
        <v>11.942529791</v>
      </c>
      <c r="AA32" s="27" t="e">
        <f>VLOOKUP(C32,'Data yoy'!$A:$AU,MATCH($Z$1,'Data yoy'!$A$1:$AU$1,),)</f>
        <v>#N/A</v>
      </c>
      <c r="AB32" s="1"/>
      <c r="AC32" s="28" t="str">
        <f t="shared" si="10"/>
        <v>2005-Q2</v>
      </c>
      <c r="AD32" s="29">
        <f t="shared" si="8"/>
        <v>2.4210916170000001</v>
      </c>
      <c r="AE32" s="29">
        <f t="shared" si="9"/>
        <v>1.4189274759999999</v>
      </c>
    </row>
    <row r="33" spans="2:32" hidden="1" x14ac:dyDescent="0.2">
      <c r="B33" s="26" t="s">
        <v>282</v>
      </c>
      <c r="C33" s="27">
        <f>VLOOKUP(B33,'Data yoy'!$A:$AT,MATCH($C$1,'Data yoy'!$A$1:$AT$1,),)</f>
        <v>3.447674589</v>
      </c>
      <c r="D33" s="27">
        <f>VLOOKUP(B33,'Data yoy'!$A:$AT,MATCH($D$1,'Data yoy'!$A$1:$AT$1,),)</f>
        <v>10.8</v>
      </c>
      <c r="E33" s="27">
        <f>VLOOKUP(B33,'Data yoy'!$A:$AT,MATCH($E$1,'Data yoy'!$A$1:$AT$1,),)</f>
        <v>1.953574506</v>
      </c>
      <c r="F33" s="27">
        <f>VLOOKUP(B33,'Data yoy'!$A:$AT,MATCH($F$1,'Data yoy'!$A$1:$AT$1,),)</f>
        <v>2.130298459</v>
      </c>
      <c r="G33" s="27">
        <f>VLOOKUP(B33,'Data yoy'!$A:$AT,MATCH($G$1,'Data yoy'!$A$1:$AT$1,),)</f>
        <v>1.2839300389999999</v>
      </c>
      <c r="H33" s="27">
        <f>VLOOKUP(B33,'Data yoy'!$A:$AT,MATCH($H$1,'Data yoy'!$A$1:$AT$1,),)</f>
        <v>1.721201126</v>
      </c>
      <c r="I33" s="27">
        <f>VLOOKUP(B33,'Data yoy'!$A:$AT,MATCH($I$1,'Data yoy'!$A$1:$AT$1,),)</f>
        <v>3.3159056210000002</v>
      </c>
      <c r="J33" s="27">
        <f>VLOOKUP(B33,'Data yoy'!$A:$AT,MATCH($J$1,'Data yoy'!$A$1:$AT$1,),)</f>
        <v>1.491388124</v>
      </c>
      <c r="K33" s="27">
        <f>VLOOKUP(B33,'Data yoy'!$A:$AT,MATCH($K$1,'Data yoy'!$A$1:$AT$1,),)</f>
        <v>3.5558513199999999</v>
      </c>
      <c r="L33" s="27">
        <f>VLOOKUP(B33,'Data yoy'!$A:$AT,MATCH($L$1,'Data yoy'!$A$1:$AT$1,),)</f>
        <v>3.1621023479999999</v>
      </c>
      <c r="M33" s="27">
        <f>VLOOKUP(B33,'Data yoy'!$A:$AT,MATCH($M$1,'Data yoy'!$A$1:$AT$1,),)</f>
        <v>2.6333286409999999</v>
      </c>
      <c r="N33" s="27">
        <f>VLOOKUP(B33,'Data yoy'!$A:$AT,MATCH($N$1,'Data yoy'!$A$1:$AT$1,),)</f>
        <v>6.2926836909999997</v>
      </c>
      <c r="O33" s="27">
        <f>VLOOKUP(B33,'Data yoy'!$A:$AT,MATCH($C$1,'Data yoy'!$J$1:$AT$1,),)</f>
        <v>2.608579642</v>
      </c>
      <c r="P33" s="27">
        <f>VLOOKUP(B33,'Data yoy'!$A:$AT,MATCH($P$1,'Data yoy'!$A$1:$AT$1,),)</f>
        <v>3.033425786</v>
      </c>
      <c r="Q33" s="27">
        <f>VLOOKUP(B33,'Data yoy'!$A:$AT,MATCH($Q$1,'Data yoy'!$A$1:$AT$1,),)</f>
        <v>3.1142327860000001</v>
      </c>
      <c r="R33" s="27">
        <f>VLOOKUP(B33,'Data yoy'!$A:$AT,MATCH($E$1,'Data yoy'!$A$1:$AT$1,),)</f>
        <v>1.953574506</v>
      </c>
      <c r="S33" s="27">
        <f>VLOOKUP(B33,'Data yoy'!$A:$AT,MATCH($S$1,'Data yoy'!$A$1:$AT$1,),)</f>
        <v>5.0913424469999997</v>
      </c>
      <c r="T33" s="27">
        <f>VLOOKUP(B33,'Data yoy'!$A:$AT,MATCH($T$1,'Data yoy'!$A$1:$AT$1,),)</f>
        <v>2.1315530570000001</v>
      </c>
      <c r="U33" s="27">
        <f>VLOOKUP(B33,'Data yoy'!$A:$AT,MATCH($U$1,'Data yoy'!$A$1:$AT$1,),)</f>
        <v>0.64899672399999997</v>
      </c>
      <c r="V33" s="27">
        <f>VLOOKUP(B33,'Data yoy'!$A:$AT,MATCH($V$1,'Data yoy'!$A$1:$AT$1,),)</f>
        <v>5.355503787</v>
      </c>
      <c r="W33" s="27">
        <f>VLOOKUP(B33,'Data yoy'!$A:$AT,MATCH($W$1,'Data yoy'!$A$1:$AT$1,),)</f>
        <v>8.2633823839999998</v>
      </c>
      <c r="X33" s="27">
        <f>VLOOKUP(B33,'Data yoy'!$A:$AT,MATCH($X$1,'Data yoy'!$A$1:$AT$1,),)</f>
        <v>6.7709455849999998</v>
      </c>
      <c r="Y33" s="27">
        <f>VLOOKUP(B33,'Data yoy'!$A:$AT,MATCH($Y$1,'Data yoy'!$A$1:$AT$1,),)</f>
        <v>4.3017902619999999</v>
      </c>
      <c r="Z33" s="27">
        <f>VLOOKUP(B33,'Data yoy'!$A:$AU,MATCH($Z$1,'Data yoy'!$A$1:$AU$1,),)</f>
        <v>7.3376983119999997</v>
      </c>
      <c r="AA33" s="27" t="e">
        <f>VLOOKUP(C33,'Data yoy'!$A:$AU,MATCH($Z$1,'Data yoy'!$A$1:$AU$1,),)</f>
        <v>#N/A</v>
      </c>
      <c r="AB33" s="1"/>
      <c r="AC33" s="28" t="str">
        <f t="shared" si="10"/>
        <v>2005-Q3</v>
      </c>
      <c r="AD33" s="29">
        <f t="shared" si="8"/>
        <v>3.3159056210000002</v>
      </c>
      <c r="AE33" s="29">
        <f t="shared" si="9"/>
        <v>1.953574506</v>
      </c>
    </row>
    <row r="34" spans="2:32" hidden="1" x14ac:dyDescent="0.2">
      <c r="B34" s="26" t="s">
        <v>283</v>
      </c>
      <c r="C34" s="27">
        <f>VLOOKUP(B34,'Data yoy'!$A:$AT,MATCH($C$1,'Data yoy'!$A$1:$AT$1,),)</f>
        <v>2.9826720510000002</v>
      </c>
      <c r="D34" s="27">
        <f>VLOOKUP(B34,'Data yoy'!$A:$AT,MATCH($D$1,'Data yoy'!$A$1:$AT$1,),)</f>
        <v>12.4</v>
      </c>
      <c r="E34" s="27">
        <f>VLOOKUP(B34,'Data yoy'!$A:$AT,MATCH($E$1,'Data yoy'!$A$1:$AT$1,),)</f>
        <v>2.2151418</v>
      </c>
      <c r="F34" s="27">
        <f>VLOOKUP(B34,'Data yoy'!$A:$AT,MATCH($F$1,'Data yoy'!$A$1:$AT$1,),)</f>
        <v>2.5032780899999998</v>
      </c>
      <c r="G34" s="27">
        <f>VLOOKUP(B34,'Data yoy'!$A:$AT,MATCH($G$1,'Data yoy'!$A$1:$AT$1,),)</f>
        <v>1.8681829169999999</v>
      </c>
      <c r="H34" s="27">
        <f>VLOOKUP(B34,'Data yoy'!$A:$AT,MATCH($H$1,'Data yoy'!$A$1:$AT$1,),)</f>
        <v>1.74881087</v>
      </c>
      <c r="I34" s="27">
        <f>VLOOKUP(B34,'Data yoy'!$A:$AT,MATCH($I$1,'Data yoy'!$A$1:$AT$1,),)</f>
        <v>4.4694746759999999</v>
      </c>
      <c r="J34" s="27">
        <f>VLOOKUP(B34,'Data yoy'!$A:$AT,MATCH($J$1,'Data yoy'!$A$1:$AT$1,),)</f>
        <v>1.3587001889999999</v>
      </c>
      <c r="K34" s="27">
        <f>VLOOKUP(B34,'Data yoy'!$A:$AT,MATCH($K$1,'Data yoy'!$A$1:$AT$1,),)</f>
        <v>3.8948059960000001</v>
      </c>
      <c r="L34" s="27">
        <f>VLOOKUP(B34,'Data yoy'!$A:$AT,MATCH($L$1,'Data yoy'!$A$1:$AT$1,),)</f>
        <v>2.9965409950000002</v>
      </c>
      <c r="M34" s="27">
        <f>VLOOKUP(B34,'Data yoy'!$A:$AT,MATCH($M$1,'Data yoy'!$A$1:$AT$1,),)</f>
        <v>2.9924468910000002</v>
      </c>
      <c r="N34" s="27">
        <f>VLOOKUP(B34,'Data yoy'!$A:$AT,MATCH($N$1,'Data yoy'!$A$1:$AT$1,),)</f>
        <v>7.2856948949999998</v>
      </c>
      <c r="O34" s="27">
        <f>VLOOKUP(B34,'Data yoy'!$A:$AT,MATCH($C$1,'Data yoy'!$J$1:$AT$1,),)</f>
        <v>3.0309570699999999</v>
      </c>
      <c r="P34" s="27">
        <f>VLOOKUP(B34,'Data yoy'!$A:$AT,MATCH($P$1,'Data yoy'!$A$1:$AT$1,),)</f>
        <v>3.309946552</v>
      </c>
      <c r="Q34" s="27">
        <f>VLOOKUP(B34,'Data yoy'!$A:$AT,MATCH($Q$1,'Data yoy'!$A$1:$AT$1,),)</f>
        <v>3.179303242</v>
      </c>
      <c r="R34" s="27">
        <f>VLOOKUP(B34,'Data yoy'!$A:$AT,MATCH($E$1,'Data yoy'!$A$1:$AT$1,),)</f>
        <v>2.2151418</v>
      </c>
      <c r="S34" s="27">
        <f>VLOOKUP(B34,'Data yoy'!$A:$AT,MATCH($S$1,'Data yoy'!$A$1:$AT$1,),)</f>
        <v>5.3568202319999996</v>
      </c>
      <c r="T34" s="27">
        <f>VLOOKUP(B34,'Data yoy'!$A:$AT,MATCH($T$1,'Data yoy'!$A$1:$AT$1,),)</f>
        <v>2.6483330490000001</v>
      </c>
      <c r="U34" s="27">
        <f>VLOOKUP(B34,'Data yoy'!$A:$AT,MATCH($U$1,'Data yoy'!$A$1:$AT$1,),)</f>
        <v>1.54047551</v>
      </c>
      <c r="V34" s="27">
        <f>VLOOKUP(B34,'Data yoy'!$A:$AT,MATCH($V$1,'Data yoy'!$A$1:$AT$1,),)</f>
        <v>6.1950078509999997</v>
      </c>
      <c r="W34" s="27">
        <f>VLOOKUP(B34,'Data yoy'!$A:$AT,MATCH($W$1,'Data yoy'!$A$1:$AT$1,),)</f>
        <v>10.057769952999999</v>
      </c>
      <c r="X34" s="27">
        <f>VLOOKUP(B34,'Data yoy'!$A:$AT,MATCH($X$1,'Data yoy'!$A$1:$AT$1,),)</f>
        <v>6.8134879589999997</v>
      </c>
      <c r="Y34" s="27">
        <f>VLOOKUP(B34,'Data yoy'!$A:$AT,MATCH($Y$1,'Data yoy'!$A$1:$AT$1,),)</f>
        <v>5.1060566109999996</v>
      </c>
      <c r="Z34" s="27">
        <f>VLOOKUP(B34,'Data yoy'!$A:$AU,MATCH($Z$1,'Data yoy'!$A$1:$AU$1,),)</f>
        <v>7.8806808740000003</v>
      </c>
      <c r="AA34" s="27" t="e">
        <f>VLOOKUP(C34,'Data yoy'!$A:$AU,MATCH($Z$1,'Data yoy'!$A$1:$AU$1,),)</f>
        <v>#N/A</v>
      </c>
      <c r="AB34" s="1"/>
      <c r="AC34" s="28" t="str">
        <f t="shared" si="10"/>
        <v>2005-Q4</v>
      </c>
      <c r="AD34" s="29">
        <f t="shared" si="8"/>
        <v>4.4694746759999999</v>
      </c>
      <c r="AE34" s="29">
        <f t="shared" si="9"/>
        <v>2.2151418</v>
      </c>
    </row>
    <row r="35" spans="2:32" hidden="1" x14ac:dyDescent="0.2">
      <c r="B35" s="26" t="s">
        <v>284</v>
      </c>
      <c r="C35" s="27">
        <f>VLOOKUP(B35,'Data yoy'!$A:$AT,MATCH($C$1,'Data yoy'!$A$1:$AT$1,),)</f>
        <v>3.2248575719999999</v>
      </c>
      <c r="D35" s="27">
        <f>VLOOKUP(B35,'Data yoy'!$A:$AT,MATCH($D$1,'Data yoy'!$A$1:$AT$1,),)</f>
        <v>12.5</v>
      </c>
      <c r="E35" s="27">
        <f>VLOOKUP(B35,'Data yoy'!$A:$AT,MATCH($E$1,'Data yoy'!$A$1:$AT$1,),)</f>
        <v>2.8603130019999998</v>
      </c>
      <c r="F35" s="27">
        <f>VLOOKUP(B35,'Data yoy'!$A:$AT,MATCH($F$1,'Data yoy'!$A$1:$AT$1,),)</f>
        <v>2.1338660119999999</v>
      </c>
      <c r="G35" s="27">
        <f>VLOOKUP(B35,'Data yoy'!$A:$AT,MATCH($G$1,'Data yoy'!$A$1:$AT$1,),)</f>
        <v>2.8503194779999999</v>
      </c>
      <c r="H35" s="27">
        <f>VLOOKUP(B35,'Data yoy'!$A:$AT,MATCH($H$1,'Data yoy'!$A$1:$AT$1,),)</f>
        <v>2.252582608</v>
      </c>
      <c r="I35" s="27">
        <f>VLOOKUP(B35,'Data yoy'!$A:$AT,MATCH($I$1,'Data yoy'!$A$1:$AT$1,),)</f>
        <v>4.1251781310000002</v>
      </c>
      <c r="J35" s="27">
        <f>VLOOKUP(B35,'Data yoy'!$A:$AT,MATCH($J$1,'Data yoy'!$A$1:$AT$1,),)</f>
        <v>1.754284961</v>
      </c>
      <c r="K35" s="27">
        <f>VLOOKUP(B35,'Data yoy'!$A:$AT,MATCH($K$1,'Data yoy'!$A$1:$AT$1,),)</f>
        <v>4.0684996870000001</v>
      </c>
      <c r="L35" s="27">
        <f>VLOOKUP(B35,'Data yoy'!$A:$AT,MATCH($L$1,'Data yoy'!$A$1:$AT$1,),)</f>
        <v>4.1273202869999999</v>
      </c>
      <c r="M35" s="27">
        <f>VLOOKUP(B35,'Data yoy'!$A:$AT,MATCH($M$1,'Data yoy'!$A$1:$AT$1,),)</f>
        <v>4.6336268370000004</v>
      </c>
      <c r="N35" s="27">
        <f>VLOOKUP(B35,'Data yoy'!$A:$AT,MATCH($N$1,'Data yoy'!$A$1:$AT$1,),)</f>
        <v>7.4781518159999996</v>
      </c>
      <c r="O35" s="27">
        <f>VLOOKUP(B35,'Data yoy'!$A:$AT,MATCH($C$1,'Data yoy'!$J$1:$AT$1,),)</f>
        <v>3.3401639699999999</v>
      </c>
      <c r="P35" s="27">
        <f>VLOOKUP(B35,'Data yoy'!$A:$AT,MATCH($P$1,'Data yoy'!$A$1:$AT$1,),)</f>
        <v>3.7886077760000001</v>
      </c>
      <c r="Q35" s="27">
        <f>VLOOKUP(B35,'Data yoy'!$A:$AT,MATCH($Q$1,'Data yoy'!$A$1:$AT$1,),)</f>
        <v>2.5873951380000002</v>
      </c>
      <c r="R35" s="27">
        <f>VLOOKUP(B35,'Data yoy'!$A:$AT,MATCH($E$1,'Data yoy'!$A$1:$AT$1,),)</f>
        <v>2.8603130019999998</v>
      </c>
      <c r="S35" s="27">
        <f>VLOOKUP(B35,'Data yoy'!$A:$AT,MATCH($S$1,'Data yoy'!$A$1:$AT$1,),)</f>
        <v>6.1802505989999998</v>
      </c>
      <c r="T35" s="27">
        <f>VLOOKUP(B35,'Data yoy'!$A:$AT,MATCH($T$1,'Data yoy'!$A$1:$AT$1,),)</f>
        <v>3.603532258</v>
      </c>
      <c r="U35" s="27">
        <f>VLOOKUP(B35,'Data yoy'!$A:$AT,MATCH($U$1,'Data yoy'!$A$1:$AT$1,),)</f>
        <v>5.469142465</v>
      </c>
      <c r="V35" s="27">
        <f>VLOOKUP(B35,'Data yoy'!$A:$AT,MATCH($V$1,'Data yoy'!$A$1:$AT$1,),)</f>
        <v>5.9689632020000003</v>
      </c>
      <c r="W35" s="27">
        <f>VLOOKUP(B35,'Data yoy'!$A:$AT,MATCH($W$1,'Data yoy'!$A$1:$AT$1,),)</f>
        <v>6.4125127470000001</v>
      </c>
      <c r="X35" s="27">
        <f>VLOOKUP(B35,'Data yoy'!$A:$AT,MATCH($X$1,'Data yoy'!$A$1:$AT$1,),)</f>
        <v>6.7823819690000002</v>
      </c>
      <c r="Y35" s="27">
        <f>VLOOKUP(B35,'Data yoy'!$A:$AT,MATCH($Y$1,'Data yoy'!$A$1:$AT$1,),)</f>
        <v>5.5233728329999998</v>
      </c>
      <c r="Z35" s="27">
        <f>VLOOKUP(B35,'Data yoy'!$A:$AU,MATCH($Z$1,'Data yoy'!$A$1:$AU$1,),)</f>
        <v>7.584022525</v>
      </c>
      <c r="AA35" s="27" t="e">
        <f>VLOOKUP(C35,'Data yoy'!$A:$AU,MATCH($Z$1,'Data yoy'!$A$1:$AU$1,),)</f>
        <v>#N/A</v>
      </c>
      <c r="AB35" s="1"/>
      <c r="AC35" s="28" t="str">
        <f t="shared" si="10"/>
        <v>2006-Q1</v>
      </c>
      <c r="AD35" s="29">
        <f t="shared" si="8"/>
        <v>4.1251781310000002</v>
      </c>
      <c r="AE35" s="29">
        <f t="shared" si="9"/>
        <v>2.8603130019999998</v>
      </c>
    </row>
    <row r="36" spans="2:32" hidden="1" x14ac:dyDescent="0.2">
      <c r="B36" s="26" t="s">
        <v>285</v>
      </c>
      <c r="C36" s="27">
        <f>VLOOKUP(B36,'Data yoy'!$A:$AT,MATCH($C$1,'Data yoy'!$A$1:$AT$1,),)</f>
        <v>2.9772690260000001</v>
      </c>
      <c r="D36" s="27">
        <f>VLOOKUP(B36,'Data yoy'!$A:$AT,MATCH($D$1,'Data yoy'!$A$1:$AT$1,),)</f>
        <v>13.7</v>
      </c>
      <c r="E36" s="27">
        <f>VLOOKUP(B36,'Data yoy'!$A:$AT,MATCH($E$1,'Data yoy'!$A$1:$AT$1,),)</f>
        <v>3.4173857710000002</v>
      </c>
      <c r="F36" s="27">
        <f>VLOOKUP(B36,'Data yoy'!$A:$AT,MATCH($F$1,'Data yoy'!$A$1:$AT$1,),)</f>
        <v>1.5121947680000001</v>
      </c>
      <c r="G36" s="27">
        <f>VLOOKUP(B36,'Data yoy'!$A:$AT,MATCH($G$1,'Data yoy'!$A$1:$AT$1,),)</f>
        <v>4.0762102789999997</v>
      </c>
      <c r="H36" s="27">
        <f>VLOOKUP(B36,'Data yoy'!$A:$AT,MATCH($H$1,'Data yoy'!$A$1:$AT$1,),)</f>
        <v>3.0850153499999999</v>
      </c>
      <c r="I36" s="27">
        <f>VLOOKUP(B36,'Data yoy'!$A:$AT,MATCH($I$1,'Data yoy'!$A$1:$AT$1,),)</f>
        <v>3.1940017319999998</v>
      </c>
      <c r="J36" s="27">
        <f>VLOOKUP(B36,'Data yoy'!$A:$AT,MATCH($J$1,'Data yoy'!$A$1:$AT$1,),)</f>
        <v>1.7590496760000001</v>
      </c>
      <c r="K36" s="27">
        <f>VLOOKUP(B36,'Data yoy'!$A:$AT,MATCH($K$1,'Data yoy'!$A$1:$AT$1,),)</f>
        <v>4.1583933960000001</v>
      </c>
      <c r="L36" s="27">
        <f>VLOOKUP(B36,'Data yoy'!$A:$AT,MATCH($L$1,'Data yoy'!$A$1:$AT$1,),)</f>
        <v>5.1854830229999997</v>
      </c>
      <c r="M36" s="27">
        <f>VLOOKUP(B36,'Data yoy'!$A:$AT,MATCH($M$1,'Data yoy'!$A$1:$AT$1,),)</f>
        <v>5.3596867770000003</v>
      </c>
      <c r="N36" s="27">
        <f>VLOOKUP(B36,'Data yoy'!$A:$AT,MATCH($N$1,'Data yoy'!$A$1:$AT$1,),)</f>
        <v>7.9045915779999998</v>
      </c>
      <c r="O36" s="27">
        <f>VLOOKUP(B36,'Data yoy'!$A:$AT,MATCH($C$1,'Data yoy'!$J$1:$AT$1,),)</f>
        <v>4.154503032</v>
      </c>
      <c r="P36" s="27">
        <f>VLOOKUP(B36,'Data yoy'!$A:$AT,MATCH($P$1,'Data yoy'!$A$1:$AT$1,),)</f>
        <v>3.0942387280000001</v>
      </c>
      <c r="Q36" s="27">
        <f>VLOOKUP(B36,'Data yoy'!$A:$AT,MATCH($Q$1,'Data yoy'!$A$1:$AT$1,),)</f>
        <v>2.306736855</v>
      </c>
      <c r="R36" s="27">
        <f>VLOOKUP(B36,'Data yoy'!$A:$AT,MATCH($E$1,'Data yoy'!$A$1:$AT$1,),)</f>
        <v>3.4173857710000002</v>
      </c>
      <c r="S36" s="27">
        <f>VLOOKUP(B36,'Data yoy'!$A:$AT,MATCH($S$1,'Data yoy'!$A$1:$AT$1,),)</f>
        <v>4.9750602859999997</v>
      </c>
      <c r="T36" s="27">
        <f>VLOOKUP(B36,'Data yoy'!$A:$AT,MATCH($T$1,'Data yoy'!$A$1:$AT$1,),)</f>
        <v>2.4400552430000002</v>
      </c>
      <c r="U36" s="27">
        <f>VLOOKUP(B36,'Data yoy'!$A:$AT,MATCH($U$1,'Data yoy'!$A$1:$AT$1,),)</f>
        <v>5.5419910899999998</v>
      </c>
      <c r="V36" s="27">
        <f>VLOOKUP(B36,'Data yoy'!$A:$AT,MATCH($V$1,'Data yoy'!$A$1:$AT$1,),)</f>
        <v>4.2809433070000003</v>
      </c>
      <c r="W36" s="27">
        <f>VLOOKUP(B36,'Data yoy'!$A:$AT,MATCH($W$1,'Data yoy'!$A$1:$AT$1,),)</f>
        <v>9.1929992210000009</v>
      </c>
      <c r="X36" s="27">
        <f>VLOOKUP(B36,'Data yoy'!$A:$AT,MATCH($X$1,'Data yoy'!$A$1:$AT$1,),)</f>
        <v>7.4951834789999996</v>
      </c>
      <c r="Y36" s="27">
        <f>VLOOKUP(B36,'Data yoy'!$A:$AT,MATCH($Y$1,'Data yoy'!$A$1:$AT$1,),)</f>
        <v>7.7913309240000004</v>
      </c>
      <c r="Z36" s="27">
        <f>VLOOKUP(B36,'Data yoy'!$A:$AU,MATCH($Z$1,'Data yoy'!$A$1:$AU$1,),)</f>
        <v>6.6267532219999996</v>
      </c>
      <c r="AA36" s="27" t="e">
        <f>VLOOKUP(C36,'Data yoy'!$A:$AU,MATCH($Z$1,'Data yoy'!$A$1:$AU$1,),)</f>
        <v>#N/A</v>
      </c>
      <c r="AB36" s="1"/>
      <c r="AC36" s="28" t="str">
        <f t="shared" si="10"/>
        <v>2006-Q2</v>
      </c>
      <c r="AD36" s="29">
        <f t="shared" si="8"/>
        <v>3.1940017319999998</v>
      </c>
      <c r="AE36" s="29">
        <f t="shared" si="9"/>
        <v>3.4173857710000002</v>
      </c>
    </row>
    <row r="37" spans="2:32" hidden="1" x14ac:dyDescent="0.2">
      <c r="B37" s="26" t="s">
        <v>286</v>
      </c>
      <c r="C37" s="27">
        <f>VLOOKUP(B37,'Data yoy'!$A:$AT,MATCH($C$1,'Data yoy'!$A$1:$AT$1,),)</f>
        <v>2.3282911519999998</v>
      </c>
      <c r="D37" s="27">
        <f>VLOOKUP(B37,'Data yoy'!$A:$AT,MATCH($D$1,'Data yoy'!$A$1:$AT$1,),)</f>
        <v>12.2</v>
      </c>
      <c r="E37" s="27">
        <f>VLOOKUP(B37,'Data yoy'!$A:$AT,MATCH($E$1,'Data yoy'!$A$1:$AT$1,),)</f>
        <v>3.2292389880000001</v>
      </c>
      <c r="F37" s="27">
        <f>VLOOKUP(B37,'Data yoy'!$A:$AT,MATCH($F$1,'Data yoy'!$A$1:$AT$1,),)</f>
        <v>0.29395157999999999</v>
      </c>
      <c r="G37" s="27">
        <f>VLOOKUP(B37,'Data yoy'!$A:$AT,MATCH($G$1,'Data yoy'!$A$1:$AT$1,),)</f>
        <v>3.9839923690000001</v>
      </c>
      <c r="H37" s="27">
        <f>VLOOKUP(B37,'Data yoy'!$A:$AT,MATCH($H$1,'Data yoy'!$A$1:$AT$1,),)</f>
        <v>2.5787682360000002</v>
      </c>
      <c r="I37" s="27">
        <f>VLOOKUP(B37,'Data yoy'!$A:$AT,MATCH($I$1,'Data yoy'!$A$1:$AT$1,),)</f>
        <v>2.2117374719999998</v>
      </c>
      <c r="J37" s="27">
        <f>VLOOKUP(B37,'Data yoy'!$A:$AT,MATCH($J$1,'Data yoy'!$A$1:$AT$1,),)</f>
        <v>1.4561224859999999</v>
      </c>
      <c r="K37" s="27">
        <f>VLOOKUP(B37,'Data yoy'!$A:$AT,MATCH($K$1,'Data yoy'!$A$1:$AT$1,),)</f>
        <v>4.1193412770000002</v>
      </c>
      <c r="L37" s="27">
        <f>VLOOKUP(B37,'Data yoy'!$A:$AT,MATCH($L$1,'Data yoy'!$A$1:$AT$1,),)</f>
        <v>5.1479883219999998</v>
      </c>
      <c r="M37" s="27">
        <f>VLOOKUP(B37,'Data yoy'!$A:$AT,MATCH($M$1,'Data yoy'!$A$1:$AT$1,),)</f>
        <v>4.7132200160000002</v>
      </c>
      <c r="N37" s="27">
        <f>VLOOKUP(B37,'Data yoy'!$A:$AT,MATCH($N$1,'Data yoy'!$A$1:$AT$1,),)</f>
        <v>8.4707435689999997</v>
      </c>
      <c r="O37" s="27">
        <f>VLOOKUP(B37,'Data yoy'!$A:$AT,MATCH($C$1,'Data yoy'!$J$1:$AT$1,),)</f>
        <v>3.389040595</v>
      </c>
      <c r="P37" s="27">
        <f>VLOOKUP(B37,'Data yoy'!$A:$AT,MATCH($P$1,'Data yoy'!$A$1:$AT$1,),)</f>
        <v>2.1447687110000002</v>
      </c>
      <c r="Q37" s="27">
        <f>VLOOKUP(B37,'Data yoy'!$A:$AT,MATCH($Q$1,'Data yoy'!$A$1:$AT$1,),)</f>
        <v>2.7211441679999999</v>
      </c>
      <c r="R37" s="27">
        <f>VLOOKUP(B37,'Data yoy'!$A:$AT,MATCH($E$1,'Data yoy'!$A$1:$AT$1,),)</f>
        <v>3.2292389880000001</v>
      </c>
      <c r="S37" s="27">
        <f>VLOOKUP(B37,'Data yoy'!$A:$AT,MATCH($S$1,'Data yoy'!$A$1:$AT$1,),)</f>
        <v>5.0873974100000003</v>
      </c>
      <c r="T37" s="27">
        <f>VLOOKUP(B37,'Data yoy'!$A:$AT,MATCH($T$1,'Data yoy'!$A$1:$AT$1,),)</f>
        <v>4.9450882260000002</v>
      </c>
      <c r="U37" s="27">
        <f>VLOOKUP(B37,'Data yoy'!$A:$AT,MATCH($U$1,'Data yoy'!$A$1:$AT$1,),)</f>
        <v>4.5911902570000001</v>
      </c>
      <c r="V37" s="27">
        <f>VLOOKUP(B37,'Data yoy'!$A:$AT,MATCH($V$1,'Data yoy'!$A$1:$AT$1,),)</f>
        <v>6.4550376920000003</v>
      </c>
      <c r="W37" s="27">
        <f>VLOOKUP(B37,'Data yoy'!$A:$AT,MATCH($W$1,'Data yoy'!$A$1:$AT$1,),)</f>
        <v>6.861392983</v>
      </c>
      <c r="X37" s="27">
        <f>VLOOKUP(B37,'Data yoy'!$A:$AT,MATCH($X$1,'Data yoy'!$A$1:$AT$1,),)</f>
        <v>7.069406839</v>
      </c>
      <c r="Y37" s="27">
        <f>VLOOKUP(B37,'Data yoy'!$A:$AT,MATCH($Y$1,'Data yoy'!$A$1:$AT$1,),)</f>
        <v>7.4935965480000002</v>
      </c>
      <c r="Z37" s="27">
        <f>VLOOKUP(B37,'Data yoy'!$A:$AU,MATCH($Z$1,'Data yoy'!$A$1:$AU$1,),)</f>
        <v>8.8667526579999993</v>
      </c>
      <c r="AA37" s="27" t="e">
        <f>VLOOKUP(C37,'Data yoy'!$A:$AU,MATCH($Z$1,'Data yoy'!$A$1:$AU$1,),)</f>
        <v>#N/A</v>
      </c>
      <c r="AB37" s="1"/>
      <c r="AC37" s="28" t="str">
        <f t="shared" si="10"/>
        <v>2006-Q3</v>
      </c>
      <c r="AD37" s="29">
        <f t="shared" si="8"/>
        <v>2.2117374719999998</v>
      </c>
      <c r="AE37" s="29">
        <f t="shared" si="9"/>
        <v>3.2292389880000001</v>
      </c>
    </row>
    <row r="38" spans="2:32" hidden="1" x14ac:dyDescent="0.2">
      <c r="B38" s="26" t="s">
        <v>287</v>
      </c>
      <c r="C38" s="27">
        <f>VLOOKUP(B38,'Data yoy'!$A:$AT,MATCH($C$1,'Data yoy'!$A$1:$AT$1,),)</f>
        <v>2.6089019840000001</v>
      </c>
      <c r="D38" s="27">
        <f>VLOOKUP(B38,'Data yoy'!$A:$AT,MATCH($D$1,'Data yoy'!$A$1:$AT$1,),)</f>
        <v>12.5</v>
      </c>
      <c r="E38" s="27">
        <f>VLOOKUP(B38,'Data yoy'!$A:$AT,MATCH($E$1,'Data yoy'!$A$1:$AT$1,),)</f>
        <v>3.7843952619999999</v>
      </c>
      <c r="F38" s="27">
        <f>VLOOKUP(B38,'Data yoy'!$A:$AT,MATCH($F$1,'Data yoy'!$A$1:$AT$1,),)</f>
        <v>1.4565532990000001</v>
      </c>
      <c r="G38" s="27">
        <f>VLOOKUP(B38,'Data yoy'!$A:$AT,MATCH($G$1,'Data yoy'!$A$1:$AT$1,),)</f>
        <v>5.0638543460000003</v>
      </c>
      <c r="H38" s="27">
        <f>VLOOKUP(B38,'Data yoy'!$A:$AT,MATCH($H$1,'Data yoy'!$A$1:$AT$1,),)</f>
        <v>2.5956475609999998</v>
      </c>
      <c r="I38" s="27">
        <f>VLOOKUP(B38,'Data yoy'!$A:$AT,MATCH($I$1,'Data yoy'!$A$1:$AT$1,),)</f>
        <v>1.299994552</v>
      </c>
      <c r="J38" s="27">
        <f>VLOOKUP(B38,'Data yoy'!$A:$AT,MATCH($J$1,'Data yoy'!$A$1:$AT$1,),)</f>
        <v>2.550057485</v>
      </c>
      <c r="K38" s="27">
        <f>VLOOKUP(B38,'Data yoy'!$A:$AT,MATCH($K$1,'Data yoy'!$A$1:$AT$1,),)</f>
        <v>4.0653491070000003</v>
      </c>
      <c r="L38" s="27">
        <f>VLOOKUP(B38,'Data yoy'!$A:$AT,MATCH($L$1,'Data yoy'!$A$1:$AT$1,),)</f>
        <v>5.105642982</v>
      </c>
      <c r="M38" s="27">
        <f>VLOOKUP(B38,'Data yoy'!$A:$AT,MATCH($M$1,'Data yoy'!$A$1:$AT$1,),)</f>
        <v>3.3000858989999999</v>
      </c>
      <c r="N38" s="27">
        <f>VLOOKUP(B38,'Data yoy'!$A:$AT,MATCH($N$1,'Data yoy'!$A$1:$AT$1,),)</f>
        <v>8.2968721649999999</v>
      </c>
      <c r="O38" s="27">
        <f>VLOOKUP(B38,'Data yoy'!$A:$AT,MATCH($C$1,'Data yoy'!$J$1:$AT$1,),)</f>
        <v>3.5883066910000001</v>
      </c>
      <c r="P38" s="27">
        <f>VLOOKUP(B38,'Data yoy'!$A:$AT,MATCH($P$1,'Data yoy'!$A$1:$AT$1,),)</f>
        <v>1.547877248</v>
      </c>
      <c r="Q38" s="27">
        <f>VLOOKUP(B38,'Data yoy'!$A:$AT,MATCH($Q$1,'Data yoy'!$A$1:$AT$1,),)</f>
        <v>3.1971168489999999</v>
      </c>
      <c r="R38" s="27">
        <f>VLOOKUP(B38,'Data yoy'!$A:$AT,MATCH($E$1,'Data yoy'!$A$1:$AT$1,),)</f>
        <v>3.7843952619999999</v>
      </c>
      <c r="S38" s="27">
        <f>VLOOKUP(B38,'Data yoy'!$A:$AT,MATCH($S$1,'Data yoy'!$A$1:$AT$1,),)</f>
        <v>4.8448866129999999</v>
      </c>
      <c r="T38" s="27">
        <f>VLOOKUP(B38,'Data yoy'!$A:$AT,MATCH($T$1,'Data yoy'!$A$1:$AT$1,),)</f>
        <v>4.8523340829999997</v>
      </c>
      <c r="U38" s="27">
        <f>VLOOKUP(B38,'Data yoy'!$A:$AT,MATCH($U$1,'Data yoy'!$A$1:$AT$1,),)</f>
        <v>6.7162171089999996</v>
      </c>
      <c r="V38" s="27">
        <f>VLOOKUP(B38,'Data yoy'!$A:$AT,MATCH($V$1,'Data yoy'!$A$1:$AT$1,),)</f>
        <v>3.5925518639999998</v>
      </c>
      <c r="W38" s="27">
        <f>VLOOKUP(B38,'Data yoy'!$A:$AT,MATCH($W$1,'Data yoy'!$A$1:$AT$1,),)</f>
        <v>5.7772390839999996</v>
      </c>
      <c r="X38" s="27">
        <f>VLOOKUP(B38,'Data yoy'!$A:$AT,MATCH($X$1,'Data yoy'!$A$1:$AT$1,),)</f>
        <v>6.4936534129999997</v>
      </c>
      <c r="Y38" s="27">
        <f>VLOOKUP(B38,'Data yoy'!$A:$AT,MATCH($Y$1,'Data yoy'!$A$1:$AT$1,),)</f>
        <v>3.9702130950000001</v>
      </c>
      <c r="Z38" s="27">
        <f>VLOOKUP(B38,'Data yoy'!$A:$AU,MATCH($Z$1,'Data yoy'!$A$1:$AU$1,),)</f>
        <v>9.0687280470000005</v>
      </c>
      <c r="AA38" s="27" t="e">
        <f>VLOOKUP(C38,'Data yoy'!$A:$AU,MATCH($Z$1,'Data yoy'!$A$1:$AU$1,),)</f>
        <v>#N/A</v>
      </c>
      <c r="AB38" s="1"/>
      <c r="AC38" s="28" t="str">
        <f t="shared" si="10"/>
        <v>2006-Q4</v>
      </c>
      <c r="AD38" s="29">
        <f t="shared" si="8"/>
        <v>1.299994552</v>
      </c>
      <c r="AE38" s="29">
        <f t="shared" si="9"/>
        <v>3.7843952619999999</v>
      </c>
    </row>
    <row r="39" spans="2:32" hidden="1" x14ac:dyDescent="0.2">
      <c r="B39" s="26" t="s">
        <v>288</v>
      </c>
      <c r="C39" s="27">
        <f>VLOOKUP(B39,'Data yoy'!$A:$AT,MATCH($C$1,'Data yoy'!$A$1:$AT$1,),)</f>
        <v>1.5407153250000001</v>
      </c>
      <c r="D39" s="27">
        <f>VLOOKUP(B39,'Data yoy'!$A:$AT,MATCH($D$1,'Data yoy'!$A$1:$AT$1,),)</f>
        <v>13.8</v>
      </c>
      <c r="E39" s="27">
        <f>VLOOKUP(B39,'Data yoy'!$A:$AT,MATCH($E$1,'Data yoy'!$A$1:$AT$1,),)</f>
        <v>3.5292349679999999</v>
      </c>
      <c r="F39" s="27">
        <f>VLOOKUP(B39,'Data yoy'!$A:$AT,MATCH($F$1,'Data yoy'!$A$1:$AT$1,),)</f>
        <v>1.970059397</v>
      </c>
      <c r="G39" s="27">
        <f>VLOOKUP(B39,'Data yoy'!$A:$AT,MATCH($G$1,'Data yoy'!$A$1:$AT$1,),)</f>
        <v>4.1370008470000004</v>
      </c>
      <c r="H39" s="27">
        <f>VLOOKUP(B39,'Data yoy'!$A:$AT,MATCH($H$1,'Data yoy'!$A$1:$AT$1,),)</f>
        <v>2.5729005030000001</v>
      </c>
      <c r="I39" s="27">
        <f>VLOOKUP(B39,'Data yoy'!$A:$AT,MATCH($I$1,'Data yoy'!$A$1:$AT$1,),)</f>
        <v>1.7817676259999999</v>
      </c>
      <c r="J39" s="27">
        <f>VLOOKUP(B39,'Data yoy'!$A:$AT,MATCH($J$1,'Data yoy'!$A$1:$AT$1,),)</f>
        <v>2.2551829809999999</v>
      </c>
      <c r="K39" s="27">
        <f>VLOOKUP(B39,'Data yoy'!$A:$AT,MATCH($K$1,'Data yoy'!$A$1:$AT$1,),)</f>
        <v>3.8283603300000002</v>
      </c>
      <c r="L39" s="27">
        <f>VLOOKUP(B39,'Data yoy'!$A:$AT,MATCH($L$1,'Data yoy'!$A$1:$AT$1,),)</f>
        <v>4.5319991699999997</v>
      </c>
      <c r="M39" s="27">
        <f>VLOOKUP(B39,'Data yoy'!$A:$AT,MATCH($M$1,'Data yoy'!$A$1:$AT$1,),)</f>
        <v>2.2387669140000002</v>
      </c>
      <c r="N39" s="27">
        <f>VLOOKUP(B39,'Data yoy'!$A:$AT,MATCH($N$1,'Data yoy'!$A$1:$AT$1,),)</f>
        <v>8.1726132949999997</v>
      </c>
      <c r="O39" s="27">
        <f>VLOOKUP(B39,'Data yoy'!$A:$AT,MATCH($C$1,'Data yoy'!$J$1:$AT$1,),)</f>
        <v>4.1254371650000001</v>
      </c>
      <c r="P39" s="27">
        <f>VLOOKUP(B39,'Data yoy'!$A:$AT,MATCH($P$1,'Data yoy'!$A$1:$AT$1,),)</f>
        <v>1.375255855</v>
      </c>
      <c r="Q39" s="27">
        <f>VLOOKUP(B39,'Data yoy'!$A:$AT,MATCH($Q$1,'Data yoy'!$A$1:$AT$1,),)</f>
        <v>4.5048097250000003</v>
      </c>
      <c r="R39" s="27">
        <f>VLOOKUP(B39,'Data yoy'!$A:$AT,MATCH($E$1,'Data yoy'!$A$1:$AT$1,),)</f>
        <v>3.5292349679999999</v>
      </c>
      <c r="S39" s="27">
        <f>VLOOKUP(B39,'Data yoy'!$A:$AT,MATCH($S$1,'Data yoy'!$A$1:$AT$1,),)</f>
        <v>4.8809146759999997</v>
      </c>
      <c r="T39" s="27">
        <f>VLOOKUP(B39,'Data yoy'!$A:$AT,MATCH($T$1,'Data yoy'!$A$1:$AT$1,),)</f>
        <v>5.144024892</v>
      </c>
      <c r="U39" s="27">
        <f>VLOOKUP(B39,'Data yoy'!$A:$AT,MATCH($U$1,'Data yoy'!$A$1:$AT$1,),)</f>
        <v>2.5372983040000001</v>
      </c>
      <c r="V39" s="27">
        <f>VLOOKUP(B39,'Data yoy'!$A:$AT,MATCH($V$1,'Data yoy'!$A$1:$AT$1,),)</f>
        <v>7.7886654179999999</v>
      </c>
      <c r="W39" s="27">
        <f>VLOOKUP(B39,'Data yoy'!$A:$AT,MATCH($W$1,'Data yoy'!$A$1:$AT$1,),)</f>
        <v>6.486233951</v>
      </c>
      <c r="X39" s="27">
        <f>VLOOKUP(B39,'Data yoy'!$A:$AT,MATCH($X$1,'Data yoy'!$A$1:$AT$1,),)</f>
        <v>6.4157471030000002</v>
      </c>
      <c r="Y39" s="27">
        <f>VLOOKUP(B39,'Data yoy'!$A:$AT,MATCH($Y$1,'Data yoy'!$A$1:$AT$1,),)</f>
        <v>7.1318909149999996</v>
      </c>
      <c r="Z39" s="27">
        <f>VLOOKUP(B39,'Data yoy'!$A:$AU,MATCH($Z$1,'Data yoy'!$A$1:$AU$1,),)</f>
        <v>8.7680287280000009</v>
      </c>
      <c r="AA39" s="27" t="e">
        <f>VLOOKUP(C39,'Data yoy'!$A:$AU,MATCH($Z$1,'Data yoy'!$A$1:$AU$1,),)</f>
        <v>#N/A</v>
      </c>
      <c r="AB39" s="1"/>
      <c r="AC39" s="28" t="str">
        <f t="shared" si="10"/>
        <v>2007-Q1</v>
      </c>
      <c r="AD39" s="29">
        <f t="shared" si="8"/>
        <v>1.7817676259999999</v>
      </c>
      <c r="AE39" s="29">
        <f t="shared" si="9"/>
        <v>3.5292349679999999</v>
      </c>
    </row>
    <row r="40" spans="2:32" hidden="1" x14ac:dyDescent="0.2">
      <c r="B40" s="26" t="s">
        <v>289</v>
      </c>
      <c r="C40" s="27">
        <f>VLOOKUP(B40,'Data yoy'!$A:$AT,MATCH($C$1,'Data yoy'!$A$1:$AT$1,),)</f>
        <v>1.938641595</v>
      </c>
      <c r="D40" s="27">
        <f>VLOOKUP(B40,'Data yoy'!$A:$AT,MATCH($D$1,'Data yoy'!$A$1:$AT$1,),)</f>
        <v>15</v>
      </c>
      <c r="E40" s="27">
        <f>VLOOKUP(B40,'Data yoy'!$A:$AT,MATCH($E$1,'Data yoy'!$A$1:$AT$1,),)</f>
        <v>3.1319892739999999</v>
      </c>
      <c r="F40" s="27">
        <f>VLOOKUP(B40,'Data yoy'!$A:$AT,MATCH($F$1,'Data yoy'!$A$1:$AT$1,),)</f>
        <v>1.856771964</v>
      </c>
      <c r="G40" s="27">
        <f>VLOOKUP(B40,'Data yoy'!$A:$AT,MATCH($G$1,'Data yoy'!$A$1:$AT$1,),)</f>
        <v>3.2312882489999999</v>
      </c>
      <c r="H40" s="27">
        <f>VLOOKUP(B40,'Data yoy'!$A:$AT,MATCH($H$1,'Data yoy'!$A$1:$AT$1,),)</f>
        <v>2.3284130520000001</v>
      </c>
      <c r="I40" s="27">
        <f>VLOOKUP(B40,'Data yoy'!$A:$AT,MATCH($I$1,'Data yoy'!$A$1:$AT$1,),)</f>
        <v>2.0797958059999999</v>
      </c>
      <c r="J40" s="27">
        <f>VLOOKUP(B40,'Data yoy'!$A:$AT,MATCH($J$1,'Data yoy'!$A$1:$AT$1,),)</f>
        <v>1.699157458</v>
      </c>
      <c r="K40" s="27">
        <f>VLOOKUP(B40,'Data yoy'!$A:$AT,MATCH($K$1,'Data yoy'!$A$1:$AT$1,),)</f>
        <v>3.7533351100000001</v>
      </c>
      <c r="L40" s="27">
        <f>VLOOKUP(B40,'Data yoy'!$A:$AT,MATCH($L$1,'Data yoy'!$A$1:$AT$1,),)</f>
        <v>3.3652608270000002</v>
      </c>
      <c r="M40" s="27">
        <f>VLOOKUP(B40,'Data yoy'!$A:$AT,MATCH($M$1,'Data yoy'!$A$1:$AT$1,),)</f>
        <v>2.021132368</v>
      </c>
      <c r="N40" s="27">
        <f>VLOOKUP(B40,'Data yoy'!$A:$AT,MATCH($N$1,'Data yoy'!$A$1:$AT$1,),)</f>
        <v>8.808004554</v>
      </c>
      <c r="O40" s="27">
        <f>VLOOKUP(B40,'Data yoy'!$A:$AT,MATCH($C$1,'Data yoy'!$J$1:$AT$1,),)</f>
        <v>3.1145347409999999</v>
      </c>
      <c r="P40" s="27">
        <f>VLOOKUP(B40,'Data yoy'!$A:$AT,MATCH($P$1,'Data yoy'!$A$1:$AT$1,),)</f>
        <v>2.3046514180000002</v>
      </c>
      <c r="Q40" s="27">
        <f>VLOOKUP(B40,'Data yoy'!$A:$AT,MATCH($Q$1,'Data yoy'!$A$1:$AT$1,),)</f>
        <v>4.9395848989999998</v>
      </c>
      <c r="R40" s="27">
        <f>VLOOKUP(B40,'Data yoy'!$A:$AT,MATCH($E$1,'Data yoy'!$A$1:$AT$1,),)</f>
        <v>3.1319892739999999</v>
      </c>
      <c r="S40" s="27">
        <f>VLOOKUP(B40,'Data yoy'!$A:$AT,MATCH($S$1,'Data yoy'!$A$1:$AT$1,),)</f>
        <v>5.9217927870000002</v>
      </c>
      <c r="T40" s="27">
        <f>VLOOKUP(B40,'Data yoy'!$A:$AT,MATCH($T$1,'Data yoy'!$A$1:$AT$1,),)</f>
        <v>6.5180433520000003</v>
      </c>
      <c r="U40" s="27">
        <f>VLOOKUP(B40,'Data yoy'!$A:$AT,MATCH($U$1,'Data yoy'!$A$1:$AT$1,),)</f>
        <v>5.1998824199999998</v>
      </c>
      <c r="V40" s="27">
        <f>VLOOKUP(B40,'Data yoy'!$A:$AT,MATCH($V$1,'Data yoy'!$A$1:$AT$1,),)</f>
        <v>5.8767229820000004</v>
      </c>
      <c r="W40" s="27">
        <f>VLOOKUP(B40,'Data yoy'!$A:$AT,MATCH($W$1,'Data yoy'!$A$1:$AT$1,),)</f>
        <v>3.3699744269999998</v>
      </c>
      <c r="X40" s="27">
        <f>VLOOKUP(B40,'Data yoy'!$A:$AT,MATCH($X$1,'Data yoy'!$A$1:$AT$1,),)</f>
        <v>5.1780029089999999</v>
      </c>
      <c r="Y40" s="27">
        <f>VLOOKUP(B40,'Data yoy'!$A:$AT,MATCH($Y$1,'Data yoy'!$A$1:$AT$1,),)</f>
        <v>5.9170594679999997</v>
      </c>
      <c r="Z40" s="27">
        <f>VLOOKUP(B40,'Data yoy'!$A:$AU,MATCH($Z$1,'Data yoy'!$A$1:$AU$1,),)</f>
        <v>9.8178061860000003</v>
      </c>
      <c r="AA40" s="27" t="e">
        <f>VLOOKUP(C40,'Data yoy'!$A:$AU,MATCH($Z$1,'Data yoy'!$A$1:$AU$1,),)</f>
        <v>#N/A</v>
      </c>
      <c r="AB40" s="1"/>
      <c r="AC40" s="28" t="str">
        <f t="shared" si="10"/>
        <v>2007-Q2</v>
      </c>
      <c r="AD40" s="29">
        <f t="shared" si="8"/>
        <v>2.0797958059999999</v>
      </c>
      <c r="AE40" s="29">
        <f t="shared" si="9"/>
        <v>3.1319892739999999</v>
      </c>
    </row>
    <row r="41" spans="2:32" hidden="1" x14ac:dyDescent="0.2">
      <c r="B41" s="26" t="s">
        <v>290</v>
      </c>
      <c r="C41" s="27">
        <f>VLOOKUP(B41,'Data yoy'!$A:$AT,MATCH($C$1,'Data yoy'!$A$1:$AT$1,),)</f>
        <v>2.3985598499999998</v>
      </c>
      <c r="D41" s="27">
        <f>VLOOKUP(B41,'Data yoy'!$A:$AT,MATCH($D$1,'Data yoy'!$A$1:$AT$1,),)</f>
        <v>14.3</v>
      </c>
      <c r="E41" s="27">
        <f>VLOOKUP(B41,'Data yoy'!$A:$AT,MATCH($E$1,'Data yoy'!$A$1:$AT$1,),)</f>
        <v>2.9766922689999999</v>
      </c>
      <c r="F41" s="27">
        <f>VLOOKUP(B41,'Data yoy'!$A:$AT,MATCH($F$1,'Data yoy'!$A$1:$AT$1,),)</f>
        <v>1.509582913</v>
      </c>
      <c r="G41" s="27">
        <f>VLOOKUP(B41,'Data yoy'!$A:$AT,MATCH($G$1,'Data yoy'!$A$1:$AT$1,),)</f>
        <v>2.952319578</v>
      </c>
      <c r="H41" s="27">
        <f>VLOOKUP(B41,'Data yoy'!$A:$AT,MATCH($H$1,'Data yoy'!$A$1:$AT$1,),)</f>
        <v>2.683082733</v>
      </c>
      <c r="I41" s="27">
        <f>VLOOKUP(B41,'Data yoy'!$A:$AT,MATCH($I$1,'Data yoy'!$A$1:$AT$1,),)</f>
        <v>2.7653036090000001</v>
      </c>
      <c r="J41" s="27">
        <f>VLOOKUP(B41,'Data yoy'!$A:$AT,MATCH($J$1,'Data yoy'!$A$1:$AT$1,),)</f>
        <v>1.471042961</v>
      </c>
      <c r="K41" s="27">
        <f>VLOOKUP(B41,'Data yoy'!$A:$AT,MATCH($K$1,'Data yoy'!$A$1:$AT$1,),)</f>
        <v>3.5864202349999998</v>
      </c>
      <c r="L41" s="27">
        <f>VLOOKUP(B41,'Data yoy'!$A:$AT,MATCH($L$1,'Data yoy'!$A$1:$AT$1,),)</f>
        <v>2.9622972339999998</v>
      </c>
      <c r="M41" s="27">
        <f>VLOOKUP(B41,'Data yoy'!$A:$AT,MATCH($M$1,'Data yoy'!$A$1:$AT$1,),)</f>
        <v>2.3361626169999998</v>
      </c>
      <c r="N41" s="27">
        <f>VLOOKUP(B41,'Data yoy'!$A:$AT,MATCH($N$1,'Data yoy'!$A$1:$AT$1,),)</f>
        <v>8.7111917759999997</v>
      </c>
      <c r="O41" s="27">
        <f>VLOOKUP(B41,'Data yoy'!$A:$AT,MATCH($C$1,'Data yoy'!$J$1:$AT$1,),)</f>
        <v>3.646875004</v>
      </c>
      <c r="P41" s="27">
        <f>VLOOKUP(B41,'Data yoy'!$A:$AT,MATCH($P$1,'Data yoy'!$A$1:$AT$1,),)</f>
        <v>2.4481004830000002</v>
      </c>
      <c r="Q41" s="27">
        <f>VLOOKUP(B41,'Data yoy'!$A:$AT,MATCH($Q$1,'Data yoy'!$A$1:$AT$1,),)</f>
        <v>4.5566670839999999</v>
      </c>
      <c r="R41" s="27">
        <f>VLOOKUP(B41,'Data yoy'!$A:$AT,MATCH($E$1,'Data yoy'!$A$1:$AT$1,),)</f>
        <v>2.9766922689999999</v>
      </c>
      <c r="S41" s="27">
        <f>VLOOKUP(B41,'Data yoy'!$A:$AT,MATCH($S$1,'Data yoy'!$A$1:$AT$1,),)</f>
        <v>5.4630106239999998</v>
      </c>
      <c r="T41" s="27">
        <f>VLOOKUP(B41,'Data yoy'!$A:$AT,MATCH($T$1,'Data yoy'!$A$1:$AT$1,),)</f>
        <v>5.8912290660000002</v>
      </c>
      <c r="U41" s="27">
        <f>VLOOKUP(B41,'Data yoy'!$A:$AT,MATCH($U$1,'Data yoy'!$A$1:$AT$1,),)</f>
        <v>4.0476039930000001</v>
      </c>
      <c r="V41" s="27">
        <f>VLOOKUP(B41,'Data yoy'!$A:$AT,MATCH($V$1,'Data yoy'!$A$1:$AT$1,),)</f>
        <v>1.8008532349999999</v>
      </c>
      <c r="W41" s="27">
        <f>VLOOKUP(B41,'Data yoy'!$A:$AT,MATCH($W$1,'Data yoy'!$A$1:$AT$1,),)</f>
        <v>4.7655240450000003</v>
      </c>
      <c r="X41" s="27">
        <f>VLOOKUP(B41,'Data yoy'!$A:$AT,MATCH($X$1,'Data yoy'!$A$1:$AT$1,),)</f>
        <v>5.3773035499999997</v>
      </c>
      <c r="Y41" s="27">
        <f>VLOOKUP(B41,'Data yoy'!$A:$AT,MATCH($Y$1,'Data yoy'!$A$1:$AT$1,),)</f>
        <v>5.9651058299999997</v>
      </c>
      <c r="Z41" s="27">
        <f>VLOOKUP(B41,'Data yoy'!$A:$AU,MATCH($Z$1,'Data yoy'!$A$1:$AU$1,),)</f>
        <v>8.2574522699999999</v>
      </c>
      <c r="AA41" s="27" t="e">
        <f>VLOOKUP(C41,'Data yoy'!$A:$AU,MATCH($Z$1,'Data yoy'!$A$1:$AU$1,),)</f>
        <v>#N/A</v>
      </c>
      <c r="AB41" s="1"/>
      <c r="AC41" s="28" t="str">
        <f t="shared" si="10"/>
        <v>2007-Q3</v>
      </c>
      <c r="AD41" s="29">
        <f t="shared" si="8"/>
        <v>2.7653036090000001</v>
      </c>
      <c r="AE41" s="29">
        <f t="shared" si="9"/>
        <v>2.9766922689999999</v>
      </c>
    </row>
    <row r="42" spans="2:32" hidden="1" x14ac:dyDescent="0.2">
      <c r="B42" s="26" t="s">
        <v>291</v>
      </c>
      <c r="C42" s="27">
        <f>VLOOKUP(B42,'Data yoy'!$A:$AT,MATCH($C$1,'Data yoy'!$A$1:$AT$1,),)</f>
        <v>2.160883208</v>
      </c>
      <c r="D42" s="27">
        <f>VLOOKUP(B42,'Data yoy'!$A:$AT,MATCH($D$1,'Data yoy'!$A$1:$AT$1,),)</f>
        <v>13.9</v>
      </c>
      <c r="E42" s="27">
        <f>VLOOKUP(B42,'Data yoy'!$A:$AT,MATCH($E$1,'Data yoy'!$A$1:$AT$1,),)</f>
        <v>2.3431607109999999</v>
      </c>
      <c r="F42" s="27">
        <f>VLOOKUP(B42,'Data yoy'!$A:$AT,MATCH($F$1,'Data yoy'!$A$1:$AT$1,),)</f>
        <v>0.58377726799999996</v>
      </c>
      <c r="G42" s="27">
        <f>VLOOKUP(B42,'Data yoy'!$A:$AT,MATCH($G$1,'Data yoy'!$A$1:$AT$1,),)</f>
        <v>2.0913689720000002</v>
      </c>
      <c r="H42" s="27">
        <f>VLOOKUP(B42,'Data yoy'!$A:$AT,MATCH($H$1,'Data yoy'!$A$1:$AT$1,),)</f>
        <v>2.1094535130000001</v>
      </c>
      <c r="I42" s="27">
        <f>VLOOKUP(B42,'Data yoy'!$A:$AT,MATCH($I$1,'Data yoy'!$A$1:$AT$1,),)</f>
        <v>2.8107663949999999</v>
      </c>
      <c r="J42" s="27">
        <f>VLOOKUP(B42,'Data yoy'!$A:$AT,MATCH($J$1,'Data yoy'!$A$1:$AT$1,),)</f>
        <v>-1.5639707999999999E-2</v>
      </c>
      <c r="K42" s="27">
        <f>VLOOKUP(B42,'Data yoy'!$A:$AT,MATCH($K$1,'Data yoy'!$A$1:$AT$1,),)</f>
        <v>3.2594965839999999</v>
      </c>
      <c r="L42" s="27">
        <f>VLOOKUP(B42,'Data yoy'!$A:$AT,MATCH($L$1,'Data yoy'!$A$1:$AT$1,),)</f>
        <v>3.4255622539999999</v>
      </c>
      <c r="M42" s="27">
        <f>VLOOKUP(B42,'Data yoy'!$A:$AT,MATCH($M$1,'Data yoy'!$A$1:$AT$1,),)</f>
        <v>2.52725103</v>
      </c>
      <c r="N42" s="27">
        <f>VLOOKUP(B42,'Data yoy'!$A:$AT,MATCH($N$1,'Data yoy'!$A$1:$AT$1,),)</f>
        <v>10.092326711</v>
      </c>
      <c r="O42" s="27">
        <f>VLOOKUP(B42,'Data yoy'!$A:$AT,MATCH($C$1,'Data yoy'!$J$1:$AT$1,),)</f>
        <v>4.1901931030000004</v>
      </c>
      <c r="P42" s="27">
        <f>VLOOKUP(B42,'Data yoy'!$A:$AT,MATCH($P$1,'Data yoy'!$A$1:$AT$1,),)</f>
        <v>2.1573017800000001</v>
      </c>
      <c r="Q42" s="27">
        <f>VLOOKUP(B42,'Data yoy'!$A:$AT,MATCH($Q$1,'Data yoy'!$A$1:$AT$1,),)</f>
        <v>3.7239800810000001</v>
      </c>
      <c r="R42" s="27">
        <f>VLOOKUP(B42,'Data yoy'!$A:$AT,MATCH($E$1,'Data yoy'!$A$1:$AT$1,),)</f>
        <v>2.3431607109999999</v>
      </c>
      <c r="S42" s="27">
        <f>VLOOKUP(B42,'Data yoy'!$A:$AT,MATCH($S$1,'Data yoy'!$A$1:$AT$1,),)</f>
        <v>6.9046241779999997</v>
      </c>
      <c r="T42" s="27">
        <f>VLOOKUP(B42,'Data yoy'!$A:$AT,MATCH($T$1,'Data yoy'!$A$1:$AT$1,),)</f>
        <v>6.2501675409999997</v>
      </c>
      <c r="U42" s="27">
        <f>VLOOKUP(B42,'Data yoy'!$A:$AT,MATCH($U$1,'Data yoy'!$A$1:$AT$1,),)</f>
        <v>0.96419671900000004</v>
      </c>
      <c r="V42" s="27">
        <f>VLOOKUP(B42,'Data yoy'!$A:$AT,MATCH($V$1,'Data yoy'!$A$1:$AT$1,),)</f>
        <v>5.8303595789999996</v>
      </c>
      <c r="W42" s="27">
        <f>VLOOKUP(B42,'Data yoy'!$A:$AT,MATCH($W$1,'Data yoy'!$A$1:$AT$1,),)</f>
        <v>5.9681872509999998</v>
      </c>
      <c r="X42" s="27">
        <f>VLOOKUP(B42,'Data yoy'!$A:$AT,MATCH($X$1,'Data yoy'!$A$1:$AT$1,),)</f>
        <v>5.2800130980000004</v>
      </c>
      <c r="Y42" s="27">
        <f>VLOOKUP(B42,'Data yoy'!$A:$AT,MATCH($Y$1,'Data yoy'!$A$1:$AT$1,),)</f>
        <v>9.0226217510000009</v>
      </c>
      <c r="Z42" s="27">
        <f>VLOOKUP(B42,'Data yoy'!$A:$AU,MATCH($Z$1,'Data yoy'!$A$1:$AU$1,),)</f>
        <v>9.1958590000000004</v>
      </c>
      <c r="AA42" s="27" t="e">
        <f>VLOOKUP(C42,'Data yoy'!$A:$AU,MATCH($Z$1,'Data yoy'!$A$1:$AU$1,),)</f>
        <v>#N/A</v>
      </c>
      <c r="AB42" s="1"/>
      <c r="AC42" s="28" t="str">
        <f t="shared" si="10"/>
        <v>2007-Q4</v>
      </c>
      <c r="AD42" s="29">
        <f t="shared" si="8"/>
        <v>2.8107663949999999</v>
      </c>
      <c r="AE42" s="29">
        <f t="shared" si="9"/>
        <v>2.3431607109999999</v>
      </c>
    </row>
    <row r="43" spans="2:32" hidden="1" x14ac:dyDescent="0.2">
      <c r="B43" s="26" t="s">
        <v>292</v>
      </c>
      <c r="C43" s="27">
        <f>VLOOKUP(B43,'Data yoy'!$A:$AT,MATCH($C$1,'Data yoy'!$A$1:$AT$1,),)</f>
        <v>1.4468030009999999</v>
      </c>
      <c r="D43" s="27">
        <f>VLOOKUP(B43,'Data yoy'!$A:$AT,MATCH($D$1,'Data yoy'!$A$1:$AT$1,),)</f>
        <v>11.5</v>
      </c>
      <c r="E43" s="27">
        <f>VLOOKUP(B43,'Data yoy'!$A:$AT,MATCH($E$1,'Data yoy'!$A$1:$AT$1,),)</f>
        <v>2.1494428210000001</v>
      </c>
      <c r="F43" s="27">
        <f>VLOOKUP(B43,'Data yoy'!$A:$AT,MATCH($F$1,'Data yoy'!$A$1:$AT$1,),)</f>
        <v>0.28646139500000001</v>
      </c>
      <c r="G43" s="27">
        <f>VLOOKUP(B43,'Data yoy'!$A:$AT,MATCH($G$1,'Data yoy'!$A$1:$AT$1,),)</f>
        <v>2.6556534740000002</v>
      </c>
      <c r="H43" s="27">
        <f>VLOOKUP(B43,'Data yoy'!$A:$AT,MATCH($H$1,'Data yoy'!$A$1:$AT$1,),)</f>
        <v>1.7618585520000001</v>
      </c>
      <c r="I43" s="27">
        <f>VLOOKUP(B43,'Data yoy'!$A:$AT,MATCH($I$1,'Data yoy'!$A$1:$AT$1,),)</f>
        <v>2.3971070210000001</v>
      </c>
      <c r="J43" s="27">
        <f>VLOOKUP(B43,'Data yoy'!$A:$AT,MATCH($J$1,'Data yoy'!$A$1:$AT$1,),)</f>
        <v>1.0472684210000001</v>
      </c>
      <c r="K43" s="27">
        <f>VLOOKUP(B43,'Data yoy'!$A:$AT,MATCH($K$1,'Data yoy'!$A$1:$AT$1,),)</f>
        <v>2.544256265</v>
      </c>
      <c r="L43" s="27">
        <f>VLOOKUP(B43,'Data yoy'!$A:$AT,MATCH($L$1,'Data yoy'!$A$1:$AT$1,),)</f>
        <v>1.662985591</v>
      </c>
      <c r="M43" s="27">
        <f>VLOOKUP(B43,'Data yoy'!$A:$AT,MATCH($M$1,'Data yoy'!$A$1:$AT$1,),)</f>
        <v>1.6392639959999999</v>
      </c>
      <c r="N43" s="27">
        <f>VLOOKUP(B43,'Data yoy'!$A:$AT,MATCH($N$1,'Data yoy'!$A$1:$AT$1,),)</f>
        <v>11.000110756</v>
      </c>
      <c r="O43" s="27">
        <f>VLOOKUP(B43,'Data yoy'!$A:$AT,MATCH($C$1,'Data yoy'!$J$1:$AT$1,),)</f>
        <v>3.3474002490000001</v>
      </c>
      <c r="P43" s="27">
        <f>VLOOKUP(B43,'Data yoy'!$A:$AT,MATCH($P$1,'Data yoy'!$A$1:$AT$1,),)</f>
        <v>1.585825708</v>
      </c>
      <c r="Q43" s="27">
        <f>VLOOKUP(B43,'Data yoy'!$A:$AT,MATCH($Q$1,'Data yoy'!$A$1:$AT$1,),)</f>
        <v>3.3715804139999999</v>
      </c>
      <c r="R43" s="27">
        <f>VLOOKUP(B43,'Data yoy'!$A:$AT,MATCH($E$1,'Data yoy'!$A$1:$AT$1,),)</f>
        <v>2.1494428210000001</v>
      </c>
      <c r="S43" s="27">
        <f>VLOOKUP(B43,'Data yoy'!$A:$AT,MATCH($S$1,'Data yoy'!$A$1:$AT$1,),)</f>
        <v>5.5675559789999998</v>
      </c>
      <c r="T43" s="27">
        <f>VLOOKUP(B43,'Data yoy'!$A:$AT,MATCH($T$1,'Data yoy'!$A$1:$AT$1,),)</f>
        <v>5.3793803740000001</v>
      </c>
      <c r="U43" s="27">
        <f>VLOOKUP(B43,'Data yoy'!$A:$AT,MATCH($U$1,'Data yoy'!$A$1:$AT$1,),)</f>
        <v>2.385711643</v>
      </c>
      <c r="V43" s="27">
        <f>VLOOKUP(B43,'Data yoy'!$A:$AT,MATCH($V$1,'Data yoy'!$A$1:$AT$1,),)</f>
        <v>-2.6799541549999999</v>
      </c>
      <c r="W43" s="27">
        <f>VLOOKUP(B43,'Data yoy'!$A:$AT,MATCH($W$1,'Data yoy'!$A$1:$AT$1,),)</f>
        <v>6.2631362949999998</v>
      </c>
      <c r="X43" s="27">
        <f>VLOOKUP(B43,'Data yoy'!$A:$AT,MATCH($X$1,'Data yoy'!$A$1:$AT$1,),)</f>
        <v>4.0866439830000001</v>
      </c>
      <c r="Y43" s="27">
        <f>VLOOKUP(B43,'Data yoy'!$A:$AT,MATCH($Y$1,'Data yoy'!$A$1:$AT$1,),)</f>
        <v>6.2370789929999999</v>
      </c>
      <c r="Z43" s="27">
        <f>VLOOKUP(B43,'Data yoy'!$A:$AU,MATCH($Z$1,'Data yoy'!$A$1:$AU$1,),)</f>
        <v>7.683316628</v>
      </c>
      <c r="AA43" s="27" t="e">
        <f>VLOOKUP(C43,'Data yoy'!$A:$AU,MATCH($Z$1,'Data yoy'!$A$1:$AU$1,),)</f>
        <v>#N/A</v>
      </c>
      <c r="AB43" s="1"/>
      <c r="AC43" s="28" t="str">
        <f t="shared" si="10"/>
        <v>2008-Q1</v>
      </c>
      <c r="AD43" s="29">
        <f t="shared" ref="AD43:AD74" si="11">(VLOOKUP(AC43,B:Y,MATCH($AE$6,$B$1:$Y$1,),))</f>
        <v>2.3971070210000001</v>
      </c>
      <c r="AE43" s="29">
        <f t="shared" ref="AE43:AE74" si="12">(VLOOKUP(AC43,B:Y,MATCH($AE$7,$B$1:$Y$1,),))</f>
        <v>2.1494428210000001</v>
      </c>
    </row>
    <row r="44" spans="2:32" hidden="1" x14ac:dyDescent="0.2">
      <c r="B44" s="26" t="s">
        <v>293</v>
      </c>
      <c r="C44" s="27">
        <f>VLOOKUP(B44,'Data yoy'!$A:$AT,MATCH($C$1,'Data yoy'!$A$1:$AT$1,),)</f>
        <v>1.380132559</v>
      </c>
      <c r="D44" s="27">
        <f>VLOOKUP(B44,'Data yoy'!$A:$AT,MATCH($D$1,'Data yoy'!$A$1:$AT$1,),)</f>
        <v>10.9</v>
      </c>
      <c r="E44" s="27">
        <f>VLOOKUP(B44,'Data yoy'!$A:$AT,MATCH($E$1,'Data yoy'!$A$1:$AT$1,),)</f>
        <v>1.1098614179999999</v>
      </c>
      <c r="F44" s="27">
        <f>VLOOKUP(B44,'Data yoy'!$A:$AT,MATCH($F$1,'Data yoy'!$A$1:$AT$1,),)</f>
        <v>-0.33441095599999998</v>
      </c>
      <c r="G44" s="27">
        <f>VLOOKUP(B44,'Data yoy'!$A:$AT,MATCH($G$1,'Data yoy'!$A$1:$AT$1,),)</f>
        <v>1.5650485919999999</v>
      </c>
      <c r="H44" s="27">
        <f>VLOOKUP(B44,'Data yoy'!$A:$AT,MATCH($H$1,'Data yoy'!$A$1:$AT$1,),)</f>
        <v>0.55746824800000006</v>
      </c>
      <c r="I44" s="27">
        <f>VLOOKUP(B44,'Data yoy'!$A:$AT,MATCH($I$1,'Data yoy'!$A$1:$AT$1,),)</f>
        <v>1.2531785049999999</v>
      </c>
      <c r="J44" s="27">
        <f>VLOOKUP(B44,'Data yoy'!$A:$AT,MATCH($J$1,'Data yoy'!$A$1:$AT$1,),)</f>
        <v>-2.339856E-3</v>
      </c>
      <c r="K44" s="27">
        <f>VLOOKUP(B44,'Data yoy'!$A:$AT,MATCH($K$1,'Data yoy'!$A$1:$AT$1,),)</f>
        <v>1.7443984299999999</v>
      </c>
      <c r="L44" s="27">
        <f>VLOOKUP(B44,'Data yoy'!$A:$AT,MATCH($L$1,'Data yoy'!$A$1:$AT$1,),)</f>
        <v>1.0331778069999999</v>
      </c>
      <c r="M44" s="27">
        <f>VLOOKUP(B44,'Data yoy'!$A:$AT,MATCH($M$1,'Data yoy'!$A$1:$AT$1,),)</f>
        <v>1.5916445690000001</v>
      </c>
      <c r="N44" s="27">
        <f>VLOOKUP(B44,'Data yoy'!$A:$AT,MATCH($N$1,'Data yoy'!$A$1:$AT$1,),)</f>
        <v>8.9406479999999995</v>
      </c>
      <c r="O44" s="27">
        <f>VLOOKUP(B44,'Data yoy'!$A:$AT,MATCH($C$1,'Data yoy'!$J$1:$AT$1,),)</f>
        <v>3.3278025649999998</v>
      </c>
      <c r="P44" s="27">
        <f>VLOOKUP(B44,'Data yoy'!$A:$AT,MATCH($P$1,'Data yoy'!$A$1:$AT$1,),)</f>
        <v>0.97488014300000003</v>
      </c>
      <c r="Q44" s="27">
        <f>VLOOKUP(B44,'Data yoy'!$A:$AT,MATCH($Q$1,'Data yoy'!$A$1:$AT$1,),)</f>
        <v>3.0091342820000002</v>
      </c>
      <c r="R44" s="27">
        <f>VLOOKUP(B44,'Data yoy'!$A:$AT,MATCH($E$1,'Data yoy'!$A$1:$AT$1,),)</f>
        <v>1.1098614179999999</v>
      </c>
      <c r="S44" s="27">
        <f>VLOOKUP(B44,'Data yoy'!$A:$AT,MATCH($S$1,'Data yoy'!$A$1:$AT$1,),)</f>
        <v>4.3152169730000001</v>
      </c>
      <c r="T44" s="27">
        <f>VLOOKUP(B44,'Data yoy'!$A:$AT,MATCH($T$1,'Data yoy'!$A$1:$AT$1,),)</f>
        <v>6.1796478700000002</v>
      </c>
      <c r="U44" s="27">
        <f>VLOOKUP(B44,'Data yoy'!$A:$AT,MATCH($U$1,'Data yoy'!$A$1:$AT$1,),)</f>
        <v>-1.147594182</v>
      </c>
      <c r="V44" s="27">
        <f>VLOOKUP(B44,'Data yoy'!$A:$AT,MATCH($V$1,'Data yoy'!$A$1:$AT$1,),)</f>
        <v>-3.6415777170000001</v>
      </c>
      <c r="W44" s="27">
        <f>VLOOKUP(B44,'Data yoy'!$A:$AT,MATCH($W$1,'Data yoy'!$A$1:$AT$1,),)</f>
        <v>2.4609971750000001</v>
      </c>
      <c r="X44" s="27">
        <f>VLOOKUP(B44,'Data yoy'!$A:$AT,MATCH($X$1,'Data yoy'!$A$1:$AT$1,),)</f>
        <v>3.9140624549999998</v>
      </c>
      <c r="Y44" s="27">
        <f>VLOOKUP(B44,'Data yoy'!$A:$AT,MATCH($Y$1,'Data yoy'!$A$1:$AT$1,),)</f>
        <v>5.295218609</v>
      </c>
      <c r="Z44" s="27">
        <f>VLOOKUP(B44,'Data yoy'!$A:$AU,MATCH($Z$1,'Data yoy'!$A$1:$AU$1,),)</f>
        <v>6.0281091719999997</v>
      </c>
      <c r="AA44" s="27" t="e">
        <f>VLOOKUP(C44,'Data yoy'!$A:$AU,MATCH($Z$1,'Data yoy'!$A$1:$AU$1,),)</f>
        <v>#N/A</v>
      </c>
      <c r="AB44" s="1"/>
      <c r="AC44" s="28" t="str">
        <f t="shared" si="10"/>
        <v>2008-Q2</v>
      </c>
      <c r="AD44" s="29">
        <f t="shared" si="11"/>
        <v>1.2531785049999999</v>
      </c>
      <c r="AE44" s="29">
        <f t="shared" si="12"/>
        <v>1.1098614179999999</v>
      </c>
    </row>
    <row r="45" spans="2:32" hidden="1" x14ac:dyDescent="0.2">
      <c r="B45" s="26" t="s">
        <v>294</v>
      </c>
      <c r="C45" s="27">
        <f>VLOOKUP(B45,'Data yoy'!$A:$AT,MATCH($C$1,'Data yoy'!$A$1:$AT$1,),)</f>
        <v>0.242202378</v>
      </c>
      <c r="D45" s="27">
        <f>VLOOKUP(B45,'Data yoy'!$A:$AT,MATCH($D$1,'Data yoy'!$A$1:$AT$1,),)</f>
        <v>9.5</v>
      </c>
      <c r="E45" s="27">
        <f>VLOOKUP(B45,'Data yoy'!$A:$AT,MATCH($E$1,'Data yoy'!$A$1:$AT$1,),)</f>
        <v>0.14250344400000001</v>
      </c>
      <c r="F45" s="27">
        <f>VLOOKUP(B45,'Data yoy'!$A:$AT,MATCH($F$1,'Data yoy'!$A$1:$AT$1,),)</f>
        <v>-1.0392806160000001</v>
      </c>
      <c r="G45" s="27">
        <f>VLOOKUP(B45,'Data yoy'!$A:$AT,MATCH($G$1,'Data yoy'!$A$1:$AT$1,),)</f>
        <v>0.40813594399999997</v>
      </c>
      <c r="H45" s="27">
        <f>VLOOKUP(B45,'Data yoy'!$A:$AT,MATCH($H$1,'Data yoy'!$A$1:$AT$1,),)</f>
        <v>-7.8914050999999999E-2</v>
      </c>
      <c r="I45" s="27">
        <f>VLOOKUP(B45,'Data yoy'!$A:$AT,MATCH($I$1,'Data yoy'!$A$1:$AT$1,),)</f>
        <v>-1.085525624</v>
      </c>
      <c r="J45" s="27">
        <f>VLOOKUP(B45,'Data yoy'!$A:$AT,MATCH($J$1,'Data yoy'!$A$1:$AT$1,),)</f>
        <v>-1.368930022</v>
      </c>
      <c r="K45" s="27">
        <f>VLOOKUP(B45,'Data yoy'!$A:$AT,MATCH($K$1,'Data yoy'!$A$1:$AT$1,),)</f>
        <v>0.78426446000000005</v>
      </c>
      <c r="L45" s="27">
        <f>VLOOKUP(B45,'Data yoy'!$A:$AT,MATCH($L$1,'Data yoy'!$A$1:$AT$1,),)</f>
        <v>-0.21726831399999999</v>
      </c>
      <c r="M45" s="27">
        <f>VLOOKUP(B45,'Data yoy'!$A:$AT,MATCH($M$1,'Data yoy'!$A$1:$AT$1,),)</f>
        <v>1.2574204419999999</v>
      </c>
      <c r="N45" s="27">
        <f>VLOOKUP(B45,'Data yoy'!$A:$AT,MATCH($N$1,'Data yoy'!$A$1:$AT$1,),)</f>
        <v>5.0013092029999999</v>
      </c>
      <c r="O45" s="27">
        <f>VLOOKUP(B45,'Data yoy'!$A:$AT,MATCH($C$1,'Data yoy'!$J$1:$AT$1,),)</f>
        <v>2.0610554470000002</v>
      </c>
      <c r="P45" s="27">
        <f>VLOOKUP(B45,'Data yoy'!$A:$AT,MATCH($P$1,'Data yoy'!$A$1:$AT$1,),)</f>
        <v>1.377281448</v>
      </c>
      <c r="Q45" s="27">
        <f>VLOOKUP(B45,'Data yoy'!$A:$AT,MATCH($Q$1,'Data yoy'!$A$1:$AT$1,),)</f>
        <v>2.6395869940000001</v>
      </c>
      <c r="R45" s="27">
        <f>VLOOKUP(B45,'Data yoy'!$A:$AT,MATCH($E$1,'Data yoy'!$A$1:$AT$1,),)</f>
        <v>0.14250344400000001</v>
      </c>
      <c r="S45" s="27">
        <f>VLOOKUP(B45,'Data yoy'!$A:$AT,MATCH($S$1,'Data yoy'!$A$1:$AT$1,),)</f>
        <v>3.9461524219999999</v>
      </c>
      <c r="T45" s="27">
        <f>VLOOKUP(B45,'Data yoy'!$A:$AT,MATCH($T$1,'Data yoy'!$A$1:$AT$1,),)</f>
        <v>6.6018567399999997</v>
      </c>
      <c r="U45" s="27">
        <f>VLOOKUP(B45,'Data yoy'!$A:$AT,MATCH($U$1,'Data yoy'!$A$1:$AT$1,),)</f>
        <v>-0.624737981</v>
      </c>
      <c r="V45" s="27">
        <f>VLOOKUP(B45,'Data yoy'!$A:$AT,MATCH($V$1,'Data yoy'!$A$1:$AT$1,),)</f>
        <v>-2.1271364620000002</v>
      </c>
      <c r="W45" s="27">
        <f>VLOOKUP(B45,'Data yoy'!$A:$AT,MATCH($W$1,'Data yoy'!$A$1:$AT$1,),)</f>
        <v>1.2943583E-2</v>
      </c>
      <c r="X45" s="27">
        <f>VLOOKUP(B45,'Data yoy'!$A:$AT,MATCH($X$1,'Data yoy'!$A$1:$AT$1,),)</f>
        <v>2.5839556080000001</v>
      </c>
      <c r="Y45" s="27">
        <f>VLOOKUP(B45,'Data yoy'!$A:$AT,MATCH($Y$1,'Data yoy'!$A$1:$AT$1,),)</f>
        <v>3.1895830680000001</v>
      </c>
      <c r="Z45" s="27">
        <f>VLOOKUP(B45,'Data yoy'!$A:$AU,MATCH($Z$1,'Data yoy'!$A$1:$AU$1,),)</f>
        <v>5.4263393459999998</v>
      </c>
      <c r="AA45" s="27" t="e">
        <f>VLOOKUP(C45,'Data yoy'!$A:$AU,MATCH($Z$1,'Data yoy'!$A$1:$AU$1,),)</f>
        <v>#N/A</v>
      </c>
      <c r="AB45" s="1"/>
      <c r="AC45" s="28" t="str">
        <f t="shared" si="10"/>
        <v>2008-Q3</v>
      </c>
      <c r="AD45" s="29">
        <f t="shared" si="11"/>
        <v>-1.085525624</v>
      </c>
      <c r="AE45" s="29">
        <f t="shared" si="12"/>
        <v>0.14250344400000001</v>
      </c>
    </row>
    <row r="46" spans="2:32" hidden="1" x14ac:dyDescent="0.2">
      <c r="B46" s="26" t="s">
        <v>295</v>
      </c>
      <c r="C46" s="27">
        <f>VLOOKUP(B46,'Data yoy'!$A:$AT,MATCH($C$1,'Data yoy'!$A$1:$AT$1,),)</f>
        <v>-2.5403392600000001</v>
      </c>
      <c r="D46" s="27">
        <f>VLOOKUP(B46,'Data yoy'!$A:$AT,MATCH($D$1,'Data yoy'!$A$1:$AT$1,),)</f>
        <v>7.1</v>
      </c>
      <c r="E46" s="27">
        <f>VLOOKUP(B46,'Data yoy'!$A:$AT,MATCH($E$1,'Data yoy'!$A$1:$AT$1,),)</f>
        <v>-2.1416772609999999</v>
      </c>
      <c r="F46" s="27">
        <f>VLOOKUP(B46,'Data yoy'!$A:$AT,MATCH($F$1,'Data yoy'!$A$1:$AT$1,),)</f>
        <v>-3.899608969</v>
      </c>
      <c r="G46" s="27">
        <f>VLOOKUP(B46,'Data yoy'!$A:$AT,MATCH($G$1,'Data yoy'!$A$1:$AT$1,),)</f>
        <v>-1.845717651</v>
      </c>
      <c r="H46" s="27">
        <f>VLOOKUP(B46,'Data yoy'!$A:$AT,MATCH($H$1,'Data yoy'!$A$1:$AT$1,),)</f>
        <v>-1.7593380030000001</v>
      </c>
      <c r="I46" s="27">
        <f>VLOOKUP(B46,'Data yoy'!$A:$AT,MATCH($I$1,'Data yoy'!$A$1:$AT$1,),)</f>
        <v>-3.6157988780000001</v>
      </c>
      <c r="J46" s="27">
        <f>VLOOKUP(B46,'Data yoy'!$A:$AT,MATCH($J$1,'Data yoy'!$A$1:$AT$1,),)</f>
        <v>-3.527383811</v>
      </c>
      <c r="K46" s="27">
        <f>VLOOKUP(B46,'Data yoy'!$A:$AT,MATCH($K$1,'Data yoy'!$A$1:$AT$1,),)</f>
        <v>-1.4757699820000001</v>
      </c>
      <c r="L46" s="27">
        <f>VLOOKUP(B46,'Data yoy'!$A:$AT,MATCH($L$1,'Data yoy'!$A$1:$AT$1,),)</f>
        <v>-4.8225732429999999</v>
      </c>
      <c r="M46" s="27">
        <f>VLOOKUP(B46,'Data yoy'!$A:$AT,MATCH($M$1,'Data yoy'!$A$1:$AT$1,),)</f>
        <v>-0.75494380299999997</v>
      </c>
      <c r="N46" s="27">
        <f>VLOOKUP(B46,'Data yoy'!$A:$AT,MATCH($N$1,'Data yoy'!$A$1:$AT$1,),)</f>
        <v>-1.557639212</v>
      </c>
      <c r="O46" s="27">
        <f>VLOOKUP(B46,'Data yoy'!$A:$AT,MATCH($C$1,'Data yoy'!$J$1:$AT$1,),)</f>
        <v>3.4028852999999998E-2</v>
      </c>
      <c r="P46" s="27">
        <f>VLOOKUP(B46,'Data yoy'!$A:$AT,MATCH($P$1,'Data yoy'!$A$1:$AT$1,),)</f>
        <v>8.8076009999999996E-2</v>
      </c>
      <c r="Q46" s="27">
        <f>VLOOKUP(B46,'Data yoy'!$A:$AT,MATCH($Q$1,'Data yoy'!$A$1:$AT$1,),)</f>
        <v>1.674776692</v>
      </c>
      <c r="R46" s="27">
        <f>VLOOKUP(B46,'Data yoy'!$A:$AT,MATCH($E$1,'Data yoy'!$A$1:$AT$1,),)</f>
        <v>-2.1416772609999999</v>
      </c>
      <c r="S46" s="27">
        <f>VLOOKUP(B46,'Data yoy'!$A:$AT,MATCH($S$1,'Data yoy'!$A$1:$AT$1,),)</f>
        <v>-1.5899777559999999</v>
      </c>
      <c r="T46" s="27">
        <f>VLOOKUP(B46,'Data yoy'!$A:$AT,MATCH($T$1,'Data yoy'!$A$1:$AT$1,),)</f>
        <v>1.0268392200000001</v>
      </c>
      <c r="U46" s="27">
        <f>VLOOKUP(B46,'Data yoy'!$A:$AT,MATCH($U$1,'Data yoy'!$A$1:$AT$1,),)</f>
        <v>-1.52470938</v>
      </c>
      <c r="V46" s="27">
        <f>VLOOKUP(B46,'Data yoy'!$A:$AT,MATCH($V$1,'Data yoy'!$A$1:$AT$1,),)</f>
        <v>-9.7474575269999999</v>
      </c>
      <c r="W46" s="27">
        <f>VLOOKUP(B46,'Data yoy'!$A:$AT,MATCH($W$1,'Data yoy'!$A$1:$AT$1,),)</f>
        <v>-5.762221898</v>
      </c>
      <c r="X46" s="27">
        <f>VLOOKUP(B46,'Data yoy'!$A:$AT,MATCH($X$1,'Data yoy'!$A$1:$AT$1,),)</f>
        <v>-0.45887356099999999</v>
      </c>
      <c r="Y46" s="27">
        <f>VLOOKUP(B46,'Data yoy'!$A:$AT,MATCH($Y$1,'Data yoy'!$A$1:$AT$1,),)</f>
        <v>2.2338700770000002</v>
      </c>
      <c r="Z46" s="27">
        <f>VLOOKUP(B46,'Data yoy'!$A:$AU,MATCH($Z$1,'Data yoy'!$A$1:$AU$1,),)</f>
        <v>-2.5563743720000001</v>
      </c>
      <c r="AA46" s="27">
        <f>VLOOKUP(B46,'Data yoy'!$A:$AU,MATCH($AA$1,'Data yoy'!$A$1:$AU$1,),)</f>
        <v>-1.624940931</v>
      </c>
      <c r="AB46" s="1"/>
      <c r="AC46" s="28" t="str">
        <f t="shared" si="10"/>
        <v>2008-Q4</v>
      </c>
      <c r="AD46" s="29">
        <f t="shared" si="11"/>
        <v>-3.6157988780000001</v>
      </c>
      <c r="AE46" s="29">
        <f t="shared" si="12"/>
        <v>-2.1416772609999999</v>
      </c>
      <c r="AF46" s="29">
        <f t="shared" ref="AF46:AF84" si="13">AD46-AE46</f>
        <v>-1.4741216170000002</v>
      </c>
    </row>
    <row r="47" spans="2:32" hidden="1" x14ac:dyDescent="0.2">
      <c r="B47" s="26" t="s">
        <v>296</v>
      </c>
      <c r="C47" s="27">
        <f>VLOOKUP(B47,'Data yoy'!$A:$AT,MATCH($C$1,'Data yoy'!$A$1:$AT$1,),)</f>
        <v>-3.2823924440000001</v>
      </c>
      <c r="D47" s="27">
        <f>VLOOKUP(B47,'Data yoy'!$A:$AT,MATCH($D$1,'Data yoy'!$A$1:$AT$1,),)</f>
        <v>6.4</v>
      </c>
      <c r="E47" s="27">
        <f>VLOOKUP(B47,'Data yoy'!$A:$AT,MATCH($E$1,'Data yoy'!$A$1:$AT$1,),)</f>
        <v>-5.6256157590000004</v>
      </c>
      <c r="F47" s="27">
        <f>VLOOKUP(B47,'Data yoy'!$A:$AT,MATCH($F$1,'Data yoy'!$A$1:$AT$1,),)</f>
        <v>-8.8510989420000001</v>
      </c>
      <c r="G47" s="27">
        <f>VLOOKUP(B47,'Data yoy'!$A:$AT,MATCH($G$1,'Data yoy'!$A$1:$AT$1,),)</f>
        <v>-7.0267688450000003</v>
      </c>
      <c r="H47" s="27">
        <f>VLOOKUP(B47,'Data yoy'!$A:$AT,MATCH($H$1,'Data yoy'!$A$1:$AT$1,),)</f>
        <v>-3.755075004</v>
      </c>
      <c r="I47" s="27">
        <f>VLOOKUP(B47,'Data yoy'!$A:$AT,MATCH($I$1,'Data yoy'!$A$1:$AT$1,),)</f>
        <v>-5.7493605929999996</v>
      </c>
      <c r="J47" s="27">
        <f>VLOOKUP(B47,'Data yoy'!$A:$AT,MATCH($J$1,'Data yoy'!$A$1:$AT$1,),)</f>
        <v>-7.1888151420000002</v>
      </c>
      <c r="K47" s="27">
        <f>VLOOKUP(B47,'Data yoy'!$A:$AT,MATCH($K$1,'Data yoy'!$A$1:$AT$1,),)</f>
        <v>-4.2494510700000001</v>
      </c>
      <c r="L47" s="27">
        <f>VLOOKUP(B47,'Data yoy'!$A:$AT,MATCH($L$1,'Data yoy'!$A$1:$AT$1,),)</f>
        <v>-5.5033928400000001</v>
      </c>
      <c r="M47" s="27">
        <f>VLOOKUP(B47,'Data yoy'!$A:$AT,MATCH($M$1,'Data yoy'!$A$1:$AT$1,),)</f>
        <v>-5.6648453999999999</v>
      </c>
      <c r="N47" s="27">
        <f>VLOOKUP(B47,'Data yoy'!$A:$AT,MATCH($N$1,'Data yoy'!$A$1:$AT$1,),)</f>
        <v>-7.4842842210000002</v>
      </c>
      <c r="O47" s="27">
        <f>VLOOKUP(B47,'Data yoy'!$A:$AT,MATCH($C$1,'Data yoy'!$J$1:$AT$1,),)</f>
        <v>-3.8756721729999999</v>
      </c>
      <c r="P47" s="27">
        <f>VLOOKUP(B47,'Data yoy'!$A:$AT,MATCH($P$1,'Data yoy'!$A$1:$AT$1,),)</f>
        <v>-2.2485177049999998</v>
      </c>
      <c r="Q47" s="27">
        <f>VLOOKUP(B47,'Data yoy'!$A:$AT,MATCH($Q$1,'Data yoy'!$A$1:$AT$1,),)</f>
        <v>1.55253614</v>
      </c>
      <c r="R47" s="27">
        <f>VLOOKUP(B47,'Data yoy'!$A:$AT,MATCH($E$1,'Data yoy'!$A$1:$AT$1,),)</f>
        <v>-5.6256157590000004</v>
      </c>
      <c r="S47" s="27">
        <f>VLOOKUP(B47,'Data yoy'!$A:$AT,MATCH($S$1,'Data yoy'!$A$1:$AT$1,),)</f>
        <v>-1.896186505</v>
      </c>
      <c r="T47" s="27">
        <f>VLOOKUP(B47,'Data yoy'!$A:$AT,MATCH($T$1,'Data yoy'!$A$1:$AT$1,),)</f>
        <v>-1.471133561</v>
      </c>
      <c r="U47" s="27">
        <f>VLOOKUP(B47,'Data yoy'!$A:$AT,MATCH($U$1,'Data yoy'!$A$1:$AT$1,),)</f>
        <v>-6.7702908109999997</v>
      </c>
      <c r="V47" s="27">
        <f>VLOOKUP(B47,'Data yoy'!$A:$AT,MATCH($V$1,'Data yoy'!$A$1:$AT$1,),)</f>
        <v>-6.8773744470000002</v>
      </c>
      <c r="W47" s="27">
        <f>VLOOKUP(B47,'Data yoy'!$A:$AT,MATCH($W$1,'Data yoy'!$A$1:$AT$1,),)</f>
        <v>-12.933908435999999</v>
      </c>
      <c r="X47" s="27">
        <f>VLOOKUP(B47,'Data yoy'!$A:$AT,MATCH($X$1,'Data yoy'!$A$1:$AT$1,),)</f>
        <v>-4.3328287239999996</v>
      </c>
      <c r="Y47" s="27">
        <f>VLOOKUP(B47,'Data yoy'!$A:$AT,MATCH($Y$1,'Data yoy'!$A$1:$AT$1,),)</f>
        <v>1.893776873</v>
      </c>
      <c r="Z47" s="27">
        <f>VLOOKUP(B47,'Data yoy'!$A:$AU,MATCH($Z$1,'Data yoy'!$A$1:$AU$1,),)</f>
        <v>-6.9718107869999999</v>
      </c>
      <c r="AA47" s="27">
        <f>VLOOKUP(B47,'Data yoy'!$A:$AU,MATCH($AA$1,'Data yoy'!$A$1:$AU$1,),)</f>
        <v>-2.308385645</v>
      </c>
      <c r="AB47" s="1"/>
      <c r="AC47" s="28" t="str">
        <f t="shared" si="10"/>
        <v>2009-Q1</v>
      </c>
      <c r="AD47" s="29">
        <f t="shared" si="11"/>
        <v>-5.7493605929999996</v>
      </c>
      <c r="AE47" s="29">
        <f t="shared" si="12"/>
        <v>-5.6256157590000004</v>
      </c>
      <c r="AF47" s="29">
        <f t="shared" si="13"/>
        <v>-0.12374483399999914</v>
      </c>
    </row>
    <row r="48" spans="2:32" hidden="1" x14ac:dyDescent="0.2">
      <c r="B48" s="26" t="s">
        <v>297</v>
      </c>
      <c r="C48" s="27">
        <f>VLOOKUP(B48,'Data yoy'!$A:$AT,MATCH($C$1,'Data yoy'!$A$1:$AT$1,),)</f>
        <v>-3.995504779</v>
      </c>
      <c r="D48" s="27">
        <f>VLOOKUP(B48,'Data yoy'!$A:$AT,MATCH($D$1,'Data yoy'!$A$1:$AT$1,),)</f>
        <v>8.1999999999999993</v>
      </c>
      <c r="E48" s="27">
        <f>VLOOKUP(B48,'Data yoy'!$A:$AT,MATCH($E$1,'Data yoy'!$A$1:$AT$1,),)</f>
        <v>-5.3565778609999999</v>
      </c>
      <c r="F48" s="27">
        <f>VLOOKUP(B48,'Data yoy'!$A:$AT,MATCH($F$1,'Data yoy'!$A$1:$AT$1,),)</f>
        <v>-6.5192014980000002</v>
      </c>
      <c r="G48" s="27">
        <f>VLOOKUP(B48,'Data yoy'!$A:$AT,MATCH($G$1,'Data yoy'!$A$1:$AT$1,),)</f>
        <v>-6.6606275300000002</v>
      </c>
      <c r="H48" s="27">
        <f>VLOOKUP(B48,'Data yoy'!$A:$AT,MATCH($H$1,'Data yoy'!$A$1:$AT$1,),)</f>
        <v>-3.437906822</v>
      </c>
      <c r="I48" s="27">
        <f>VLOOKUP(B48,'Data yoy'!$A:$AT,MATCH($I$1,'Data yoy'!$A$1:$AT$1,),)</f>
        <v>-5.3989460779999998</v>
      </c>
      <c r="J48" s="27">
        <f>VLOOKUP(B48,'Data yoy'!$A:$AT,MATCH($J$1,'Data yoy'!$A$1:$AT$1,),)</f>
        <v>-6.6159522620000004</v>
      </c>
      <c r="K48" s="27">
        <f>VLOOKUP(B48,'Data yoy'!$A:$AT,MATCH($K$1,'Data yoy'!$A$1:$AT$1,),)</f>
        <v>-4.3642555490000001</v>
      </c>
      <c r="L48" s="27">
        <f>VLOOKUP(B48,'Data yoy'!$A:$AT,MATCH($L$1,'Data yoy'!$A$1:$AT$1,),)</f>
        <v>-5.3782926240000002</v>
      </c>
      <c r="M48" s="27">
        <f>VLOOKUP(B48,'Data yoy'!$A:$AT,MATCH($M$1,'Data yoy'!$A$1:$AT$1,),)</f>
        <v>-7.7456646229999997</v>
      </c>
      <c r="N48" s="27">
        <f>VLOOKUP(B48,'Data yoy'!$A:$AT,MATCH($N$1,'Data yoy'!$A$1:$AT$1,),)</f>
        <v>-9.3971492049999998</v>
      </c>
      <c r="O48" s="27">
        <f>VLOOKUP(B48,'Data yoy'!$A:$AT,MATCH($C$1,'Data yoy'!$J$1:$AT$1,),)</f>
        <v>-4.3444474729999998</v>
      </c>
      <c r="P48" s="27">
        <f>VLOOKUP(B48,'Data yoy'!$A:$AT,MATCH($P$1,'Data yoy'!$A$1:$AT$1,),)</f>
        <v>-3.6636606239999998</v>
      </c>
      <c r="Q48" s="27">
        <f>VLOOKUP(B48,'Data yoy'!$A:$AT,MATCH($Q$1,'Data yoy'!$A$1:$AT$1,),)</f>
        <v>1.8890124939999999</v>
      </c>
      <c r="R48" s="27">
        <f>VLOOKUP(B48,'Data yoy'!$A:$AT,MATCH($E$1,'Data yoy'!$A$1:$AT$1,),)</f>
        <v>-5.3565778609999999</v>
      </c>
      <c r="S48" s="27">
        <f>VLOOKUP(B48,'Data yoy'!$A:$AT,MATCH($S$1,'Data yoy'!$A$1:$AT$1,),)</f>
        <v>-1.106362311</v>
      </c>
      <c r="T48" s="27">
        <f>VLOOKUP(B48,'Data yoy'!$A:$AT,MATCH($T$1,'Data yoy'!$A$1:$AT$1,),)</f>
        <v>-2.0056219949999998</v>
      </c>
      <c r="U48" s="27">
        <f>VLOOKUP(B48,'Data yoy'!$A:$AT,MATCH($U$1,'Data yoy'!$A$1:$AT$1,),)</f>
        <v>-3.564516207</v>
      </c>
      <c r="V48" s="27">
        <f>VLOOKUP(B48,'Data yoy'!$A:$AT,MATCH($V$1,'Data yoy'!$A$1:$AT$1,),)</f>
        <v>-4.946852485</v>
      </c>
      <c r="W48" s="27">
        <f>VLOOKUP(B48,'Data yoy'!$A:$AT,MATCH($W$1,'Data yoy'!$A$1:$AT$1,),)</f>
        <v>-6.1135173890000001</v>
      </c>
      <c r="X48" s="27">
        <f>VLOOKUP(B48,'Data yoy'!$A:$AT,MATCH($X$1,'Data yoy'!$A$1:$AT$1,),)</f>
        <v>-5.3490520310000003</v>
      </c>
      <c r="Y48" s="27">
        <f>VLOOKUP(B48,'Data yoy'!$A:$AT,MATCH($Y$1,'Data yoy'!$A$1:$AT$1,),)</f>
        <v>1.6936337640000001</v>
      </c>
      <c r="Z48" s="27">
        <f>VLOOKUP(B48,'Data yoy'!$A:$AU,MATCH($Z$1,'Data yoy'!$A$1:$AU$1,),)</f>
        <v>-9.5209506830000006</v>
      </c>
      <c r="AA48" s="27">
        <f>VLOOKUP(B48,'Data yoy'!$A:$AU,MATCH($AA$1,'Data yoy'!$A$1:$AU$1,),)</f>
        <v>-2.0537258249999999</v>
      </c>
      <c r="AB48" s="1"/>
      <c r="AC48" s="28" t="str">
        <f t="shared" si="10"/>
        <v>2009-Q2</v>
      </c>
      <c r="AD48" s="29">
        <f t="shared" si="11"/>
        <v>-5.3989460779999998</v>
      </c>
      <c r="AE48" s="29">
        <f t="shared" si="12"/>
        <v>-5.3565778609999999</v>
      </c>
      <c r="AF48" s="29">
        <f t="shared" si="13"/>
        <v>-4.236821699999993E-2</v>
      </c>
    </row>
    <row r="49" spans="2:32" hidden="1" x14ac:dyDescent="0.2">
      <c r="B49" s="26" t="s">
        <v>298</v>
      </c>
      <c r="C49" s="27">
        <f>VLOOKUP(B49,'Data yoy'!$A:$AT,MATCH($C$1,'Data yoy'!$A$1:$AT$1,),)</f>
        <v>-3.137675003</v>
      </c>
      <c r="D49" s="27">
        <f>VLOOKUP(B49,'Data yoy'!$A:$AT,MATCH($D$1,'Data yoy'!$A$1:$AT$1,),)</f>
        <v>10.6</v>
      </c>
      <c r="E49" s="27">
        <f>VLOOKUP(B49,'Data yoy'!$A:$AT,MATCH($E$1,'Data yoy'!$A$1:$AT$1,),)</f>
        <v>-4.507210261</v>
      </c>
      <c r="F49" s="27">
        <f>VLOOKUP(B49,'Data yoy'!$A:$AT,MATCH($F$1,'Data yoy'!$A$1:$AT$1,),)</f>
        <v>-5.3844301210000003</v>
      </c>
      <c r="G49" s="27">
        <f>VLOOKUP(B49,'Data yoy'!$A:$AT,MATCH($G$1,'Data yoy'!$A$1:$AT$1,),)</f>
        <v>-5.5274779179999998</v>
      </c>
      <c r="H49" s="27">
        <f>VLOOKUP(B49,'Data yoy'!$A:$AT,MATCH($H$1,'Data yoy'!$A$1:$AT$1,),)</f>
        <v>-3.0127953230000002</v>
      </c>
      <c r="I49" s="27">
        <f>VLOOKUP(B49,'Data yoy'!$A:$AT,MATCH($I$1,'Data yoy'!$A$1:$AT$1,),)</f>
        <v>-3.7785308519999998</v>
      </c>
      <c r="J49" s="27">
        <f>VLOOKUP(B49,'Data yoy'!$A:$AT,MATCH($J$1,'Data yoy'!$A$1:$AT$1,),)</f>
        <v>-5.0387553189999998</v>
      </c>
      <c r="K49" s="27">
        <f>VLOOKUP(B49,'Data yoy'!$A:$AT,MATCH($K$1,'Data yoy'!$A$1:$AT$1,),)</f>
        <v>-3.985540796</v>
      </c>
      <c r="L49" s="27">
        <f>VLOOKUP(B49,'Data yoy'!$A:$AT,MATCH($L$1,'Data yoy'!$A$1:$AT$1,),)</f>
        <v>-4.9537359089999997</v>
      </c>
      <c r="M49" s="27">
        <f>VLOOKUP(B49,'Data yoy'!$A:$AT,MATCH($M$1,'Data yoy'!$A$1:$AT$1,),)</f>
        <v>-5.0389045220000002</v>
      </c>
      <c r="N49" s="27">
        <f>VLOOKUP(B49,'Data yoy'!$A:$AT,MATCH($N$1,'Data yoy'!$A$1:$AT$1,),)</f>
        <v>-7.6486395800000002</v>
      </c>
      <c r="O49" s="27">
        <f>VLOOKUP(B49,'Data yoy'!$A:$AT,MATCH($C$1,'Data yoy'!$J$1:$AT$1,),)</f>
        <v>-3.8436950759999999</v>
      </c>
      <c r="P49" s="27">
        <f>VLOOKUP(B49,'Data yoy'!$A:$AT,MATCH($P$1,'Data yoy'!$A$1:$AT$1,),)</f>
        <v>-4.0173066549999996</v>
      </c>
      <c r="Q49" s="27">
        <f>VLOOKUP(B49,'Data yoy'!$A:$AT,MATCH($Q$1,'Data yoy'!$A$1:$AT$1,),)</f>
        <v>1.425598667</v>
      </c>
      <c r="R49" s="27">
        <f>VLOOKUP(B49,'Data yoy'!$A:$AT,MATCH($E$1,'Data yoy'!$A$1:$AT$1,),)</f>
        <v>-4.507210261</v>
      </c>
      <c r="S49" s="27">
        <f>VLOOKUP(B49,'Data yoy'!$A:$AT,MATCH($S$1,'Data yoy'!$A$1:$AT$1,),)</f>
        <v>1.028926786</v>
      </c>
      <c r="T49" s="27">
        <f>VLOOKUP(B49,'Data yoy'!$A:$AT,MATCH($T$1,'Data yoy'!$A$1:$AT$1,),)</f>
        <v>-1.134235361</v>
      </c>
      <c r="U49" s="27">
        <f>VLOOKUP(B49,'Data yoy'!$A:$AT,MATCH($U$1,'Data yoy'!$A$1:$AT$1,),)</f>
        <v>-4.1706773479999999</v>
      </c>
      <c r="V49" s="27">
        <f>VLOOKUP(B49,'Data yoy'!$A:$AT,MATCH($V$1,'Data yoy'!$A$1:$AT$1,),)</f>
        <v>-5.7190328929999996</v>
      </c>
      <c r="W49" s="27">
        <f>VLOOKUP(B49,'Data yoy'!$A:$AT,MATCH($W$1,'Data yoy'!$A$1:$AT$1,),)</f>
        <v>-2.085237668</v>
      </c>
      <c r="X49" s="27">
        <f>VLOOKUP(B49,'Data yoy'!$A:$AT,MATCH($X$1,'Data yoy'!$A$1:$AT$1,),)</f>
        <v>-5.0864063609999999</v>
      </c>
      <c r="Y49" s="27">
        <f>VLOOKUP(B49,'Data yoy'!$A:$AT,MATCH($Y$1,'Data yoy'!$A$1:$AT$1,),)</f>
        <v>2.627213765</v>
      </c>
      <c r="Z49" s="27">
        <f>VLOOKUP(B49,'Data yoy'!$A:$AU,MATCH($Z$1,'Data yoy'!$A$1:$AU$1,),)</f>
        <v>-6.7128959520000002</v>
      </c>
      <c r="AA49" s="27">
        <f>VLOOKUP(B49,'Data yoy'!$A:$AU,MATCH($AA$1,'Data yoy'!$A$1:$AU$1,),)</f>
        <v>-1.209356152</v>
      </c>
      <c r="AB49" s="1"/>
      <c r="AC49" s="28" t="str">
        <f t="shared" si="10"/>
        <v>2009-Q3</v>
      </c>
      <c r="AD49" s="29">
        <f t="shared" si="11"/>
        <v>-3.7785308519999998</v>
      </c>
      <c r="AE49" s="29">
        <f t="shared" si="12"/>
        <v>-4.507210261</v>
      </c>
      <c r="AF49" s="29">
        <f t="shared" si="13"/>
        <v>0.72867940900000017</v>
      </c>
    </row>
    <row r="50" spans="2:32" hidden="1" x14ac:dyDescent="0.2">
      <c r="B50" s="26" t="s">
        <v>299</v>
      </c>
      <c r="C50" s="27">
        <f>VLOOKUP(B50,'Data yoy'!$A:$AT,MATCH($C$1,'Data yoy'!$A$1:$AT$1,),)</f>
        <v>8.1657584000000005E-2</v>
      </c>
      <c r="D50" s="27">
        <f>VLOOKUP(B50,'Data yoy'!$A:$AT,MATCH($D$1,'Data yoy'!$A$1:$AT$1,),)</f>
        <v>11.9</v>
      </c>
      <c r="E50" s="27">
        <f>VLOOKUP(B50,'Data yoy'!$A:$AT,MATCH($E$1,'Data yoy'!$A$1:$AT$1,),)</f>
        <v>-2.3506296660000001</v>
      </c>
      <c r="F50" s="27">
        <f>VLOOKUP(B50,'Data yoy'!$A:$AT,MATCH($F$1,'Data yoy'!$A$1:$AT$1,),)</f>
        <v>-1.7848091589999999</v>
      </c>
      <c r="G50" s="27">
        <f>VLOOKUP(B50,'Data yoy'!$A:$AT,MATCH($G$1,'Data yoy'!$A$1:$AT$1,),)</f>
        <v>-3.2908877649999999</v>
      </c>
      <c r="H50" s="27">
        <f>VLOOKUP(B50,'Data yoy'!$A:$AT,MATCH($H$1,'Data yoy'!$A$1:$AT$1,),)</f>
        <v>-0.89503344900000004</v>
      </c>
      <c r="I50" s="27">
        <f>VLOOKUP(B50,'Data yoy'!$A:$AT,MATCH($I$1,'Data yoy'!$A$1:$AT$1,),)</f>
        <v>-1.4176992070000001</v>
      </c>
      <c r="J50" s="27">
        <f>VLOOKUP(B50,'Data yoy'!$A:$AT,MATCH($J$1,'Data yoy'!$A$1:$AT$1,),)</f>
        <v>-2.3198865890000002</v>
      </c>
      <c r="K50" s="27">
        <f>VLOOKUP(B50,'Data yoy'!$A:$AT,MATCH($K$1,'Data yoy'!$A$1:$AT$1,),)</f>
        <v>-2.4303368590000001</v>
      </c>
      <c r="L50" s="27">
        <f>VLOOKUP(B50,'Data yoy'!$A:$AT,MATCH($L$1,'Data yoy'!$A$1:$AT$1,),)</f>
        <v>-0.98534336300000003</v>
      </c>
      <c r="M50" s="27">
        <f>VLOOKUP(B50,'Data yoy'!$A:$AT,MATCH($M$1,'Data yoy'!$A$1:$AT$1,),)</f>
        <v>-1.8349674819999999</v>
      </c>
      <c r="N50" s="27">
        <f>VLOOKUP(B50,'Data yoy'!$A:$AT,MATCH($N$1,'Data yoy'!$A$1:$AT$1,),)</f>
        <v>-3.5116623069999999</v>
      </c>
      <c r="O50" s="27">
        <f>VLOOKUP(B50,'Data yoy'!$A:$AT,MATCH($C$1,'Data yoy'!$J$1:$AT$1,),)</f>
        <v>-2.62188036</v>
      </c>
      <c r="P50" s="27">
        <f>VLOOKUP(B50,'Data yoy'!$A:$AT,MATCH($P$1,'Data yoy'!$A$1:$AT$1,),)</f>
        <v>-1.7588737109999999</v>
      </c>
      <c r="Q50" s="27">
        <f>VLOOKUP(B50,'Data yoy'!$A:$AT,MATCH($Q$1,'Data yoy'!$A$1:$AT$1,),)</f>
        <v>2.6432892610000001</v>
      </c>
      <c r="R50" s="27">
        <f>VLOOKUP(B50,'Data yoy'!$A:$AT,MATCH($E$1,'Data yoy'!$A$1:$AT$1,),)</f>
        <v>-2.3506296660000001</v>
      </c>
      <c r="S50" s="27">
        <f>VLOOKUP(B50,'Data yoy'!$A:$AT,MATCH($S$1,'Data yoy'!$A$1:$AT$1,),)</f>
        <v>5.2394253290000004</v>
      </c>
      <c r="T50" s="27">
        <f>VLOOKUP(B50,'Data yoy'!$A:$AT,MATCH($T$1,'Data yoy'!$A$1:$AT$1,),)</f>
        <v>5.3538032250000001</v>
      </c>
      <c r="U50" s="27">
        <f>VLOOKUP(B50,'Data yoy'!$A:$AT,MATCH($U$1,'Data yoy'!$A$1:$AT$1,),)</f>
        <v>-2.6883492979999999</v>
      </c>
      <c r="V50" s="27">
        <f>VLOOKUP(B50,'Data yoy'!$A:$AT,MATCH($V$1,'Data yoy'!$A$1:$AT$1,),)</f>
        <v>-2.6182273089999999</v>
      </c>
      <c r="W50" s="27">
        <f>VLOOKUP(B50,'Data yoy'!$A:$AT,MATCH($W$1,'Data yoy'!$A$1:$AT$1,),)</f>
        <v>2.4281146589999998</v>
      </c>
      <c r="X50" s="27">
        <f>VLOOKUP(B50,'Data yoy'!$A:$AT,MATCH($X$1,'Data yoy'!$A$1:$AT$1,),)</f>
        <v>-3.2386401149999999</v>
      </c>
      <c r="Y50" s="27">
        <f>VLOOKUP(B50,'Data yoy'!$A:$AT,MATCH($Y$1,'Data yoy'!$A$1:$AT$1,),)</f>
        <v>4.6630968749999999</v>
      </c>
      <c r="Z50" s="27">
        <f>VLOOKUP(B50,'Data yoy'!$A:$AU,MATCH($Z$1,'Data yoy'!$A$1:$AU$1,),)</f>
        <v>-0.24077933600000001</v>
      </c>
      <c r="AA50" s="27">
        <f>VLOOKUP(B50,'Data yoy'!$A:$AU,MATCH($AA$1,'Data yoy'!$A$1:$AU$1,),)</f>
        <v>0.68337187899999996</v>
      </c>
      <c r="AB50" s="1"/>
      <c r="AC50" s="28" t="str">
        <f t="shared" si="10"/>
        <v>2009-Q4</v>
      </c>
      <c r="AD50" s="29">
        <f t="shared" si="11"/>
        <v>-1.4176992070000001</v>
      </c>
      <c r="AE50" s="29">
        <f t="shared" si="12"/>
        <v>-2.3506296660000001</v>
      </c>
      <c r="AF50" s="29">
        <f t="shared" si="13"/>
        <v>0.93293045900000005</v>
      </c>
    </row>
    <row r="51" spans="2:32" hidden="1" x14ac:dyDescent="0.2">
      <c r="B51" s="26" t="s">
        <v>300</v>
      </c>
      <c r="C51" s="27">
        <f>VLOOKUP(B51,'Data yoy'!$A:$AT,MATCH($C$1,'Data yoy'!$A$1:$AT$1,),)</f>
        <v>1.768457232</v>
      </c>
      <c r="D51" s="27">
        <f>VLOOKUP(B51,'Data yoy'!$A:$AT,MATCH($D$1,'Data yoy'!$A$1:$AT$1,),)</f>
        <v>12.2</v>
      </c>
      <c r="E51" s="27">
        <f>VLOOKUP(B51,'Data yoy'!$A:$AT,MATCH($E$1,'Data yoy'!$A$1:$AT$1,),)</f>
        <v>1.2130706680000001</v>
      </c>
      <c r="F51" s="27">
        <f>VLOOKUP(B51,'Data yoy'!$A:$AT,MATCH($F$1,'Data yoy'!$A$1:$AT$1,),)</f>
        <v>4.2636962250000003</v>
      </c>
      <c r="G51" s="27">
        <f>VLOOKUP(B51,'Data yoy'!$A:$AT,MATCH($G$1,'Data yoy'!$A$1:$AT$1,),)</f>
        <v>2.2779730690000002</v>
      </c>
      <c r="H51" s="27">
        <f>VLOOKUP(B51,'Data yoy'!$A:$AT,MATCH($H$1,'Data yoy'!$A$1:$AT$1,),)</f>
        <v>1.1245132419999999</v>
      </c>
      <c r="I51" s="27">
        <f>VLOOKUP(B51,'Data yoy'!$A:$AT,MATCH($I$1,'Data yoy'!$A$1:$AT$1,),)</f>
        <v>0.91897477599999999</v>
      </c>
      <c r="J51" s="27">
        <f>VLOOKUP(B51,'Data yoy'!$A:$AT,MATCH($J$1,'Data yoy'!$A$1:$AT$1,),)</f>
        <v>0.82188228600000002</v>
      </c>
      <c r="K51" s="27">
        <f>VLOOKUP(B51,'Data yoy'!$A:$AT,MATCH($K$1,'Data yoy'!$A$1:$AT$1,),)</f>
        <v>0.15163904</v>
      </c>
      <c r="L51" s="27">
        <f>VLOOKUP(B51,'Data yoy'!$A:$AT,MATCH($L$1,'Data yoy'!$A$1:$AT$1,),)</f>
        <v>3.1547907899999998</v>
      </c>
      <c r="M51" s="27">
        <f>VLOOKUP(B51,'Data yoy'!$A:$AT,MATCH($M$1,'Data yoy'!$A$1:$AT$1,),)</f>
        <v>4.5449684399999999</v>
      </c>
      <c r="N51" s="27">
        <f>VLOOKUP(B51,'Data yoy'!$A:$AT,MATCH($N$1,'Data yoy'!$A$1:$AT$1,),)</f>
        <v>2.1546811180000001</v>
      </c>
      <c r="O51" s="27">
        <f>VLOOKUP(B51,'Data yoy'!$A:$AT,MATCH($C$1,'Data yoy'!$J$1:$AT$1,),)</f>
        <v>0.81761397800000002</v>
      </c>
      <c r="P51" s="27">
        <f>VLOOKUP(B51,'Data yoy'!$A:$AT,MATCH($P$1,'Data yoy'!$A$1:$AT$1,),)</f>
        <v>1.7249135680000001</v>
      </c>
      <c r="Q51" s="27">
        <f>VLOOKUP(B51,'Data yoy'!$A:$AT,MATCH($Q$1,'Data yoy'!$A$1:$AT$1,),)</f>
        <v>2.1234812949999999</v>
      </c>
      <c r="R51" s="27">
        <f>VLOOKUP(B51,'Data yoy'!$A:$AT,MATCH($E$1,'Data yoy'!$A$1:$AT$1,),)</f>
        <v>1.2130706680000001</v>
      </c>
      <c r="S51" s="27">
        <f>VLOOKUP(B51,'Data yoy'!$A:$AT,MATCH($S$1,'Data yoy'!$A$1:$AT$1,),)</f>
        <v>7.2046764559999996</v>
      </c>
      <c r="T51" s="27">
        <f>VLOOKUP(B51,'Data yoy'!$A:$AT,MATCH($T$1,'Data yoy'!$A$1:$AT$1,),)</f>
        <v>9.2541715230000001</v>
      </c>
      <c r="U51" s="27">
        <f>VLOOKUP(B51,'Data yoy'!$A:$AT,MATCH($U$1,'Data yoy'!$A$1:$AT$1,),)</f>
        <v>-3.740262966</v>
      </c>
      <c r="V51" s="27">
        <f>VLOOKUP(B51,'Data yoy'!$A:$AT,MATCH($V$1,'Data yoy'!$A$1:$AT$1,),)</f>
        <v>-0.27608114499999997</v>
      </c>
      <c r="W51" s="27">
        <f>VLOOKUP(B51,'Data yoy'!$A:$AT,MATCH($W$1,'Data yoy'!$A$1:$AT$1,),)</f>
        <v>8.2576938200000001</v>
      </c>
      <c r="X51" s="27">
        <f>VLOOKUP(B51,'Data yoy'!$A:$AT,MATCH($X$1,'Data yoy'!$A$1:$AT$1,),)</f>
        <v>0.84904334599999998</v>
      </c>
      <c r="Y51" s="27">
        <f>VLOOKUP(B51,'Data yoy'!$A:$AT,MATCH($Y$1,'Data yoy'!$A$1:$AT$1,),)</f>
        <v>2.6009552610000002</v>
      </c>
      <c r="Z51" s="27">
        <f>VLOOKUP(B51,'Data yoy'!$A:$AU,MATCH($Z$1,'Data yoy'!$A$1:$AU$1,),)</f>
        <v>6.6788451059999998</v>
      </c>
      <c r="AA51" s="27">
        <f>VLOOKUP(B51,'Data yoy'!$A:$AU,MATCH($AA$1,'Data yoy'!$A$1:$AU$1,),)</f>
        <v>2.022346958</v>
      </c>
      <c r="AB51" s="1"/>
      <c r="AC51" s="28" t="str">
        <f t="shared" si="10"/>
        <v>2010-Q1</v>
      </c>
      <c r="AD51" s="29">
        <f t="shared" si="11"/>
        <v>0.91897477599999999</v>
      </c>
      <c r="AE51" s="29">
        <f t="shared" si="12"/>
        <v>1.2130706680000001</v>
      </c>
      <c r="AF51" s="29">
        <f t="shared" si="13"/>
        <v>-0.29409589200000008</v>
      </c>
    </row>
    <row r="52" spans="2:32" hidden="1" x14ac:dyDescent="0.2">
      <c r="B52" s="26" t="s">
        <v>301</v>
      </c>
      <c r="C52" s="27">
        <f>VLOOKUP(B52,'Data yoy'!$A:$AT,MATCH($C$1,'Data yoy'!$A$1:$AT$1,),)</f>
        <v>2.9274678449999998</v>
      </c>
      <c r="D52" s="27">
        <f>VLOOKUP(B52,'Data yoy'!$A:$AT,MATCH($D$1,'Data yoy'!$A$1:$AT$1,),)</f>
        <v>10.8</v>
      </c>
      <c r="E52" s="27">
        <f>VLOOKUP(B52,'Data yoy'!$A:$AT,MATCH($E$1,'Data yoy'!$A$1:$AT$1,),)</f>
        <v>2.231743458</v>
      </c>
      <c r="F52" s="27">
        <f>VLOOKUP(B52,'Data yoy'!$A:$AT,MATCH($F$1,'Data yoy'!$A$1:$AT$1,),)</f>
        <v>3.4810924760000002</v>
      </c>
      <c r="G52" s="27">
        <f>VLOOKUP(B52,'Data yoy'!$A:$AT,MATCH($G$1,'Data yoy'!$A$1:$AT$1,),)</f>
        <v>4.4033870430000004</v>
      </c>
      <c r="H52" s="27">
        <f>VLOOKUP(B52,'Data yoy'!$A:$AT,MATCH($H$1,'Data yoy'!$A$1:$AT$1,),)</f>
        <v>1.74115318</v>
      </c>
      <c r="I52" s="27">
        <f>VLOOKUP(B52,'Data yoy'!$A:$AT,MATCH($I$1,'Data yoy'!$A$1:$AT$1,),)</f>
        <v>2.1522622089999999</v>
      </c>
      <c r="J52" s="27">
        <f>VLOOKUP(B52,'Data yoy'!$A:$AT,MATCH($J$1,'Data yoy'!$A$1:$AT$1,),)</f>
        <v>1.890241429</v>
      </c>
      <c r="K52" s="27">
        <f>VLOOKUP(B52,'Data yoy'!$A:$AT,MATCH($K$1,'Data yoy'!$A$1:$AT$1,),)</f>
        <v>0.31260337999999999</v>
      </c>
      <c r="L52" s="27">
        <f>VLOOKUP(B52,'Data yoy'!$A:$AT,MATCH($L$1,'Data yoy'!$A$1:$AT$1,),)</f>
        <v>5.1897253760000002</v>
      </c>
      <c r="M52" s="27">
        <f>VLOOKUP(B52,'Data yoy'!$A:$AT,MATCH($M$1,'Data yoy'!$A$1:$AT$1,),)</f>
        <v>7.2742807110000003</v>
      </c>
      <c r="N52" s="27">
        <f>VLOOKUP(B52,'Data yoy'!$A:$AT,MATCH($N$1,'Data yoy'!$A$1:$AT$1,),)</f>
        <v>4.6519784560000002</v>
      </c>
      <c r="O52" s="27">
        <f>VLOOKUP(B52,'Data yoy'!$A:$AT,MATCH($C$1,'Data yoy'!$J$1:$AT$1,),)</f>
        <v>1.2573240969999999</v>
      </c>
      <c r="P52" s="27">
        <f>VLOOKUP(B52,'Data yoy'!$A:$AT,MATCH($P$1,'Data yoy'!$A$1:$AT$1,),)</f>
        <v>3.3854023660000001</v>
      </c>
      <c r="Q52" s="27">
        <f>VLOOKUP(B52,'Data yoy'!$A:$AT,MATCH($Q$1,'Data yoy'!$A$1:$AT$1,),)</f>
        <v>2.07970269</v>
      </c>
      <c r="R52" s="27">
        <f>VLOOKUP(B52,'Data yoy'!$A:$AT,MATCH($E$1,'Data yoy'!$A$1:$AT$1,),)</f>
        <v>2.231743458</v>
      </c>
      <c r="S52" s="27">
        <f>VLOOKUP(B52,'Data yoy'!$A:$AT,MATCH($S$1,'Data yoy'!$A$1:$AT$1,),)</f>
        <v>7.8045573380000004</v>
      </c>
      <c r="T52" s="27">
        <f>VLOOKUP(B52,'Data yoy'!$A:$AT,MATCH($T$1,'Data yoy'!$A$1:$AT$1,),)</f>
        <v>8.3827753909999991</v>
      </c>
      <c r="U52" s="27">
        <f>VLOOKUP(B52,'Data yoy'!$A:$AT,MATCH($U$1,'Data yoy'!$A$1:$AT$1,),)</f>
        <v>-9.4573148329999999</v>
      </c>
      <c r="V52" s="27">
        <f>VLOOKUP(B52,'Data yoy'!$A:$AT,MATCH($V$1,'Data yoy'!$A$1:$AT$1,),)</f>
        <v>0.37232358599999998</v>
      </c>
      <c r="W52" s="27">
        <f>VLOOKUP(B52,'Data yoy'!$A:$AT,MATCH($W$1,'Data yoy'!$A$1:$AT$1,),)</f>
        <v>8.0429741260000007</v>
      </c>
      <c r="X52" s="27">
        <f>VLOOKUP(B52,'Data yoy'!$A:$AT,MATCH($X$1,'Data yoy'!$A$1:$AT$1,),)</f>
        <v>2.3792545010000001</v>
      </c>
      <c r="Y52" s="27">
        <f>VLOOKUP(B52,'Data yoy'!$A:$AT,MATCH($Y$1,'Data yoy'!$A$1:$AT$1,),)</f>
        <v>4.1186391249999996</v>
      </c>
      <c r="Z52" s="27">
        <f>VLOOKUP(B52,'Data yoy'!$A:$AU,MATCH($Z$1,'Data yoy'!$A$1:$AU$1,),)</f>
        <v>13.979850514000001</v>
      </c>
      <c r="AA52" s="27">
        <f>VLOOKUP(B52,'Data yoy'!$A:$AU,MATCH($AA$1,'Data yoy'!$A$1:$AU$1,),)</f>
        <v>2.8071761820000001</v>
      </c>
      <c r="AB52" s="1"/>
      <c r="AC52" s="28" t="str">
        <f t="shared" si="10"/>
        <v>2010-Q2</v>
      </c>
      <c r="AD52" s="29">
        <f t="shared" si="11"/>
        <v>2.1522622089999999</v>
      </c>
      <c r="AE52" s="29">
        <f t="shared" si="12"/>
        <v>2.231743458</v>
      </c>
      <c r="AF52" s="29">
        <f t="shared" si="13"/>
        <v>-7.9481249000000087E-2</v>
      </c>
    </row>
    <row r="53" spans="2:32" hidden="1" x14ac:dyDescent="0.2">
      <c r="B53" s="26" t="s">
        <v>302</v>
      </c>
      <c r="C53" s="27">
        <f>VLOOKUP(B53,'Data yoy'!$A:$AT,MATCH($C$1,'Data yoy'!$A$1:$AT$1,),)</f>
        <v>3.3491938139999999</v>
      </c>
      <c r="D53" s="27">
        <f>VLOOKUP(B53,'Data yoy'!$A:$AT,MATCH($D$1,'Data yoy'!$A$1:$AT$1,),)</f>
        <v>9.9</v>
      </c>
      <c r="E53" s="27">
        <f>VLOOKUP(B53,'Data yoy'!$A:$AT,MATCH($E$1,'Data yoy'!$A$1:$AT$1,),)</f>
        <v>2.2954391479999998</v>
      </c>
      <c r="F53" s="27">
        <f>VLOOKUP(B53,'Data yoy'!$A:$AT,MATCH($F$1,'Data yoy'!$A$1:$AT$1,),)</f>
        <v>5.4026469339999998</v>
      </c>
      <c r="G53" s="27">
        <f>VLOOKUP(B53,'Data yoy'!$A:$AT,MATCH($G$1,'Data yoy'!$A$1:$AT$1,),)</f>
        <v>4.6959718400000003</v>
      </c>
      <c r="H53" s="27">
        <f>VLOOKUP(B53,'Data yoy'!$A:$AT,MATCH($H$1,'Data yoy'!$A$1:$AT$1,),)</f>
        <v>2.2325963820000001</v>
      </c>
      <c r="I53" s="27">
        <f>VLOOKUP(B53,'Data yoy'!$A:$AT,MATCH($I$1,'Data yoy'!$A$1:$AT$1,),)</f>
        <v>2.770468079</v>
      </c>
      <c r="J53" s="27">
        <f>VLOOKUP(B53,'Data yoy'!$A:$AT,MATCH($J$1,'Data yoy'!$A$1:$AT$1,),)</f>
        <v>1.848413603</v>
      </c>
      <c r="K53" s="27">
        <f>VLOOKUP(B53,'Data yoy'!$A:$AT,MATCH($K$1,'Data yoy'!$A$1:$AT$1,),)</f>
        <v>5.007437E-2</v>
      </c>
      <c r="L53" s="27">
        <f>VLOOKUP(B53,'Data yoy'!$A:$AT,MATCH($L$1,'Data yoy'!$A$1:$AT$1,),)</f>
        <v>6.5172820009999999</v>
      </c>
      <c r="M53" s="27">
        <f>VLOOKUP(B53,'Data yoy'!$A:$AT,MATCH($M$1,'Data yoy'!$A$1:$AT$1,),)</f>
        <v>4.8535500550000004</v>
      </c>
      <c r="N53" s="27">
        <f>VLOOKUP(B53,'Data yoy'!$A:$AT,MATCH($N$1,'Data yoy'!$A$1:$AT$1,),)</f>
        <v>4.7698428740000001</v>
      </c>
      <c r="O53" s="27">
        <f>VLOOKUP(B53,'Data yoy'!$A:$AT,MATCH($C$1,'Data yoy'!$J$1:$AT$1,),)</f>
        <v>1.298589277</v>
      </c>
      <c r="P53" s="27">
        <f>VLOOKUP(B53,'Data yoy'!$A:$AT,MATCH($P$1,'Data yoy'!$A$1:$AT$1,),)</f>
        <v>3.6517204460000001</v>
      </c>
      <c r="Q53" s="27">
        <f>VLOOKUP(B53,'Data yoy'!$A:$AT,MATCH($Q$1,'Data yoy'!$A$1:$AT$1,),)</f>
        <v>2.4743212300000001</v>
      </c>
      <c r="R53" s="27">
        <f>VLOOKUP(B53,'Data yoy'!$A:$AT,MATCH($E$1,'Data yoy'!$A$1:$AT$1,),)</f>
        <v>2.2954391479999998</v>
      </c>
      <c r="S53" s="27">
        <f>VLOOKUP(B53,'Data yoy'!$A:$AT,MATCH($S$1,'Data yoy'!$A$1:$AT$1,),)</f>
        <v>5.881250359</v>
      </c>
      <c r="T53" s="27">
        <f>VLOOKUP(B53,'Data yoy'!$A:$AT,MATCH($T$1,'Data yoy'!$A$1:$AT$1,),)</f>
        <v>6.9744954760000004</v>
      </c>
      <c r="U53" s="27">
        <f>VLOOKUP(B53,'Data yoy'!$A:$AT,MATCH($U$1,'Data yoy'!$A$1:$AT$1,),)</f>
        <v>-11.679305999</v>
      </c>
      <c r="V53" s="27">
        <f>VLOOKUP(B53,'Data yoy'!$A:$AT,MATCH($V$1,'Data yoy'!$A$1:$AT$1,),)</f>
        <v>2.0000423500000002</v>
      </c>
      <c r="W53" s="27">
        <f>VLOOKUP(B53,'Data yoy'!$A:$AT,MATCH($W$1,'Data yoy'!$A$1:$AT$1,),)</f>
        <v>8.4385931349999996</v>
      </c>
      <c r="X53" s="27">
        <f>VLOOKUP(B53,'Data yoy'!$A:$AT,MATCH($X$1,'Data yoy'!$A$1:$AT$1,),)</f>
        <v>2.7838252030000001</v>
      </c>
      <c r="Y53" s="27">
        <f>VLOOKUP(B53,'Data yoy'!$A:$AT,MATCH($Y$1,'Data yoy'!$A$1:$AT$1,),)</f>
        <v>4.8851946460000004</v>
      </c>
      <c r="Z53" s="27">
        <f>VLOOKUP(B53,'Data yoy'!$A:$AU,MATCH($Z$1,'Data yoy'!$A$1:$AU$1,),)</f>
        <v>10.247564763</v>
      </c>
      <c r="AA53" s="27">
        <f>VLOOKUP(B53,'Data yoy'!$A:$AU,MATCH($AA$1,'Data yoy'!$A$1:$AU$1,),)</f>
        <v>2.0559309680000002</v>
      </c>
      <c r="AB53" s="1"/>
      <c r="AC53" s="28" t="str">
        <f t="shared" si="10"/>
        <v>2010-Q3</v>
      </c>
      <c r="AD53" s="29">
        <f t="shared" si="11"/>
        <v>2.770468079</v>
      </c>
      <c r="AE53" s="29">
        <f t="shared" si="12"/>
        <v>2.2954391479999998</v>
      </c>
      <c r="AF53" s="29">
        <f t="shared" si="13"/>
        <v>0.47502893100000021</v>
      </c>
    </row>
    <row r="54" spans="2:32" hidden="1" x14ac:dyDescent="0.2">
      <c r="B54" s="26" t="s">
        <v>303</v>
      </c>
      <c r="C54" s="27">
        <f>VLOOKUP(B54,'Data yoy'!$A:$AT,MATCH($C$1,'Data yoy'!$A$1:$AT$1,),)</f>
        <v>2.7884496909999998</v>
      </c>
      <c r="D54" s="27">
        <f>VLOOKUP(B54,'Data yoy'!$A:$AT,MATCH($D$1,'Data yoy'!$A$1:$AT$1,),)</f>
        <v>9.9</v>
      </c>
      <c r="E54" s="27">
        <f>VLOOKUP(B54,'Data yoy'!$A:$AT,MATCH($E$1,'Data yoy'!$A$1:$AT$1,),)</f>
        <v>2.4829390170000001</v>
      </c>
      <c r="F54" s="27">
        <f>VLOOKUP(B54,'Data yoy'!$A:$AT,MATCH($F$1,'Data yoy'!$A$1:$AT$1,),)</f>
        <v>3.271762039</v>
      </c>
      <c r="G54" s="27">
        <f>VLOOKUP(B54,'Data yoy'!$A:$AT,MATCH($G$1,'Data yoy'!$A$1:$AT$1,),)</f>
        <v>4.7740381379999999</v>
      </c>
      <c r="H54" s="27">
        <f>VLOOKUP(B54,'Data yoy'!$A:$AT,MATCH($H$1,'Data yoy'!$A$1:$AT$1,),)</f>
        <v>2.2502345629999998</v>
      </c>
      <c r="I54" s="27">
        <f>VLOOKUP(B54,'Data yoy'!$A:$AT,MATCH($I$1,'Data yoy'!$A$1:$AT$1,),)</f>
        <v>2.4540620290000001</v>
      </c>
      <c r="J54" s="27">
        <f>VLOOKUP(B54,'Data yoy'!$A:$AT,MATCH($J$1,'Data yoy'!$A$1:$AT$1,),)</f>
        <v>2.1317500429999998</v>
      </c>
      <c r="K54" s="27">
        <f>VLOOKUP(B54,'Data yoy'!$A:$AT,MATCH($K$1,'Data yoy'!$A$1:$AT$1,),)</f>
        <v>0.137639866</v>
      </c>
      <c r="L54" s="27">
        <f>VLOOKUP(B54,'Data yoy'!$A:$AT,MATCH($L$1,'Data yoy'!$A$1:$AT$1,),)</f>
        <v>7.7799654909999996</v>
      </c>
      <c r="M54" s="27">
        <f>VLOOKUP(B54,'Data yoy'!$A:$AT,MATCH($M$1,'Data yoy'!$A$1:$AT$1,),)</f>
        <v>3.9181193240000001</v>
      </c>
      <c r="N54" s="27">
        <f>VLOOKUP(B54,'Data yoy'!$A:$AT,MATCH($N$1,'Data yoy'!$A$1:$AT$1,),)</f>
        <v>4.9515095230000004</v>
      </c>
      <c r="O54" s="27">
        <f>VLOOKUP(B54,'Data yoy'!$A:$AT,MATCH($C$1,'Data yoy'!$J$1:$AT$1,),)</f>
        <v>1.8272358799999999</v>
      </c>
      <c r="P54" s="27">
        <f>VLOOKUP(B54,'Data yoy'!$A:$AT,MATCH($P$1,'Data yoy'!$A$1:$AT$1,),)</f>
        <v>3.6018732419999999</v>
      </c>
      <c r="Q54" s="27">
        <f>VLOOKUP(B54,'Data yoy'!$A:$AT,MATCH($Q$1,'Data yoy'!$A$1:$AT$1,),)</f>
        <v>2.7612039159999999</v>
      </c>
      <c r="R54" s="27">
        <f>VLOOKUP(B54,'Data yoy'!$A:$AT,MATCH($E$1,'Data yoy'!$A$1:$AT$1,),)</f>
        <v>2.4829390170000001</v>
      </c>
      <c r="S54" s="27">
        <f>VLOOKUP(B54,'Data yoy'!$A:$AT,MATCH($S$1,'Data yoy'!$A$1:$AT$1,),)</f>
        <v>6.3777791490000002</v>
      </c>
      <c r="T54" s="27">
        <f>VLOOKUP(B54,'Data yoy'!$A:$AT,MATCH($T$1,'Data yoy'!$A$1:$AT$1,),)</f>
        <v>5.7497105060000004</v>
      </c>
      <c r="U54" s="27">
        <f>VLOOKUP(B54,'Data yoy'!$A:$AT,MATCH($U$1,'Data yoy'!$A$1:$AT$1,),)</f>
        <v>-12.857705622999999</v>
      </c>
      <c r="V54" s="27">
        <f>VLOOKUP(B54,'Data yoy'!$A:$AT,MATCH($V$1,'Data yoy'!$A$1:$AT$1,),)</f>
        <v>3.1448904049999999</v>
      </c>
      <c r="W54" s="27">
        <f>VLOOKUP(B54,'Data yoy'!$A:$AT,MATCH($W$1,'Data yoy'!$A$1:$AT$1,),)</f>
        <v>9.5775519819999992</v>
      </c>
      <c r="X54" s="27">
        <f>VLOOKUP(B54,'Data yoy'!$A:$AT,MATCH($X$1,'Data yoy'!$A$1:$AT$1,),)</f>
        <v>3.0705295289999999</v>
      </c>
      <c r="Y54" s="27">
        <f>VLOOKUP(B54,'Data yoy'!$A:$AT,MATCH($Y$1,'Data yoy'!$A$1:$AT$1,),)</f>
        <v>3.4316718260000001</v>
      </c>
      <c r="Z54" s="27">
        <f>VLOOKUP(B54,'Data yoy'!$A:$AU,MATCH($Z$1,'Data yoy'!$A$1:$AU$1,),)</f>
        <v>9.692054722</v>
      </c>
      <c r="AA54" s="27">
        <f>VLOOKUP(B54,'Data yoy'!$A:$AU,MATCH($AA$1,'Data yoy'!$A$1:$AU$1,),)</f>
        <v>0.28375387899999999</v>
      </c>
      <c r="AB54" s="1"/>
      <c r="AC54" s="28" t="str">
        <f t="shared" si="10"/>
        <v>2010-Q4</v>
      </c>
      <c r="AD54" s="29">
        <f t="shared" si="11"/>
        <v>2.4540620290000001</v>
      </c>
      <c r="AE54" s="29">
        <f t="shared" si="12"/>
        <v>2.4829390170000001</v>
      </c>
      <c r="AF54" s="29">
        <f t="shared" si="13"/>
        <v>-2.8876987999999937E-2</v>
      </c>
    </row>
    <row r="55" spans="2:32" hidden="1" x14ac:dyDescent="0.2">
      <c r="B55" s="26" t="s">
        <v>304</v>
      </c>
      <c r="C55" s="27">
        <f>VLOOKUP(B55,'Data yoy'!$A:$AT,MATCH($C$1,'Data yoy'!$A$1:$AT$1,),)</f>
        <v>2.0306081909999998</v>
      </c>
      <c r="D55" s="27">
        <f>VLOOKUP(B55,'Data yoy'!$A:$AT,MATCH($D$1,'Data yoy'!$A$1:$AT$1,),)</f>
        <v>10.199999999999999</v>
      </c>
      <c r="E55" s="27">
        <f>VLOOKUP(B55,'Data yoy'!$A:$AT,MATCH($E$1,'Data yoy'!$A$1:$AT$1,),)</f>
        <v>2.9129017820000001</v>
      </c>
      <c r="F55" s="27">
        <f>VLOOKUP(B55,'Data yoy'!$A:$AT,MATCH($F$1,'Data yoy'!$A$1:$AT$1,),)</f>
        <v>1.121047728</v>
      </c>
      <c r="G55" s="27">
        <f>VLOOKUP(B55,'Data yoy'!$A:$AT,MATCH($G$1,'Data yoy'!$A$1:$AT$1,),)</f>
        <v>5.9427989529999996</v>
      </c>
      <c r="H55" s="27">
        <f>VLOOKUP(B55,'Data yoy'!$A:$AT,MATCH($H$1,'Data yoy'!$A$1:$AT$1,),)</f>
        <v>2.8875846570000001</v>
      </c>
      <c r="I55" s="27">
        <f>VLOOKUP(B55,'Data yoy'!$A:$AT,MATCH($I$1,'Data yoy'!$A$1:$AT$1,),)</f>
        <v>2.1686525560000001</v>
      </c>
      <c r="J55" s="27">
        <f>VLOOKUP(B55,'Data yoy'!$A:$AT,MATCH($J$1,'Data yoy'!$A$1:$AT$1,),)</f>
        <v>2.1603148879999998</v>
      </c>
      <c r="K55" s="27">
        <f>VLOOKUP(B55,'Data yoy'!$A:$AT,MATCH($K$1,'Data yoy'!$A$1:$AT$1,),)</f>
        <v>9.6486409999999995E-3</v>
      </c>
      <c r="L55" s="27">
        <f>VLOOKUP(B55,'Data yoy'!$A:$AT,MATCH($L$1,'Data yoy'!$A$1:$AT$1,),)</f>
        <v>5.3359278489999999</v>
      </c>
      <c r="M55" s="27">
        <f>VLOOKUP(B55,'Data yoy'!$A:$AT,MATCH($M$1,'Data yoy'!$A$1:$AT$1,),)</f>
        <v>3.6269242190000002</v>
      </c>
      <c r="N55" s="27">
        <f>VLOOKUP(B55,'Data yoy'!$A:$AT,MATCH($N$1,'Data yoy'!$A$1:$AT$1,),)</f>
        <v>3.8506293070000002</v>
      </c>
      <c r="O55" s="27">
        <f>VLOOKUP(B55,'Data yoy'!$A:$AT,MATCH($C$1,'Data yoy'!$J$1:$AT$1,),)</f>
        <v>2.609041666</v>
      </c>
      <c r="P55" s="27">
        <f>VLOOKUP(B55,'Data yoy'!$A:$AT,MATCH($P$1,'Data yoy'!$A$1:$AT$1,),)</f>
        <v>3.1402038609999998</v>
      </c>
      <c r="Q55" s="27">
        <f>VLOOKUP(B55,'Data yoy'!$A:$AT,MATCH($Q$1,'Data yoy'!$A$1:$AT$1,),)</f>
        <v>1.976459277</v>
      </c>
      <c r="R55" s="27">
        <f>VLOOKUP(B55,'Data yoy'!$A:$AT,MATCH($E$1,'Data yoy'!$A$1:$AT$1,),)</f>
        <v>2.9129017820000001</v>
      </c>
      <c r="S55" s="27">
        <f>VLOOKUP(B55,'Data yoy'!$A:$AT,MATCH($S$1,'Data yoy'!$A$1:$AT$1,),)</f>
        <v>5.3073706820000002</v>
      </c>
      <c r="T55" s="27">
        <f>VLOOKUP(B55,'Data yoy'!$A:$AT,MATCH($T$1,'Data yoy'!$A$1:$AT$1,),)</f>
        <v>4.8980849339999999</v>
      </c>
      <c r="U55" s="27">
        <f>VLOOKUP(B55,'Data yoy'!$A:$AT,MATCH($U$1,'Data yoy'!$A$1:$AT$1,),)</f>
        <v>-10.840943648</v>
      </c>
      <c r="V55" s="27">
        <f>VLOOKUP(B55,'Data yoy'!$A:$AT,MATCH($V$1,'Data yoy'!$A$1:$AT$1,),)</f>
        <v>0.79049407100000002</v>
      </c>
      <c r="W55" s="27">
        <f>VLOOKUP(B55,'Data yoy'!$A:$AT,MATCH($W$1,'Data yoy'!$A$1:$AT$1,),)</f>
        <v>12.378786377999999</v>
      </c>
      <c r="X55" s="27">
        <f>VLOOKUP(B55,'Data yoy'!$A:$AT,MATCH($X$1,'Data yoy'!$A$1:$AT$1,),)</f>
        <v>2.965960554</v>
      </c>
      <c r="Y55" s="27">
        <f>VLOOKUP(B55,'Data yoy'!$A:$AT,MATCH($Y$1,'Data yoy'!$A$1:$AT$1,),)</f>
        <v>5.0418665420000002</v>
      </c>
      <c r="Z55" s="27">
        <f>VLOOKUP(B55,'Data yoy'!$A:$AU,MATCH($Z$1,'Data yoy'!$A$1:$AU$1,),)</f>
        <v>9.0082692800000004</v>
      </c>
      <c r="AA55" s="27">
        <f>VLOOKUP(B55,'Data yoy'!$A:$AU,MATCH($AA$1,'Data yoy'!$A$1:$AU$1,),)</f>
        <v>1.0539936910000001</v>
      </c>
      <c r="AB55" s="1"/>
      <c r="AC55" s="28" t="str">
        <f t="shared" si="10"/>
        <v>2011-Q1</v>
      </c>
      <c r="AD55" s="29">
        <f t="shared" si="11"/>
        <v>2.1686525560000001</v>
      </c>
      <c r="AE55" s="29">
        <f t="shared" si="12"/>
        <v>2.9129017820000001</v>
      </c>
      <c r="AF55" s="29">
        <f t="shared" si="13"/>
        <v>-0.74424922599999999</v>
      </c>
    </row>
    <row r="56" spans="2:32" hidden="1" x14ac:dyDescent="0.2">
      <c r="B56" s="26" t="s">
        <v>305</v>
      </c>
      <c r="C56" s="27">
        <f>VLOOKUP(B56,'Data yoy'!$A:$AT,MATCH($C$1,'Data yoy'!$A$1:$AT$1,),)</f>
        <v>1.737905069</v>
      </c>
      <c r="D56" s="27">
        <f>VLOOKUP(B56,'Data yoy'!$A:$AT,MATCH($D$1,'Data yoy'!$A$1:$AT$1,),)</f>
        <v>10</v>
      </c>
      <c r="E56" s="27">
        <f>VLOOKUP(B56,'Data yoy'!$A:$AT,MATCH($E$1,'Data yoy'!$A$1:$AT$1,),)</f>
        <v>1.9321527730000001</v>
      </c>
      <c r="F56" s="27">
        <f>VLOOKUP(B56,'Data yoy'!$A:$AT,MATCH($F$1,'Data yoy'!$A$1:$AT$1,),)</f>
        <v>-0.94693086800000004</v>
      </c>
      <c r="G56" s="27">
        <f>VLOOKUP(B56,'Data yoy'!$A:$AT,MATCH($G$1,'Data yoy'!$A$1:$AT$1,),)</f>
        <v>3.707855318</v>
      </c>
      <c r="H56" s="27">
        <f>VLOOKUP(B56,'Data yoy'!$A:$AT,MATCH($H$1,'Data yoy'!$A$1:$AT$1,),)</f>
        <v>2.398038605</v>
      </c>
      <c r="I56" s="27">
        <f>VLOOKUP(B56,'Data yoy'!$A:$AT,MATCH($I$1,'Data yoy'!$A$1:$AT$1,),)</f>
        <v>1.2138208829999999</v>
      </c>
      <c r="J56" s="27">
        <f>VLOOKUP(B56,'Data yoy'!$A:$AT,MATCH($J$1,'Data yoy'!$A$1:$AT$1,),)</f>
        <v>1.516108936</v>
      </c>
      <c r="K56" s="27">
        <f>VLOOKUP(B56,'Data yoy'!$A:$AT,MATCH($K$1,'Data yoy'!$A$1:$AT$1,),)</f>
        <v>-0.45651271700000001</v>
      </c>
      <c r="L56" s="27">
        <f>VLOOKUP(B56,'Data yoy'!$A:$AT,MATCH($L$1,'Data yoy'!$A$1:$AT$1,),)</f>
        <v>3.570332939</v>
      </c>
      <c r="M56" s="27">
        <f>VLOOKUP(B56,'Data yoy'!$A:$AT,MATCH($M$1,'Data yoy'!$A$1:$AT$1,),)</f>
        <v>3.0347939639999999</v>
      </c>
      <c r="N56" s="27">
        <f>VLOOKUP(B56,'Data yoy'!$A:$AT,MATCH($N$1,'Data yoy'!$A$1:$AT$1,),)</f>
        <v>3.9190521760000001</v>
      </c>
      <c r="O56" s="27">
        <f>VLOOKUP(B56,'Data yoy'!$A:$AT,MATCH($C$1,'Data yoy'!$J$1:$AT$1,),)</f>
        <v>2.0694538520000001</v>
      </c>
      <c r="P56" s="27">
        <f>VLOOKUP(B56,'Data yoy'!$A:$AT,MATCH($P$1,'Data yoy'!$A$1:$AT$1,),)</f>
        <v>2.80319874</v>
      </c>
      <c r="Q56" s="27">
        <f>VLOOKUP(B56,'Data yoy'!$A:$AT,MATCH($Q$1,'Data yoy'!$A$1:$AT$1,),)</f>
        <v>2.6399958859999999</v>
      </c>
      <c r="R56" s="27">
        <f>VLOOKUP(B56,'Data yoy'!$A:$AT,MATCH($E$1,'Data yoy'!$A$1:$AT$1,),)</f>
        <v>1.9321527730000001</v>
      </c>
      <c r="S56" s="27">
        <f>VLOOKUP(B56,'Data yoy'!$A:$AT,MATCH($S$1,'Data yoy'!$A$1:$AT$1,),)</f>
        <v>3.8512425129999999</v>
      </c>
      <c r="T56" s="27">
        <f>VLOOKUP(B56,'Data yoy'!$A:$AT,MATCH($T$1,'Data yoy'!$A$1:$AT$1,),)</f>
        <v>4.8711944330000003</v>
      </c>
      <c r="U56" s="27">
        <f>VLOOKUP(B56,'Data yoy'!$A:$AT,MATCH($U$1,'Data yoy'!$A$1:$AT$1,),)</f>
        <v>-9.6720514420000008</v>
      </c>
      <c r="V56" s="27">
        <f>VLOOKUP(B56,'Data yoy'!$A:$AT,MATCH($V$1,'Data yoy'!$A$1:$AT$1,),)</f>
        <v>2.2574043160000001</v>
      </c>
      <c r="W56" s="27">
        <f>VLOOKUP(B56,'Data yoy'!$A:$AT,MATCH($W$1,'Data yoy'!$A$1:$AT$1,),)</f>
        <v>11.238746556000001</v>
      </c>
      <c r="X56" s="27">
        <f>VLOOKUP(B56,'Data yoy'!$A:$AT,MATCH($X$1,'Data yoy'!$A$1:$AT$1,),)</f>
        <v>2.0877240499999998</v>
      </c>
      <c r="Y56" s="27">
        <f>VLOOKUP(B56,'Data yoy'!$A:$AT,MATCH($Y$1,'Data yoy'!$A$1:$AT$1,),)</f>
        <v>4.8442401840000002</v>
      </c>
      <c r="Z56" s="27">
        <f>VLOOKUP(B56,'Data yoy'!$A:$AU,MATCH($Z$1,'Data yoy'!$A$1:$AU$1,),)</f>
        <v>5.2949515419999997</v>
      </c>
      <c r="AA56" s="27">
        <f>VLOOKUP(B56,'Data yoy'!$A:$AU,MATCH($AA$1,'Data yoy'!$A$1:$AU$1,),)</f>
        <v>0.824736468</v>
      </c>
      <c r="AB56" s="1"/>
      <c r="AC56" s="28" t="str">
        <f t="shared" si="10"/>
        <v>2011-Q2</v>
      </c>
      <c r="AD56" s="29">
        <f t="shared" si="11"/>
        <v>1.2138208829999999</v>
      </c>
      <c r="AE56" s="29">
        <f t="shared" si="12"/>
        <v>1.9321527730000001</v>
      </c>
      <c r="AF56" s="29">
        <f t="shared" si="13"/>
        <v>-0.71833189000000019</v>
      </c>
    </row>
    <row r="57" spans="2:32" hidden="1" x14ac:dyDescent="0.2">
      <c r="B57" s="26" t="s">
        <v>306</v>
      </c>
      <c r="C57" s="27">
        <f>VLOOKUP(B57,'Data yoy'!$A:$AT,MATCH($C$1,'Data yoy'!$A$1:$AT$1,),)</f>
        <v>0.91822084800000003</v>
      </c>
      <c r="D57" s="27">
        <f>VLOOKUP(B57,'Data yoy'!$A:$AT,MATCH($D$1,'Data yoy'!$A$1:$AT$1,),)</f>
        <v>9.4</v>
      </c>
      <c r="E57" s="27">
        <f>VLOOKUP(B57,'Data yoy'!$A:$AT,MATCH($E$1,'Data yoy'!$A$1:$AT$1,),)</f>
        <v>1.61916712</v>
      </c>
      <c r="F57" s="27">
        <f>VLOOKUP(B57,'Data yoy'!$A:$AT,MATCH($F$1,'Data yoy'!$A$1:$AT$1,),)</f>
        <v>-0.34900809999999999</v>
      </c>
      <c r="G57" s="27">
        <f>VLOOKUP(B57,'Data yoy'!$A:$AT,MATCH($G$1,'Data yoy'!$A$1:$AT$1,),)</f>
        <v>3.7634872110000002</v>
      </c>
      <c r="H57" s="27">
        <f>VLOOKUP(B57,'Data yoy'!$A:$AT,MATCH($H$1,'Data yoy'!$A$1:$AT$1,),)</f>
        <v>2.110568502</v>
      </c>
      <c r="I57" s="27">
        <f>VLOOKUP(B57,'Data yoy'!$A:$AT,MATCH($I$1,'Data yoy'!$A$1:$AT$1,),)</f>
        <v>0.81868880799999999</v>
      </c>
      <c r="J57" s="27">
        <f>VLOOKUP(B57,'Data yoy'!$A:$AT,MATCH($J$1,'Data yoy'!$A$1:$AT$1,),)</f>
        <v>0.59161042699999999</v>
      </c>
      <c r="K57" s="27">
        <f>VLOOKUP(B57,'Data yoy'!$A:$AT,MATCH($K$1,'Data yoy'!$A$1:$AT$1,),)</f>
        <v>-1.051035465</v>
      </c>
      <c r="L57" s="27">
        <f>VLOOKUP(B57,'Data yoy'!$A:$AT,MATCH($L$1,'Data yoy'!$A$1:$AT$1,),)</f>
        <v>3.6317686810000001</v>
      </c>
      <c r="M57" s="27">
        <f>VLOOKUP(B57,'Data yoy'!$A:$AT,MATCH($M$1,'Data yoy'!$A$1:$AT$1,),)</f>
        <v>4.0645263319999998</v>
      </c>
      <c r="N57" s="27">
        <f>VLOOKUP(B57,'Data yoy'!$A:$AT,MATCH($N$1,'Data yoy'!$A$1:$AT$1,),)</f>
        <v>4.628825602</v>
      </c>
      <c r="O57" s="27">
        <f>VLOOKUP(B57,'Data yoy'!$A:$AT,MATCH($C$1,'Data yoy'!$J$1:$AT$1,),)</f>
        <v>1.6211538430000001</v>
      </c>
      <c r="P57" s="27">
        <f>VLOOKUP(B57,'Data yoy'!$A:$AT,MATCH($P$1,'Data yoy'!$A$1:$AT$1,),)</f>
        <v>3.4880974490000001</v>
      </c>
      <c r="Q57" s="27">
        <f>VLOOKUP(B57,'Data yoy'!$A:$AT,MATCH($Q$1,'Data yoy'!$A$1:$AT$1,),)</f>
        <v>3.3124776549999999</v>
      </c>
      <c r="R57" s="27">
        <f>VLOOKUP(B57,'Data yoy'!$A:$AT,MATCH($E$1,'Data yoy'!$A$1:$AT$1,),)</f>
        <v>1.61916712</v>
      </c>
      <c r="S57" s="27">
        <f>VLOOKUP(B57,'Data yoy'!$A:$AT,MATCH($S$1,'Data yoy'!$A$1:$AT$1,),)</f>
        <v>3.2055896160000001</v>
      </c>
      <c r="T57" s="27">
        <f>VLOOKUP(B57,'Data yoy'!$A:$AT,MATCH($T$1,'Data yoy'!$A$1:$AT$1,),)</f>
        <v>3.6000941480000002</v>
      </c>
      <c r="U57" s="27">
        <f>VLOOKUP(B57,'Data yoy'!$A:$AT,MATCH($U$1,'Data yoy'!$A$1:$AT$1,),)</f>
        <v>-8.5528157389999997</v>
      </c>
      <c r="V57" s="27">
        <f>VLOOKUP(B57,'Data yoy'!$A:$AT,MATCH($V$1,'Data yoy'!$A$1:$AT$1,),)</f>
        <v>-0.16801474699999999</v>
      </c>
      <c r="W57" s="27">
        <f>VLOOKUP(B57,'Data yoy'!$A:$AT,MATCH($W$1,'Data yoy'!$A$1:$AT$1,),)</f>
        <v>11.117671024</v>
      </c>
      <c r="X57" s="27">
        <f>VLOOKUP(B57,'Data yoy'!$A:$AT,MATCH($X$1,'Data yoy'!$A$1:$AT$1,),)</f>
        <v>1.157237979</v>
      </c>
      <c r="Y57" s="27">
        <f>VLOOKUP(B57,'Data yoy'!$A:$AT,MATCH($Y$1,'Data yoy'!$A$1:$AT$1,),)</f>
        <v>4.8131907739999997</v>
      </c>
      <c r="Z57" s="27">
        <f>VLOOKUP(B57,'Data yoy'!$A:$AU,MATCH($Z$1,'Data yoy'!$A$1:$AU$1,),)</f>
        <v>5.6029469030000003</v>
      </c>
      <c r="AA57" s="27">
        <f>VLOOKUP(B57,'Data yoy'!$A:$AU,MATCH($AA$1,'Data yoy'!$A$1:$AU$1,),)</f>
        <v>2.1484534609999999</v>
      </c>
      <c r="AB57" s="1"/>
      <c r="AC57" s="28" t="str">
        <f t="shared" si="10"/>
        <v>2011-Q3</v>
      </c>
      <c r="AD57" s="29">
        <f t="shared" si="11"/>
        <v>0.81868880799999999</v>
      </c>
      <c r="AE57" s="29">
        <f t="shared" si="12"/>
        <v>1.61916712</v>
      </c>
      <c r="AF57" s="29">
        <f t="shared" si="13"/>
        <v>-0.80047831199999997</v>
      </c>
    </row>
    <row r="58" spans="2:32" hidden="1" x14ac:dyDescent="0.2">
      <c r="B58" s="26" t="s">
        <v>307</v>
      </c>
      <c r="C58" s="27">
        <f>VLOOKUP(B58,'Data yoy'!$A:$AT,MATCH($C$1,'Data yoy'!$A$1:$AT$1,),)</f>
        <v>1.5226915240000001</v>
      </c>
      <c r="D58" s="27">
        <f>VLOOKUP(B58,'Data yoy'!$A:$AT,MATCH($D$1,'Data yoy'!$A$1:$AT$1,),)</f>
        <v>8.8000000000000007</v>
      </c>
      <c r="E58" s="27">
        <f>VLOOKUP(B58,'Data yoy'!$A:$AT,MATCH($E$1,'Data yoy'!$A$1:$AT$1,),)</f>
        <v>0.59129549800000003</v>
      </c>
      <c r="F58" s="27">
        <f>VLOOKUP(B58,'Data yoy'!$A:$AT,MATCH($F$1,'Data yoy'!$A$1:$AT$1,),)</f>
        <v>0.33194108</v>
      </c>
      <c r="G58" s="27">
        <f>VLOOKUP(B58,'Data yoy'!$A:$AT,MATCH($G$1,'Data yoy'!$A$1:$AT$1,),)</f>
        <v>2.6068483050000002</v>
      </c>
      <c r="H58" s="27">
        <f>VLOOKUP(B58,'Data yoy'!$A:$AT,MATCH($H$1,'Data yoy'!$A$1:$AT$1,),)</f>
        <v>1.5645336540000001</v>
      </c>
      <c r="I58" s="27">
        <f>VLOOKUP(B58,'Data yoy'!$A:$AT,MATCH($I$1,'Data yoy'!$A$1:$AT$1,),)</f>
        <v>0.91684755699999998</v>
      </c>
      <c r="J58" s="27">
        <f>VLOOKUP(B58,'Data yoy'!$A:$AT,MATCH($J$1,'Data yoy'!$A$1:$AT$1,),)</f>
        <v>-0.86431451500000001</v>
      </c>
      <c r="K58" s="27">
        <f>VLOOKUP(B58,'Data yoy'!$A:$AT,MATCH($K$1,'Data yoy'!$A$1:$AT$1,),)</f>
        <v>-1.7587018139999999</v>
      </c>
      <c r="L58" s="27">
        <f>VLOOKUP(B58,'Data yoy'!$A:$AT,MATCH($L$1,'Data yoy'!$A$1:$AT$1,),)</f>
        <v>0.58795153099999997</v>
      </c>
      <c r="M58" s="27">
        <f>VLOOKUP(B58,'Data yoy'!$A:$AT,MATCH($M$1,'Data yoy'!$A$1:$AT$1,),)</f>
        <v>3.950900061</v>
      </c>
      <c r="N58" s="27">
        <f>VLOOKUP(B58,'Data yoy'!$A:$AT,MATCH($N$1,'Data yoy'!$A$1:$AT$1,),)</f>
        <v>4.6036794600000004</v>
      </c>
      <c r="O58" s="27">
        <f>VLOOKUP(B58,'Data yoy'!$A:$AT,MATCH($C$1,'Data yoy'!$J$1:$AT$1,),)</f>
        <v>-0.117624241</v>
      </c>
      <c r="P58" s="27">
        <f>VLOOKUP(B58,'Data yoy'!$A:$AT,MATCH($P$1,'Data yoy'!$A$1:$AT$1,),)</f>
        <v>3.150369226</v>
      </c>
      <c r="Q58" s="27">
        <f>VLOOKUP(B58,'Data yoy'!$A:$AT,MATCH($Q$1,'Data yoy'!$A$1:$AT$1,),)</f>
        <v>3.439271803</v>
      </c>
      <c r="R58" s="27">
        <f>VLOOKUP(B58,'Data yoy'!$A:$AT,MATCH($E$1,'Data yoy'!$A$1:$AT$1,),)</f>
        <v>0.59129549800000003</v>
      </c>
      <c r="S58" s="27">
        <f>VLOOKUP(B58,'Data yoy'!$A:$AT,MATCH($S$1,'Data yoy'!$A$1:$AT$1,),)</f>
        <v>2.4439098600000002</v>
      </c>
      <c r="T58" s="27">
        <f>VLOOKUP(B58,'Data yoy'!$A:$AT,MATCH($T$1,'Data yoy'!$A$1:$AT$1,),)</f>
        <v>3.07348628</v>
      </c>
      <c r="U58" s="27">
        <f>VLOOKUP(B58,'Data yoy'!$A:$AT,MATCH($U$1,'Data yoy'!$A$1:$AT$1,),)</f>
        <v>-11.182211438</v>
      </c>
      <c r="V58" s="27">
        <f>VLOOKUP(B58,'Data yoy'!$A:$AT,MATCH($V$1,'Data yoy'!$A$1:$AT$1,),)</f>
        <v>0.75683836100000002</v>
      </c>
      <c r="W58" s="27">
        <f>VLOOKUP(B58,'Data yoy'!$A:$AT,MATCH($W$1,'Data yoy'!$A$1:$AT$1,),)</f>
        <v>9.3209064149999996</v>
      </c>
      <c r="X58" s="27">
        <f>VLOOKUP(B58,'Data yoy'!$A:$AT,MATCH($X$1,'Data yoy'!$A$1:$AT$1,),)</f>
        <v>0.86309468300000003</v>
      </c>
      <c r="Y58" s="27">
        <f>VLOOKUP(B58,'Data yoy'!$A:$AT,MATCH($Y$1,'Data yoy'!$A$1:$AT$1,),)</f>
        <v>4.4563385750000002</v>
      </c>
      <c r="Z58" s="27">
        <f>VLOOKUP(B58,'Data yoy'!$A:$AU,MATCH($Z$1,'Data yoy'!$A$1:$AU$1,),)</f>
        <v>4.2737726909999996</v>
      </c>
      <c r="AA58" s="27">
        <f>VLOOKUP(B58,'Data yoy'!$A:$AU,MATCH($AA$1,'Data yoy'!$A$1:$AU$1,),)</f>
        <v>3.2522062360000001</v>
      </c>
      <c r="AB58" s="1"/>
      <c r="AC58" s="28" t="str">
        <f t="shared" si="10"/>
        <v>2011-Q4</v>
      </c>
      <c r="AD58" s="29">
        <f t="shared" si="11"/>
        <v>0.91684755699999998</v>
      </c>
      <c r="AE58" s="29">
        <f t="shared" si="12"/>
        <v>0.59129549800000003</v>
      </c>
      <c r="AF58" s="29">
        <f t="shared" si="13"/>
        <v>0.32555205899999995</v>
      </c>
    </row>
    <row r="59" spans="2:32" hidden="1" x14ac:dyDescent="0.2">
      <c r="B59" s="26" t="s">
        <v>308</v>
      </c>
      <c r="C59" s="27">
        <f>VLOOKUP(B59,'Data yoy'!$A:$AT,MATCH($C$1,'Data yoy'!$A$1:$AT$1,),)</f>
        <v>2.600249298</v>
      </c>
      <c r="D59" s="27">
        <f>VLOOKUP(B59,'Data yoy'!$A:$AT,MATCH($D$1,'Data yoy'!$A$1:$AT$1,),)</f>
        <v>8.1</v>
      </c>
      <c r="E59" s="27">
        <f>VLOOKUP(B59,'Data yoy'!$A:$AT,MATCH($E$1,'Data yoy'!$A$1:$AT$1,),)</f>
        <v>-0.49407099300000001</v>
      </c>
      <c r="F59" s="27">
        <f>VLOOKUP(B59,'Data yoy'!$A:$AT,MATCH($F$1,'Data yoy'!$A$1:$AT$1,),)</f>
        <v>2.8206976159999999</v>
      </c>
      <c r="G59" s="27">
        <f>VLOOKUP(B59,'Data yoy'!$A:$AT,MATCH($G$1,'Data yoy'!$A$1:$AT$1,),)</f>
        <v>0.87614774600000001</v>
      </c>
      <c r="H59" s="27">
        <f>VLOOKUP(B59,'Data yoy'!$A:$AT,MATCH($H$1,'Data yoy'!$A$1:$AT$1,),)</f>
        <v>0.66395231300000002</v>
      </c>
      <c r="I59" s="27">
        <f>VLOOKUP(B59,'Data yoy'!$A:$AT,MATCH($I$1,'Data yoy'!$A$1:$AT$1,),)</f>
        <v>1.250401525</v>
      </c>
      <c r="J59" s="27">
        <f>VLOOKUP(B59,'Data yoy'!$A:$AT,MATCH($J$1,'Data yoy'!$A$1:$AT$1,),)</f>
        <v>-2.4031181429999999</v>
      </c>
      <c r="K59" s="27">
        <f>VLOOKUP(B59,'Data yoy'!$A:$AT,MATCH($K$1,'Data yoy'!$A$1:$AT$1,),)</f>
        <v>-2.5273289939999999</v>
      </c>
      <c r="L59" s="27">
        <f>VLOOKUP(B59,'Data yoy'!$A:$AT,MATCH($L$1,'Data yoy'!$A$1:$AT$1,),)</f>
        <v>0.37296940699999998</v>
      </c>
      <c r="M59" s="27">
        <f>VLOOKUP(B59,'Data yoy'!$A:$AT,MATCH($M$1,'Data yoy'!$A$1:$AT$1,),)</f>
        <v>3.842830857</v>
      </c>
      <c r="N59" s="27">
        <f>VLOOKUP(B59,'Data yoy'!$A:$AT,MATCH($N$1,'Data yoy'!$A$1:$AT$1,),)</f>
        <v>5.064430948</v>
      </c>
      <c r="O59" s="27">
        <f>VLOOKUP(B59,'Data yoy'!$A:$AT,MATCH($C$1,'Data yoy'!$J$1:$AT$1,),)</f>
        <v>-0.89917164400000005</v>
      </c>
      <c r="P59" s="27">
        <f>VLOOKUP(B59,'Data yoy'!$A:$AT,MATCH($P$1,'Data yoy'!$A$1:$AT$1,),)</f>
        <v>2.442677819</v>
      </c>
      <c r="Q59" s="27">
        <f>VLOOKUP(B59,'Data yoy'!$A:$AT,MATCH($Q$1,'Data yoy'!$A$1:$AT$1,),)</f>
        <v>4.6767084609999996</v>
      </c>
      <c r="R59" s="27">
        <f>VLOOKUP(B59,'Data yoy'!$A:$AT,MATCH($E$1,'Data yoy'!$A$1:$AT$1,),)</f>
        <v>-0.49407099300000001</v>
      </c>
      <c r="S59" s="27">
        <f>VLOOKUP(B59,'Data yoy'!$A:$AT,MATCH($S$1,'Data yoy'!$A$1:$AT$1,),)</f>
        <v>2.3754352729999999</v>
      </c>
      <c r="T59" s="27">
        <f>VLOOKUP(B59,'Data yoy'!$A:$AT,MATCH($T$1,'Data yoy'!$A$1:$AT$1,),)</f>
        <v>0.26497869899999998</v>
      </c>
      <c r="U59" s="27">
        <f>VLOOKUP(B59,'Data yoy'!$A:$AT,MATCH($U$1,'Data yoy'!$A$1:$AT$1,),)</f>
        <v>-8.5358487620000005</v>
      </c>
      <c r="V59" s="27">
        <f>VLOOKUP(B59,'Data yoy'!$A:$AT,MATCH($V$1,'Data yoy'!$A$1:$AT$1,),)</f>
        <v>-0.81275840899999996</v>
      </c>
      <c r="W59" s="27">
        <f>VLOOKUP(B59,'Data yoy'!$A:$AT,MATCH($W$1,'Data yoy'!$A$1:$AT$1,),)</f>
        <v>5.9600093440000004</v>
      </c>
      <c r="X59" s="27">
        <f>VLOOKUP(B59,'Data yoy'!$A:$AT,MATCH($X$1,'Data yoy'!$A$1:$AT$1,),)</f>
        <v>2.7807877000000002E-2</v>
      </c>
      <c r="Y59" s="27">
        <f>VLOOKUP(B59,'Data yoy'!$A:$AT,MATCH($Y$1,'Data yoy'!$A$1:$AT$1,),)</f>
        <v>3.3617419740000001</v>
      </c>
      <c r="Z59" s="27">
        <f>VLOOKUP(B59,'Data yoy'!$A:$AU,MATCH($Z$1,'Data yoy'!$A$1:$AU$1,),)</f>
        <v>0.73300071499999997</v>
      </c>
      <c r="AA59" s="27">
        <f>VLOOKUP(B59,'Data yoy'!$A:$AU,MATCH($AA$1,'Data yoy'!$A$1:$AU$1,),)</f>
        <v>2.7242691570000002</v>
      </c>
      <c r="AB59" s="1"/>
      <c r="AC59" s="28" t="str">
        <f t="shared" si="10"/>
        <v>2012-Q1</v>
      </c>
      <c r="AD59" s="29">
        <f t="shared" si="11"/>
        <v>1.250401525</v>
      </c>
      <c r="AE59" s="29">
        <f t="shared" si="12"/>
        <v>-0.49407099300000001</v>
      </c>
      <c r="AF59" s="29">
        <f t="shared" si="13"/>
        <v>1.744472518</v>
      </c>
    </row>
    <row r="60" spans="2:32" hidden="1" x14ac:dyDescent="0.2">
      <c r="B60" s="26" t="s">
        <v>309</v>
      </c>
      <c r="C60" s="27">
        <f>VLOOKUP(B60,'Data yoy'!$A:$AT,MATCH($C$1,'Data yoy'!$A$1:$AT$1,),)</f>
        <v>2.3738163499999998</v>
      </c>
      <c r="D60" s="27">
        <f>VLOOKUP(B60,'Data yoy'!$A:$AT,MATCH($D$1,'Data yoy'!$A$1:$AT$1,),)</f>
        <v>7.7</v>
      </c>
      <c r="E60" s="27">
        <f>VLOOKUP(B60,'Data yoy'!$A:$AT,MATCH($E$1,'Data yoy'!$A$1:$AT$1,),)</f>
        <v>-0.75512618099999995</v>
      </c>
      <c r="F60" s="27">
        <f>VLOOKUP(B60,'Data yoy'!$A:$AT,MATCH($F$1,'Data yoy'!$A$1:$AT$1,),)</f>
        <v>2.7568810899999998</v>
      </c>
      <c r="G60" s="27">
        <f>VLOOKUP(B60,'Data yoy'!$A:$AT,MATCH($G$1,'Data yoy'!$A$1:$AT$1,),)</f>
        <v>0.98056245200000003</v>
      </c>
      <c r="H60" s="27">
        <f>VLOOKUP(B60,'Data yoy'!$A:$AT,MATCH($H$1,'Data yoy'!$A$1:$AT$1,),)</f>
        <v>0.47240443599999998</v>
      </c>
      <c r="I60" s="27">
        <f>VLOOKUP(B60,'Data yoy'!$A:$AT,MATCH($I$1,'Data yoy'!$A$1:$AT$1,),)</f>
        <v>1.015041616</v>
      </c>
      <c r="J60" s="27">
        <f>VLOOKUP(B60,'Data yoy'!$A:$AT,MATCH($J$1,'Data yoy'!$A$1:$AT$1,),)</f>
        <v>-3.209315771</v>
      </c>
      <c r="K60" s="27">
        <f>VLOOKUP(B60,'Data yoy'!$A:$AT,MATCH($K$1,'Data yoy'!$A$1:$AT$1,),)</f>
        <v>-3.157385348</v>
      </c>
      <c r="L60" s="27">
        <f>VLOOKUP(B60,'Data yoy'!$A:$AT,MATCH($L$1,'Data yoy'!$A$1:$AT$1,),)</f>
        <v>0.225370873</v>
      </c>
      <c r="M60" s="27">
        <f>VLOOKUP(B60,'Data yoy'!$A:$AT,MATCH($M$1,'Data yoy'!$A$1:$AT$1,),)</f>
        <v>4.1574799389999999</v>
      </c>
      <c r="N60" s="27">
        <f>VLOOKUP(B60,'Data yoy'!$A:$AT,MATCH($N$1,'Data yoy'!$A$1:$AT$1,),)</f>
        <v>4.4271946130000002</v>
      </c>
      <c r="O60" s="27">
        <f>VLOOKUP(B60,'Data yoy'!$A:$AT,MATCH($C$1,'Data yoy'!$J$1:$AT$1,),)</f>
        <v>-0.75916764000000003</v>
      </c>
      <c r="P60" s="27">
        <f>VLOOKUP(B60,'Data yoy'!$A:$AT,MATCH($P$1,'Data yoy'!$A$1:$AT$1,),)</f>
        <v>2.5769820449999998</v>
      </c>
      <c r="Q60" s="27">
        <f>VLOOKUP(B60,'Data yoy'!$A:$AT,MATCH($Q$1,'Data yoy'!$A$1:$AT$1,),)</f>
        <v>4.2368890400000003</v>
      </c>
      <c r="R60" s="27">
        <f>VLOOKUP(B60,'Data yoy'!$A:$AT,MATCH($E$1,'Data yoy'!$A$1:$AT$1,),)</f>
        <v>-0.75512618099999995</v>
      </c>
      <c r="S60" s="27">
        <f>VLOOKUP(B60,'Data yoy'!$A:$AT,MATCH($S$1,'Data yoy'!$A$1:$AT$1,),)</f>
        <v>2.4520288529999998</v>
      </c>
      <c r="T60" s="27">
        <f>VLOOKUP(B60,'Data yoy'!$A:$AT,MATCH($T$1,'Data yoy'!$A$1:$AT$1,),)</f>
        <v>1.021102521</v>
      </c>
      <c r="U60" s="27">
        <f>VLOOKUP(B60,'Data yoy'!$A:$AT,MATCH($U$1,'Data yoy'!$A$1:$AT$1,),)</f>
        <v>-8.1973958590000002</v>
      </c>
      <c r="V60" s="27">
        <f>VLOOKUP(B60,'Data yoy'!$A:$AT,MATCH($V$1,'Data yoy'!$A$1:$AT$1,),)</f>
        <v>-0.100610352</v>
      </c>
      <c r="W60" s="27">
        <f>VLOOKUP(B60,'Data yoy'!$A:$AT,MATCH($W$1,'Data yoy'!$A$1:$AT$1,),)</f>
        <v>4.9079508409999999</v>
      </c>
      <c r="X60" s="27">
        <f>VLOOKUP(B60,'Data yoy'!$A:$AT,MATCH($X$1,'Data yoy'!$A$1:$AT$1,),)</f>
        <v>-0.69375683600000004</v>
      </c>
      <c r="Y60" s="27">
        <f>VLOOKUP(B60,'Data yoy'!$A:$AT,MATCH($Y$1,'Data yoy'!$A$1:$AT$1,),)</f>
        <v>1.749923653</v>
      </c>
      <c r="Z60" s="27">
        <f>VLOOKUP(B60,'Data yoy'!$A:$AU,MATCH($Z$1,'Data yoy'!$A$1:$AU$1,),)</f>
        <v>-3.657249588</v>
      </c>
      <c r="AA60" s="27">
        <f>VLOOKUP(B60,'Data yoy'!$A:$AU,MATCH($AA$1,'Data yoy'!$A$1:$AU$1,),)</f>
        <v>2.5741569800000001</v>
      </c>
      <c r="AB60" s="1"/>
      <c r="AC60" s="28" t="str">
        <f t="shared" si="10"/>
        <v>2012-Q2</v>
      </c>
      <c r="AD60" s="29">
        <f t="shared" si="11"/>
        <v>1.015041616</v>
      </c>
      <c r="AE60" s="29">
        <f t="shared" si="12"/>
        <v>-0.75512618099999995</v>
      </c>
      <c r="AF60" s="29">
        <f t="shared" si="13"/>
        <v>1.770167797</v>
      </c>
    </row>
    <row r="61" spans="2:32" hidden="1" x14ac:dyDescent="0.2">
      <c r="B61" s="26" t="s">
        <v>310</v>
      </c>
      <c r="C61" s="27">
        <f>VLOOKUP(B61,'Data yoy'!$A:$AT,MATCH($C$1,'Data yoy'!$A$1:$AT$1,),)</f>
        <v>2.592622977</v>
      </c>
      <c r="D61" s="27">
        <f>VLOOKUP(B61,'Data yoy'!$A:$AT,MATCH($D$1,'Data yoy'!$A$1:$AT$1,),)</f>
        <v>7.5</v>
      </c>
      <c r="E61" s="27">
        <f>VLOOKUP(B61,'Data yoy'!$A:$AT,MATCH($E$1,'Data yoy'!$A$1:$AT$1,),)</f>
        <v>-1.013267476</v>
      </c>
      <c r="F61" s="27">
        <f>VLOOKUP(B61,'Data yoy'!$A:$AT,MATCH($F$1,'Data yoy'!$A$1:$AT$1,),)</f>
        <v>-5.9840799E-2</v>
      </c>
      <c r="G61" s="27">
        <f>VLOOKUP(B61,'Data yoy'!$A:$AT,MATCH($G$1,'Data yoy'!$A$1:$AT$1,),)</f>
        <v>0.37782384800000002</v>
      </c>
      <c r="H61" s="27">
        <f>VLOOKUP(B61,'Data yoy'!$A:$AT,MATCH($H$1,'Data yoy'!$A$1:$AT$1,),)</f>
        <v>0.30198553099999997</v>
      </c>
      <c r="I61" s="27">
        <f>VLOOKUP(B61,'Data yoy'!$A:$AT,MATCH($I$1,'Data yoy'!$A$1:$AT$1,),)</f>
        <v>1.9036469330000001</v>
      </c>
      <c r="J61" s="27">
        <f>VLOOKUP(B61,'Data yoy'!$A:$AT,MATCH($J$1,'Data yoy'!$A$1:$AT$1,),)</f>
        <v>-3.277812613</v>
      </c>
      <c r="K61" s="27">
        <f>VLOOKUP(B61,'Data yoy'!$A:$AT,MATCH($K$1,'Data yoy'!$A$1:$AT$1,),)</f>
        <v>-3.022491654</v>
      </c>
      <c r="L61" s="27">
        <f>VLOOKUP(B61,'Data yoy'!$A:$AT,MATCH($L$1,'Data yoy'!$A$1:$AT$1,),)</f>
        <v>-1.1902653459999999</v>
      </c>
      <c r="M61" s="27">
        <f>VLOOKUP(B61,'Data yoy'!$A:$AT,MATCH($M$1,'Data yoy'!$A$1:$AT$1,),)</f>
        <v>2.8143076279999999</v>
      </c>
      <c r="N61" s="27">
        <f>VLOOKUP(B61,'Data yoy'!$A:$AT,MATCH($N$1,'Data yoy'!$A$1:$AT$1,),)</f>
        <v>3.7108489389999999</v>
      </c>
      <c r="O61" s="27">
        <f>VLOOKUP(B61,'Data yoy'!$A:$AT,MATCH($C$1,'Data yoy'!$J$1:$AT$1,),)</f>
        <v>-1.185036124</v>
      </c>
      <c r="P61" s="27">
        <f>VLOOKUP(B61,'Data yoy'!$A:$AT,MATCH($P$1,'Data yoy'!$A$1:$AT$1,),)</f>
        <v>1.318874171</v>
      </c>
      <c r="Q61" s="27">
        <f>VLOOKUP(B61,'Data yoy'!$A:$AT,MATCH($Q$1,'Data yoy'!$A$1:$AT$1,),)</f>
        <v>3.4719973500000001</v>
      </c>
      <c r="R61" s="27">
        <f>VLOOKUP(B61,'Data yoy'!$A:$AT,MATCH($E$1,'Data yoy'!$A$1:$AT$1,),)</f>
        <v>-1.013267476</v>
      </c>
      <c r="S61" s="27">
        <f>VLOOKUP(B61,'Data yoy'!$A:$AT,MATCH($S$1,'Data yoy'!$A$1:$AT$1,),)</f>
        <v>2.3760541210000001</v>
      </c>
      <c r="T61" s="27">
        <f>VLOOKUP(B61,'Data yoy'!$A:$AT,MATCH($T$1,'Data yoy'!$A$1:$AT$1,),)</f>
        <v>3.0158250550000001</v>
      </c>
      <c r="U61" s="27">
        <f>VLOOKUP(B61,'Data yoy'!$A:$AT,MATCH($U$1,'Data yoy'!$A$1:$AT$1,),)</f>
        <v>-7.6738585280000002</v>
      </c>
      <c r="V61" s="27">
        <f>VLOOKUP(B61,'Data yoy'!$A:$AT,MATCH($V$1,'Data yoy'!$A$1:$AT$1,),)</f>
        <v>-0.37242276499999999</v>
      </c>
      <c r="W61" s="27">
        <f>VLOOKUP(B61,'Data yoy'!$A:$AT,MATCH($W$1,'Data yoy'!$A$1:$AT$1,),)</f>
        <v>3.9943142659999999</v>
      </c>
      <c r="X61" s="27">
        <f>VLOOKUP(B61,'Data yoy'!$A:$AT,MATCH($X$1,'Data yoy'!$A$1:$AT$1,),)</f>
        <v>-0.91740148200000005</v>
      </c>
      <c r="Y61" s="27">
        <f>VLOOKUP(B61,'Data yoy'!$A:$AT,MATCH($Y$1,'Data yoy'!$A$1:$AT$1,),)</f>
        <v>0.89659636799999998</v>
      </c>
      <c r="Z61" s="27">
        <f>VLOOKUP(B61,'Data yoy'!$A:$AU,MATCH($Z$1,'Data yoy'!$A$1:$AU$1,),)</f>
        <v>-1.382521372</v>
      </c>
      <c r="AA61" s="27">
        <f>VLOOKUP(B61,'Data yoy'!$A:$AU,MATCH($AA$1,'Data yoy'!$A$1:$AU$1,),)</f>
        <v>1.737079606</v>
      </c>
      <c r="AB61" s="1"/>
      <c r="AC61" s="28" t="str">
        <f t="shared" si="10"/>
        <v>2012-Q3</v>
      </c>
      <c r="AD61" s="29">
        <f t="shared" si="11"/>
        <v>1.9036469330000001</v>
      </c>
      <c r="AE61" s="29">
        <f t="shared" si="12"/>
        <v>-1.013267476</v>
      </c>
      <c r="AF61" s="29">
        <f t="shared" si="13"/>
        <v>2.9169144090000003</v>
      </c>
    </row>
    <row r="62" spans="2:32" hidden="1" x14ac:dyDescent="0.2">
      <c r="B62" s="26" t="s">
        <v>311</v>
      </c>
      <c r="C62" s="27">
        <f>VLOOKUP(B62,'Data yoy'!$A:$AT,MATCH($C$1,'Data yoy'!$A$1:$AT$1,),)</f>
        <v>1.5660643460000001</v>
      </c>
      <c r="D62" s="27">
        <f>VLOOKUP(B62,'Data yoy'!$A:$AT,MATCH($D$1,'Data yoy'!$A$1:$AT$1,),)</f>
        <v>8.1</v>
      </c>
      <c r="E62" s="27">
        <f>VLOOKUP(B62,'Data yoy'!$A:$AT,MATCH($E$1,'Data yoy'!$A$1:$AT$1,),)</f>
        <v>-1.039266427</v>
      </c>
      <c r="F62" s="27">
        <f>VLOOKUP(B62,'Data yoy'!$A:$AT,MATCH($F$1,'Data yoy'!$A$1:$AT$1,),)</f>
        <v>1.5891169E-2</v>
      </c>
      <c r="G62" s="27">
        <f>VLOOKUP(B62,'Data yoy'!$A:$AT,MATCH($G$1,'Data yoy'!$A$1:$AT$1,),)</f>
        <v>0.243074925</v>
      </c>
      <c r="H62" s="27">
        <f>VLOOKUP(B62,'Data yoy'!$A:$AT,MATCH($H$1,'Data yoy'!$A$1:$AT$1,),)</f>
        <v>5.8215138999999999E-2</v>
      </c>
      <c r="I62" s="27">
        <f>VLOOKUP(B62,'Data yoy'!$A:$AT,MATCH($I$1,'Data yoy'!$A$1:$AT$1,),)</f>
        <v>1.54997487</v>
      </c>
      <c r="J62" s="27">
        <f>VLOOKUP(B62,'Data yoy'!$A:$AT,MATCH($J$1,'Data yoy'!$A$1:$AT$1,),)</f>
        <v>-3.1612661809999998</v>
      </c>
      <c r="K62" s="27">
        <f>VLOOKUP(B62,'Data yoy'!$A:$AT,MATCH($K$1,'Data yoy'!$A$1:$AT$1,),)</f>
        <v>-3.1338623060000002</v>
      </c>
      <c r="L62" s="27">
        <f>VLOOKUP(B62,'Data yoy'!$A:$AT,MATCH($L$1,'Data yoy'!$A$1:$AT$1,),)</f>
        <v>-0.48767870299999999</v>
      </c>
      <c r="M62" s="27">
        <f>VLOOKUP(B62,'Data yoy'!$A:$AT,MATCH($M$1,'Data yoy'!$A$1:$AT$1,),)</f>
        <v>2.9616400409999999</v>
      </c>
      <c r="N62" s="27">
        <f>VLOOKUP(B62,'Data yoy'!$A:$AT,MATCH($N$1,'Data yoy'!$A$1:$AT$1,),)</f>
        <v>2.5168763919999999</v>
      </c>
      <c r="O62" s="27">
        <f>VLOOKUP(B62,'Data yoy'!$A:$AT,MATCH($C$1,'Data yoy'!$J$1:$AT$1,),)</f>
        <v>-1.2815194320000001</v>
      </c>
      <c r="P62" s="27">
        <f>VLOOKUP(B62,'Data yoy'!$A:$AT,MATCH($P$1,'Data yoy'!$A$1:$AT$1,),)</f>
        <v>0.73508072999999996</v>
      </c>
      <c r="Q62" s="27">
        <f>VLOOKUP(B62,'Data yoy'!$A:$AT,MATCH($Q$1,'Data yoy'!$A$1:$AT$1,),)</f>
        <v>2.8354426670000001</v>
      </c>
      <c r="R62" s="27">
        <f>VLOOKUP(B62,'Data yoy'!$A:$AT,MATCH($E$1,'Data yoy'!$A$1:$AT$1,),)</f>
        <v>-1.039266427</v>
      </c>
      <c r="S62" s="27">
        <f>VLOOKUP(B62,'Data yoy'!$A:$AT,MATCH($S$1,'Data yoy'!$A$1:$AT$1,),)</f>
        <v>2.4065722859999998</v>
      </c>
      <c r="T62" s="27">
        <f>VLOOKUP(B62,'Data yoy'!$A:$AT,MATCH($T$1,'Data yoy'!$A$1:$AT$1,),)</f>
        <v>2.1119605479999999</v>
      </c>
      <c r="U62" s="27">
        <f>VLOOKUP(B62,'Data yoy'!$A:$AT,MATCH($U$1,'Data yoy'!$A$1:$AT$1,),)</f>
        <v>-4.3255774699999998</v>
      </c>
      <c r="V62" s="27">
        <f>VLOOKUP(B62,'Data yoy'!$A:$AT,MATCH($V$1,'Data yoy'!$A$1:$AT$1,),)</f>
        <v>0.69881247199999996</v>
      </c>
      <c r="W62" s="27">
        <f>VLOOKUP(B62,'Data yoy'!$A:$AT,MATCH($W$1,'Data yoy'!$A$1:$AT$1,),)</f>
        <v>4.2462833499999997</v>
      </c>
      <c r="X62" s="27">
        <f>VLOOKUP(B62,'Data yoy'!$A:$AT,MATCH($X$1,'Data yoy'!$A$1:$AT$1,),)</f>
        <v>-1.2339184750000001</v>
      </c>
      <c r="Y62" s="27">
        <f>VLOOKUP(B62,'Data yoy'!$A:$AT,MATCH($Y$1,'Data yoy'!$A$1:$AT$1,),)</f>
        <v>-0.26683697499999998</v>
      </c>
      <c r="Z62" s="27">
        <f>VLOOKUP(B62,'Data yoy'!$A:$AU,MATCH($Z$1,'Data yoy'!$A$1:$AU$1,),)</f>
        <v>0.21010041900000001</v>
      </c>
      <c r="AA62" s="27">
        <f>VLOOKUP(B62,'Data yoy'!$A:$AU,MATCH($AA$1,'Data yoy'!$A$1:$AU$1,),)</f>
        <v>2.7676616539999999</v>
      </c>
      <c r="AB62" s="1"/>
      <c r="AC62" s="28" t="str">
        <f t="shared" si="10"/>
        <v>2012-Q4</v>
      </c>
      <c r="AD62" s="29">
        <f t="shared" si="11"/>
        <v>1.54997487</v>
      </c>
      <c r="AE62" s="29">
        <f t="shared" si="12"/>
        <v>-1.039266427</v>
      </c>
      <c r="AF62" s="29">
        <f t="shared" si="13"/>
        <v>2.5892412970000001</v>
      </c>
    </row>
    <row r="63" spans="2:32" hidden="1" x14ac:dyDescent="0.2">
      <c r="B63" s="26" t="s">
        <v>312</v>
      </c>
      <c r="C63" s="27">
        <f>VLOOKUP(B63,'Data yoy'!$A:$AT,MATCH($C$1,'Data yoy'!$A$1:$AT$1,),)</f>
        <v>1.6163010950000001</v>
      </c>
      <c r="D63" s="27">
        <f>VLOOKUP(B63,'Data yoy'!$A:$AT,MATCH($D$1,'Data yoy'!$A$1:$AT$1,),)</f>
        <v>7.9</v>
      </c>
      <c r="E63" s="27">
        <f>VLOOKUP(B63,'Data yoy'!$A:$AT,MATCH($E$1,'Data yoy'!$A$1:$AT$1,),)</f>
        <v>-1.173055623</v>
      </c>
      <c r="F63" s="27">
        <f>VLOOKUP(B63,'Data yoy'!$A:$AT,MATCH($F$1,'Data yoy'!$A$1:$AT$1,),)</f>
        <v>1.1022025E-2</v>
      </c>
      <c r="G63" s="27">
        <f>VLOOKUP(B63,'Data yoy'!$A:$AT,MATCH($G$1,'Data yoy'!$A$1:$AT$1,),)</f>
        <v>-0.43561151799999998</v>
      </c>
      <c r="H63" s="27">
        <f>VLOOKUP(B63,'Data yoy'!$A:$AT,MATCH($H$1,'Data yoy'!$A$1:$AT$1,),)</f>
        <v>-4.5884985000000003E-2</v>
      </c>
      <c r="I63" s="27">
        <f>VLOOKUP(B63,'Data yoy'!$A:$AT,MATCH($I$1,'Data yoy'!$A$1:$AT$1,),)</f>
        <v>1.384914416</v>
      </c>
      <c r="J63" s="27">
        <f>VLOOKUP(B63,'Data yoy'!$A:$AT,MATCH($J$1,'Data yoy'!$A$1:$AT$1,),)</f>
        <v>-2.8924208669999998</v>
      </c>
      <c r="K63" s="27">
        <f>VLOOKUP(B63,'Data yoy'!$A:$AT,MATCH($K$1,'Data yoy'!$A$1:$AT$1,),)</f>
        <v>-2.530045721</v>
      </c>
      <c r="L63" s="27">
        <f>VLOOKUP(B63,'Data yoy'!$A:$AT,MATCH($L$1,'Data yoy'!$A$1:$AT$1,),)</f>
        <v>0.69738558500000003</v>
      </c>
      <c r="M63" s="27">
        <f>VLOOKUP(B63,'Data yoy'!$A:$AT,MATCH($M$1,'Data yoy'!$A$1:$AT$1,),)</f>
        <v>2.5574069509999999</v>
      </c>
      <c r="N63" s="27">
        <f>VLOOKUP(B63,'Data yoy'!$A:$AT,MATCH($N$1,'Data yoy'!$A$1:$AT$1,),)</f>
        <v>1.7376219289999999</v>
      </c>
      <c r="O63" s="27">
        <f>VLOOKUP(B63,'Data yoy'!$A:$AT,MATCH($C$1,'Data yoy'!$J$1:$AT$1,),)</f>
        <v>-0.75497942799999995</v>
      </c>
      <c r="P63" s="27">
        <f>VLOOKUP(B63,'Data yoy'!$A:$AT,MATCH($P$1,'Data yoy'!$A$1:$AT$1,),)</f>
        <v>1.573583484</v>
      </c>
      <c r="Q63" s="27">
        <f>VLOOKUP(B63,'Data yoy'!$A:$AT,MATCH($Q$1,'Data yoy'!$A$1:$AT$1,),)</f>
        <v>2.1932044080000002</v>
      </c>
      <c r="R63" s="27">
        <f>VLOOKUP(B63,'Data yoy'!$A:$AT,MATCH($E$1,'Data yoy'!$A$1:$AT$1,),)</f>
        <v>-1.173055623</v>
      </c>
      <c r="S63" s="27">
        <f>VLOOKUP(B63,'Data yoy'!$A:$AT,MATCH($S$1,'Data yoy'!$A$1:$AT$1,),)</f>
        <v>2.4039883020000001</v>
      </c>
      <c r="T63" s="27">
        <f>VLOOKUP(B63,'Data yoy'!$A:$AT,MATCH($T$1,'Data yoy'!$A$1:$AT$1,),)</f>
        <v>3.9270759979999998</v>
      </c>
      <c r="U63" s="27">
        <f>VLOOKUP(B63,'Data yoy'!$A:$AT,MATCH($U$1,'Data yoy'!$A$1:$AT$1,),)</f>
        <v>-4.7613782609999999</v>
      </c>
      <c r="V63" s="27">
        <f>VLOOKUP(B63,'Data yoy'!$A:$AT,MATCH($V$1,'Data yoy'!$A$1:$AT$1,),)</f>
        <v>-0.71704356499999999</v>
      </c>
      <c r="W63" s="27">
        <f>VLOOKUP(B63,'Data yoy'!$A:$AT,MATCH($W$1,'Data yoy'!$A$1:$AT$1,),)</f>
        <v>8.2638838620000001</v>
      </c>
      <c r="X63" s="27">
        <f>VLOOKUP(B63,'Data yoy'!$A:$AT,MATCH($X$1,'Data yoy'!$A$1:$AT$1,),)</f>
        <v>-1.359149167</v>
      </c>
      <c r="Y63" s="27">
        <f>VLOOKUP(B63,'Data yoy'!$A:$AT,MATCH($Y$1,'Data yoy'!$A$1:$AT$1,),)</f>
        <v>-0.26198877399999998</v>
      </c>
      <c r="Z63" s="27">
        <f>VLOOKUP(B63,'Data yoy'!$A:$AU,MATCH($Z$1,'Data yoy'!$A$1:$AU$1,),)</f>
        <v>1.27767067</v>
      </c>
      <c r="AA63" s="27">
        <f>VLOOKUP(B63,'Data yoy'!$A:$AU,MATCH($AA$1,'Data yoy'!$A$1:$AU$1,),)</f>
        <v>1.856456165</v>
      </c>
      <c r="AB63" s="1"/>
      <c r="AC63" s="28" t="str">
        <f t="shared" si="10"/>
        <v>2013-Q1</v>
      </c>
      <c r="AD63" s="29">
        <f t="shared" si="11"/>
        <v>1.384914416</v>
      </c>
      <c r="AE63" s="29">
        <f t="shared" si="12"/>
        <v>-1.173055623</v>
      </c>
      <c r="AF63" s="29">
        <f t="shared" si="13"/>
        <v>2.5579700389999998</v>
      </c>
    </row>
    <row r="64" spans="2:32" hidden="1" x14ac:dyDescent="0.2">
      <c r="B64" s="26" t="s">
        <v>313</v>
      </c>
      <c r="C64" s="27">
        <f>VLOOKUP(B64,'Data yoy'!$A:$AT,MATCH($C$1,'Data yoy'!$A$1:$AT$1,),)</f>
        <v>1.29617049</v>
      </c>
      <c r="D64" s="27">
        <f>VLOOKUP(B64,'Data yoy'!$A:$AT,MATCH($D$1,'Data yoy'!$A$1:$AT$1,),)</f>
        <v>7.6</v>
      </c>
      <c r="E64" s="27">
        <f>VLOOKUP(B64,'Data yoy'!$A:$AT,MATCH($E$1,'Data yoy'!$A$1:$AT$1,),)</f>
        <v>-0.38534162799999999</v>
      </c>
      <c r="F64" s="27">
        <f>VLOOKUP(B64,'Data yoy'!$A:$AT,MATCH($F$1,'Data yoy'!$A$1:$AT$1,),)</f>
        <v>1.829307623</v>
      </c>
      <c r="G64" s="27">
        <f>VLOOKUP(B64,'Data yoy'!$A:$AT,MATCH($G$1,'Data yoy'!$A$1:$AT$1,),)</f>
        <v>0.439963565</v>
      </c>
      <c r="H64" s="27">
        <f>VLOOKUP(B64,'Data yoy'!$A:$AT,MATCH($H$1,'Data yoy'!$A$1:$AT$1,),)</f>
        <v>0.77109299600000003</v>
      </c>
      <c r="I64" s="27">
        <f>VLOOKUP(B64,'Data yoy'!$A:$AT,MATCH($I$1,'Data yoy'!$A$1:$AT$1,),)</f>
        <v>2.350491619</v>
      </c>
      <c r="J64" s="27">
        <f>VLOOKUP(B64,'Data yoy'!$A:$AT,MATCH($J$1,'Data yoy'!$A$1:$AT$1,),)</f>
        <v>-2.1956909960000002</v>
      </c>
      <c r="K64" s="27">
        <f>VLOOKUP(B64,'Data yoy'!$A:$AT,MATCH($K$1,'Data yoy'!$A$1:$AT$1,),)</f>
        <v>-1.670138916</v>
      </c>
      <c r="L64" s="27">
        <f>VLOOKUP(B64,'Data yoy'!$A:$AT,MATCH($L$1,'Data yoy'!$A$1:$AT$1,),)</f>
        <v>0.42494724900000003</v>
      </c>
      <c r="M64" s="27">
        <f>VLOOKUP(B64,'Data yoy'!$A:$AT,MATCH($M$1,'Data yoy'!$A$1:$AT$1,),)</f>
        <v>1.106305192</v>
      </c>
      <c r="N64" s="27">
        <f>VLOOKUP(B64,'Data yoy'!$A:$AT,MATCH($N$1,'Data yoy'!$A$1:$AT$1,),)</f>
        <v>1.673388893</v>
      </c>
      <c r="O64" s="27">
        <f>VLOOKUP(B64,'Data yoy'!$A:$AT,MATCH($C$1,'Data yoy'!$J$1:$AT$1,),)</f>
        <v>-0.98590584699999995</v>
      </c>
      <c r="P64" s="27">
        <f>VLOOKUP(B64,'Data yoy'!$A:$AT,MATCH($P$1,'Data yoy'!$A$1:$AT$1,),)</f>
        <v>1.8309374890000001</v>
      </c>
      <c r="Q64" s="27">
        <f>VLOOKUP(B64,'Data yoy'!$A:$AT,MATCH($Q$1,'Data yoy'!$A$1:$AT$1,),)</f>
        <v>1.864837716</v>
      </c>
      <c r="R64" s="27">
        <f>VLOOKUP(B64,'Data yoy'!$A:$AT,MATCH($E$1,'Data yoy'!$A$1:$AT$1,),)</f>
        <v>-0.38534162799999999</v>
      </c>
      <c r="S64" s="27">
        <f>VLOOKUP(B64,'Data yoy'!$A:$AT,MATCH($S$1,'Data yoy'!$A$1:$AT$1,),)</f>
        <v>3.014827768</v>
      </c>
      <c r="T64" s="27">
        <f>VLOOKUP(B64,'Data yoy'!$A:$AT,MATCH($T$1,'Data yoy'!$A$1:$AT$1,),)</f>
        <v>3.9184145400000001</v>
      </c>
      <c r="U64" s="27">
        <f>VLOOKUP(B64,'Data yoy'!$A:$AT,MATCH($U$1,'Data yoy'!$A$1:$AT$1,),)</f>
        <v>-2.9932928950000002</v>
      </c>
      <c r="V64" s="27">
        <f>VLOOKUP(B64,'Data yoy'!$A:$AT,MATCH($V$1,'Data yoy'!$A$1:$AT$1,),)</f>
        <v>0.203741963</v>
      </c>
      <c r="W64" s="27">
        <f>VLOOKUP(B64,'Data yoy'!$A:$AT,MATCH($W$1,'Data yoy'!$A$1:$AT$1,),)</f>
        <v>9.5497674400000001</v>
      </c>
      <c r="X64" s="27">
        <f>VLOOKUP(B64,'Data yoy'!$A:$AT,MATCH($X$1,'Data yoy'!$A$1:$AT$1,),)</f>
        <v>-0.54368924799999996</v>
      </c>
      <c r="Y64" s="27">
        <f>VLOOKUP(B64,'Data yoy'!$A:$AT,MATCH($Y$1,'Data yoy'!$A$1:$AT$1,),)</f>
        <v>1.059234048</v>
      </c>
      <c r="Z64" s="27">
        <f>VLOOKUP(B64,'Data yoy'!$A:$AU,MATCH($Z$1,'Data yoy'!$A$1:$AU$1,),)</f>
        <v>5.4511074590000002</v>
      </c>
      <c r="AA64" s="27">
        <f>VLOOKUP(B64,'Data yoy'!$A:$AU,MATCH($AA$1,'Data yoy'!$A$1:$AU$1,),)</f>
        <v>2.6924375079999998</v>
      </c>
      <c r="AB64" s="1"/>
      <c r="AC64" s="28" t="str">
        <f t="shared" si="10"/>
        <v>2013-Q2</v>
      </c>
      <c r="AD64" s="29">
        <f t="shared" si="11"/>
        <v>2.350491619</v>
      </c>
      <c r="AE64" s="29">
        <f t="shared" si="12"/>
        <v>-0.38534162799999999</v>
      </c>
      <c r="AF64" s="29">
        <f t="shared" si="13"/>
        <v>2.735833247</v>
      </c>
    </row>
    <row r="65" spans="2:32" hidden="1" x14ac:dyDescent="0.2">
      <c r="B65" s="26" t="s">
        <v>314</v>
      </c>
      <c r="C65" s="27">
        <f>VLOOKUP(B65,'Data yoy'!$A:$AT,MATCH($C$1,'Data yoy'!$A$1:$AT$1,),)</f>
        <v>1.9198446199999999</v>
      </c>
      <c r="D65" s="27">
        <f>VLOOKUP(B65,'Data yoy'!$A:$AT,MATCH($D$1,'Data yoy'!$A$1:$AT$1,),)</f>
        <v>7.9</v>
      </c>
      <c r="E65" s="27">
        <f>VLOOKUP(B65,'Data yoy'!$A:$AT,MATCH($E$1,'Data yoy'!$A$1:$AT$1,),)</f>
        <v>4.9202920999999997E-2</v>
      </c>
      <c r="F65" s="27">
        <f>VLOOKUP(B65,'Data yoy'!$A:$AT,MATCH($F$1,'Data yoy'!$A$1:$AT$1,),)</f>
        <v>3.1964312060000002</v>
      </c>
      <c r="G65" s="27">
        <f>VLOOKUP(B65,'Data yoy'!$A:$AT,MATCH($G$1,'Data yoy'!$A$1:$AT$1,),)</f>
        <v>0.72942525499999999</v>
      </c>
      <c r="H65" s="27">
        <f>VLOOKUP(B65,'Data yoy'!$A:$AT,MATCH($H$1,'Data yoy'!$A$1:$AT$1,),)</f>
        <v>0.58893926799999996</v>
      </c>
      <c r="I65" s="27">
        <f>VLOOKUP(B65,'Data yoy'!$A:$AT,MATCH($I$1,'Data yoy'!$A$1:$AT$1,),)</f>
        <v>2.0631177159999998</v>
      </c>
      <c r="J65" s="27">
        <f>VLOOKUP(B65,'Data yoy'!$A:$AT,MATCH($J$1,'Data yoy'!$A$1:$AT$1,),)</f>
        <v>-1.4565259070000001</v>
      </c>
      <c r="K65" s="27">
        <f>VLOOKUP(B65,'Data yoy'!$A:$AT,MATCH($K$1,'Data yoy'!$A$1:$AT$1,),)</f>
        <v>-1.2204827840000001</v>
      </c>
      <c r="L65" s="27">
        <f>VLOOKUP(B65,'Data yoy'!$A:$AT,MATCH($L$1,'Data yoy'!$A$1:$AT$1,),)</f>
        <v>1.0353797650000001</v>
      </c>
      <c r="M65" s="27">
        <f>VLOOKUP(B65,'Data yoy'!$A:$AT,MATCH($M$1,'Data yoy'!$A$1:$AT$1,),)</f>
        <v>1.4558114660000001</v>
      </c>
      <c r="N65" s="27">
        <f>VLOOKUP(B65,'Data yoy'!$A:$AT,MATCH($N$1,'Data yoy'!$A$1:$AT$1,),)</f>
        <v>1.192622281</v>
      </c>
      <c r="O65" s="27">
        <f>VLOOKUP(B65,'Data yoy'!$A:$AT,MATCH($C$1,'Data yoy'!$J$1:$AT$1,),)</f>
        <v>3.9970727999999997E-2</v>
      </c>
      <c r="P65" s="27">
        <f>VLOOKUP(B65,'Data yoy'!$A:$AT,MATCH($P$1,'Data yoy'!$A$1:$AT$1,),)</f>
        <v>2.5211811590000002</v>
      </c>
      <c r="Q65" s="27">
        <f>VLOOKUP(B65,'Data yoy'!$A:$AT,MATCH($Q$1,'Data yoy'!$A$1:$AT$1,),)</f>
        <v>2.0872103719999999</v>
      </c>
      <c r="R65" s="27">
        <f>VLOOKUP(B65,'Data yoy'!$A:$AT,MATCH($E$1,'Data yoy'!$A$1:$AT$1,),)</f>
        <v>4.9202920999999997E-2</v>
      </c>
      <c r="S65" s="27">
        <f>VLOOKUP(B65,'Data yoy'!$A:$AT,MATCH($S$1,'Data yoy'!$A$1:$AT$1,),)</f>
        <v>3.4735116160000001</v>
      </c>
      <c r="T65" s="27">
        <f>VLOOKUP(B65,'Data yoy'!$A:$AT,MATCH($T$1,'Data yoy'!$A$1:$AT$1,),)</f>
        <v>2.4355368839999998</v>
      </c>
      <c r="U65" s="27">
        <f>VLOOKUP(B65,'Data yoy'!$A:$AT,MATCH($U$1,'Data yoy'!$A$1:$AT$1,),)</f>
        <v>-1.6880552929999999</v>
      </c>
      <c r="V65" s="27">
        <f>VLOOKUP(B65,'Data yoy'!$A:$AT,MATCH($V$1,'Data yoy'!$A$1:$AT$1,),)</f>
        <v>3.9823999309999998</v>
      </c>
      <c r="W65" s="27">
        <f>VLOOKUP(B65,'Data yoy'!$A:$AT,MATCH($W$1,'Data yoy'!$A$1:$AT$1,),)</f>
        <v>9.2280902559999998</v>
      </c>
      <c r="X65" s="27">
        <f>VLOOKUP(B65,'Data yoy'!$A:$AT,MATCH($X$1,'Data yoy'!$A$1:$AT$1,),)</f>
        <v>0.113273973</v>
      </c>
      <c r="Y65" s="27">
        <f>VLOOKUP(B65,'Data yoy'!$A:$AT,MATCH($Y$1,'Data yoy'!$A$1:$AT$1,),)</f>
        <v>1.3804584660000001</v>
      </c>
      <c r="Z65" s="27">
        <f>VLOOKUP(B65,'Data yoy'!$A:$AU,MATCH($Z$1,'Data yoy'!$A$1:$AU$1,),)</f>
        <v>2.8841276530000002</v>
      </c>
      <c r="AA65" s="27">
        <f>VLOOKUP(B65,'Data yoy'!$A:$AU,MATCH($AA$1,'Data yoy'!$A$1:$AU$1,),)</f>
        <v>3.0128963240000002</v>
      </c>
      <c r="AB65" s="1"/>
      <c r="AC65" s="28" t="str">
        <f t="shared" si="10"/>
        <v>2013-Q3</v>
      </c>
      <c r="AD65" s="29">
        <f t="shared" si="11"/>
        <v>2.0631177159999998</v>
      </c>
      <c r="AE65" s="29">
        <f t="shared" si="12"/>
        <v>4.9202920999999997E-2</v>
      </c>
      <c r="AF65" s="29">
        <f t="shared" si="13"/>
        <v>2.0139147949999998</v>
      </c>
    </row>
    <row r="66" spans="2:32" hidden="1" x14ac:dyDescent="0.2">
      <c r="B66" s="26" t="s">
        <v>315</v>
      </c>
      <c r="C66" s="27">
        <f>VLOOKUP(B66,'Data yoy'!$A:$AT,MATCH($C$1,'Data yoy'!$A$1:$AT$1,),)</f>
        <v>2.5320497780000002</v>
      </c>
      <c r="D66" s="27">
        <f>VLOOKUP(B66,'Data yoy'!$A:$AT,MATCH($D$1,'Data yoy'!$A$1:$AT$1,),)</f>
        <v>7.7</v>
      </c>
      <c r="E66" s="27">
        <f>VLOOKUP(B66,'Data yoy'!$A:$AT,MATCH($E$1,'Data yoy'!$A$1:$AT$1,),)</f>
        <v>0.74531966599999999</v>
      </c>
      <c r="F66" s="27">
        <f>VLOOKUP(B66,'Data yoy'!$A:$AT,MATCH($F$1,'Data yoy'!$A$1:$AT$1,),)</f>
        <v>3.1618788950000001</v>
      </c>
      <c r="G66" s="27">
        <f>VLOOKUP(B66,'Data yoy'!$A:$AT,MATCH($G$1,'Data yoy'!$A$1:$AT$1,),)</f>
        <v>1.4836484919999999</v>
      </c>
      <c r="H66" s="27">
        <f>VLOOKUP(B66,'Data yoy'!$A:$AT,MATCH($H$1,'Data yoy'!$A$1:$AT$1,),)</f>
        <v>1.144735351</v>
      </c>
      <c r="I66" s="27">
        <f>VLOOKUP(B66,'Data yoy'!$A:$AT,MATCH($I$1,'Data yoy'!$A$1:$AT$1,),)</f>
        <v>2.9412751610000001</v>
      </c>
      <c r="J66" s="27">
        <f>VLOOKUP(B66,'Data yoy'!$A:$AT,MATCH($J$1,'Data yoy'!$A$1:$AT$1,),)</f>
        <v>-0.88572429799999997</v>
      </c>
      <c r="K66" s="27">
        <f>VLOOKUP(B66,'Data yoy'!$A:$AT,MATCH($K$1,'Data yoy'!$A$1:$AT$1,),)</f>
        <v>-0.29549400799999997</v>
      </c>
      <c r="L66" s="27">
        <f>VLOOKUP(B66,'Data yoy'!$A:$AT,MATCH($L$1,'Data yoy'!$A$1:$AT$1,),)</f>
        <v>2.4516383259999999</v>
      </c>
      <c r="M66" s="27">
        <f>VLOOKUP(B66,'Data yoy'!$A:$AT,MATCH($M$1,'Data yoy'!$A$1:$AT$1,),)</f>
        <v>1.1950138830000001</v>
      </c>
      <c r="N66" s="27">
        <f>VLOOKUP(B66,'Data yoy'!$A:$AT,MATCH($N$1,'Data yoy'!$A$1:$AT$1,),)</f>
        <v>1.708580709</v>
      </c>
      <c r="O66" s="27">
        <f>VLOOKUP(B66,'Data yoy'!$A:$AT,MATCH($C$1,'Data yoy'!$J$1:$AT$1,),)</f>
        <v>1.38497114</v>
      </c>
      <c r="P66" s="27">
        <f>VLOOKUP(B66,'Data yoy'!$A:$AT,MATCH($P$1,'Data yoy'!$A$1:$AT$1,),)</f>
        <v>3.3844473329999998</v>
      </c>
      <c r="Q66" s="27">
        <f>VLOOKUP(B66,'Data yoy'!$A:$AT,MATCH($Q$1,'Data yoy'!$A$1:$AT$1,),)</f>
        <v>2.3867913770000002</v>
      </c>
      <c r="R66" s="27">
        <f>VLOOKUP(B66,'Data yoy'!$A:$AT,MATCH($E$1,'Data yoy'!$A$1:$AT$1,),)</f>
        <v>0.74531966599999999</v>
      </c>
      <c r="S66" s="27">
        <f>VLOOKUP(B66,'Data yoy'!$A:$AT,MATCH($S$1,'Data yoy'!$A$1:$AT$1,),)</f>
        <v>3.7551838229999999</v>
      </c>
      <c r="T66" s="27">
        <f>VLOOKUP(B66,'Data yoy'!$A:$AT,MATCH($T$1,'Data yoy'!$A$1:$AT$1,),)</f>
        <v>2.5902561909999999</v>
      </c>
      <c r="U66" s="27">
        <f>VLOOKUP(B66,'Data yoy'!$A:$AT,MATCH($U$1,'Data yoy'!$A$1:$AT$1,),)</f>
        <v>-0.71918570699999995</v>
      </c>
      <c r="V66" s="27">
        <f>VLOOKUP(B66,'Data yoy'!$A:$AT,MATCH($V$1,'Data yoy'!$A$1:$AT$1,),)</f>
        <v>2.8837281890000002</v>
      </c>
      <c r="W66" s="27">
        <f>VLOOKUP(B66,'Data yoy'!$A:$AT,MATCH($W$1,'Data yoy'!$A$1:$AT$1,),)</f>
        <v>7.7132791860000003</v>
      </c>
      <c r="X66" s="27">
        <f>VLOOKUP(B66,'Data yoy'!$A:$AT,MATCH($X$1,'Data yoy'!$A$1:$AT$1,),)</f>
        <v>1.630396629</v>
      </c>
      <c r="Y66" s="27">
        <f>VLOOKUP(B66,'Data yoy'!$A:$AT,MATCH($Y$1,'Data yoy'!$A$1:$AT$1,),)</f>
        <v>2.185589475</v>
      </c>
      <c r="Z66" s="27">
        <f>VLOOKUP(B66,'Data yoy'!$A:$AU,MATCH($Z$1,'Data yoy'!$A$1:$AU$1,),)</f>
        <v>0.14438072199999999</v>
      </c>
      <c r="AA66" s="27">
        <f>VLOOKUP(B66,'Data yoy'!$A:$AU,MATCH($AA$1,'Data yoy'!$A$1:$AU$1,),)</f>
        <v>1.672377832</v>
      </c>
      <c r="AB66" s="1"/>
      <c r="AC66" s="28" t="str">
        <f t="shared" si="10"/>
        <v>2013-Q4</v>
      </c>
      <c r="AD66" s="29">
        <f t="shared" si="11"/>
        <v>2.9412751610000001</v>
      </c>
      <c r="AE66" s="29">
        <f t="shared" si="12"/>
        <v>0.74531966599999999</v>
      </c>
      <c r="AF66" s="29">
        <f t="shared" si="13"/>
        <v>2.1959554950000002</v>
      </c>
    </row>
    <row r="67" spans="2:32" hidden="1" x14ac:dyDescent="0.2">
      <c r="B67" s="26" t="s">
        <v>316</v>
      </c>
      <c r="C67" s="27">
        <f>VLOOKUP(B67,'Data yoy'!$A:$AT,MATCH($C$1,'Data yoy'!$A$1:$AT$1,),)</f>
        <v>1.294055859</v>
      </c>
      <c r="D67" s="27">
        <f>VLOOKUP(B67,'Data yoy'!$A:$AT,MATCH($D$1,'Data yoy'!$A$1:$AT$1,),)</f>
        <v>7.5</v>
      </c>
      <c r="E67" s="27">
        <f>VLOOKUP(B67,'Data yoy'!$A:$AT,MATCH($E$1,'Data yoy'!$A$1:$AT$1,),)</f>
        <v>1.538534061</v>
      </c>
      <c r="F67" s="27">
        <f>VLOOKUP(B67,'Data yoy'!$A:$AT,MATCH($F$1,'Data yoy'!$A$1:$AT$1,),)</f>
        <v>2.5872691269999999</v>
      </c>
      <c r="G67" s="27">
        <f>VLOOKUP(B67,'Data yoy'!$A:$AT,MATCH($G$1,'Data yoy'!$A$1:$AT$1,),)</f>
        <v>2.913075283</v>
      </c>
      <c r="H67" s="27">
        <f>VLOOKUP(B67,'Data yoy'!$A:$AT,MATCH($H$1,'Data yoy'!$A$1:$AT$1,),)</f>
        <v>1.226428283</v>
      </c>
      <c r="I67" s="27">
        <f>VLOOKUP(B67,'Data yoy'!$A:$AT,MATCH($I$1,'Data yoy'!$A$1:$AT$1,),)</f>
        <v>3.1859344909999998</v>
      </c>
      <c r="J67" s="27">
        <f>VLOOKUP(B67,'Data yoy'!$A:$AT,MATCH($J$1,'Data yoy'!$A$1:$AT$1,),)</f>
        <v>0.10311366199999999</v>
      </c>
      <c r="K67" s="27">
        <f>VLOOKUP(B67,'Data yoy'!$A:$AT,MATCH($K$1,'Data yoy'!$A$1:$AT$1,),)</f>
        <v>0.39174025600000001</v>
      </c>
      <c r="L67" s="27">
        <f>VLOOKUP(B67,'Data yoy'!$A:$AT,MATCH($L$1,'Data yoy'!$A$1:$AT$1,),)</f>
        <v>1.8930710639999999</v>
      </c>
      <c r="M67" s="27">
        <f>VLOOKUP(B67,'Data yoy'!$A:$AT,MATCH($M$1,'Data yoy'!$A$1:$AT$1,),)</f>
        <v>1.625375046</v>
      </c>
      <c r="N67" s="27">
        <f>VLOOKUP(B67,'Data yoy'!$A:$AT,MATCH($N$1,'Data yoy'!$A$1:$AT$1,),)</f>
        <v>0.95351965999999999</v>
      </c>
      <c r="O67" s="27">
        <f>VLOOKUP(B67,'Data yoy'!$A:$AT,MATCH($C$1,'Data yoy'!$J$1:$AT$1,),)</f>
        <v>0.96269611600000005</v>
      </c>
      <c r="P67" s="27">
        <f>VLOOKUP(B67,'Data yoy'!$A:$AT,MATCH($P$1,'Data yoy'!$A$1:$AT$1,),)</f>
        <v>2.6328056470000001</v>
      </c>
      <c r="Q67" s="27">
        <f>VLOOKUP(B67,'Data yoy'!$A:$AT,MATCH($Q$1,'Data yoy'!$A$1:$AT$1,),)</f>
        <v>2.7761389940000001</v>
      </c>
      <c r="R67" s="27">
        <f>VLOOKUP(B67,'Data yoy'!$A:$AT,MATCH($E$1,'Data yoy'!$A$1:$AT$1,),)</f>
        <v>1.538534061</v>
      </c>
      <c r="S67" s="27">
        <f>VLOOKUP(B67,'Data yoy'!$A:$AT,MATCH($S$1,'Data yoy'!$A$1:$AT$1,),)</f>
        <v>3.8246887090000001</v>
      </c>
      <c r="T67" s="27">
        <f>VLOOKUP(B67,'Data yoy'!$A:$AT,MATCH($T$1,'Data yoy'!$A$1:$AT$1,),)</f>
        <v>3.068135469</v>
      </c>
      <c r="U67" s="27">
        <f>VLOOKUP(B67,'Data yoy'!$A:$AT,MATCH($U$1,'Data yoy'!$A$1:$AT$1,),)</f>
        <v>0.97638259599999999</v>
      </c>
      <c r="V67" s="27">
        <f>VLOOKUP(B67,'Data yoy'!$A:$AT,MATCH($V$1,'Data yoy'!$A$1:$AT$1,),)</f>
        <v>8.2536517759999999</v>
      </c>
      <c r="W67" s="27">
        <f>VLOOKUP(B67,'Data yoy'!$A:$AT,MATCH($W$1,'Data yoy'!$A$1:$AT$1,),)</f>
        <v>7.6831303159999997</v>
      </c>
      <c r="X67" s="27">
        <f>VLOOKUP(B67,'Data yoy'!$A:$AT,MATCH($X$1,'Data yoy'!$A$1:$AT$1,),)</f>
        <v>1.3960077559999999</v>
      </c>
      <c r="Y67" s="27">
        <f>VLOOKUP(B67,'Data yoy'!$A:$AT,MATCH($Y$1,'Data yoy'!$A$1:$AT$1,),)</f>
        <v>3.1658477760000001</v>
      </c>
      <c r="Z67" s="27">
        <f>VLOOKUP(B67,'Data yoy'!$A:$AU,MATCH($Z$1,'Data yoy'!$A$1:$AU$1,),)</f>
        <v>-1.3304362599999999</v>
      </c>
      <c r="AA67" s="27">
        <f>VLOOKUP(B67,'Data yoy'!$A:$AU,MATCH($AA$1,'Data yoy'!$A$1:$AU$1,),)</f>
        <v>3.4954390439999998</v>
      </c>
      <c r="AB67" s="1"/>
      <c r="AC67" s="28" t="str">
        <f t="shared" si="10"/>
        <v>2014-Q1</v>
      </c>
      <c r="AD67" s="29">
        <f t="shared" si="11"/>
        <v>3.1859344909999998</v>
      </c>
      <c r="AE67" s="29">
        <f t="shared" si="12"/>
        <v>1.538534061</v>
      </c>
      <c r="AF67" s="29">
        <f t="shared" si="13"/>
        <v>1.6474004299999998</v>
      </c>
    </row>
    <row r="68" spans="2:32" hidden="1" x14ac:dyDescent="0.2">
      <c r="B68" s="26" t="s">
        <v>317</v>
      </c>
      <c r="C68" s="27">
        <f>VLOOKUP(B68,'Data yoy'!$A:$AT,MATCH($C$1,'Data yoy'!$A$1:$AT$1,),)</f>
        <v>2.451999168</v>
      </c>
      <c r="D68" s="27">
        <f>VLOOKUP(B68,'Data yoy'!$A:$AT,MATCH($D$1,'Data yoy'!$A$1:$AT$1,),)</f>
        <v>7.6</v>
      </c>
      <c r="E68" s="27">
        <f>VLOOKUP(B68,'Data yoy'!$A:$AT,MATCH($E$1,'Data yoy'!$A$1:$AT$1,),)</f>
        <v>1.2307530229999999</v>
      </c>
      <c r="F68" s="27">
        <f>VLOOKUP(B68,'Data yoy'!$A:$AT,MATCH($F$1,'Data yoy'!$A$1:$AT$1,),)</f>
        <v>-0.19204006600000001</v>
      </c>
      <c r="G68" s="27">
        <f>VLOOKUP(B68,'Data yoy'!$A:$AT,MATCH($G$1,'Data yoy'!$A$1:$AT$1,),)</f>
        <v>1.82472532</v>
      </c>
      <c r="H68" s="27">
        <f>VLOOKUP(B68,'Data yoy'!$A:$AT,MATCH($H$1,'Data yoy'!$A$1:$AT$1,),)</f>
        <v>0.69443532100000005</v>
      </c>
      <c r="I68" s="27">
        <f>VLOOKUP(B68,'Data yoy'!$A:$AT,MATCH($I$1,'Data yoy'!$A$1:$AT$1,),)</f>
        <v>3.0293184549999999</v>
      </c>
      <c r="J68" s="27">
        <f>VLOOKUP(B68,'Data yoy'!$A:$AT,MATCH($J$1,'Data yoy'!$A$1:$AT$1,),)</f>
        <v>0.117493893</v>
      </c>
      <c r="K68" s="27">
        <f>VLOOKUP(B68,'Data yoy'!$A:$AT,MATCH($K$1,'Data yoy'!$A$1:$AT$1,),)</f>
        <v>0.94522170500000002</v>
      </c>
      <c r="L68" s="27">
        <f>VLOOKUP(B68,'Data yoy'!$A:$AT,MATCH($L$1,'Data yoy'!$A$1:$AT$1,),)</f>
        <v>2.8505442900000002</v>
      </c>
      <c r="M68" s="27">
        <f>VLOOKUP(B68,'Data yoy'!$A:$AT,MATCH($M$1,'Data yoy'!$A$1:$AT$1,),)</f>
        <v>3.5073029349999998</v>
      </c>
      <c r="N68" s="27">
        <f>VLOOKUP(B68,'Data yoy'!$A:$AT,MATCH($N$1,'Data yoy'!$A$1:$AT$1,),)</f>
        <v>1.0956289459999999</v>
      </c>
      <c r="O68" s="27">
        <f>VLOOKUP(B68,'Data yoy'!$A:$AT,MATCH($C$1,'Data yoy'!$J$1:$AT$1,),)</f>
        <v>1.737896984</v>
      </c>
      <c r="P68" s="27">
        <f>VLOOKUP(B68,'Data yoy'!$A:$AT,MATCH($P$1,'Data yoy'!$A$1:$AT$1,),)</f>
        <v>2.972572204</v>
      </c>
      <c r="Q68" s="27">
        <f>VLOOKUP(B68,'Data yoy'!$A:$AT,MATCH($Q$1,'Data yoy'!$A$1:$AT$1,),)</f>
        <v>2.876744</v>
      </c>
      <c r="R68" s="27">
        <f>VLOOKUP(B68,'Data yoy'!$A:$AT,MATCH($E$1,'Data yoy'!$A$1:$AT$1,),)</f>
        <v>1.2307530229999999</v>
      </c>
      <c r="S68" s="27">
        <f>VLOOKUP(B68,'Data yoy'!$A:$AT,MATCH($S$1,'Data yoy'!$A$1:$AT$1,),)</f>
        <v>3.5002730689999999</v>
      </c>
      <c r="T68" s="27">
        <f>VLOOKUP(B68,'Data yoy'!$A:$AT,MATCH($T$1,'Data yoy'!$A$1:$AT$1,),)</f>
        <v>-0.21367403700000001</v>
      </c>
      <c r="U68" s="27">
        <f>VLOOKUP(B68,'Data yoy'!$A:$AT,MATCH($U$1,'Data yoy'!$A$1:$AT$1,),)</f>
        <v>0.56442636000000002</v>
      </c>
      <c r="V68" s="27">
        <f>VLOOKUP(B68,'Data yoy'!$A:$AT,MATCH($V$1,'Data yoy'!$A$1:$AT$1,),)</f>
        <v>9.5708173050000003</v>
      </c>
      <c r="W68" s="27">
        <f>VLOOKUP(B68,'Data yoy'!$A:$AT,MATCH($W$1,'Data yoy'!$A$1:$AT$1,),)</f>
        <v>2.9147265529999999</v>
      </c>
      <c r="X68" s="27">
        <f>VLOOKUP(B68,'Data yoy'!$A:$AT,MATCH($X$1,'Data yoy'!$A$1:$AT$1,),)</f>
        <v>2.049605777</v>
      </c>
      <c r="Y68" s="27">
        <f>VLOOKUP(B68,'Data yoy'!$A:$AT,MATCH($Y$1,'Data yoy'!$A$1:$AT$1,),)</f>
        <v>3.2270879629999998</v>
      </c>
      <c r="Z68" s="27">
        <f>VLOOKUP(B68,'Data yoy'!$A:$AU,MATCH($Z$1,'Data yoy'!$A$1:$AU$1,),)</f>
        <v>-2.447981559</v>
      </c>
      <c r="AA68" s="27">
        <f>VLOOKUP(B68,'Data yoy'!$A:$AU,MATCH($AA$1,'Data yoy'!$A$1:$AU$1,),)</f>
        <v>2.8639593809999999</v>
      </c>
      <c r="AB68" s="1"/>
      <c r="AC68" s="28" t="str">
        <f t="shared" si="10"/>
        <v>2014-Q2</v>
      </c>
      <c r="AD68" s="29">
        <f t="shared" si="11"/>
        <v>3.0293184549999999</v>
      </c>
      <c r="AE68" s="29">
        <f t="shared" si="12"/>
        <v>1.2307530229999999</v>
      </c>
      <c r="AF68" s="29">
        <f t="shared" si="13"/>
        <v>1.798565432</v>
      </c>
    </row>
    <row r="69" spans="2:32" hidden="1" x14ac:dyDescent="0.2">
      <c r="B69" s="26" t="s">
        <v>318</v>
      </c>
      <c r="C69" s="27">
        <f>VLOOKUP(B69,'Data yoy'!$A:$AT,MATCH($C$1,'Data yoy'!$A$1:$AT$1,),)</f>
        <v>2.831456926</v>
      </c>
      <c r="D69" s="27">
        <f>VLOOKUP(B69,'Data yoy'!$A:$AT,MATCH($D$1,'Data yoy'!$A$1:$AT$1,),)</f>
        <v>7.2</v>
      </c>
      <c r="E69" s="27">
        <f>VLOOKUP(B69,'Data yoy'!$A:$AT,MATCH($E$1,'Data yoy'!$A$1:$AT$1,),)</f>
        <v>1.3668115219999999</v>
      </c>
      <c r="F69" s="27">
        <f>VLOOKUP(B69,'Data yoy'!$A:$AT,MATCH($F$1,'Data yoy'!$A$1:$AT$1,),)</f>
        <v>-1.0476079030000001</v>
      </c>
      <c r="G69" s="27">
        <f>VLOOKUP(B69,'Data yoy'!$A:$AT,MATCH($G$1,'Data yoy'!$A$1:$AT$1,),)</f>
        <v>1.783270004</v>
      </c>
      <c r="H69" s="27">
        <f>VLOOKUP(B69,'Data yoy'!$A:$AT,MATCH($H$1,'Data yoy'!$A$1:$AT$1,),)</f>
        <v>1.192750419</v>
      </c>
      <c r="I69" s="27">
        <f>VLOOKUP(B69,'Data yoy'!$A:$AT,MATCH($I$1,'Data yoy'!$A$1:$AT$1,),)</f>
        <v>2.6510678080000001</v>
      </c>
      <c r="J69" s="27">
        <f>VLOOKUP(B69,'Data yoy'!$A:$AT,MATCH($J$1,'Data yoy'!$A$1:$AT$1,),)</f>
        <v>4.0882090000000003E-2</v>
      </c>
      <c r="K69" s="27">
        <f>VLOOKUP(B69,'Data yoy'!$A:$AT,MATCH($K$1,'Data yoy'!$A$1:$AT$1,),)</f>
        <v>1.74793584</v>
      </c>
      <c r="L69" s="27">
        <f>VLOOKUP(B69,'Data yoy'!$A:$AT,MATCH($L$1,'Data yoy'!$A$1:$AT$1,),)</f>
        <v>3.114338585</v>
      </c>
      <c r="M69" s="27">
        <f>VLOOKUP(B69,'Data yoy'!$A:$AT,MATCH($M$1,'Data yoy'!$A$1:$AT$1,),)</f>
        <v>2.8957289890000002</v>
      </c>
      <c r="N69" s="27">
        <f>VLOOKUP(B69,'Data yoy'!$A:$AT,MATCH($N$1,'Data yoy'!$A$1:$AT$1,),)</f>
        <v>0.73325464500000004</v>
      </c>
      <c r="O69" s="27">
        <f>VLOOKUP(B69,'Data yoy'!$A:$AT,MATCH($C$1,'Data yoy'!$J$1:$AT$1,),)</f>
        <v>1.3807327039999999</v>
      </c>
      <c r="P69" s="27">
        <f>VLOOKUP(B69,'Data yoy'!$A:$AT,MATCH($P$1,'Data yoy'!$A$1:$AT$1,),)</f>
        <v>3.1197336029999998</v>
      </c>
      <c r="Q69" s="27">
        <f>VLOOKUP(B69,'Data yoy'!$A:$AT,MATCH($Q$1,'Data yoy'!$A$1:$AT$1,),)</f>
        <v>2.558888364</v>
      </c>
      <c r="R69" s="27">
        <f>VLOOKUP(B69,'Data yoy'!$A:$AT,MATCH($E$1,'Data yoy'!$A$1:$AT$1,),)</f>
        <v>1.3668115219999999</v>
      </c>
      <c r="S69" s="27">
        <f>VLOOKUP(B69,'Data yoy'!$A:$AT,MATCH($S$1,'Data yoy'!$A$1:$AT$1,),)</f>
        <v>2.9304339860000002</v>
      </c>
      <c r="T69" s="27">
        <f>VLOOKUP(B69,'Data yoy'!$A:$AT,MATCH($T$1,'Data yoy'!$A$1:$AT$1,),)</f>
        <v>-0.54621794999999995</v>
      </c>
      <c r="U69" s="27">
        <f>VLOOKUP(B69,'Data yoy'!$A:$AT,MATCH($U$1,'Data yoy'!$A$1:$AT$1,),)</f>
        <v>1.408444139</v>
      </c>
      <c r="V69" s="27">
        <f>VLOOKUP(B69,'Data yoy'!$A:$AT,MATCH($V$1,'Data yoy'!$A$1:$AT$1,),)</f>
        <v>7.6947193169999997</v>
      </c>
      <c r="W69" s="27">
        <f>VLOOKUP(B69,'Data yoy'!$A:$AT,MATCH($W$1,'Data yoy'!$A$1:$AT$1,),)</f>
        <v>3.921101733</v>
      </c>
      <c r="X69" s="27">
        <f>VLOOKUP(B69,'Data yoy'!$A:$AT,MATCH($X$1,'Data yoy'!$A$1:$AT$1,),)</f>
        <v>2.7950652379999998</v>
      </c>
      <c r="Y69" s="27">
        <f>VLOOKUP(B69,'Data yoy'!$A:$AT,MATCH($Y$1,'Data yoy'!$A$1:$AT$1,),)</f>
        <v>3.3100957360000001</v>
      </c>
      <c r="Z69" s="27">
        <f>VLOOKUP(B69,'Data yoy'!$A:$AU,MATCH($Z$1,'Data yoy'!$A$1:$AU$1,),)</f>
        <v>-3.8528528660000001</v>
      </c>
      <c r="AA69" s="27">
        <f>VLOOKUP(B69,'Data yoy'!$A:$AU,MATCH($AA$1,'Data yoy'!$A$1:$AU$1,),)</f>
        <v>3.5891822100000002</v>
      </c>
      <c r="AB69" s="1"/>
      <c r="AC69" s="28" t="str">
        <f t="shared" si="10"/>
        <v>2014-Q3</v>
      </c>
      <c r="AD69" s="29">
        <f t="shared" si="11"/>
        <v>2.6510678080000001</v>
      </c>
      <c r="AE69" s="29">
        <f t="shared" si="12"/>
        <v>1.3668115219999999</v>
      </c>
      <c r="AF69" s="29">
        <f t="shared" si="13"/>
        <v>1.2842562860000002</v>
      </c>
    </row>
    <row r="70" spans="2:32" hidden="1" x14ac:dyDescent="0.2">
      <c r="B70" s="26" t="s">
        <v>319</v>
      </c>
      <c r="C70" s="27">
        <f>VLOOKUP(B70,'Data yoy'!$A:$AT,MATCH($C$1,'Data yoy'!$A$1:$AT$1,),)</f>
        <v>2.5637596660000002</v>
      </c>
      <c r="D70" s="27">
        <f>VLOOKUP(B70,'Data yoy'!$A:$AT,MATCH($D$1,'Data yoy'!$A$1:$AT$1,),)</f>
        <v>7.3</v>
      </c>
      <c r="E70" s="27">
        <f>VLOOKUP(B70,'Data yoy'!$A:$AT,MATCH($E$1,'Data yoy'!$A$1:$AT$1,),)</f>
        <v>1.5102560840000001</v>
      </c>
      <c r="F70" s="27">
        <f>VLOOKUP(B70,'Data yoy'!$A:$AT,MATCH($F$1,'Data yoy'!$A$1:$AT$1,),)</f>
        <v>-0.44582075199999999</v>
      </c>
      <c r="G70" s="27">
        <f>VLOOKUP(B70,'Data yoy'!$A:$AT,MATCH($G$1,'Data yoy'!$A$1:$AT$1,),)</f>
        <v>2.3021057460000001</v>
      </c>
      <c r="H70" s="27">
        <f>VLOOKUP(B70,'Data yoy'!$A:$AT,MATCH($H$1,'Data yoy'!$A$1:$AT$1,),)</f>
        <v>0.78776333499999995</v>
      </c>
      <c r="I70" s="27">
        <f>VLOOKUP(B70,'Data yoy'!$A:$AT,MATCH($I$1,'Data yoy'!$A$1:$AT$1,),)</f>
        <v>2.5934127720000002</v>
      </c>
      <c r="J70" s="27">
        <f>VLOOKUP(B70,'Data yoy'!$A:$AT,MATCH($J$1,'Data yoy'!$A$1:$AT$1,),)</f>
        <v>1.632552E-2</v>
      </c>
      <c r="K70" s="27">
        <f>VLOOKUP(B70,'Data yoy'!$A:$AT,MATCH($K$1,'Data yoy'!$A$1:$AT$1,),)</f>
        <v>2.450614801</v>
      </c>
      <c r="L70" s="27">
        <f>VLOOKUP(B70,'Data yoy'!$A:$AT,MATCH($L$1,'Data yoy'!$A$1:$AT$1,),)</f>
        <v>3.1596900259999998</v>
      </c>
      <c r="M70" s="27">
        <f>VLOOKUP(B70,'Data yoy'!$A:$AT,MATCH($M$1,'Data yoy'!$A$1:$AT$1,),)</f>
        <v>3.3995360730000002</v>
      </c>
      <c r="N70" s="27">
        <f>VLOOKUP(B70,'Data yoy'!$A:$AT,MATCH($N$1,'Data yoy'!$A$1:$AT$1,),)</f>
        <v>-8.1061665000000005E-2</v>
      </c>
      <c r="O70" s="27">
        <f>VLOOKUP(B70,'Data yoy'!$A:$AT,MATCH($C$1,'Data yoy'!$J$1:$AT$1,),)</f>
        <v>1.643506055</v>
      </c>
      <c r="P70" s="27">
        <f>VLOOKUP(B70,'Data yoy'!$A:$AT,MATCH($P$1,'Data yoy'!$A$1:$AT$1,),)</f>
        <v>2.7538071400000002</v>
      </c>
      <c r="Q70" s="27">
        <f>VLOOKUP(B70,'Data yoy'!$A:$AT,MATCH($Q$1,'Data yoy'!$A$1:$AT$1,),)</f>
        <v>2.0844357800000002</v>
      </c>
      <c r="R70" s="27">
        <f>VLOOKUP(B70,'Data yoy'!$A:$AT,MATCH($E$1,'Data yoy'!$A$1:$AT$1,),)</f>
        <v>1.5102560840000001</v>
      </c>
      <c r="S70" s="27">
        <f>VLOOKUP(B70,'Data yoy'!$A:$AT,MATCH($S$1,'Data yoy'!$A$1:$AT$1,),)</f>
        <v>2.5745954090000001</v>
      </c>
      <c r="T70" s="27">
        <f>VLOOKUP(B70,'Data yoy'!$A:$AT,MATCH($T$1,'Data yoy'!$A$1:$AT$1,),)</f>
        <v>-0.16434443400000001</v>
      </c>
      <c r="U70" s="27">
        <f>VLOOKUP(B70,'Data yoy'!$A:$AT,MATCH($U$1,'Data yoy'!$A$1:$AT$1,),)</f>
        <v>3.6966930000000002E-2</v>
      </c>
      <c r="V70" s="27">
        <f>VLOOKUP(B70,'Data yoy'!$A:$AT,MATCH($V$1,'Data yoy'!$A$1:$AT$1,),)</f>
        <v>8.396588693</v>
      </c>
      <c r="W70" s="27">
        <f>VLOOKUP(B70,'Data yoy'!$A:$AT,MATCH($W$1,'Data yoy'!$A$1:$AT$1,),)</f>
        <v>5.117751062</v>
      </c>
      <c r="X70" s="27">
        <f>VLOOKUP(B70,'Data yoy'!$A:$AT,MATCH($X$1,'Data yoy'!$A$1:$AT$1,),)</f>
        <v>2.79273164</v>
      </c>
      <c r="Y70" s="27">
        <f>VLOOKUP(B70,'Data yoy'!$A:$AT,MATCH($Y$1,'Data yoy'!$A$1:$AT$1,),)</f>
        <v>3.7102647609999999</v>
      </c>
      <c r="Z70" s="27">
        <f>VLOOKUP(B70,'Data yoy'!$A:$AU,MATCH($Z$1,'Data yoy'!$A$1:$AU$1,),)</f>
        <v>-2.403877466</v>
      </c>
      <c r="AA70" s="27">
        <f>VLOOKUP(B70,'Data yoy'!$A:$AU,MATCH($AA$1,'Data yoy'!$A$1:$AU$1,),)</f>
        <v>4.9544681300000004</v>
      </c>
      <c r="AB70" s="1"/>
      <c r="AC70" s="28" t="str">
        <f t="shared" si="10"/>
        <v>2014-Q4</v>
      </c>
      <c r="AD70" s="29">
        <f t="shared" si="11"/>
        <v>2.5934127720000002</v>
      </c>
      <c r="AE70" s="29">
        <f t="shared" si="12"/>
        <v>1.5102560840000001</v>
      </c>
      <c r="AF70" s="29">
        <f t="shared" si="13"/>
        <v>1.0831566880000001</v>
      </c>
    </row>
    <row r="71" spans="2:32" x14ac:dyDescent="0.2">
      <c r="B71" s="26" t="s">
        <v>320</v>
      </c>
      <c r="C71" s="27">
        <f>VLOOKUP(B71,'Data yoy'!$A:$AT,MATCH($C$1,'Data yoy'!$A$1:$AT$1,),)</f>
        <v>3.7612027729999999</v>
      </c>
      <c r="D71" s="27">
        <f>VLOOKUP(B71,'Data yoy'!$A:$AT,MATCH($D$1,'Data yoy'!$A$1:$AT$1,),)</f>
        <v>7.1</v>
      </c>
      <c r="E71" s="27">
        <f>VLOOKUP(B71,'Data yoy'!$A:$AT,MATCH($E$1,'Data yoy'!$A$1:$AT$1,),)</f>
        <v>1.761872219</v>
      </c>
      <c r="F71" s="27">
        <f>VLOOKUP(B71,'Data yoy'!$A:$AT,MATCH($F$1,'Data yoy'!$A$1:$AT$1,),)</f>
        <v>0.26487872600000001</v>
      </c>
      <c r="G71" s="27">
        <f>VLOOKUP(B71,'Data yoy'!$A:$AT,MATCH($G$1,'Data yoy'!$A$1:$AT$1,),)</f>
        <v>0.81967864000000001</v>
      </c>
      <c r="H71" s="27">
        <f>VLOOKUP(B71,'Data yoy'!$A:$AT,MATCH($H$1,'Data yoy'!$A$1:$AT$1,),)</f>
        <v>1.1822691359999999</v>
      </c>
      <c r="I71" s="27">
        <f>VLOOKUP(B71,'Data yoy'!$A:$AT,MATCH($I$1,'Data yoy'!$A$1:$AT$1,),)</f>
        <v>2.3623766499999999</v>
      </c>
      <c r="J71" s="27">
        <f>VLOOKUP(B71,'Data yoy'!$A:$AT,MATCH($J$1,'Data yoy'!$A$1:$AT$1,),)</f>
        <v>0.14673265999999999</v>
      </c>
      <c r="K71" s="27">
        <f>VLOOKUP(B71,'Data yoy'!$A:$AT,MATCH($K$1,'Data yoy'!$A$1:$AT$1,),)</f>
        <v>3.2469654530000001</v>
      </c>
      <c r="L71" s="27">
        <f>VLOOKUP(B71,'Data yoy'!$A:$AT,MATCH($L$1,'Data yoy'!$A$1:$AT$1,),)</f>
        <v>3.7833561360000001</v>
      </c>
      <c r="M71" s="27">
        <f>VLOOKUP(B71,'Data yoy'!$A:$AT,MATCH($M$1,'Data yoy'!$A$1:$AT$1,),)</f>
        <v>3.2535485390000001</v>
      </c>
      <c r="N71" s="27">
        <f>VLOOKUP(B71,'Data yoy'!$A:$AT,MATCH($N$1,'Data yoy'!$A$1:$AT$1,),)</f>
        <v>-1.090845082</v>
      </c>
      <c r="O71" s="27">
        <f>VLOOKUP(B71,'Data yoy'!$A:$AT,MATCH($O$1,'Data yoy'!$J$1:$AT$1,),)</f>
        <v>4.4176609100000004</v>
      </c>
      <c r="P71" s="27">
        <f>VLOOKUP(B71,'Data yoy'!$A:$AT,MATCH($P$1,'Data yoy'!$A$1:$AT$1,),)</f>
        <v>2.0224016960000002</v>
      </c>
      <c r="Q71" s="27">
        <f>VLOOKUP(B71,'Data yoy'!$A:$AT,MATCH($Q$1,'Data yoy'!$A$1:$AT$1,),)</f>
        <v>2.2479240530000002</v>
      </c>
      <c r="R71" s="27">
        <f>VLOOKUP(B71,'Data yoy'!$A:$AT,MATCH($R$1,'Data yoy'!$A$1:$AT$1,),)</f>
        <v>1.5952260899999999</v>
      </c>
      <c r="S71" s="27">
        <f>VLOOKUP(B71,'Data yoy'!$A:$AT,MATCH($S$1,'Data yoy'!$A$1:$AT$1,),)</f>
        <v>2.4802682890000001</v>
      </c>
      <c r="T71" s="27">
        <f>VLOOKUP(B71,'Data yoy'!$A:$AT,MATCH($T$1,'Data yoy'!$A$1:$AT$1,),)</f>
        <v>-1.7112777669999999</v>
      </c>
      <c r="U71" s="27">
        <f>VLOOKUP(B71,'Data yoy'!$A:$AT,MATCH($U$1,'Data yoy'!$A$1:$AT$1,),)</f>
        <v>-0.121666836</v>
      </c>
      <c r="V71" s="27">
        <f>VLOOKUP(B71,'Data yoy'!$A:$AT,MATCH($V$1,'Data yoy'!$A$1:$AT$1,),)</f>
        <v>29.400004799000001</v>
      </c>
      <c r="W71" s="27">
        <f>VLOOKUP(B71,'Data yoy'!$A:$AT,MATCH($W$1,'Data yoy'!$A$1:$AT$1,),)</f>
        <v>4.0856609300000004</v>
      </c>
      <c r="X71" s="27">
        <f>VLOOKUP(B71,'Data yoy'!$A:$AT,MATCH($X$1,'Data yoy'!$A$1:$AT$1,),)</f>
        <v>5.2815465980000003</v>
      </c>
      <c r="Y71" s="27">
        <f>VLOOKUP(B71,'Data yoy'!$A:$AT,MATCH($Y$1,'Data yoy'!$A$1:$AT$1,),)</f>
        <v>4.1065528709999999</v>
      </c>
      <c r="Z71" s="27">
        <f>VLOOKUP(B71,'Data yoy'!$A:$AU,MATCH($Z$1,'Data yoy'!$A$1:$AU$1,),)</f>
        <v>0.53807850300000004</v>
      </c>
      <c r="AA71" s="27">
        <f>VLOOKUP(B71,'Data yoy'!$A:$AU,MATCH($AA$1,'Data yoy'!$A$1:$AU$1,),)</f>
        <v>3.78406339</v>
      </c>
      <c r="AB71" s="1"/>
      <c r="AC71" s="28" t="str">
        <f t="shared" si="10"/>
        <v>2015-Q1</v>
      </c>
      <c r="AD71" s="29">
        <f t="shared" si="11"/>
        <v>2.3623766499999999</v>
      </c>
      <c r="AE71" s="29">
        <f t="shared" si="12"/>
        <v>1.761872219</v>
      </c>
      <c r="AF71" s="29">
        <f t="shared" si="13"/>
        <v>0.60050443099999984</v>
      </c>
    </row>
    <row r="72" spans="2:32" x14ac:dyDescent="0.2">
      <c r="B72" s="26" t="s">
        <v>321</v>
      </c>
      <c r="C72" s="27">
        <f>VLOOKUP(B72,'Data yoy'!$A:$AT,MATCH($C$1,'Data yoy'!$A$1:$AT$1,),)</f>
        <v>3.039854675</v>
      </c>
      <c r="D72" s="27">
        <f>VLOOKUP(B72,'Data yoy'!$A:$AT,MATCH($D$1,'Data yoy'!$A$1:$AT$1,),)</f>
        <v>7.1</v>
      </c>
      <c r="E72" s="27">
        <f>VLOOKUP(B72,'Data yoy'!$A:$AT,MATCH($E$1,'Data yoy'!$A$1:$AT$1,),)</f>
        <v>1.9751100720000001</v>
      </c>
      <c r="F72" s="27">
        <f>VLOOKUP(B72,'Data yoy'!$A:$AT,MATCH($F$1,'Data yoy'!$A$1:$AT$1,),)</f>
        <v>2.241079348</v>
      </c>
      <c r="G72" s="27">
        <f>VLOOKUP(B72,'Data yoy'!$A:$AT,MATCH($G$1,'Data yoy'!$A$1:$AT$1,),)</f>
        <v>1.532410198</v>
      </c>
      <c r="H72" s="27">
        <f>VLOOKUP(B72,'Data yoy'!$A:$AT,MATCH($H$1,'Data yoy'!$A$1:$AT$1,),)</f>
        <v>1.078271113</v>
      </c>
      <c r="I72" s="27">
        <f>VLOOKUP(B72,'Data yoy'!$A:$AT,MATCH($I$1,'Data yoy'!$A$1:$AT$1,),)</f>
        <v>2.459781982</v>
      </c>
      <c r="J72" s="27">
        <f>VLOOKUP(B72,'Data yoy'!$A:$AT,MATCH($J$1,'Data yoy'!$A$1:$AT$1,),)</f>
        <v>0.51621063499999997</v>
      </c>
      <c r="K72" s="27">
        <f>VLOOKUP(B72,'Data yoy'!$A:$AT,MATCH($K$1,'Data yoy'!$A$1:$AT$1,),)</f>
        <v>3.8732762529999998</v>
      </c>
      <c r="L72" s="27">
        <f>VLOOKUP(B72,'Data yoy'!$A:$AT,MATCH($L$1,'Data yoy'!$A$1:$AT$1,),)</f>
        <v>3.9333835100000001</v>
      </c>
      <c r="M72" s="27">
        <f>VLOOKUP(B72,'Data yoy'!$A:$AT,MATCH($M$1,'Data yoy'!$A$1:$AT$1,),)</f>
        <v>3.1756647280000001</v>
      </c>
      <c r="N72" s="27">
        <f>VLOOKUP(B72,'Data yoy'!$A:$AT,MATCH($N$1,'Data yoy'!$A$1:$AT$1,),)</f>
        <v>-2.2247467080000001</v>
      </c>
      <c r="O72" s="27">
        <f>VLOOKUP(B72,'Data yoy'!$A:$AT,MATCH($O$1,'Data yoy'!$J$1:$AT$1,),)</f>
        <v>4.8883994230000001</v>
      </c>
      <c r="P72" s="27">
        <f>VLOOKUP(B72,'Data yoy'!$A:$AT,MATCH($P$1,'Data yoy'!$A$1:$AT$1,),)</f>
        <v>0.82387143900000004</v>
      </c>
      <c r="Q72" s="27">
        <f>VLOOKUP(B72,'Data yoy'!$A:$AT,MATCH($Q$1,'Data yoy'!$A$1:$AT$1,),)</f>
        <v>1.885680478</v>
      </c>
      <c r="R72" s="27">
        <f>VLOOKUP(B72,'Data yoy'!$A:$AT,MATCH($R$1,'Data yoy'!$A$1:$AT$1,),)</f>
        <v>1.637641039</v>
      </c>
      <c r="S72" s="27">
        <f>VLOOKUP(B72,'Data yoy'!$A:$AT,MATCH($S$1,'Data yoy'!$A$1:$AT$1,),)</f>
        <v>2.0432410700000001</v>
      </c>
      <c r="T72" s="27">
        <f>VLOOKUP(B72,'Data yoy'!$A:$AT,MATCH($T$1,'Data yoy'!$A$1:$AT$1,),)</f>
        <v>-2.783570809</v>
      </c>
      <c r="U72" s="27">
        <f>VLOOKUP(B72,'Data yoy'!$A:$AT,MATCH($U$1,'Data yoy'!$A$1:$AT$1,),)</f>
        <v>1.9063892999999998E-2</v>
      </c>
      <c r="V72" s="27">
        <f>VLOOKUP(B72,'Data yoy'!$A:$AT,MATCH($V$1,'Data yoy'!$A$1:$AT$1,),)</f>
        <v>21.618111009</v>
      </c>
      <c r="W72" s="27">
        <f>VLOOKUP(B72,'Data yoy'!$A:$AT,MATCH($W$1,'Data yoy'!$A$1:$AT$1,),)</f>
        <v>7.4143840340000002</v>
      </c>
      <c r="X72" s="27">
        <f>VLOOKUP(B72,'Data yoy'!$A:$AT,MATCH($X$1,'Data yoy'!$A$1:$AT$1,),)</f>
        <v>5.7457399980000003</v>
      </c>
      <c r="Y72" s="27">
        <f>VLOOKUP(B72,'Data yoy'!$A:$AT,MATCH($Y$1,'Data yoy'!$A$1:$AT$1,),)</f>
        <v>3.740776168</v>
      </c>
      <c r="Z72" s="27">
        <f>VLOOKUP(B72,'Data yoy'!$A:$AU,MATCH($Z$1,'Data yoy'!$A$1:$AU$1,),)</f>
        <v>3.5113010619999998</v>
      </c>
      <c r="AA72" s="27">
        <f>VLOOKUP(B72,'Data yoy'!$A:$AU,MATCH($AA$1,'Data yoy'!$A$1:$AU$1,),)</f>
        <v>3.914086256</v>
      </c>
      <c r="AB72" s="1"/>
      <c r="AC72" s="28" t="str">
        <f t="shared" si="10"/>
        <v>2015-Q2</v>
      </c>
      <c r="AD72" s="29">
        <f t="shared" si="11"/>
        <v>2.459781982</v>
      </c>
      <c r="AE72" s="29">
        <f t="shared" si="12"/>
        <v>1.9751100720000001</v>
      </c>
      <c r="AF72" s="29">
        <f t="shared" si="13"/>
        <v>0.48467190999999987</v>
      </c>
    </row>
    <row r="73" spans="2:32" x14ac:dyDescent="0.2">
      <c r="B73" s="26" t="s">
        <v>322</v>
      </c>
      <c r="C73" s="27">
        <f>VLOOKUP(B73,'Data yoy'!$A:$AT,MATCH($C$1,'Data yoy'!$A$1:$AT$1,),)</f>
        <v>2.1826685110000001</v>
      </c>
      <c r="D73" s="27">
        <f>VLOOKUP(B73,'Data yoy'!$A:$AT,MATCH($D$1,'Data yoy'!$A$1:$AT$1,),)</f>
        <v>7</v>
      </c>
      <c r="E73" s="27">
        <f>VLOOKUP(B73,'Data yoy'!$A:$AT,MATCH($E$1,'Data yoy'!$A$1:$AT$1,),)</f>
        <v>1.9716665209999999</v>
      </c>
      <c r="F73" s="27">
        <f>VLOOKUP(B73,'Data yoy'!$A:$AT,MATCH($F$1,'Data yoy'!$A$1:$AT$1,),)</f>
        <v>2.2491538649999998</v>
      </c>
      <c r="G73" s="27">
        <f>VLOOKUP(B73,'Data yoy'!$A:$AT,MATCH($G$1,'Data yoy'!$A$1:$AT$1,),)</f>
        <v>1.4937711119999999</v>
      </c>
      <c r="H73" s="27">
        <f>VLOOKUP(B73,'Data yoy'!$A:$AT,MATCH($H$1,'Data yoy'!$A$1:$AT$1,),)</f>
        <v>0.92296223200000005</v>
      </c>
      <c r="I73" s="27">
        <f>VLOOKUP(B73,'Data yoy'!$A:$AT,MATCH($I$1,'Data yoy'!$A$1:$AT$1,),)</f>
        <v>2.2794003090000001</v>
      </c>
      <c r="J73" s="27">
        <f>VLOOKUP(B73,'Data yoy'!$A:$AT,MATCH($J$1,'Data yoy'!$A$1:$AT$1,),)</f>
        <v>0.61123042000000005</v>
      </c>
      <c r="K73" s="27">
        <f>VLOOKUP(B73,'Data yoy'!$A:$AT,MATCH($K$1,'Data yoy'!$A$1:$AT$1,),)</f>
        <v>4.0485580949999997</v>
      </c>
      <c r="L73" s="27">
        <f>VLOOKUP(B73,'Data yoy'!$A:$AT,MATCH($L$1,'Data yoy'!$A$1:$AT$1,),)</f>
        <v>4.6439669459999999</v>
      </c>
      <c r="M73" s="27">
        <f>VLOOKUP(B73,'Data yoy'!$A:$AT,MATCH($M$1,'Data yoy'!$A$1:$AT$1,),)</f>
        <v>4.0988745069999997</v>
      </c>
      <c r="N73" s="27">
        <f>VLOOKUP(B73,'Data yoy'!$A:$AT,MATCH($N$1,'Data yoy'!$A$1:$AT$1,),)</f>
        <v>-1.722941557</v>
      </c>
      <c r="O73" s="27">
        <f>VLOOKUP(B73,'Data yoy'!$A:$AT,MATCH($O$1,'Data yoy'!$J$1:$AT$1,),)</f>
        <v>5.1195811879999997</v>
      </c>
      <c r="P73" s="27">
        <f>VLOOKUP(B73,'Data yoy'!$A:$AT,MATCH($P$1,'Data yoy'!$A$1:$AT$1,),)</f>
        <v>0.21933249699999999</v>
      </c>
      <c r="Q73" s="27">
        <f>VLOOKUP(B73,'Data yoy'!$A:$AT,MATCH($Q$1,'Data yoy'!$A$1:$AT$1,),)</f>
        <v>2.473594984</v>
      </c>
      <c r="R73" s="27">
        <f>VLOOKUP(B73,'Data yoy'!$A:$AT,MATCH($R$1,'Data yoy'!$A$1:$AT$1,),)</f>
        <v>1.7097666739999999</v>
      </c>
      <c r="S73" s="27">
        <f>VLOOKUP(B73,'Data yoy'!$A:$AT,MATCH($S$1,'Data yoy'!$A$1:$AT$1,),)</f>
        <v>3.2325957650000001</v>
      </c>
      <c r="T73" s="27">
        <f>VLOOKUP(B73,'Data yoy'!$A:$AT,MATCH($T$1,'Data yoy'!$A$1:$AT$1,),)</f>
        <v>-4.2223643720000004</v>
      </c>
      <c r="U73" s="27">
        <f>VLOOKUP(B73,'Data yoy'!$A:$AT,MATCH($U$1,'Data yoy'!$A$1:$AT$1,),)</f>
        <v>-2.3284759990000001</v>
      </c>
      <c r="V73" s="27">
        <f>VLOOKUP(B73,'Data yoy'!$A:$AT,MATCH($V$1,'Data yoy'!$A$1:$AT$1,),)</f>
        <v>24.784595927000002</v>
      </c>
      <c r="W73" s="27">
        <f>VLOOKUP(B73,'Data yoy'!$A:$AT,MATCH($W$1,'Data yoy'!$A$1:$AT$1,),)</f>
        <v>6.306599319</v>
      </c>
      <c r="X73" s="27">
        <f>VLOOKUP(B73,'Data yoy'!$A:$AT,MATCH($X$1,'Data yoy'!$A$1:$AT$1,),)</f>
        <v>5.757359353</v>
      </c>
      <c r="Y73" s="27">
        <f>VLOOKUP(B73,'Data yoy'!$A:$AT,MATCH($Y$1,'Data yoy'!$A$1:$AT$1,),)</f>
        <v>4.1874879150000002</v>
      </c>
      <c r="Z73" s="27">
        <f>VLOOKUP(B73,'Data yoy'!$A:$AU,MATCH($Z$1,'Data yoy'!$A$1:$AU$1,),)</f>
        <v>4.2908268930000002</v>
      </c>
      <c r="AA73" s="27">
        <f>VLOOKUP(B73,'Data yoy'!$A:$AU,MATCH($AA$1,'Data yoy'!$A$1:$AU$1,),)</f>
        <v>3.7065567119999998</v>
      </c>
      <c r="AB73" s="1"/>
      <c r="AC73" s="28" t="str">
        <f t="shared" si="10"/>
        <v>2015-Q3</v>
      </c>
      <c r="AD73" s="29">
        <f t="shared" si="11"/>
        <v>2.2794003090000001</v>
      </c>
      <c r="AE73" s="29">
        <f t="shared" si="12"/>
        <v>1.9716665209999999</v>
      </c>
      <c r="AF73" s="29">
        <f t="shared" si="13"/>
        <v>0.30773378800000017</v>
      </c>
    </row>
    <row r="74" spans="2:32" x14ac:dyDescent="0.2">
      <c r="B74" s="26" t="s">
        <v>323</v>
      </c>
      <c r="C74" s="27">
        <f>VLOOKUP(B74,'Data yoy'!$A:$AT,MATCH($C$1,'Data yoy'!$A$1:$AT$1,),)</f>
        <v>1.874684059</v>
      </c>
      <c r="D74" s="27">
        <f>VLOOKUP(B74,'Data yoy'!$A:$AT,MATCH($D$1,'Data yoy'!$A$1:$AT$1,),)</f>
        <v>6.9</v>
      </c>
      <c r="E74" s="27">
        <f>VLOOKUP(B74,'Data yoy'!$A:$AT,MATCH($E$1,'Data yoy'!$A$1:$AT$1,),)</f>
        <v>2.0168340520000001</v>
      </c>
      <c r="F74" s="27">
        <f>VLOOKUP(B74,'Data yoy'!$A:$AT,MATCH($F$1,'Data yoy'!$A$1:$AT$1,),)</f>
        <v>1.655357741</v>
      </c>
      <c r="G74" s="27">
        <f>VLOOKUP(B74,'Data yoy'!$A:$AT,MATCH($G$1,'Data yoy'!$A$1:$AT$1,),)</f>
        <v>1.1100328779999999</v>
      </c>
      <c r="H74" s="27">
        <f>VLOOKUP(B74,'Data yoy'!$A:$AT,MATCH($H$1,'Data yoy'!$A$1:$AT$1,),)</f>
        <v>0.98543892600000005</v>
      </c>
      <c r="I74" s="27">
        <f>VLOOKUP(B74,'Data yoy'!$A:$AT,MATCH($I$1,'Data yoy'!$A$1:$AT$1,),)</f>
        <v>2.3513222090000001</v>
      </c>
      <c r="J74" s="27">
        <f>VLOOKUP(B74,'Data yoy'!$A:$AT,MATCH($J$1,'Data yoy'!$A$1:$AT$1,),)</f>
        <v>1.367830917</v>
      </c>
      <c r="K74" s="27">
        <f>VLOOKUP(B74,'Data yoy'!$A:$AT,MATCH($K$1,'Data yoy'!$A$1:$AT$1,),)</f>
        <v>4.1627441640000002</v>
      </c>
      <c r="L74" s="27">
        <f>VLOOKUP(B74,'Data yoy'!$A:$AT,MATCH($L$1,'Data yoy'!$A$1:$AT$1,),)</f>
        <v>4.5786133580000001</v>
      </c>
      <c r="M74" s="27">
        <f>VLOOKUP(B74,'Data yoy'!$A:$AT,MATCH($M$1,'Data yoy'!$A$1:$AT$1,),)</f>
        <v>2.7219889350000002</v>
      </c>
      <c r="N74" s="27">
        <f>VLOOKUP(B74,'Data yoy'!$A:$AT,MATCH($N$1,'Data yoy'!$A$1:$AT$1,),)</f>
        <v>-1.744654001</v>
      </c>
      <c r="O74" s="27">
        <f>VLOOKUP(B74,'Data yoy'!$A:$AT,MATCH($O$1,'Data yoy'!$J$1:$AT$1,),)</f>
        <v>4.8280859759999997</v>
      </c>
      <c r="P74" s="27">
        <f>VLOOKUP(B74,'Data yoy'!$A:$AT,MATCH($P$1,'Data yoy'!$A$1:$AT$1,),)</f>
        <v>-0.39486916599999999</v>
      </c>
      <c r="Q74" s="27">
        <f>VLOOKUP(B74,'Data yoy'!$A:$AT,MATCH($Q$1,'Data yoy'!$A$1:$AT$1,),)</f>
        <v>2.688926226</v>
      </c>
      <c r="R74" s="27">
        <f>VLOOKUP(B74,'Data yoy'!$A:$AT,MATCH($R$1,'Data yoy'!$A$1:$AT$1,),)</f>
        <v>1.5844667109999999</v>
      </c>
      <c r="S74" s="27">
        <f>VLOOKUP(B74,'Data yoy'!$A:$AT,MATCH($S$1,'Data yoy'!$A$1:$AT$1,),)</f>
        <v>3.470945248</v>
      </c>
      <c r="T74" s="27">
        <f>VLOOKUP(B74,'Data yoy'!$A:$AT,MATCH($T$1,'Data yoy'!$A$1:$AT$1,),)</f>
        <v>-5.445186337</v>
      </c>
      <c r="U74" s="27">
        <f>VLOOKUP(B74,'Data yoy'!$A:$AT,MATCH($U$1,'Data yoy'!$A$1:$AT$1,),)</f>
        <v>-0.28234988799999999</v>
      </c>
      <c r="V74" s="27">
        <f>VLOOKUP(B74,'Data yoy'!$A:$AT,MATCH($V$1,'Data yoy'!$A$1:$AT$1,),)</f>
        <v>25.788779959999999</v>
      </c>
      <c r="W74" s="27">
        <f>VLOOKUP(B74,'Data yoy'!$A:$AT,MATCH($W$1,'Data yoy'!$A$1:$AT$1,),)</f>
        <v>6.1170653310000001</v>
      </c>
      <c r="X74" s="27">
        <f>VLOOKUP(B74,'Data yoy'!$A:$AT,MATCH($X$1,'Data yoy'!$A$1:$AT$1,),)</f>
        <v>5.0987886949999996</v>
      </c>
      <c r="Y74" s="27">
        <f>VLOOKUP(B74,'Data yoy'!$A:$AT,MATCH($Y$1,'Data yoy'!$A$1:$AT$1,),)</f>
        <v>4.7940422219999999</v>
      </c>
      <c r="Z74" s="27">
        <f>VLOOKUP(B74,'Data yoy'!$A:$AU,MATCH($Z$1,'Data yoy'!$A$1:$AU$1,),)</f>
        <v>2.6097948620000002</v>
      </c>
      <c r="AA74" s="27">
        <f>VLOOKUP(B74,'Data yoy'!$A:$AU,MATCH($AA$1,'Data yoy'!$A$1:$AU$1,),)</f>
        <v>3.1943195960000001</v>
      </c>
      <c r="AB74" s="1"/>
      <c r="AC74" s="28" t="str">
        <f t="shared" si="10"/>
        <v>2015-Q4</v>
      </c>
      <c r="AD74" s="29">
        <f t="shared" si="11"/>
        <v>2.3513222090000001</v>
      </c>
      <c r="AE74" s="29">
        <f t="shared" si="12"/>
        <v>2.0168340520000001</v>
      </c>
      <c r="AF74" s="29">
        <f t="shared" si="13"/>
        <v>0.33448815700000001</v>
      </c>
    </row>
    <row r="75" spans="2:32" x14ac:dyDescent="0.2">
      <c r="B75" s="26" t="s">
        <v>324</v>
      </c>
      <c r="C75" s="27">
        <f>VLOOKUP(B75,'Data yoy'!$A:$AT,MATCH($C$1,'Data yoy'!$A$1:$AT$1,),)</f>
        <v>1.648190603</v>
      </c>
      <c r="D75" s="27">
        <f>VLOOKUP(B75,'Data yoy'!$A:$AT,MATCH($D$1,'Data yoy'!$A$1:$AT$1,),)</f>
        <v>6.9</v>
      </c>
      <c r="E75" s="27">
        <f>VLOOKUP(B75,'Data yoy'!$A:$AT,MATCH($E$1,'Data yoy'!$A$1:$AT$1,),)</f>
        <v>1.9027733529999999</v>
      </c>
      <c r="F75" s="27">
        <f>VLOOKUP(B75,'Data yoy'!$A:$AT,MATCH($F$1,'Data yoy'!$A$1:$AT$1,),)</f>
        <v>0.822299369</v>
      </c>
      <c r="G75" s="27">
        <f>VLOOKUP(B75,'Data yoy'!$A:$AT,MATCH($G$1,'Data yoy'!$A$1:$AT$1,),)</f>
        <v>2.4768189889999999</v>
      </c>
      <c r="H75" s="27">
        <f>VLOOKUP(B75,'Data yoy'!$A:$AT,MATCH($H$1,'Data yoy'!$A$1:$AT$1,),)</f>
        <v>1.13636154</v>
      </c>
      <c r="I75" s="27">
        <f>VLOOKUP(B75,'Data yoy'!$A:$AT,MATCH($I$1,'Data yoy'!$A$1:$AT$1,),)</f>
        <v>2.0031047929999999</v>
      </c>
      <c r="J75" s="27">
        <f>VLOOKUP(B75,'Data yoy'!$A:$AT,MATCH($J$1,'Data yoy'!$A$1:$AT$1,),)</f>
        <v>1.4454125040000001</v>
      </c>
      <c r="K75" s="27">
        <f>VLOOKUP(B75,'Data yoy'!$A:$AT,MATCH($K$1,'Data yoy'!$A$1:$AT$1,),)</f>
        <v>3.6787924009999999</v>
      </c>
      <c r="L75" s="27">
        <f>VLOOKUP(B75,'Data yoy'!$A:$AT,MATCH($L$1,'Data yoy'!$A$1:$AT$1,),)</f>
        <v>3.101633825</v>
      </c>
      <c r="M75" s="27">
        <f>VLOOKUP(B75,'Data yoy'!$A:$AT,MATCH($M$1,'Data yoy'!$A$1:$AT$1,),)</f>
        <v>2.7560959349999998</v>
      </c>
      <c r="N75" s="27">
        <f>VLOOKUP(B75,'Data yoy'!$A:$AT,MATCH($N$1,'Data yoy'!$A$1:$AT$1,),)</f>
        <v>-0.54570160599999995</v>
      </c>
      <c r="O75" s="27">
        <f>VLOOKUP(B75,'Data yoy'!$A:$AT,MATCH($O$1,'Data yoy'!$J$1:$AT$1,),)</f>
        <v>3.228922174</v>
      </c>
      <c r="P75" s="27">
        <f>VLOOKUP(B75,'Data yoy'!$A:$AT,MATCH($P$1,'Data yoy'!$A$1:$AT$1,),)</f>
        <v>0.70485855600000002</v>
      </c>
      <c r="Q75" s="27">
        <f>VLOOKUP(B75,'Data yoy'!$A:$AT,MATCH($Q$1,'Data yoy'!$A$1:$AT$1,),)</f>
        <v>2.6846046139999999</v>
      </c>
      <c r="R75" s="27">
        <f>VLOOKUP(B75,'Data yoy'!$A:$AT,MATCH($R$1,'Data yoy'!$A$1:$AT$1,),)</f>
        <v>2.1992798150000001</v>
      </c>
      <c r="S75" s="27">
        <f>VLOOKUP(B75,'Data yoy'!$A:$AT,MATCH($S$1,'Data yoy'!$A$1:$AT$1,),)</f>
        <v>2.926494945</v>
      </c>
      <c r="T75" s="27">
        <f>VLOOKUP(B75,'Data yoy'!$A:$AT,MATCH($T$1,'Data yoy'!$A$1:$AT$1,),)</f>
        <v>-6.342760771</v>
      </c>
      <c r="U75" s="27">
        <f>VLOOKUP(B75,'Data yoy'!$A:$AT,MATCH($U$1,'Data yoy'!$A$1:$AT$1,),)</f>
        <v>-1.2101657109999999</v>
      </c>
      <c r="V75" s="27">
        <f>VLOOKUP(B75,'Data yoy'!$A:$AT,MATCH($V$1,'Data yoy'!$A$1:$AT$1,),)</f>
        <v>-1.2251519150000001</v>
      </c>
      <c r="W75" s="27">
        <f>VLOOKUP(B75,'Data yoy'!$A:$AT,MATCH($W$1,'Data yoy'!$A$1:$AT$1,),)</f>
        <v>4.5244235330000002</v>
      </c>
      <c r="X75" s="27">
        <f>VLOOKUP(B75,'Data yoy'!$A:$AT,MATCH($X$1,'Data yoy'!$A$1:$AT$1,),)</f>
        <v>3.3935594359999999</v>
      </c>
      <c r="Y75" s="27">
        <f>VLOOKUP(B75,'Data yoy'!$A:$AT,MATCH($Y$1,'Data yoy'!$A$1:$AT$1,),)</f>
        <v>3.0246369789999998</v>
      </c>
      <c r="Z75" s="27">
        <f>VLOOKUP(B75,'Data yoy'!$A:$AU,MATCH($Z$1,'Data yoy'!$A$1:$AU$1,),)</f>
        <v>0.19842016400000001</v>
      </c>
      <c r="AA75" s="27">
        <f>VLOOKUP(B75,'Data yoy'!$A:$AU,MATCH($AA$1,'Data yoy'!$A$1:$AU$1,),)</f>
        <v>4.0681080180000002</v>
      </c>
      <c r="AB75" s="1"/>
      <c r="AC75" s="28" t="str">
        <f t="shared" si="10"/>
        <v>2016-Q1</v>
      </c>
      <c r="AD75" s="29">
        <f t="shared" ref="AD75:AD85" si="14">(VLOOKUP(AC75,B:Y,MATCH($AE$6,$B$1:$Y$1,),))</f>
        <v>2.0031047929999999</v>
      </c>
      <c r="AE75" s="29">
        <f t="shared" ref="AE75:AE85" si="15">(VLOOKUP(AC75,B:Y,MATCH($AE$7,$B$1:$Y$1,),))</f>
        <v>1.9027733529999999</v>
      </c>
      <c r="AF75" s="29">
        <f t="shared" si="13"/>
        <v>0.10033143999999994</v>
      </c>
    </row>
    <row r="76" spans="2:32" x14ac:dyDescent="0.2">
      <c r="B76" s="26" t="s">
        <v>325</v>
      </c>
      <c r="C76" s="27">
        <f>VLOOKUP(B76,'Data yoy'!$A:$AT,MATCH($C$1,'Data yoy'!$A$1:$AT$1,),)</f>
        <v>1.36762965</v>
      </c>
      <c r="D76" s="27">
        <f>VLOOKUP(B76,'Data yoy'!$A:$AT,MATCH($D$1,'Data yoy'!$A$1:$AT$1,),)</f>
        <v>6.8</v>
      </c>
      <c r="E76" s="27">
        <f>VLOOKUP(B76,'Data yoy'!$A:$AT,MATCH($E$1,'Data yoy'!$A$1:$AT$1,),)</f>
        <v>1.7248137020000001</v>
      </c>
      <c r="F76" s="27">
        <f>VLOOKUP(B76,'Data yoy'!$A:$AT,MATCH($F$1,'Data yoy'!$A$1:$AT$1,),)</f>
        <v>0.50354286500000001</v>
      </c>
      <c r="G76" s="27">
        <f>VLOOKUP(B76,'Data yoy'!$A:$AT,MATCH($G$1,'Data yoy'!$A$1:$AT$1,),)</f>
        <v>2.178643906</v>
      </c>
      <c r="H76" s="27">
        <f>VLOOKUP(B76,'Data yoy'!$A:$AT,MATCH($H$1,'Data yoy'!$A$1:$AT$1,),)</f>
        <v>0.95870859200000003</v>
      </c>
      <c r="I76" s="27">
        <f>VLOOKUP(B76,'Data yoy'!$A:$AT,MATCH($I$1,'Data yoy'!$A$1:$AT$1,),)</f>
        <v>1.7053686079999999</v>
      </c>
      <c r="J76" s="27">
        <f>VLOOKUP(B76,'Data yoy'!$A:$AT,MATCH($J$1,'Data yoy'!$A$1:$AT$1,),)</f>
        <v>1.2726377550000001</v>
      </c>
      <c r="K76" s="27">
        <f>VLOOKUP(B76,'Data yoy'!$A:$AT,MATCH($K$1,'Data yoy'!$A$1:$AT$1,),)</f>
        <v>3.0085783629999998</v>
      </c>
      <c r="L76" s="27">
        <f>VLOOKUP(B76,'Data yoy'!$A:$AT,MATCH($L$1,'Data yoy'!$A$1:$AT$1,),)</f>
        <v>2.0772345489999999</v>
      </c>
      <c r="M76" s="27">
        <f>VLOOKUP(B76,'Data yoy'!$A:$AT,MATCH($M$1,'Data yoy'!$A$1:$AT$1,),)</f>
        <v>1.978708119</v>
      </c>
      <c r="N76" s="27">
        <f>VLOOKUP(B76,'Data yoy'!$A:$AT,MATCH($N$1,'Data yoy'!$A$1:$AT$1,),)</f>
        <v>0.17916338300000001</v>
      </c>
      <c r="O76" s="27">
        <f>VLOOKUP(B76,'Data yoy'!$A:$AT,MATCH($O$1,'Data yoy'!$J$1:$AT$1,),)</f>
        <v>2.3015386850000001</v>
      </c>
      <c r="P76" s="27">
        <f>VLOOKUP(B76,'Data yoy'!$A:$AT,MATCH($P$1,'Data yoy'!$A$1:$AT$1,),)</f>
        <v>0.48316809100000002</v>
      </c>
      <c r="Q76" s="27">
        <f>VLOOKUP(B76,'Data yoy'!$A:$AT,MATCH($Q$1,'Data yoy'!$A$1:$AT$1,),)</f>
        <v>3.2304821750000001</v>
      </c>
      <c r="R76" s="27">
        <f>VLOOKUP(B76,'Data yoy'!$A:$AT,MATCH($R$1,'Data yoy'!$A$1:$AT$1,),)</f>
        <v>1.9828799239999999</v>
      </c>
      <c r="S76" s="27">
        <f>VLOOKUP(B76,'Data yoy'!$A:$AT,MATCH($S$1,'Data yoy'!$A$1:$AT$1,),)</f>
        <v>3.6712156039999999</v>
      </c>
      <c r="T76" s="27">
        <f>VLOOKUP(B76,'Data yoy'!$A:$AT,MATCH($T$1,'Data yoy'!$A$1:$AT$1,),)</f>
        <v>-3.274170679</v>
      </c>
      <c r="U76" s="27">
        <f>VLOOKUP(B76,'Data yoy'!$A:$AT,MATCH($U$1,'Data yoy'!$A$1:$AT$1,),)</f>
        <v>-1.4167969410000001</v>
      </c>
      <c r="V76" s="27">
        <f>VLOOKUP(B76,'Data yoy'!$A:$AT,MATCH($V$1,'Data yoy'!$A$1:$AT$1,),)</f>
        <v>2.8067477799999998</v>
      </c>
      <c r="W76" s="27">
        <f>VLOOKUP(B76,'Data yoy'!$A:$AT,MATCH($W$1,'Data yoy'!$A$1:$AT$1,),)</f>
        <v>4.4287952639999997</v>
      </c>
      <c r="X76" s="27">
        <f>VLOOKUP(B76,'Data yoy'!$A:$AT,MATCH($X$1,'Data yoy'!$A$1:$AT$1,),)</f>
        <v>2.255475396</v>
      </c>
      <c r="Y76" s="27">
        <f>VLOOKUP(B76,'Data yoy'!$A:$AT,MATCH($Y$1,'Data yoy'!$A$1:$AT$1,),)</f>
        <v>3.5549913320000002</v>
      </c>
      <c r="Z76" s="27">
        <f>VLOOKUP(B76,'Data yoy'!$A:$AU,MATCH($Z$1,'Data yoy'!$A$1:$AU$1,),)</f>
        <v>-3.646170261</v>
      </c>
      <c r="AA76" s="27">
        <f>VLOOKUP(B76,'Data yoy'!$A:$AU,MATCH($AA$1,'Data yoy'!$A$1:$AU$1,),)</f>
        <v>4.2592639959999996</v>
      </c>
      <c r="AB76" s="1"/>
      <c r="AC76" s="28" t="str">
        <f t="shared" ref="AC76:AC85" si="16">B76</f>
        <v>2016-Q2</v>
      </c>
      <c r="AD76" s="29">
        <f t="shared" si="14"/>
        <v>1.7053686079999999</v>
      </c>
      <c r="AE76" s="29">
        <f t="shared" si="15"/>
        <v>1.7248137020000001</v>
      </c>
      <c r="AF76" s="29">
        <f t="shared" si="13"/>
        <v>-1.9445094000000163E-2</v>
      </c>
    </row>
    <row r="77" spans="2:32" x14ac:dyDescent="0.2">
      <c r="B77" s="26" t="s">
        <v>326</v>
      </c>
      <c r="C77" s="27">
        <f>VLOOKUP(B77,'Data yoy'!$A:$AT,MATCH($C$1,'Data yoy'!$A$1:$AT$1,),)</f>
        <v>1.648263356</v>
      </c>
      <c r="D77" s="27">
        <f>VLOOKUP(B77,'Data yoy'!$A:$AT,MATCH($D$1,'Data yoy'!$A$1:$AT$1,),)</f>
        <v>6.8</v>
      </c>
      <c r="E77" s="27">
        <f>VLOOKUP(B77,'Data yoy'!$A:$AT,MATCH($E$1,'Data yoy'!$A$1:$AT$1,),)</f>
        <v>1.7319701919999999</v>
      </c>
      <c r="F77" s="27">
        <f>VLOOKUP(B77,'Data yoy'!$A:$AT,MATCH($F$1,'Data yoy'!$A$1:$AT$1,),)</f>
        <v>0.58634857100000004</v>
      </c>
      <c r="G77" s="27">
        <f>VLOOKUP(B77,'Data yoy'!$A:$AT,MATCH($G$1,'Data yoy'!$A$1:$AT$1,),)</f>
        <v>2.0181250249999998</v>
      </c>
      <c r="H77" s="27">
        <f>VLOOKUP(B77,'Data yoy'!$A:$AT,MATCH($H$1,'Data yoy'!$A$1:$AT$1,),)</f>
        <v>0.80960054699999995</v>
      </c>
      <c r="I77" s="27">
        <f>VLOOKUP(B77,'Data yoy'!$A:$AT,MATCH($I$1,'Data yoy'!$A$1:$AT$1,),)</f>
        <v>1.6226297190000001</v>
      </c>
      <c r="J77" s="27">
        <f>VLOOKUP(B77,'Data yoy'!$A:$AT,MATCH($J$1,'Data yoy'!$A$1:$AT$1,),)</f>
        <v>1.5785827690000001</v>
      </c>
      <c r="K77" s="27">
        <f>VLOOKUP(B77,'Data yoy'!$A:$AT,MATCH($K$1,'Data yoy'!$A$1:$AT$1,),)</f>
        <v>2.9851407970000001</v>
      </c>
      <c r="L77" s="27">
        <f>VLOOKUP(B77,'Data yoy'!$A:$AT,MATCH($L$1,'Data yoy'!$A$1:$AT$1,),)</f>
        <v>1.064971616</v>
      </c>
      <c r="M77" s="27">
        <f>VLOOKUP(B77,'Data yoy'!$A:$AT,MATCH($M$1,'Data yoy'!$A$1:$AT$1,),)</f>
        <v>1.764013195</v>
      </c>
      <c r="N77" s="27">
        <f>VLOOKUP(B77,'Data yoy'!$A:$AT,MATCH($N$1,'Data yoy'!$A$1:$AT$1,),)</f>
        <v>8.6420364999999999E-2</v>
      </c>
      <c r="O77" s="27">
        <f>VLOOKUP(B77,'Data yoy'!$A:$AT,MATCH($O$1,'Data yoy'!$J$1:$AT$1,),)</f>
        <v>1.5732081979999999</v>
      </c>
      <c r="P77" s="27">
        <f>VLOOKUP(B77,'Data yoy'!$A:$AT,MATCH($P$1,'Data yoy'!$A$1:$AT$1,),)</f>
        <v>1.1615540019999999</v>
      </c>
      <c r="Q77" s="27">
        <f>VLOOKUP(B77,'Data yoy'!$A:$AT,MATCH($Q$1,'Data yoy'!$A$1:$AT$1,),)</f>
        <v>2.2740531270000002</v>
      </c>
      <c r="R77" s="27">
        <f>VLOOKUP(B77,'Data yoy'!$A:$AT,MATCH($R$1,'Data yoy'!$A$1:$AT$1,),)</f>
        <v>1.9237085730000001</v>
      </c>
      <c r="S77" s="27">
        <f>VLOOKUP(B77,'Data yoy'!$A:$AT,MATCH($S$1,'Data yoy'!$A$1:$AT$1,),)</f>
        <v>2.6305051480000001</v>
      </c>
      <c r="T77" s="27">
        <f>VLOOKUP(B77,'Data yoy'!$A:$AT,MATCH($T$1,'Data yoy'!$A$1:$AT$1,),)</f>
        <v>-2.4429451520000001</v>
      </c>
      <c r="U77" s="27">
        <f>VLOOKUP(B77,'Data yoy'!$A:$AT,MATCH($U$1,'Data yoy'!$A$1:$AT$1,),)</f>
        <v>0.68677369200000005</v>
      </c>
      <c r="V77" s="27">
        <f>VLOOKUP(B77,'Data yoy'!$A:$AT,MATCH($V$1,'Data yoy'!$A$1:$AT$1,),)</f>
        <v>-1.2433406659999999</v>
      </c>
      <c r="W77" s="27">
        <f>VLOOKUP(B77,'Data yoy'!$A:$AT,MATCH($W$1,'Data yoy'!$A$1:$AT$1,),)</f>
        <v>3.2153910000000001E-2</v>
      </c>
      <c r="X77" s="27">
        <f>VLOOKUP(B77,'Data yoy'!$A:$AT,MATCH($X$1,'Data yoy'!$A$1:$AT$1,),)</f>
        <v>1.9596201049999999</v>
      </c>
      <c r="Y77" s="27">
        <f>VLOOKUP(B77,'Data yoy'!$A:$AT,MATCH($Y$1,'Data yoy'!$A$1:$AT$1,),)</f>
        <v>2.5278395480000002</v>
      </c>
      <c r="Z77" s="27">
        <f>VLOOKUP(B77,'Data yoy'!$A:$AU,MATCH($Z$1,'Data yoy'!$A$1:$AU$1,),)</f>
        <v>-3.2754685609999998</v>
      </c>
      <c r="AA77" s="27">
        <f>VLOOKUP(B77,'Data yoy'!$A:$AU,MATCH($AA$1,'Data yoy'!$A$1:$AU$1,),)</f>
        <v>4.1135985579999996</v>
      </c>
      <c r="AB77" s="1"/>
      <c r="AC77" s="28" t="str">
        <f t="shared" si="16"/>
        <v>2016-Q3</v>
      </c>
      <c r="AD77" s="29">
        <f t="shared" si="14"/>
        <v>1.6226297190000001</v>
      </c>
      <c r="AE77" s="29">
        <f t="shared" si="15"/>
        <v>1.7319701919999999</v>
      </c>
      <c r="AF77" s="29">
        <f t="shared" si="13"/>
        <v>-0.10934047299999983</v>
      </c>
    </row>
    <row r="78" spans="2:32" x14ac:dyDescent="0.2">
      <c r="B78" s="26" t="s">
        <v>327</v>
      </c>
      <c r="C78" s="27">
        <f>VLOOKUP(B78,'Data yoy'!$A:$AT,MATCH($C$1,'Data yoy'!$A$1:$AT$1,),)</f>
        <v>2.0041770460000001</v>
      </c>
      <c r="D78" s="27">
        <f>VLOOKUP(B78,'Data yoy'!$A:$AT,MATCH($D$1,'Data yoy'!$A$1:$AT$1,),)</f>
        <v>6.9</v>
      </c>
      <c r="E78" s="27">
        <f>VLOOKUP(B78,'Data yoy'!$A:$AT,MATCH($E$1,'Data yoy'!$A$1:$AT$1,),)</f>
        <v>2.0344220279999998</v>
      </c>
      <c r="F78" s="27">
        <f>VLOOKUP(B78,'Data yoy'!$A:$AT,MATCH($F$1,'Data yoy'!$A$1:$AT$1,),)</f>
        <v>0.98280527399999995</v>
      </c>
      <c r="G78" s="27">
        <f>VLOOKUP(B78,'Data yoy'!$A:$AT,MATCH($G$1,'Data yoy'!$A$1:$AT$1,),)</f>
        <v>1.9002158899999999</v>
      </c>
      <c r="H78" s="27">
        <f>VLOOKUP(B78,'Data yoy'!$A:$AT,MATCH($H$1,'Data yoy'!$A$1:$AT$1,),)</f>
        <v>1.199685858</v>
      </c>
      <c r="I78" s="27">
        <f>VLOOKUP(B78,'Data yoy'!$A:$AT,MATCH($I$1,'Data yoy'!$A$1:$AT$1,),)</f>
        <v>1.562578818</v>
      </c>
      <c r="J78" s="27">
        <f>VLOOKUP(B78,'Data yoy'!$A:$AT,MATCH($J$1,'Data yoy'!$A$1:$AT$1,),)</f>
        <v>1.32459499</v>
      </c>
      <c r="K78" s="27">
        <f>VLOOKUP(B78,'Data yoy'!$A:$AT,MATCH($K$1,'Data yoy'!$A$1:$AT$1,),)</f>
        <v>2.4705723079999999</v>
      </c>
      <c r="L78" s="27">
        <f>VLOOKUP(B78,'Data yoy'!$A:$AT,MATCH($L$1,'Data yoy'!$A$1:$AT$1,),)</f>
        <v>1.180864801</v>
      </c>
      <c r="M78" s="27">
        <f>VLOOKUP(B78,'Data yoy'!$A:$AT,MATCH($M$1,'Data yoy'!$A$1:$AT$1,),)</f>
        <v>3.1065495479999998</v>
      </c>
      <c r="N78" s="27">
        <f>VLOOKUP(B78,'Data yoy'!$A:$AT,MATCH($N$1,'Data yoy'!$A$1:$AT$1,),)</f>
        <v>1.1730491270000001</v>
      </c>
      <c r="O78" s="27">
        <f>VLOOKUP(B78,'Data yoy'!$A:$AT,MATCH($O$1,'Data yoy'!$J$1:$AT$1,),)</f>
        <v>1.458948957</v>
      </c>
      <c r="P78" s="27">
        <f>VLOOKUP(B78,'Data yoy'!$A:$AT,MATCH($P$1,'Data yoy'!$A$1:$AT$1,),)</f>
        <v>1.6534435869999999</v>
      </c>
      <c r="Q78" s="27">
        <f>VLOOKUP(B78,'Data yoy'!$A:$AT,MATCH($Q$1,'Data yoy'!$A$1:$AT$1,),)</f>
        <v>2.7318738539999998</v>
      </c>
      <c r="R78" s="27">
        <f>VLOOKUP(B78,'Data yoy'!$A:$AT,MATCH($R$1,'Data yoy'!$A$1:$AT$1,),)</f>
        <v>1.8507419810000001</v>
      </c>
      <c r="S78" s="27">
        <f>VLOOKUP(B78,'Data yoy'!$A:$AT,MATCH($S$1,'Data yoy'!$A$1:$AT$1,),)</f>
        <v>2.5721908230000001</v>
      </c>
      <c r="T78" s="27">
        <f>VLOOKUP(B78,'Data yoy'!$A:$AT,MATCH($T$1,'Data yoy'!$A$1:$AT$1,),)</f>
        <v>-1.8225822780000001</v>
      </c>
      <c r="U78" s="27">
        <f>VLOOKUP(B78,'Data yoy'!$A:$AT,MATCH($U$1,'Data yoy'!$A$1:$AT$1,),)</f>
        <v>1.7313910000000001E-3</v>
      </c>
      <c r="V78" s="27">
        <f>VLOOKUP(B78,'Data yoy'!$A:$AT,MATCH($V$1,'Data yoy'!$A$1:$AT$1,),)</f>
        <v>8.9492778190000006</v>
      </c>
      <c r="W78" s="27">
        <f>VLOOKUP(B78,'Data yoy'!$A:$AT,MATCH($W$1,'Data yoy'!$A$1:$AT$1,),)</f>
        <v>4.3261893249999996</v>
      </c>
      <c r="X78" s="27">
        <f>VLOOKUP(B78,'Data yoy'!$A:$AT,MATCH($X$1,'Data yoy'!$A$1:$AT$1,),)</f>
        <v>2.1706344980000001</v>
      </c>
      <c r="Y78" s="27">
        <f>VLOOKUP(B78,'Data yoy'!$A:$AT,MATCH($Y$1,'Data yoy'!$A$1:$AT$1,),)</f>
        <v>3.5862370339999998</v>
      </c>
      <c r="Z78" s="27">
        <f>VLOOKUP(B78,'Data yoy'!$A:$AU,MATCH($Z$1,'Data yoy'!$A$1:$AU$1,),)</f>
        <v>-1.5401524010000001</v>
      </c>
      <c r="AA78" s="27">
        <f>VLOOKUP(B78,'Data yoy'!$A:$AU,MATCH($AA$1,'Data yoy'!$A$1:$AU$1,),)</f>
        <v>3.3778185399999998</v>
      </c>
      <c r="AB78" s="1"/>
      <c r="AC78" s="28" t="str">
        <f t="shared" si="16"/>
        <v>2016-Q4</v>
      </c>
      <c r="AD78" s="29">
        <f t="shared" si="14"/>
        <v>1.562578818</v>
      </c>
      <c r="AE78" s="29">
        <f t="shared" si="15"/>
        <v>2.0344220279999998</v>
      </c>
      <c r="AF78" s="29">
        <f t="shared" si="13"/>
        <v>-0.47184320999999985</v>
      </c>
    </row>
    <row r="79" spans="2:32" x14ac:dyDescent="0.2">
      <c r="B79" s="26" t="s">
        <v>328</v>
      </c>
      <c r="C79" s="27">
        <f>VLOOKUP(B79,'Data yoy'!$A:$AT,MATCH($C$1,'Data yoy'!$A$1:$AT$1,),)</f>
        <v>1.8852788700000001</v>
      </c>
      <c r="D79" s="27">
        <f>VLOOKUP(B79,'Data yoy'!$A:$AT,MATCH($D$1,'Data yoy'!$A$1:$AT$1,),)</f>
        <v>7</v>
      </c>
      <c r="E79" s="27">
        <f>VLOOKUP(B79,'Data yoy'!$A:$AT,MATCH($E$1,'Data yoy'!$A$1:$AT$1,),)</f>
        <v>2.1897400469999999</v>
      </c>
      <c r="F79" s="27">
        <f>VLOOKUP(B79,'Data yoy'!$A:$AT,MATCH($F$1,'Data yoy'!$A$1:$AT$1,),)</f>
        <v>1.0127659840000001</v>
      </c>
      <c r="G79" s="27">
        <f>VLOOKUP(B79,'Data yoy'!$A:$AT,MATCH($G$1,'Data yoy'!$A$1:$AT$1,),)</f>
        <v>2.306102514</v>
      </c>
      <c r="H79" s="27">
        <f>VLOOKUP(B79,'Data yoy'!$A:$AT,MATCH($H$1,'Data yoy'!$A$1:$AT$1,),)</f>
        <v>1.3876680100000001</v>
      </c>
      <c r="I79" s="27">
        <f>VLOOKUP(B79,'Data yoy'!$A:$AT,MATCH($I$1,'Data yoy'!$A$1:$AT$1,),)</f>
        <v>1.8636631189999999</v>
      </c>
      <c r="J79" s="27">
        <f>VLOOKUP(B79,'Data yoy'!$A:$AT,MATCH($J$1,'Data yoy'!$A$1:$AT$1,),)</f>
        <v>1.5857112250000001</v>
      </c>
      <c r="K79" s="27">
        <f>VLOOKUP(B79,'Data yoy'!$A:$AT,MATCH($K$1,'Data yoy'!$A$1:$AT$1,),)</f>
        <v>2.5887791710000001</v>
      </c>
      <c r="L79" s="27">
        <f>VLOOKUP(B79,'Data yoy'!$A:$AT,MATCH($L$1,'Data yoy'!$A$1:$AT$1,),)</f>
        <v>1.68766726</v>
      </c>
      <c r="M79" s="27">
        <f>VLOOKUP(B79,'Data yoy'!$A:$AT,MATCH($M$1,'Data yoy'!$A$1:$AT$1,),)</f>
        <v>3.004126914</v>
      </c>
      <c r="N79" s="27">
        <f>VLOOKUP(B79,'Data yoy'!$A:$AT,MATCH($N$1,'Data yoy'!$A$1:$AT$1,),)</f>
        <v>1.184907997</v>
      </c>
      <c r="O79" s="27">
        <f>VLOOKUP(B79,'Data yoy'!$A:$AT,MATCH($O$1,'Data yoy'!$J$1:$AT$1,),)</f>
        <v>2.151068472</v>
      </c>
      <c r="P79" s="27">
        <f>VLOOKUP(B79,'Data yoy'!$A:$AT,MATCH($P$1,'Data yoy'!$A$1:$AT$1,),)</f>
        <v>2.1977790920000002</v>
      </c>
      <c r="Q79" s="27">
        <f>VLOOKUP(B79,'Data yoy'!$A:$AT,MATCH($Q$1,'Data yoy'!$A$1:$AT$1,),)</f>
        <v>2.1217031589999999</v>
      </c>
      <c r="R79" s="27">
        <f>VLOOKUP(B79,'Data yoy'!$A:$AT,MATCH($R$1,'Data yoy'!$A$1:$AT$1,),)</f>
        <v>1.563070041</v>
      </c>
      <c r="S79" s="27">
        <f>VLOOKUP(B79,'Data yoy'!$A:$AT,MATCH($S$1,'Data yoy'!$A$1:$AT$1,),)</f>
        <v>3.2421475380000002</v>
      </c>
      <c r="T79" s="27">
        <f>VLOOKUP(B79,'Data yoy'!$A:$AT,MATCH($T$1,'Data yoy'!$A$1:$AT$1,),)</f>
        <v>0.87738811299999997</v>
      </c>
      <c r="U79" s="27">
        <f>VLOOKUP(B79,'Data yoy'!$A:$AT,MATCH($U$1,'Data yoy'!$A$1:$AT$1,),)</f>
        <v>0.439302211</v>
      </c>
      <c r="V79" s="27">
        <f>VLOOKUP(B79,'Data yoy'!$A:$AT,MATCH($V$1,'Data yoy'!$A$1:$AT$1,),)</f>
        <v>7.1710609070000002</v>
      </c>
      <c r="W79" s="27">
        <f>VLOOKUP(B79,'Data yoy'!$A:$AT,MATCH($W$1,'Data yoy'!$A$1:$AT$1,),)</f>
        <v>5.3733098119999996</v>
      </c>
      <c r="X79" s="27">
        <f>VLOOKUP(B79,'Data yoy'!$A:$AT,MATCH($X$1,'Data yoy'!$A$1:$AT$1,),)</f>
        <v>3.570373762</v>
      </c>
      <c r="Y79" s="27">
        <f>VLOOKUP(B79,'Data yoy'!$A:$AT,MATCH($Y$1,'Data yoy'!$A$1:$AT$1,),)</f>
        <v>4.8766142270000001</v>
      </c>
      <c r="Z79" s="27">
        <f>VLOOKUP(B79,'Data yoy'!$A:$AU,MATCH($Z$1,'Data yoy'!$A$1:$AU$1,),)</f>
        <v>0.24223787399999999</v>
      </c>
      <c r="AA79" s="27">
        <f>VLOOKUP(B79,'Data yoy'!$A:$AU,MATCH($AA$1,'Data yoy'!$A$1:$AU$1,),)</f>
        <v>3.2208905790000002</v>
      </c>
      <c r="AB79" s="1"/>
      <c r="AC79" s="28" t="str">
        <f t="shared" si="16"/>
        <v>2017-Q1</v>
      </c>
      <c r="AD79" s="29">
        <f t="shared" si="14"/>
        <v>1.8636631189999999</v>
      </c>
      <c r="AE79" s="29">
        <f t="shared" si="15"/>
        <v>2.1897400469999999</v>
      </c>
      <c r="AF79" s="29">
        <f t="shared" si="13"/>
        <v>-0.32607692799999999</v>
      </c>
    </row>
    <row r="80" spans="2:32" x14ac:dyDescent="0.2">
      <c r="B80" s="26" t="s">
        <v>329</v>
      </c>
      <c r="C80" s="27">
        <f>VLOOKUP(B80,'Data yoy'!$A:$AT,MATCH($C$1,'Data yoy'!$A$1:$AT$1,),)</f>
        <v>2.1467165829999999</v>
      </c>
      <c r="D80" s="27">
        <f>VLOOKUP(B80,'Data yoy'!$A:$AT,MATCH($D$1,'Data yoy'!$A$1:$AT$1,),)</f>
        <v>7</v>
      </c>
      <c r="E80" s="27">
        <f>VLOOKUP(B80,'Data yoy'!$A:$AT,MATCH($E$1,'Data yoy'!$A$1:$AT$1,),)</f>
        <v>2.7479201789999999</v>
      </c>
      <c r="F80" s="27">
        <f>VLOOKUP(B80,'Data yoy'!$A:$AT,MATCH($F$1,'Data yoy'!$A$1:$AT$1,),)</f>
        <v>1.494276382</v>
      </c>
      <c r="G80" s="27">
        <f>VLOOKUP(B80,'Data yoy'!$A:$AT,MATCH($G$1,'Data yoy'!$A$1:$AT$1,),)</f>
        <v>2.6793629550000002</v>
      </c>
      <c r="H80" s="27">
        <f>VLOOKUP(B80,'Data yoy'!$A:$AT,MATCH($H$1,'Data yoy'!$A$1:$AT$1,),)</f>
        <v>2.3867058999999999</v>
      </c>
      <c r="I80" s="27">
        <f>VLOOKUP(B80,'Data yoy'!$A:$AT,MATCH($I$1,'Data yoy'!$A$1:$AT$1,),)</f>
        <v>1.7016388010000001</v>
      </c>
      <c r="J80" s="27">
        <f>VLOOKUP(B80,'Data yoy'!$A:$AT,MATCH($J$1,'Data yoy'!$A$1:$AT$1,),)</f>
        <v>1.779629626</v>
      </c>
      <c r="K80" s="27">
        <f>VLOOKUP(B80,'Data yoy'!$A:$AT,MATCH($K$1,'Data yoy'!$A$1:$AT$1,),)</f>
        <v>3.2572936229999998</v>
      </c>
      <c r="L80" s="27">
        <f>VLOOKUP(B80,'Data yoy'!$A:$AT,MATCH($L$1,'Data yoy'!$A$1:$AT$1,),)</f>
        <v>2.9499266290000001</v>
      </c>
      <c r="M80" s="27">
        <f>VLOOKUP(B80,'Data yoy'!$A:$AT,MATCH($M$1,'Data yoy'!$A$1:$AT$1,),)</f>
        <v>2.9547294970000002</v>
      </c>
      <c r="N80" s="27">
        <f>VLOOKUP(B80,'Data yoy'!$A:$AT,MATCH($N$1,'Data yoy'!$A$1:$AT$1,),)</f>
        <v>1.828812514</v>
      </c>
      <c r="O80" s="27">
        <f>VLOOKUP(B80,'Data yoy'!$A:$AT,MATCH($O$1,'Data yoy'!$J$1:$AT$1,),)</f>
        <v>2.8344873270000002</v>
      </c>
      <c r="P80" s="27">
        <f>VLOOKUP(B80,'Data yoy'!$A:$AT,MATCH($P$1,'Data yoy'!$A$1:$AT$1,),)</f>
        <v>3.75347556</v>
      </c>
      <c r="Q80" s="27">
        <f>VLOOKUP(B80,'Data yoy'!$A:$AT,MATCH($Q$1,'Data yoy'!$A$1:$AT$1,),)</f>
        <v>2.0795723119999998</v>
      </c>
      <c r="R80" s="27">
        <f>VLOOKUP(B80,'Data yoy'!$A:$AT,MATCH($R$1,'Data yoy'!$A$1:$AT$1,),)</f>
        <v>1.381013968</v>
      </c>
      <c r="S80" s="27">
        <f>VLOOKUP(B80,'Data yoy'!$A:$AT,MATCH($S$1,'Data yoy'!$A$1:$AT$1,),)</f>
        <v>2.757337588</v>
      </c>
      <c r="T80" s="27">
        <f>VLOOKUP(B80,'Data yoy'!$A:$AT,MATCH($T$1,'Data yoy'!$A$1:$AT$1,),)</f>
        <v>1.0322037740000001</v>
      </c>
      <c r="U80" s="27">
        <f>VLOOKUP(B80,'Data yoy'!$A:$AT,MATCH($U$1,'Data yoy'!$A$1:$AT$1,),)</f>
        <v>1.6097923700000001</v>
      </c>
      <c r="V80" s="27">
        <f>VLOOKUP(B80,'Data yoy'!$A:$AT,MATCH($V$1,'Data yoy'!$A$1:$AT$1,),)</f>
        <v>9.0433695350000001</v>
      </c>
      <c r="W80" s="27">
        <f>VLOOKUP(B80,'Data yoy'!$A:$AT,MATCH($W$1,'Data yoy'!$A$1:$AT$1,),)</f>
        <v>6.2557580340000003</v>
      </c>
      <c r="X80" s="27">
        <f>VLOOKUP(B80,'Data yoy'!$A:$AT,MATCH($X$1,'Data yoy'!$A$1:$AT$1,),)</f>
        <v>6.1313612270000002</v>
      </c>
      <c r="Y80" s="27">
        <f>VLOOKUP(B80,'Data yoy'!$A:$AT,MATCH($Y$1,'Data yoy'!$A$1:$AT$1,),)</f>
        <v>4.4169330010000003</v>
      </c>
      <c r="Z80" s="27">
        <f>VLOOKUP(B80,'Data yoy'!$A:$AU,MATCH($Z$1,'Data yoy'!$A$1:$AU$1,),)</f>
        <v>2.9042986129999999</v>
      </c>
      <c r="AA80" s="27">
        <f>VLOOKUP(B80,'Data yoy'!$A:$AU,MATCH($AA$1,'Data yoy'!$A$1:$AU$1,),)</f>
        <v>3.425818574</v>
      </c>
      <c r="AB80" s="1"/>
      <c r="AC80" s="28" t="str">
        <f t="shared" si="16"/>
        <v>2017-Q2</v>
      </c>
      <c r="AD80" s="29">
        <f t="shared" si="14"/>
        <v>1.7016388010000001</v>
      </c>
      <c r="AE80" s="29">
        <f t="shared" si="15"/>
        <v>2.7479201789999999</v>
      </c>
      <c r="AF80" s="29">
        <f t="shared" si="13"/>
        <v>-1.0462813779999998</v>
      </c>
    </row>
    <row r="81" spans="2:32" x14ac:dyDescent="0.2">
      <c r="B81" s="26" t="s">
        <v>330</v>
      </c>
      <c r="C81" s="27">
        <f>VLOOKUP(B81,'Data yoy'!$A:$AT,MATCH($C$1,'Data yoy'!$A$1:$AT$1,),)</f>
        <v>2.2665646380000002</v>
      </c>
      <c r="D81" s="27">
        <f>VLOOKUP(B81,'Data yoy'!$A:$AT,MATCH($D$1,'Data yoy'!$A$1:$AT$1,),)</f>
        <v>6.9</v>
      </c>
      <c r="E81" s="27">
        <f>VLOOKUP(B81,'Data yoy'!$A:$AT,MATCH($E$1,'Data yoy'!$A$1:$AT$1,),)</f>
        <v>3.0024803100000002</v>
      </c>
      <c r="F81" s="27">
        <f>VLOOKUP(B81,'Data yoy'!$A:$AT,MATCH($F$1,'Data yoy'!$A$1:$AT$1,),)</f>
        <v>2.1019201970000001</v>
      </c>
      <c r="G81" s="27">
        <f>VLOOKUP(B81,'Data yoy'!$A:$AT,MATCH($G$1,'Data yoy'!$A$1:$AT$1,),)</f>
        <v>3.2277027129999998</v>
      </c>
      <c r="H81" s="27">
        <f>VLOOKUP(B81,'Data yoy'!$A:$AT,MATCH($H$1,'Data yoy'!$A$1:$AT$1,),)</f>
        <v>2.8365459099999999</v>
      </c>
      <c r="I81" s="27">
        <f>VLOOKUP(B81,'Data yoy'!$A:$AT,MATCH($I$1,'Data yoy'!$A$1:$AT$1,),)</f>
        <v>1.8211726450000001</v>
      </c>
      <c r="J81" s="27">
        <f>VLOOKUP(B81,'Data yoy'!$A:$AT,MATCH($J$1,'Data yoy'!$A$1:$AT$1,),)</f>
        <v>1.657976095</v>
      </c>
      <c r="K81" s="27">
        <f>VLOOKUP(B81,'Data yoy'!$A:$AT,MATCH($K$1,'Data yoy'!$A$1:$AT$1,),)</f>
        <v>2.9402268669999998</v>
      </c>
      <c r="L81" s="27">
        <f>VLOOKUP(B81,'Data yoy'!$A:$AT,MATCH($L$1,'Data yoy'!$A$1:$AT$1,),)</f>
        <v>3.6801560389999999</v>
      </c>
      <c r="M81" s="27">
        <f>VLOOKUP(B81,'Data yoy'!$A:$AT,MATCH($M$1,'Data yoy'!$A$1:$AT$1,),)</f>
        <v>1.579478618</v>
      </c>
      <c r="N81" s="27">
        <f>VLOOKUP(B81,'Data yoy'!$A:$AT,MATCH($N$1,'Data yoy'!$A$1:$AT$1,),)</f>
        <v>2.4174711840000001</v>
      </c>
      <c r="O81" s="27">
        <f>VLOOKUP(B81,'Data yoy'!$A:$AT,MATCH($O$1,'Data yoy'!$J$1:$AT$1,),)</f>
        <v>3.2350127620000002</v>
      </c>
      <c r="P81" s="27">
        <f>VLOOKUP(B81,'Data yoy'!$A:$AT,MATCH($P$1,'Data yoy'!$A$1:$AT$1,),)</f>
        <v>3.12771636</v>
      </c>
      <c r="Q81" s="27">
        <f>VLOOKUP(B81,'Data yoy'!$A:$AT,MATCH($Q$1,'Data yoy'!$A$1:$AT$1,),)</f>
        <v>3.0183552749999998</v>
      </c>
      <c r="R81" s="27">
        <f>VLOOKUP(B81,'Data yoy'!$A:$AT,MATCH($R$1,'Data yoy'!$A$1:$AT$1,),)</f>
        <v>1.4636064150000001</v>
      </c>
      <c r="S81" s="27">
        <f>VLOOKUP(B81,'Data yoy'!$A:$AT,MATCH($S$1,'Data yoy'!$A$1:$AT$1,),)</f>
        <v>3.7676756810000001</v>
      </c>
      <c r="T81" s="27">
        <f>VLOOKUP(B81,'Data yoy'!$A:$AT,MATCH($T$1,'Data yoy'!$A$1:$AT$1,),)</f>
        <v>1.9956797740000001</v>
      </c>
      <c r="U81" s="27">
        <f>VLOOKUP(B81,'Data yoy'!$A:$AT,MATCH($U$1,'Data yoy'!$A$1:$AT$1,),)</f>
        <v>1.931374454</v>
      </c>
      <c r="V81" s="27">
        <f>VLOOKUP(B81,'Data yoy'!$A:$AT,MATCH($V$1,'Data yoy'!$A$1:$AT$1,),)</f>
        <v>13.670770292</v>
      </c>
      <c r="W81" s="27">
        <f>VLOOKUP(B81,'Data yoy'!$A:$AT,MATCH($W$1,'Data yoy'!$A$1:$AT$1,),)</f>
        <v>11.051091386</v>
      </c>
      <c r="X81" s="27">
        <f>VLOOKUP(B81,'Data yoy'!$A:$AT,MATCH($X$1,'Data yoy'!$A$1:$AT$1,),)</f>
        <v>5.8793927559999997</v>
      </c>
      <c r="Y81" s="27">
        <f>VLOOKUP(B81,'Data yoy'!$A:$AT,MATCH($Y$1,'Data yoy'!$A$1:$AT$1,),)</f>
        <v>5.3421978750000001</v>
      </c>
      <c r="Z81" s="27">
        <f>VLOOKUP(B81,'Data yoy'!$A:$AU,MATCH($Z$1,'Data yoy'!$A$1:$AU$1,),)</f>
        <v>3.8419908550000001</v>
      </c>
      <c r="AA81" s="27">
        <f>VLOOKUP(B81,'Data yoy'!$A:$AU,MATCH($AA$1,'Data yoy'!$A$1:$AU$1,),)</f>
        <v>3.4675164189999998</v>
      </c>
      <c r="AB81" s="1"/>
      <c r="AC81" s="28" t="str">
        <f t="shared" si="16"/>
        <v>2017-Q3</v>
      </c>
      <c r="AD81" s="29">
        <f t="shared" si="14"/>
        <v>1.8211726450000001</v>
      </c>
      <c r="AE81" s="29">
        <f t="shared" si="15"/>
        <v>3.0024803100000002</v>
      </c>
      <c r="AF81" s="29">
        <f t="shared" si="13"/>
        <v>-1.1813076650000001</v>
      </c>
    </row>
    <row r="82" spans="2:32" x14ac:dyDescent="0.2">
      <c r="B82" s="26" t="s">
        <v>331</v>
      </c>
      <c r="C82" s="27">
        <f>VLOOKUP(B82,'Data yoy'!$A:$AT,MATCH($C$1,'Data yoy'!$A$1:$AT$1,),)</f>
        <v>2.7178855820000001</v>
      </c>
      <c r="D82" s="27">
        <f>VLOOKUP(B82,'Data yoy'!$A:$AT,MATCH($D$1,'Data yoy'!$A$1:$AT$1,),)</f>
        <v>6.8</v>
      </c>
      <c r="E82" s="27">
        <f>VLOOKUP(B82,'Data yoy'!$A:$AT,MATCH($E$1,'Data yoy'!$A$1:$AT$1,),)</f>
        <v>3.1145025479999999</v>
      </c>
      <c r="F82" s="27">
        <f>VLOOKUP(B82,'Data yoy'!$A:$AT,MATCH($F$1,'Data yoy'!$A$1:$AT$1,),)</f>
        <v>2.2165550569999999</v>
      </c>
      <c r="G82" s="27">
        <f>VLOOKUP(B82,'Data yoy'!$A:$AT,MATCH($G$1,'Data yoy'!$A$1:$AT$1,),)</f>
        <v>3.7344002230000002</v>
      </c>
      <c r="H82" s="27">
        <f>VLOOKUP(B82,'Data yoy'!$A:$AT,MATCH($H$1,'Data yoy'!$A$1:$AT$1,),)</f>
        <v>3.1525944940000001</v>
      </c>
      <c r="I82" s="27">
        <f>VLOOKUP(B82,'Data yoy'!$A:$AT,MATCH($I$1,'Data yoy'!$A$1:$AT$1,),)</f>
        <v>1.5765524829999999</v>
      </c>
      <c r="J82" s="27">
        <f>VLOOKUP(B82,'Data yoy'!$A:$AT,MATCH($J$1,'Data yoy'!$A$1:$AT$1,),)</f>
        <v>1.9417765890000001</v>
      </c>
      <c r="K82" s="27">
        <f>VLOOKUP(B82,'Data yoy'!$A:$AT,MATCH($K$1,'Data yoy'!$A$1:$AT$1,),)</f>
        <v>3.1051708809999998</v>
      </c>
      <c r="L82" s="27">
        <f>VLOOKUP(B82,'Data yoy'!$A:$AT,MATCH($L$1,'Data yoy'!$A$1:$AT$1,),)</f>
        <v>2.9473191409999999</v>
      </c>
      <c r="M82" s="27">
        <f>VLOOKUP(B82,'Data yoy'!$A:$AT,MATCH($M$1,'Data yoy'!$A$1:$AT$1,),)</f>
        <v>1.7849750740000001</v>
      </c>
      <c r="N82" s="27">
        <f>VLOOKUP(B82,'Data yoy'!$A:$AT,MATCH($N$1,'Data yoy'!$A$1:$AT$1,),)</f>
        <v>1.600592735</v>
      </c>
      <c r="O82" s="27">
        <f>VLOOKUP(B82,'Data yoy'!$A:$AT,MATCH($O$1,'Data yoy'!$J$1:$AT$1,),)</f>
        <v>3.7266249349999998</v>
      </c>
      <c r="P82" s="27">
        <f>VLOOKUP(B82,'Data yoy'!$A:$AT,MATCH($P$1,'Data yoy'!$A$1:$AT$1,),)</f>
        <v>3.0831140669999999</v>
      </c>
      <c r="Q82" s="27">
        <f>VLOOKUP(B82,'Data yoy'!$A:$AT,MATCH($Q$1,'Data yoy'!$A$1:$AT$1,),)</f>
        <v>2.451902665</v>
      </c>
      <c r="R82" s="27">
        <f>VLOOKUP(B82,'Data yoy'!$A:$AT,MATCH($R$1,'Data yoy'!$A$1:$AT$1,),)</f>
        <v>2.2143853610000002</v>
      </c>
      <c r="S82" s="27">
        <f>VLOOKUP(B82,'Data yoy'!$A:$AT,MATCH($S$1,'Data yoy'!$A$1:$AT$1,),)</f>
        <v>2.8724935880000002</v>
      </c>
      <c r="T82" s="27">
        <f>VLOOKUP(B82,'Data yoy'!$A:$AT,MATCH($T$1,'Data yoy'!$A$1:$AT$1,),)</f>
        <v>2.5908383430000002</v>
      </c>
      <c r="U82" s="27">
        <f>VLOOKUP(B82,'Data yoy'!$A:$AT,MATCH($U$1,'Data yoy'!$A$1:$AT$1,),)</f>
        <v>1.1272716840000001</v>
      </c>
      <c r="V82" s="27">
        <f>VLOOKUP(B82,'Data yoy'!$A:$AT,MATCH($V$1,'Data yoy'!$A$1:$AT$1,),)</f>
        <v>6.9762301539999996</v>
      </c>
      <c r="W82" s="27">
        <f>VLOOKUP(B82,'Data yoy'!$A:$AT,MATCH($W$1,'Data yoy'!$A$1:$AT$1,),)</f>
        <v>7.2337548180000004</v>
      </c>
      <c r="X82" s="27">
        <f>VLOOKUP(B82,'Data yoy'!$A:$AT,MATCH($X$1,'Data yoy'!$A$1:$AT$1,),)</f>
        <v>5.8948496209999997</v>
      </c>
      <c r="Y82" s="27">
        <f>VLOOKUP(B82,'Data yoy'!$A:$AT,MATCH($Y$1,'Data yoy'!$A$1:$AT$1,),)</f>
        <v>4.7889339370000004</v>
      </c>
      <c r="Z82" s="27">
        <f>VLOOKUP(B82,'Data yoy'!$A:$AU,MATCH($Z$1,'Data yoy'!$A$1:$AU$1,),)</f>
        <v>4.3091224769999998</v>
      </c>
      <c r="AA82" s="27">
        <f>VLOOKUP(B82,'Data yoy'!$A:$AU,MATCH($AA$1,'Data yoy'!$A$1:$AU$1,),)</f>
        <v>3.9593931480000002</v>
      </c>
      <c r="AB82" s="1"/>
      <c r="AC82" s="28" t="str">
        <f t="shared" si="16"/>
        <v>2017-Q4</v>
      </c>
      <c r="AD82" s="29">
        <f t="shared" si="14"/>
        <v>1.5765524829999999</v>
      </c>
      <c r="AE82" s="29">
        <f t="shared" si="15"/>
        <v>3.1145025479999999</v>
      </c>
      <c r="AF82" s="29">
        <f t="shared" si="13"/>
        <v>-1.537950065</v>
      </c>
    </row>
    <row r="83" spans="2:32" x14ac:dyDescent="0.2">
      <c r="B83" s="26" t="s">
        <v>332</v>
      </c>
      <c r="C83" s="27">
        <f>VLOOKUP(B83,'Data yoy'!$A:$AT,MATCH($C$1,'Data yoy'!$A$1:$AT$1,),)</f>
        <v>3.0153118829999999</v>
      </c>
      <c r="D83" s="27">
        <f>VLOOKUP(B83,'Data yoy'!$A:$AT,MATCH($D$1,'Data yoy'!$A$1:$AT$1,),)</f>
        <v>6.9</v>
      </c>
      <c r="E83" s="27">
        <f>VLOOKUP(B83,'Data yoy'!$A:$AT,MATCH($E$1,'Data yoy'!$A$1:$AT$1,),)</f>
        <v>2.4770709320000002</v>
      </c>
      <c r="F83" s="27">
        <f>VLOOKUP(B83,'Data yoy'!$A:$AT,MATCH($F$1,'Data yoy'!$A$1:$AT$1,),)</f>
        <v>1.4394703200000001</v>
      </c>
      <c r="G83" s="27">
        <f>VLOOKUP(B83,'Data yoy'!$A:$AT,MATCH($G$1,'Data yoy'!$A$1:$AT$1,),)</f>
        <v>2.0421842520000002</v>
      </c>
      <c r="H83" s="27">
        <f>VLOOKUP(B83,'Data yoy'!$A:$AT,MATCH($H$1,'Data yoy'!$A$1:$AT$1,),)</f>
        <v>2.3518767349999998</v>
      </c>
      <c r="I83" s="27">
        <f>VLOOKUP(B83,'Data yoy'!$A:$AT,MATCH($I$1,'Data yoy'!$A$1:$AT$1,),)</f>
        <v>1.144880731</v>
      </c>
      <c r="J83" s="27">
        <f>VLOOKUP(B83,'Data yoy'!$A:$AT,MATCH($J$1,'Data yoy'!$A$1:$AT$1,),)</f>
        <v>1.394061274</v>
      </c>
      <c r="K83" s="27">
        <f>VLOOKUP(B83,'Data yoy'!$A:$AT,MATCH($K$1,'Data yoy'!$A$1:$AT$1,),)</f>
        <v>2.679684843</v>
      </c>
      <c r="L83" s="27">
        <f>VLOOKUP(B83,'Data yoy'!$A:$AT,MATCH($L$1,'Data yoy'!$A$1:$AT$1,),)</f>
        <v>2.7619241329999999</v>
      </c>
      <c r="M83" s="27">
        <f>VLOOKUP(B83,'Data yoy'!$A:$AT,MATCH($M$1,'Data yoy'!$A$1:$AT$1,),)</f>
        <v>2.4960129360000001</v>
      </c>
      <c r="N83" s="27">
        <f>VLOOKUP(B83,'Data yoy'!$A:$AT,MATCH($N$1,'Data yoy'!$A$1:$AT$1,),)</f>
        <v>2.7711361760000002</v>
      </c>
      <c r="O83" s="27">
        <f>VLOOKUP(B83,'Data yoy'!$A:$AT,MATCH($O$1,'Data yoy'!$J$1:$AT$1,),)</f>
        <v>3.6148843259999999</v>
      </c>
      <c r="P83" s="27">
        <f>VLOOKUP(B83,'Data yoy'!$A:$AT,MATCH($P$1,'Data yoy'!$A$1:$AT$1,),)</f>
        <v>2.6448003739999999</v>
      </c>
      <c r="Q83" s="27">
        <f>VLOOKUP(B83,'Data yoy'!$A:$AT,MATCH($Q$1,'Data yoy'!$A$1:$AT$1,),)</f>
        <v>3.0771943180000001</v>
      </c>
      <c r="R83" s="27">
        <f>VLOOKUP(B83,'Data yoy'!$A:$AT,MATCH($R$1,'Data yoy'!$A$1:$AT$1,),)</f>
        <v>3.135769877</v>
      </c>
      <c r="S83" s="27">
        <f>VLOOKUP(B83,'Data yoy'!$A:$AT,MATCH($S$1,'Data yoy'!$A$1:$AT$1,),)</f>
        <v>3.0620915960000001</v>
      </c>
      <c r="T83" s="27">
        <f>VLOOKUP(B83,'Data yoy'!$A:$AT,MATCH($T$1,'Data yoy'!$A$1:$AT$1,),)</f>
        <v>2.0125578260000001</v>
      </c>
      <c r="U83" s="27">
        <f>VLOOKUP(B83,'Data yoy'!$A:$AT,MATCH($U$1,'Data yoy'!$A$1:$AT$1,),)</f>
        <v>2.0472260919999998</v>
      </c>
      <c r="V83" s="27">
        <f>VLOOKUP(B83,'Data yoy'!$A:$AT,MATCH($V$1,'Data yoy'!$A$1:$AT$1,),)</f>
        <v>12.77311621</v>
      </c>
      <c r="W83" s="27">
        <f>VLOOKUP(B83,'Data yoy'!$A:$AT,MATCH($W$1,'Data yoy'!$A$1:$AT$1,),)</f>
        <v>7.3634451470000002</v>
      </c>
      <c r="X83" s="27">
        <f>VLOOKUP(B83,'Data yoy'!$A:$AT,MATCH($X$1,'Data yoy'!$A$1:$AT$1,),)</f>
        <v>4.8044975550000002</v>
      </c>
      <c r="Y83" s="27">
        <f>VLOOKUP(B83,'Data yoy'!$A:$AT,MATCH($Y$1,'Data yoy'!$A$1:$AT$1,),)</f>
        <v>5.1266374780000001</v>
      </c>
      <c r="Z83" s="27">
        <f>VLOOKUP(B83,'Data yoy'!$A:$AU,MATCH($Z$1,'Data yoy'!$A$1:$AU$1,),)</f>
        <v>3.0072871239999999</v>
      </c>
      <c r="AA83" s="27">
        <f>VLOOKUP(B83,'Data yoy'!$A:$AU,MATCH($AA$1,'Data yoy'!$A$1:$AU$1,),)</f>
        <v>3.5809681850000001</v>
      </c>
      <c r="AB83" s="1"/>
      <c r="AC83" s="28" t="str">
        <f t="shared" si="16"/>
        <v>2018-Q1</v>
      </c>
      <c r="AD83" s="29">
        <f t="shared" si="14"/>
        <v>1.144880731</v>
      </c>
      <c r="AE83" s="29">
        <f t="shared" si="15"/>
        <v>2.4770709320000002</v>
      </c>
      <c r="AF83" s="29">
        <f t="shared" si="13"/>
        <v>-1.3321902010000002</v>
      </c>
    </row>
    <row r="84" spans="2:32" s="1" customFormat="1" x14ac:dyDescent="0.2">
      <c r="B84" s="26" t="s">
        <v>333</v>
      </c>
      <c r="C84" s="27">
        <f>VLOOKUP(B84,'Data yoy'!$A:$AT,MATCH($C$1,'Data yoy'!$A$1:$AT$1,),)</f>
        <v>3.2961522830000001</v>
      </c>
      <c r="D84" s="27">
        <f>VLOOKUP(B84,'Data yoy'!$A:$AT,MATCH($D$1,'Data yoy'!$A$1:$AT$1,),)</f>
        <v>6.9</v>
      </c>
      <c r="E84" s="27">
        <f>VLOOKUP(B84,'Data yoy'!$A:$AT,MATCH($E$1,'Data yoy'!$A$1:$AT$1,),)</f>
        <v>2.1596333570000001</v>
      </c>
      <c r="F84" s="27">
        <f>VLOOKUP(B84,'Data yoy'!$A:$AT,MATCH($F$1,'Data yoy'!$A$1:$AT$1,),)</f>
        <v>1.233726423</v>
      </c>
      <c r="G84" s="27">
        <f>VLOOKUP(B84,'Data yoy'!$A:$AT,MATCH($G$1,'Data yoy'!$A$1:$AT$1,),)</f>
        <v>1.816096978</v>
      </c>
      <c r="H84" s="27">
        <f>VLOOKUP(B84,'Data yoy'!$A:$AT,MATCH($H$1,'Data yoy'!$A$1:$AT$1,),)</f>
        <v>1.8756310679999999</v>
      </c>
      <c r="I84" s="27">
        <f>VLOOKUP(B84,'Data yoy'!$A:$AT,MATCH($I$1,'Data yoy'!$A$1:$AT$1,),)</f>
        <v>1.235354098</v>
      </c>
      <c r="J84" s="27">
        <f>VLOOKUP(B84,'Data yoy'!$A:$AT,MATCH($J$1,'Data yoy'!$A$1:$AT$1,),)</f>
        <v>0.970375141</v>
      </c>
      <c r="K84" s="27">
        <f>VLOOKUP(B84,'Data yoy'!$A:$AT,MATCH($K$1,'Data yoy'!$A$1:$AT$1,),)</f>
        <v>2.1843443640000002</v>
      </c>
      <c r="L84" s="27">
        <f>VLOOKUP(B84,'Data yoy'!$A:$AT,MATCH($L$1,'Data yoy'!$A$1:$AT$1,),)</f>
        <v>2.4219215260000002</v>
      </c>
      <c r="M84" s="27">
        <f>VLOOKUP(B84,'Data yoy'!$A:$AT,MATCH($M$1,'Data yoy'!$A$1:$AT$1,),)</f>
        <v>2.1783193860000001</v>
      </c>
      <c r="N84" s="27">
        <f>VLOOKUP(B84,'Data yoy'!$A:$AT,MATCH($N$1,'Data yoy'!$A$1:$AT$1,),)</f>
        <v>2.6359803419999999</v>
      </c>
      <c r="O84" s="27">
        <f>VLOOKUP(B84,'Data yoy'!$A:$AT,MATCH($O$1,'Data yoy'!$J$1:$AT$1,),)</f>
        <v>3.7635971100000001</v>
      </c>
      <c r="P84" s="27">
        <f>VLOOKUP(B84,'Data yoy'!$A:$AT,MATCH($P$1,'Data yoy'!$A$1:$AT$1,),)</f>
        <v>2.2628050860000002</v>
      </c>
      <c r="Q84" s="27">
        <f>VLOOKUP(B84,'Data yoy'!$A:$AT,MATCH($Q$1,'Data yoy'!$A$1:$AT$1,),)</f>
        <v>3.2473995599999999</v>
      </c>
      <c r="R84" s="27">
        <f>VLOOKUP(B84,'Data yoy'!$A:$AT,MATCH($R$1,'Data yoy'!$A$1:$AT$1,),)</f>
        <v>3.7587097109999998</v>
      </c>
      <c r="S84" s="27">
        <f>VLOOKUP(B84,'Data yoy'!$A:$AT,MATCH($S$1,'Data yoy'!$A$1:$AT$1,),)</f>
        <v>3.0235219390000001</v>
      </c>
      <c r="T84" s="27">
        <f>VLOOKUP(B84,'Data yoy'!$A:$AT,MATCH($T$1,'Data yoy'!$A$1:$AT$1,),)</f>
        <v>1.442515663</v>
      </c>
      <c r="U84" s="27">
        <f>VLOOKUP(B84,'Data yoy'!$A:$AT,MATCH($U$1,'Data yoy'!$A$1:$AT$1,),)</f>
        <v>1.4365979499999999</v>
      </c>
      <c r="V84" s="27">
        <f>VLOOKUP(B84,'Data yoy'!$A:$AT,MATCH($V$1,'Data yoy'!$A$1:$AT$1,),)</f>
        <v>12.477822402999999</v>
      </c>
      <c r="W84" s="27">
        <f>VLOOKUP(B84,'Data yoy'!$A:$AT,MATCH($W$1,'Data yoy'!$A$1:$AT$1,),)</f>
        <v>5.5035136979999999</v>
      </c>
      <c r="X84" s="27">
        <f>VLOOKUP(B84,'Data yoy'!$A:$AT,MATCH($X$1,'Data yoy'!$A$1:$AT$1,),)</f>
        <v>2.6817571459999998</v>
      </c>
      <c r="Y84" s="27">
        <f>VLOOKUP(B84,'Data yoy'!$A:$AT,MATCH($Y$1,'Data yoy'!$A$1:$AT$1,),)</f>
        <v>5.5583167470000001</v>
      </c>
      <c r="Z84" s="27">
        <f>VLOOKUP(B84,'Data yoy'!$A:$AU,MATCH($Z$1,'Data yoy'!$A$1:$AU$1,),)</f>
        <v>-2.824371588</v>
      </c>
      <c r="AA84" s="27">
        <f>VLOOKUP(B84,'Data yoy'!$A:$AU,MATCH($AA$1,'Data yoy'!$A$1:$AU$1,),)</f>
        <v>3.6739123610000002</v>
      </c>
      <c r="AC84" s="28" t="str">
        <f t="shared" si="16"/>
        <v>2018-Q2</v>
      </c>
      <c r="AD84" s="29">
        <f t="shared" si="14"/>
        <v>1.235354098</v>
      </c>
      <c r="AE84" s="29">
        <f t="shared" si="15"/>
        <v>2.1596333570000001</v>
      </c>
      <c r="AF84" s="29">
        <f t="shared" si="13"/>
        <v>-0.92427925900000019</v>
      </c>
    </row>
    <row r="85" spans="2:32" s="1" customFormat="1" x14ac:dyDescent="0.2">
      <c r="B85" s="26" t="s">
        <v>334</v>
      </c>
      <c r="C85" s="27">
        <f>VLOOKUP(B85,'Data yoy'!$A:$AT,MATCH($C$1,'Data yoy'!$A$1:$AT$1,),)</f>
        <v>3.0528859119999998</v>
      </c>
      <c r="D85" s="27">
        <f>VLOOKUP(B85,'Data yoy'!$A:$AT,MATCH($D$1,'Data yoy'!$A$1:$AT$1,),)</f>
        <v>6.7</v>
      </c>
      <c r="E85" s="27">
        <f>VLOOKUP(B85,'Data yoy'!$A:$AT,MATCH($E$1,'Data yoy'!$A$1:$AT$1,),)</f>
        <v>1.5314291499999999</v>
      </c>
      <c r="F85" s="27">
        <f>VLOOKUP(B85,'Data yoy'!$A:$AT,MATCH($F$1,'Data yoy'!$A$1:$AT$1,),)</f>
        <v>-0.23653178799999999</v>
      </c>
      <c r="G85" s="27">
        <f>VLOOKUP(B85,'Data yoy'!$A:$AT,MATCH($G$1,'Data yoy'!$A$1:$AT$1,),)</f>
        <v>0.50217442300000004</v>
      </c>
      <c r="H85" s="27">
        <f>VLOOKUP(B85,'Data yoy'!$A:$AT,MATCH($H$1,'Data yoy'!$A$1:$AT$1,),)</f>
        <v>1.660619617</v>
      </c>
      <c r="I85" s="27">
        <f>VLOOKUP(B85,'Data yoy'!$A:$AT,MATCH($I$1,'Data yoy'!$A$1:$AT$1,),)</f>
        <v>1.409817007</v>
      </c>
      <c r="J85" s="27">
        <f>VLOOKUP(B85,'Data yoy'!$A:$AT,MATCH($J$1,'Data yoy'!$A$1:$AT$1,),)</f>
        <v>0.62868505399999997</v>
      </c>
      <c r="K85" s="27">
        <f>VLOOKUP(B85,'Data yoy'!$A:$AT,MATCH($K$1,'Data yoy'!$A$1:$AT$1,),)</f>
        <v>2.123714933</v>
      </c>
      <c r="L85" s="27">
        <f>VLOOKUP(B85,'Data yoy'!$A:$AT,MATCH($L$1,'Data yoy'!$A$1:$AT$1,),)</f>
        <v>0.89516690300000001</v>
      </c>
      <c r="M85" s="27">
        <f>VLOOKUP(B85,'Data yoy'!$A:$AT,MATCH($M$1,'Data yoy'!$A$1:$AT$1,),)</f>
        <v>2.8140875379999999</v>
      </c>
      <c r="N85" s="27">
        <f>VLOOKUP(B85,'Data yoy'!$A:$AT,MATCH($N$1,'Data yoy'!$A$1:$AT$1,),)</f>
        <v>2.1892958509999998</v>
      </c>
      <c r="O85" s="27">
        <f>VLOOKUP(B85,'Data yoy'!$A:$AT,MATCH($O$1,'Data yoy'!$J$1:$AT$1,),)</f>
        <v>3.9240679690000002</v>
      </c>
      <c r="P85" s="27">
        <f>VLOOKUP(B85,'Data yoy'!$A:$AT,MATCH($P$1,'Data yoy'!$A$1:$AT$1,),)</f>
        <v>2.5300520660000001</v>
      </c>
      <c r="Q85" s="27">
        <f>VLOOKUP(B85,'Data yoy'!$A:$AT,MATCH($Q$1,'Data yoy'!$A$1:$AT$1,),)</f>
        <v>2.7025256400000002</v>
      </c>
      <c r="R85" s="27">
        <f>VLOOKUP(B85,'Data yoy'!$A:$AT,MATCH($R$1,'Data yoy'!$A$1:$AT$1,),)</f>
        <v>2.8892656269999999</v>
      </c>
      <c r="S85" s="27">
        <f>VLOOKUP(B85,'Data yoy'!$A:$AT,MATCH($S$1,'Data yoy'!$A$1:$AT$1,),)</f>
        <v>2.2176325270000001</v>
      </c>
      <c r="T85" s="27">
        <f>VLOOKUP(B85,'Data yoy'!$A:$AT,MATCH($T$1,'Data yoy'!$A$1:$AT$1,),)</f>
        <v>2.008459803</v>
      </c>
      <c r="U85" s="27">
        <f>VLOOKUP(B85,'Data yoy'!$A:$AT,MATCH($U$1,'Data yoy'!$A$1:$AT$1,),)</f>
        <v>0.70751309500000004</v>
      </c>
      <c r="V85" s="27">
        <f>VLOOKUP(B85,'Data yoy'!$A:$AT,MATCH($V$1,'Data yoy'!$A$1:$AT$1,),)</f>
        <v>8.1199031730000009</v>
      </c>
      <c r="W85" s="27">
        <f>VLOOKUP(B85,'Data yoy'!$A:$AT,MATCH($W$1,'Data yoy'!$A$1:$AT$1,),)</f>
        <v>2.2750231799999998</v>
      </c>
      <c r="X85" s="27">
        <f>VLOOKUP(B85,'Data yoy'!$A:$AT,MATCH($X$1,'Data yoy'!$A$1:$AT$1,),)</f>
        <v>2.7294056680000001</v>
      </c>
      <c r="Y85" s="27">
        <f>VLOOKUP(B85,'Data yoy'!$A:$AT,MATCH($Y$1,'Data yoy'!$A$1:$AT$1,),)</f>
        <v>5.865428885</v>
      </c>
      <c r="Z85" s="27">
        <f>VLOOKUP(B85,'Data yoy'!$A:$AU,MATCH($Z$1,'Data yoy'!$A$1:$AU$1,),)</f>
        <v>-4.0986248520000004</v>
      </c>
      <c r="AA85" s="27">
        <f>VLOOKUP(B85,'Data yoy'!$A:$AU,MATCH($AA$1,'Data yoy'!$A$1:$AU$1,),)</f>
        <v>3.0944582440000001</v>
      </c>
      <c r="AC85" s="28" t="str">
        <f t="shared" si="16"/>
        <v>2018-Q3</v>
      </c>
      <c r="AD85" s="29">
        <f t="shared" si="14"/>
        <v>1.409817007</v>
      </c>
      <c r="AE85" s="29">
        <f t="shared" si="15"/>
        <v>1.5314291499999999</v>
      </c>
      <c r="AF85" s="29">
        <f>AD85-AE85</f>
        <v>-0.12161214299999989</v>
      </c>
    </row>
    <row r="86" spans="2:32" s="1" customFormat="1" x14ac:dyDescent="0.2">
      <c r="B86" s="26" t="s">
        <v>335</v>
      </c>
      <c r="C86" s="27">
        <f>VLOOKUP(B86,'Data yoy'!$A:$AT,MATCH($C$1,'Data yoy'!$A$1:$AT$1,),)</f>
        <v>2.3206170949999998</v>
      </c>
      <c r="D86" s="27">
        <f>VLOOKUP(B86,'Data yoy'!$A:$AT,MATCH($D$1,'Data yoy'!$A$1:$AT$1,),)</f>
        <v>6.5</v>
      </c>
      <c r="E86" s="27">
        <f>VLOOKUP(B86,'Data yoy'!$A:$AT,MATCH($E$1,'Data yoy'!$A$1:$AT$1,),)</f>
        <v>1.1881211780000001</v>
      </c>
      <c r="F86" s="27">
        <f>VLOOKUP(B86,'Data yoy'!$A:$AT,MATCH($F$1,'Data yoy'!$A$1:$AT$1,),)</f>
        <v>-0.20421679600000001</v>
      </c>
      <c r="G86" s="27">
        <f>VLOOKUP(B86,'Data yoy'!$A:$AT,MATCH($G$1,'Data yoy'!$A$1:$AT$1,),)</f>
        <v>8.4593111999999998E-2</v>
      </c>
      <c r="H86" s="27">
        <f>VLOOKUP(B86,'Data yoy'!$A:$AT,MATCH($H$1,'Data yoy'!$A$1:$AT$1,),)</f>
        <v>1.485319941</v>
      </c>
      <c r="I86" s="27">
        <f>VLOOKUP(B86,'Data yoy'!$A:$AT,MATCH($I$1,'Data yoy'!$A$1:$AT$1,),)</f>
        <v>1.2195878790000001</v>
      </c>
      <c r="J86" s="27">
        <f>VLOOKUP(B86,'Data yoy'!$A:$AT,MATCH($J$1,'Data yoy'!$A$1:$AT$1,),)</f>
        <v>0.28300545599999999</v>
      </c>
      <c r="K86" s="27">
        <f>VLOOKUP(B86,'Data yoy'!$A:$AT,MATCH($K$1,'Data yoy'!$A$1:$AT$1,),)</f>
        <v>2.1738904570000002</v>
      </c>
      <c r="L86" s="27">
        <f>VLOOKUP(B86,'Data yoy'!$A:$AT,MATCH($L$1,'Data yoy'!$A$1:$AT$1,),)</f>
        <v>2.104721885</v>
      </c>
      <c r="M86" s="27">
        <f>VLOOKUP(B86,'Data yoy'!$A:$AT,MATCH($M$1,'Data yoy'!$A$1:$AT$1,),)</f>
        <v>1.228718851</v>
      </c>
      <c r="N86" s="27">
        <f>VLOOKUP(B86,'Data yoy'!$A:$AT,MATCH($N$1,'Data yoy'!$A$1:$AT$1,),)</f>
        <v>2.8460631109999999</v>
      </c>
      <c r="O86" s="27">
        <f>VLOOKUP(B86,'Data yoy'!$A:$AT,MATCH($O$1,'Data yoy'!$J$1:$AT$1,),)</f>
        <v>3.3020824150000001</v>
      </c>
      <c r="P86" s="27">
        <f>VLOOKUP(B86,'Data yoy'!$A:$AT,MATCH($P$1,'Data yoy'!$A$1:$AT$1,),)</f>
        <v>2.283662955</v>
      </c>
      <c r="Q86" s="27">
        <f>VLOOKUP(B86,'Data yoy'!$A:$AT,MATCH($Q$1,'Data yoy'!$A$1:$AT$1,),)</f>
        <v>2.3742910990000001</v>
      </c>
      <c r="R86" s="27">
        <f>VLOOKUP(B86,'Data yoy'!$A:$AT,MATCH($R$1,'Data yoy'!$A$1:$AT$1,),)</f>
        <v>1.9990070129999999</v>
      </c>
      <c r="S86" s="27">
        <f>VLOOKUP(B86,'Data yoy'!$A:$AT,MATCH($S$1,'Data yoy'!$A$1:$AT$1,),)</f>
        <v>3.3324700969999999</v>
      </c>
      <c r="T86" s="27">
        <f>VLOOKUP(B86,'Data yoy'!$A:$AT,MATCH($T$1,'Data yoy'!$A$1:$AT$1,),)</f>
        <v>1.2263212400000001</v>
      </c>
      <c r="U86" s="27">
        <f>VLOOKUP(B86,'Data yoy'!$A:$AT,MATCH($U$1,'Data yoy'!$A$1:$AT$1,),)</f>
        <v>1.6308242959999999</v>
      </c>
      <c r="V86" s="27">
        <f>VLOOKUP(B86,'Data yoy'!$A:$AT,MATCH($V$1,'Data yoy'!$A$1:$AT$1,),)</f>
        <v>3.9370201740000002</v>
      </c>
      <c r="W86" s="27">
        <f>VLOOKUP(B86,'Data yoy'!$A:$AT,MATCH($W$1,'Data yoy'!$A$1:$AT$1,),)</f>
        <v>-2.61596129</v>
      </c>
      <c r="X86" s="27">
        <f>VLOOKUP(B86,'Data yoy'!$A:$AT,MATCH($X$1,'Data yoy'!$A$1:$AT$1,),)</f>
        <v>2.558305925</v>
      </c>
      <c r="Y86" s="27">
        <f>VLOOKUP(B86,'Data yoy'!$A:$AT,MATCH($Y$1,'Data yoy'!$A$1:$AT$1,),)</f>
        <v>4.9290773569999997</v>
      </c>
      <c r="Z86" s="27">
        <f>VLOOKUP(B86,'Data yoy'!$A:$AU,MATCH($Z$1,'Data yoy'!$A$1:$AU$1,),)</f>
        <v>-6.3894602279999999</v>
      </c>
      <c r="AA86" s="27">
        <f>VLOOKUP(B86,'Data yoy'!$A:$AU,MATCH($AA$1,'Data yoy'!$A$1:$AU$1,),)</f>
        <v>3.3595424880000002</v>
      </c>
      <c r="AC86" s="28" t="str">
        <f t="shared" ref="AC86:AC88" si="17">B86</f>
        <v>2018-Q4</v>
      </c>
      <c r="AD86" s="29">
        <f t="shared" ref="AD86:AD88" si="18">(VLOOKUP(AC86,B:Y,MATCH($AE$6,$B$1:$Y$1,),))</f>
        <v>1.2195878790000001</v>
      </c>
      <c r="AE86" s="29">
        <f t="shared" ref="AE86:AE88" si="19">(VLOOKUP(AC86,B:Y,MATCH($AE$7,$B$1:$Y$1,),))</f>
        <v>1.1881211780000001</v>
      </c>
      <c r="AF86" s="29">
        <f t="shared" ref="AF86:AF88" si="20">AD86-AE86</f>
        <v>3.1466701000000041E-2</v>
      </c>
    </row>
    <row r="87" spans="2:32" s="1" customFormat="1" x14ac:dyDescent="0.2">
      <c r="B87" s="26" t="s">
        <v>336</v>
      </c>
      <c r="C87" s="27">
        <f>VLOOKUP(B87,'Data yoy'!$A:$AT,MATCH($C$1,'Data yoy'!$A$1:$AT$1,),)</f>
        <v>2.1530015140000001</v>
      </c>
      <c r="D87" s="27">
        <f>VLOOKUP(B87,'Data yoy'!$A:$AT,MATCH($D$1,'Data yoy'!$A$1:$AT$1,),)</f>
        <v>6.3</v>
      </c>
      <c r="E87" s="27">
        <f>VLOOKUP(B87,'Data yoy'!$A:$AT,MATCH($E$1,'Data yoy'!$A$1:$AT$1,),)</f>
        <v>1.7965890200000001</v>
      </c>
      <c r="F87" s="27">
        <f>VLOOKUP(B87,'Data yoy'!$A:$AT,MATCH($F$1,'Data yoy'!$A$1:$AT$1,),)</f>
        <v>0.110608733</v>
      </c>
      <c r="G87" s="27">
        <f>VLOOKUP(B87,'Data yoy'!$A:$AT,MATCH($G$1,'Data yoy'!$A$1:$AT$1,),)</f>
        <v>1.578883507</v>
      </c>
      <c r="H87" s="27">
        <f>VLOOKUP(B87,'Data yoy'!$A:$AT,MATCH($H$1,'Data yoy'!$A$1:$AT$1,),)</f>
        <v>2.123322098</v>
      </c>
      <c r="I87" s="27">
        <f>VLOOKUP(B87,'Data yoy'!$A:$AT,MATCH($I$1,'Data yoy'!$A$1:$AT$1,),)</f>
        <v>1.708500594</v>
      </c>
      <c r="J87" s="27">
        <f>VLOOKUP(B87,'Data yoy'!$A:$AT,MATCH($J$1,'Data yoy'!$A$1:$AT$1,),)</f>
        <v>0.31768957399999997</v>
      </c>
      <c r="K87" s="27">
        <f>VLOOKUP(B87,'Data yoy'!$A:$AT,MATCH($K$1,'Data yoy'!$A$1:$AT$1,),)</f>
        <v>2.401358009</v>
      </c>
      <c r="L87" s="27">
        <f>VLOOKUP(B87,'Data yoy'!$A:$AT,MATCH($L$1,'Data yoy'!$A$1:$AT$1,),)</f>
        <v>2.351940946</v>
      </c>
      <c r="M87" s="27">
        <f>VLOOKUP(B87,'Data yoy'!$A:$AT,MATCH($M$1,'Data yoy'!$A$1:$AT$1,),)</f>
        <v>0.25746643200000002</v>
      </c>
      <c r="N87" s="27">
        <f>VLOOKUP(B87,'Data yoy'!$A:$AT,MATCH($N$1,'Data yoy'!$A$1:$AT$1,),)</f>
        <v>1.431857369</v>
      </c>
      <c r="O87" s="27">
        <f>VLOOKUP(B87,'Data yoy'!$A:$AT,MATCH($O$1,'Data yoy'!$J$1:$AT$1,),)</f>
        <v>3.4370824259999999</v>
      </c>
      <c r="P87" s="27">
        <f>VLOOKUP(B87,'Data yoy'!$A:$AT,MATCH($P$1,'Data yoy'!$A$1:$AT$1,),)</f>
        <v>1.705611829</v>
      </c>
      <c r="Q87" s="27">
        <f>VLOOKUP(B87,'Data yoy'!$A:$AT,MATCH($Q$1,'Data yoy'!$A$1:$AT$1,),)</f>
        <v>1.930493877</v>
      </c>
      <c r="R87" s="27">
        <f>VLOOKUP(B87,'Data yoy'!$A:$AT,MATCH($R$1,'Data yoy'!$A$1:$AT$1,),)</f>
        <v>1.182003181</v>
      </c>
      <c r="S87" s="27">
        <f>VLOOKUP(B87,'Data yoy'!$A:$AT,MATCH($S$1,'Data yoy'!$A$1:$AT$1,),)</f>
        <v>1.955154074</v>
      </c>
      <c r="T87" s="27">
        <f>VLOOKUP(B87,'Data yoy'!$A:$AT,MATCH($T$1,'Data yoy'!$A$1:$AT$1,),)</f>
        <v>1.3940211600000001</v>
      </c>
      <c r="U87" s="27">
        <f>VLOOKUP(B87,'Data yoy'!$A:$AT,MATCH($U$1,'Data yoy'!$A$1:$AT$1,),)</f>
        <v>1.835358679</v>
      </c>
      <c r="V87" s="27">
        <f>VLOOKUP(B87,'Data yoy'!$A:$AT,MATCH($V$1,'Data yoy'!$A$1:$AT$1,),)</f>
        <v>5.1840661849999998</v>
      </c>
      <c r="W87" s="27">
        <f>VLOOKUP(B87,'Data yoy'!$A:$AT,MATCH($W$1,'Data yoy'!$A$1:$AT$1,),)</f>
        <v>-2.3334229209999999</v>
      </c>
      <c r="X87" s="27">
        <f>VLOOKUP(B87,'Data yoy'!$A:$AT,MATCH($X$1,'Data yoy'!$A$1:$AT$1,),)</f>
        <v>2.967140332</v>
      </c>
      <c r="Y87" s="27">
        <f>VLOOKUP(B87,'Data yoy'!$A:$AT,MATCH($Y$1,'Data yoy'!$A$1:$AT$1,),)</f>
        <v>5.5516952149999996</v>
      </c>
      <c r="Z87" s="27">
        <f>VLOOKUP(B87,'Data yoy'!$A:$AU,MATCH($Z$1,'Data yoy'!$A$1:$AU$1,),)</f>
        <v>-6.0528054490000001</v>
      </c>
      <c r="AA87" s="27">
        <f>VLOOKUP(B87,'Data yoy'!$A:$AU,MATCH($AA$1,'Data yoy'!$A$1:$AU$1,),)</f>
        <v>2.9489543770000002</v>
      </c>
      <c r="AC87" s="28" t="str">
        <f t="shared" si="17"/>
        <v>2019-Q1</v>
      </c>
      <c r="AD87" s="29">
        <f t="shared" si="18"/>
        <v>1.708500594</v>
      </c>
      <c r="AE87" s="29">
        <f t="shared" si="19"/>
        <v>1.7965890200000001</v>
      </c>
      <c r="AF87" s="29">
        <f t="shared" si="20"/>
        <v>-8.8088426000000108E-2</v>
      </c>
    </row>
    <row r="88" spans="2:32" s="1" customFormat="1" x14ac:dyDescent="0.2">
      <c r="B88" s="26" t="s">
        <v>337</v>
      </c>
      <c r="C88" s="27">
        <f>VLOOKUP(B88,'Data yoy'!$A:$AT,MATCH($C$1,'Data yoy'!$A$1:$AT$1,),)</f>
        <v>2.1114788359999999</v>
      </c>
      <c r="D88" s="27">
        <f>VLOOKUP(B88,'Data yoy'!$A:$AT,MATCH($D$1,'Data yoy'!$A$1:$AT$1,),)</f>
        <v>6</v>
      </c>
      <c r="E88" s="27">
        <f>VLOOKUP(B88,'Data yoy'!$A:$AT,MATCH($E$1,'Data yoy'!$A$1:$AT$1,),)</f>
        <v>1.4744851489999999</v>
      </c>
      <c r="F88" s="27">
        <f>VLOOKUP(B88,'Data yoy'!$A:$AT,MATCH($F$1,'Data yoy'!$A$1:$AT$1,),)</f>
        <v>0.26926245199999999</v>
      </c>
      <c r="G88" s="27">
        <f>VLOOKUP(B88,'Data yoy'!$A:$AT,MATCH($G$1,'Data yoy'!$A$1:$AT$1,),)</f>
        <v>0.51867434899999998</v>
      </c>
      <c r="H88" s="27">
        <f>VLOOKUP(B88,'Data yoy'!$A:$AT,MATCH($H$1,'Data yoy'!$A$1:$AT$1,),)</f>
        <v>2.2835999660000001</v>
      </c>
      <c r="I88" s="27">
        <f>VLOOKUP(B88,'Data yoy'!$A:$AT,MATCH($I$1,'Data yoy'!$A$1:$AT$1,),)</f>
        <v>1.4610401770000001</v>
      </c>
      <c r="J88" s="27">
        <f>VLOOKUP(B88,'Data yoy'!$A:$AT,MATCH($J$1,'Data yoy'!$A$1:$AT$1,),)</f>
        <v>0.40879676300000001</v>
      </c>
      <c r="K88" s="27">
        <f>VLOOKUP(B88,'Data yoy'!$A:$AT,MATCH($K$1,'Data yoy'!$A$1:$AT$1,),)</f>
        <v>2.1767540780000001</v>
      </c>
      <c r="L88" s="27">
        <f>VLOOKUP(B88,'Data yoy'!$A:$AT,MATCH($L$1,'Data yoy'!$A$1:$AT$1,),)</f>
        <v>1.6433966659999999</v>
      </c>
      <c r="M88" s="27">
        <f>VLOOKUP(B88,'Data yoy'!$A:$AT,MATCH($M$1,'Data yoy'!$A$1:$AT$1,),)</f>
        <v>3.6305852E-2</v>
      </c>
      <c r="N88" s="27">
        <f>VLOOKUP(B88,'Data yoy'!$A:$AT,MATCH($N$1,'Data yoy'!$A$1:$AT$1,),)</f>
        <v>3.150957043</v>
      </c>
      <c r="O88" s="27">
        <f>VLOOKUP(B88,'Data yoy'!$A:$AT,MATCH($O$1,'Data yoy'!$J$1:$AT$1,),)</f>
        <v>2.7019162049999998</v>
      </c>
      <c r="P88" s="27">
        <f>VLOOKUP(B88,'Data yoy'!$A:$AT,MATCH($P$1,'Data yoy'!$A$1:$AT$1,),)</f>
        <v>2.1321025360000001</v>
      </c>
      <c r="Q88" s="27">
        <f>VLOOKUP(B88,'Data yoy'!$A:$AT,MATCH($Q$1,'Data yoy'!$A$1:$AT$1,),)</f>
        <v>1.6497929229999999</v>
      </c>
      <c r="R88" s="27">
        <f>VLOOKUP(B88,'Data yoy'!$A:$AT,MATCH($R$1,'Data yoy'!$A$1:$AT$1,),)</f>
        <v>0.65615650400000003</v>
      </c>
      <c r="S88" s="27">
        <f>VLOOKUP(B88,'Data yoy'!$A:$AT,MATCH($S$1,'Data yoy'!$A$1:$AT$1,),)</f>
        <v>2.3729841270000001</v>
      </c>
      <c r="T88" s="27">
        <f>VLOOKUP(B88,'Data yoy'!$A:$AT,MATCH($T$1,'Data yoy'!$A$1:$AT$1,),)</f>
        <v>1.7713994710000001</v>
      </c>
      <c r="U88" s="27">
        <f>VLOOKUP(B88,'Data yoy'!$A:$AT,MATCH($U$1,'Data yoy'!$A$1:$AT$1,),)</f>
        <v>2.2572106509999998</v>
      </c>
      <c r="V88" s="27">
        <f>VLOOKUP(B88,'Data yoy'!$A:$AT,MATCH($V$1,'Data yoy'!$A$1:$AT$1,),)</f>
        <v>4.444061306</v>
      </c>
      <c r="W88" s="27">
        <f>VLOOKUP(B88,'Data yoy'!$A:$AT,MATCH($W$1,'Data yoy'!$A$1:$AT$1,),)</f>
        <v>-0.51483434100000003</v>
      </c>
      <c r="X88" s="27">
        <f>VLOOKUP(B88,'Data yoy'!$A:$AT,MATCH($X$1,'Data yoy'!$A$1:$AT$1,),)</f>
        <v>3.0195256069999998</v>
      </c>
      <c r="Y88" s="27">
        <f>VLOOKUP(B88,'Data yoy'!$A:$AT,MATCH($Y$1,'Data yoy'!$A$1:$AT$1,),)</f>
        <v>4.8759879809999997</v>
      </c>
      <c r="Z88" s="27">
        <f>VLOOKUP(B88,'Data yoy'!$A:$AU,MATCH($Z$1,'Data yoy'!$A$1:$AU$1,),)</f>
        <v>-1.004575043</v>
      </c>
      <c r="AA88" s="27">
        <f>VLOOKUP(B88,'Data yoy'!$A:$AU,MATCH($AA$1,'Data yoy'!$A$1:$AU$1,),)</f>
        <v>2.2226160689999999</v>
      </c>
      <c r="AC88" s="28" t="str">
        <f t="shared" si="17"/>
        <v>2019-Q2</v>
      </c>
      <c r="AD88" s="29">
        <f t="shared" si="18"/>
        <v>1.4610401770000001</v>
      </c>
      <c r="AE88" s="29">
        <f t="shared" si="19"/>
        <v>1.4744851489999999</v>
      </c>
      <c r="AF88" s="29">
        <f t="shared" si="20"/>
        <v>-1.3444971999999833E-2</v>
      </c>
    </row>
    <row r="89" spans="2:32" s="1" customFormat="1" x14ac:dyDescent="0.2">
      <c r="B89" s="26" t="s">
        <v>338</v>
      </c>
      <c r="C89" s="27">
        <f>VLOOKUP(B89,'Data yoy'!$A:$AT,MATCH($C$1,'Data yoy'!$A$1:$AT$1,),)</f>
        <v>2.3183259980000002</v>
      </c>
      <c r="D89" s="27">
        <f>VLOOKUP(B89,'Data yoy'!$A:$AT,MATCH($D$1,'Data yoy'!$A$1:$AT$1,),)</f>
        <v>5.9</v>
      </c>
      <c r="E89" s="27">
        <f>VLOOKUP(B89,'Data yoy'!$A:$AT,MATCH($E$1,'Data yoy'!$A$1:$AT$1,),)</f>
        <v>1.67984753</v>
      </c>
      <c r="F89" s="27">
        <f>VLOOKUP(B89,'Data yoy'!$A:$AT,MATCH($F$1,'Data yoy'!$A$1:$AT$1,),)</f>
        <v>1.0690094349999999</v>
      </c>
      <c r="G89" s="27">
        <f>VLOOKUP(B89,'Data yoy'!$A:$AT,MATCH($G$1,'Data yoy'!$A$1:$AT$1,),)</f>
        <v>1.359957007</v>
      </c>
      <c r="H89" s="27">
        <f>VLOOKUP(B89,'Data yoy'!$A:$AT,MATCH($H$1,'Data yoy'!$A$1:$AT$1,),)</f>
        <v>2.0055583060000002</v>
      </c>
      <c r="I89" s="27">
        <f>VLOOKUP(B89,'Data yoy'!$A:$AT,MATCH($I$1,'Data yoy'!$A$1:$AT$1,),)</f>
        <v>1.360998723</v>
      </c>
      <c r="J89" s="27">
        <f>VLOOKUP(B89,'Data yoy'!$A:$AT,MATCH($J$1,'Data yoy'!$A$1:$AT$1,),)</f>
        <v>0.526955854</v>
      </c>
      <c r="K89" s="27">
        <f>VLOOKUP(B89,'Data yoy'!$A:$AT,MATCH($K$1,'Data yoy'!$A$1:$AT$1,),)</f>
        <v>2.0358717460000002</v>
      </c>
      <c r="L89" s="27">
        <f>VLOOKUP(B89,'Data yoy'!$A:$AT,MATCH($L$1,'Data yoy'!$A$1:$AT$1,),)</f>
        <v>2.6993165380000002</v>
      </c>
      <c r="M89" s="27">
        <f>VLOOKUP(B89,'Data yoy'!$A:$AT,MATCH($M$1,'Data yoy'!$A$1:$AT$1,),)</f>
        <v>-0.1248073</v>
      </c>
      <c r="N89" s="27">
        <f>VLOOKUP(B89,'Data yoy'!$A:$AT,MATCH($N$1,'Data yoy'!$A$1:$AT$1,),)</f>
        <v>1.896150164</v>
      </c>
      <c r="O89" s="27">
        <f>VLOOKUP(B89,'Data yoy'!$A:$AT,MATCH($O$1,'Data yoy'!$J$1:$AT$1,),)</f>
        <v>1.9670546600000001</v>
      </c>
      <c r="P89" s="27">
        <f>VLOOKUP(B89,'Data yoy'!$A:$AT,MATCH($P$1,'Data yoy'!$A$1:$AT$1,),)</f>
        <v>1.896558628</v>
      </c>
      <c r="Q89" s="27">
        <f>VLOOKUP(B89,'Data yoy'!$A:$AT,MATCH($Q$1,'Data yoy'!$A$1:$AT$1,),)</f>
        <v>1.926025001</v>
      </c>
      <c r="R89" s="27">
        <f>VLOOKUP(B89,'Data yoy'!$A:$AT,MATCH($R$1,'Data yoy'!$A$1:$AT$1,),)</f>
        <v>1.4326688809999999</v>
      </c>
      <c r="S89" s="27">
        <f>VLOOKUP(B89,'Data yoy'!$A:$AT,MATCH($S$1,'Data yoy'!$A$1:$AT$1,),)</f>
        <v>2.0850006209999998</v>
      </c>
      <c r="T89" s="27">
        <f>VLOOKUP(B89,'Data yoy'!$A:$AT,MATCH($T$1,'Data yoy'!$A$1:$AT$1,),)</f>
        <v>0.88485577599999998</v>
      </c>
      <c r="U89" s="27">
        <f>VLOOKUP(B89,'Data yoy'!$A:$AT,MATCH($U$1,'Data yoy'!$A$1:$AT$1,),)</f>
        <v>1.566261471</v>
      </c>
      <c r="V89" s="27">
        <f>VLOOKUP(B89,'Data yoy'!$A:$AT,MATCH($V$1,'Data yoy'!$A$1:$AT$1,),)</f>
        <v>5.6435443420000002</v>
      </c>
      <c r="W89" s="27">
        <f>VLOOKUP(B89,'Data yoy'!$A:$AT,MATCH($W$1,'Data yoy'!$A$1:$AT$1,),)</f>
        <v>1.1442792260000001</v>
      </c>
      <c r="X89" s="27">
        <f>VLOOKUP(B89,'Data yoy'!$A:$AT,MATCH($X$1,'Data yoy'!$A$1:$AT$1,),)</f>
        <v>2.9550639950000002</v>
      </c>
      <c r="Y89" s="27">
        <f>VLOOKUP(B89,'Data yoy'!$A:$AT,MATCH($Y$1,'Data yoy'!$A$1:$AT$1,),)</f>
        <v>4.6061561150000001</v>
      </c>
      <c r="Z89" s="27">
        <f>VLOOKUP(B89,'Data yoy'!$A:$AU,MATCH($Z$1,'Data yoy'!$A$1:$AU$1,),)</f>
        <v>-0.25833235799999998</v>
      </c>
      <c r="AA89" s="27">
        <f>VLOOKUP(B89,'Data yoy'!$A:$AU,MATCH($AA$1,'Data yoy'!$A$1:$AU$1,),)</f>
        <v>2.7120904530000001</v>
      </c>
      <c r="AC89" s="28" t="str">
        <f t="shared" ref="AC89:AC90" si="21">B89</f>
        <v>2019-Q3</v>
      </c>
      <c r="AD89" s="29">
        <f t="shared" ref="AD89:AD90" si="22">(VLOOKUP(AC89,B:Y,MATCH($AE$6,$B$1:$Y$1,),))</f>
        <v>1.360998723</v>
      </c>
      <c r="AE89" s="29">
        <f t="shared" ref="AE89:AE90" si="23">(VLOOKUP(AC89,B:Y,MATCH($AE$7,$B$1:$Y$1,),))</f>
        <v>1.67984753</v>
      </c>
      <c r="AF89" s="29">
        <f t="shared" ref="AF89:AF90" si="24">AD89-AE89</f>
        <v>-0.31884880699999996</v>
      </c>
    </row>
    <row r="90" spans="2:32" s="1" customFormat="1" x14ac:dyDescent="0.2">
      <c r="B90" s="26" t="s">
        <v>581</v>
      </c>
      <c r="C90" s="27">
        <f>VLOOKUP(B90,'Data yoy'!$A:$AT,MATCH($C$1,'Data yoy'!$A$1:$AT$1,),)</f>
        <v>2.5694235349999999</v>
      </c>
      <c r="D90" s="27">
        <f>VLOOKUP(B90,'Data yoy'!$A:$AT,MATCH($D$1,'Data yoy'!$A$1:$AT$1,),)</f>
        <v>5.8</v>
      </c>
      <c r="E90" s="27">
        <f>VLOOKUP(B90,'Data yoy'!$A:$AT,MATCH($E$1,'Data yoy'!$A$1:$AT$1,),)</f>
        <v>1.1216362719999999</v>
      </c>
      <c r="F90" s="27">
        <f>VLOOKUP(B90,'Data yoy'!$A:$AT,MATCH($F$1,'Data yoy'!$A$1:$AT$1,),)</f>
        <v>-1.327094958</v>
      </c>
      <c r="G90" s="27">
        <f>VLOOKUP(B90,'Data yoy'!$A:$AT,MATCH($G$1,'Data yoy'!$A$1:$AT$1,),)</f>
        <v>0.89453405200000002</v>
      </c>
      <c r="H90" s="27">
        <f>VLOOKUP(B90,'Data yoy'!$A:$AT,MATCH($H$1,'Data yoy'!$A$1:$AT$1,),)</f>
        <v>0.94829661700000001</v>
      </c>
      <c r="I90" s="27">
        <f>VLOOKUP(B90,'Data yoy'!$A:$AT,MATCH($I$1,'Data yoy'!$A$1:$AT$1,),)</f>
        <v>1.2097238690000001</v>
      </c>
      <c r="J90" s="27">
        <f>VLOOKUP(B90,'Data yoy'!$A:$AT,MATCH($J$1,'Data yoy'!$A$1:$AT$1,),)</f>
        <v>-0.115731933</v>
      </c>
      <c r="K90" s="27">
        <f>VLOOKUP(B90,'Data yoy'!$A:$AT,MATCH($K$1,'Data yoy'!$A$1:$AT$1,),)</f>
        <v>1.7334300490000001</v>
      </c>
      <c r="L90" s="27">
        <f>VLOOKUP(B90,'Data yoy'!$A:$AT,MATCH($L$1,'Data yoy'!$A$1:$AT$1,),)</f>
        <v>1.42765414</v>
      </c>
      <c r="M90" s="27">
        <f>VLOOKUP(B90,'Data yoy'!$A:$AT,MATCH($M$1,'Data yoy'!$A$1:$AT$1,),)</f>
        <v>-0.85929705499999998</v>
      </c>
      <c r="N90" s="27">
        <f>VLOOKUP(B90,'Data yoy'!$A:$AT,MATCH($N$1,'Data yoy'!$A$1:$AT$1,),)</f>
        <v>0.76560195099999995</v>
      </c>
      <c r="O90" s="27">
        <f>VLOOKUP(B90,'Data yoy'!$A:$AT,MATCH($O$1,'Data yoy'!$J$1:$AT$1,),)</f>
        <v>1.9634273200000001</v>
      </c>
      <c r="P90" s="27">
        <f>VLOOKUP(B90,'Data yoy'!$A:$AT,MATCH($P$1,'Data yoy'!$A$1:$AT$1,),)</f>
        <v>1.711588487</v>
      </c>
      <c r="Q90" s="27">
        <f>VLOOKUP(B90,'Data yoy'!$A:$AT,MATCH($Q$1,'Data yoy'!$A$1:$AT$1,),)</f>
        <v>2.1384056170000001</v>
      </c>
      <c r="R90" s="27">
        <f>VLOOKUP(B90,'Data yoy'!$A:$AT,MATCH($R$1,'Data yoy'!$A$1:$AT$1,),)</f>
        <v>1.7093228620000001</v>
      </c>
      <c r="S90" s="27">
        <f>VLOOKUP(B90,'Data yoy'!$A:$AT,MATCH($S$1,'Data yoy'!$A$1:$AT$1,),)</f>
        <v>2.557298587</v>
      </c>
      <c r="T90" s="27">
        <f>VLOOKUP(B90,'Data yoy'!$A:$AT,MATCH($T$1,'Data yoy'!$A$1:$AT$1,),)</f>
        <v>1.5830488359999999</v>
      </c>
      <c r="U90" s="27">
        <f>VLOOKUP(B90,'Data yoy'!$A:$AT,MATCH($U$1,'Data yoy'!$A$1:$AT$1,),)</f>
        <v>0.95674453800000003</v>
      </c>
      <c r="V90" s="27">
        <f>VLOOKUP(B90,'Data yoy'!$A:$AT,MATCH($V$1,'Data yoy'!$A$1:$AT$1,),)</f>
        <v>5.1568334739999999</v>
      </c>
      <c r="W90" s="27">
        <f>VLOOKUP(B90,'Data yoy'!$A:$AT,MATCH($W$1,'Data yoy'!$A$1:$AT$1,),)</f>
        <v>5.6839073600000001</v>
      </c>
      <c r="X90" s="27">
        <f>VLOOKUP(B90,'Data yoy'!$A:$AT,MATCH($X$1,'Data yoy'!$A$1:$AT$1,),)</f>
        <v>2.8846397640000001</v>
      </c>
      <c r="Y90" s="27">
        <f>VLOOKUP(B90,'Data yoy'!$A:$AT,MATCH($Y$1,'Data yoy'!$A$1:$AT$1,),)</f>
        <v>4.0223702250000004</v>
      </c>
      <c r="Z90" s="27">
        <f>VLOOKUP(B90,'Data yoy'!$A:$AU,MATCH($Z$1,'Data yoy'!$A$1:$AU$1,),)</f>
        <v>-0.56788552999999997</v>
      </c>
      <c r="AA90" s="27">
        <f>VLOOKUP(B90,'Data yoy'!$A:$AU,MATCH($AA$1,'Data yoy'!$A$1:$AU$1,),)</f>
        <v>1.843407571</v>
      </c>
      <c r="AB90" s="82"/>
      <c r="AC90" s="28" t="str">
        <f t="shared" si="21"/>
        <v>2019-Q4</v>
      </c>
      <c r="AD90" s="29">
        <f t="shared" si="22"/>
        <v>1.2097238690000001</v>
      </c>
      <c r="AE90" s="29">
        <f t="shared" si="23"/>
        <v>1.1216362719999999</v>
      </c>
      <c r="AF90" s="29">
        <f t="shared" si="24"/>
        <v>8.8087597000000128E-2</v>
      </c>
    </row>
    <row r="91" spans="2:32" s="1" customFormat="1" x14ac:dyDescent="0.2">
      <c r="B91" s="26" t="s">
        <v>582</v>
      </c>
      <c r="C91" s="27">
        <f>VLOOKUP(B91,'Data yoy'!$A:$AT,MATCH($C$1,'Data yoy'!$A$1:$AT$1,),)</f>
        <v>0.63078516399999995</v>
      </c>
      <c r="D91" s="27">
        <f>VLOOKUP(B91,'Data yoy'!$A:$AT,MATCH($D$1,'Data yoy'!$A$1:$AT$1,),)</f>
        <v>-6.8</v>
      </c>
      <c r="E91" s="27">
        <f>VLOOKUP(B91,'Data yoy'!$A:$AT,MATCH($E$1,'Data yoy'!$A$1:$AT$1,),)</f>
        <v>-3.0395952039999998</v>
      </c>
      <c r="F91" s="27">
        <f>VLOOKUP(B91,'Data yoy'!$A:$AT,MATCH($F$1,'Data yoy'!$A$1:$AT$1,),)</f>
        <v>-2.1941908149999998</v>
      </c>
      <c r="G91" s="27">
        <f>VLOOKUP(B91,'Data yoy'!$A:$AT,MATCH($G$1,'Data yoy'!$A$1:$AT$1,),)</f>
        <v>-1.919182065</v>
      </c>
      <c r="H91" s="27">
        <f>VLOOKUP(B91,'Data yoy'!$A:$AT,MATCH($H$1,'Data yoy'!$A$1:$AT$1,),)</f>
        <v>-5.4158004870000003</v>
      </c>
      <c r="I91" s="27">
        <f>VLOOKUP(B91,'Data yoy'!$A:$AT,MATCH($I$1,'Data yoy'!$A$1:$AT$1,),)</f>
        <v>-2.2121416489999999</v>
      </c>
      <c r="J91" s="27">
        <f>VLOOKUP(B91,'Data yoy'!$A:$AT,MATCH($J$1,'Data yoy'!$A$1:$AT$1,),)</f>
        <v>-5.7992391249999997</v>
      </c>
      <c r="K91" s="27">
        <f>VLOOKUP(B91,'Data yoy'!$A:$AT,MATCH($K$1,'Data yoy'!$A$1:$AT$1,),)</f>
        <v>-4.3265407890000001</v>
      </c>
      <c r="L91" s="27">
        <f>VLOOKUP(B91,'Data yoy'!$A:$AT,MATCH($L$1,'Data yoy'!$A$1:$AT$1,),)</f>
        <v>0.11735701699999999</v>
      </c>
      <c r="M91" s="27">
        <f>VLOOKUP(B91,'Data yoy'!$A:$AT,MATCH($M$1,'Data yoy'!$A$1:$AT$1,),)</f>
        <v>-1.9781899949999999</v>
      </c>
      <c r="N91" s="27">
        <f>VLOOKUP(B91,'Data yoy'!$A:$AT,MATCH($N$1,'Data yoy'!$A$1:$AT$1,),)</f>
        <v>0.60382464400000002</v>
      </c>
      <c r="O91" s="27">
        <f>VLOOKUP(B91,'Data yoy'!$A:$AT,MATCH($O$1,'Data yoy'!$J$1:$AT$1,),)</f>
        <v>-3.2283700390000001</v>
      </c>
      <c r="P91" s="27">
        <f>VLOOKUP(B91,'Data yoy'!$A:$AT,MATCH($P$1,'Data yoy'!$A$1:$AT$1,),)</f>
        <v>-0.44886224600000002</v>
      </c>
      <c r="Q91" s="27">
        <f>VLOOKUP(B91,'Data yoy'!$A:$AT,MATCH($Q$1,'Data yoy'!$A$1:$AT$1,),)</f>
        <v>1.3892924820000001</v>
      </c>
      <c r="R91" s="27">
        <f>VLOOKUP(B91,'Data yoy'!$A:$AT,MATCH($R$1,'Data yoy'!$A$1:$AT$1,),)</f>
        <v>-0.171995595</v>
      </c>
      <c r="S91" s="27">
        <f>VLOOKUP(B91,'Data yoy'!$A:$AT,MATCH($S$1,'Data yoy'!$A$1:$AT$1,),)</f>
        <v>1.4661467210000001</v>
      </c>
      <c r="T91" s="27">
        <f>VLOOKUP(B91,'Data yoy'!$A:$AT,MATCH($T$1,'Data yoy'!$A$1:$AT$1,),)</f>
        <v>-1.4998781379999999</v>
      </c>
      <c r="U91" s="27">
        <f>VLOOKUP(B91,'Data yoy'!$A:$AT,MATCH($U$1,'Data yoy'!$A$1:$AT$1,),)</f>
        <v>-0.43767300799999997</v>
      </c>
      <c r="V91" s="27">
        <f>VLOOKUP(B91,'Data yoy'!$A:$AT,MATCH($V$1,'Data yoy'!$A$1:$AT$1,),)</f>
        <v>6.8316579229999999</v>
      </c>
      <c r="W91" s="27">
        <f>VLOOKUP(B91,'Data yoy'!$A:$AT,MATCH($W$1,'Data yoy'!$A$1:$AT$1,),)</f>
        <v>4.2929284550000002</v>
      </c>
      <c r="X91" s="27">
        <f>VLOOKUP(B91,'Data yoy'!$A:$AT,MATCH($X$1,'Data yoy'!$A$1:$AT$1,),)</f>
        <v>-1.462598866</v>
      </c>
      <c r="Y91" s="27">
        <f>VLOOKUP(B91,'Data yoy'!$A:$AT,MATCH($Y$1,'Data yoy'!$A$1:$AT$1,),)</f>
        <v>2.04284387</v>
      </c>
      <c r="Z91" s="27">
        <f>VLOOKUP(B91,'Data yoy'!$A:$AU,MATCH($Z$1,'Data yoy'!$A$1:$AU$1,),)</f>
        <v>-4.8347102260000003</v>
      </c>
      <c r="AA91" s="27">
        <f>VLOOKUP(B91,'Data yoy'!$A:$AU,MATCH($AA$1,'Data yoy'!$A$1:$AU$1,),)</f>
        <v>0.14453044900000001</v>
      </c>
      <c r="AB91" s="82"/>
      <c r="AC91" s="28" t="str">
        <f t="shared" ref="AC91:AC92" si="25">B91</f>
        <v>2020-Q1</v>
      </c>
      <c r="AD91" s="29">
        <f t="shared" ref="AD91:AD92" si="26">(VLOOKUP(AC91,B:Y,MATCH($AE$6,$B$1:$Y$1,),))</f>
        <v>-2.2121416489999999</v>
      </c>
      <c r="AE91" s="29">
        <f t="shared" ref="AE91:AE92" si="27">(VLOOKUP(AC91,B:Y,MATCH($AE$7,$B$1:$Y$1,),))</f>
        <v>-3.0395952039999998</v>
      </c>
      <c r="AF91" s="29">
        <f t="shared" ref="AF91:AF92" si="28">AD91-AE91</f>
        <v>0.82745355499999995</v>
      </c>
    </row>
    <row r="92" spans="2:32" s="1" customFormat="1" x14ac:dyDescent="0.2">
      <c r="B92" s="26" t="s">
        <v>583</v>
      </c>
      <c r="C92" s="27">
        <f>VLOOKUP(B92,'Data yoy'!$A:$AT,MATCH($C$1,'Data yoy'!$A$1:$AT$1,),)</f>
        <v>-9.0837374240000006</v>
      </c>
      <c r="D92" s="27">
        <f>VLOOKUP(B92,'Data yoy'!$A:$AT,MATCH($D$1,'Data yoy'!$A$1:$AT$1,),)</f>
        <v>3.2</v>
      </c>
      <c r="E92" s="27">
        <f>VLOOKUP(B92,'Data yoy'!$A:$AT,MATCH($E$1,'Data yoy'!$A$1:$AT$1,),)</f>
        <v>-14.521056601</v>
      </c>
      <c r="F92" s="27">
        <f>VLOOKUP(B92,'Data yoy'!$A:$AT,MATCH($F$1,'Data yoy'!$A$1:$AT$1,),)</f>
        <v>-10.135014584</v>
      </c>
      <c r="G92" s="27">
        <f>VLOOKUP(B92,'Data yoy'!$A:$AT,MATCH($G$1,'Data yoy'!$A$1:$AT$1,),)</f>
        <v>-11.286579908</v>
      </c>
      <c r="H92" s="27">
        <f>VLOOKUP(B92,'Data yoy'!$A:$AT,MATCH($H$1,'Data yoy'!$A$1:$AT$1,),)</f>
        <v>-18.598113721000001</v>
      </c>
      <c r="I92" s="27">
        <f>VLOOKUP(B92,'Data yoy'!$A:$AT,MATCH($I$1,'Data yoy'!$A$1:$AT$1,),)</f>
        <v>-21.357741759</v>
      </c>
      <c r="J92" s="27">
        <f>VLOOKUP(B92,'Data yoy'!$A:$AT,MATCH($J$1,'Data yoy'!$A$1:$AT$1,),)</f>
        <v>-18.162699088</v>
      </c>
      <c r="K92" s="27">
        <f>VLOOKUP(B92,'Data yoy'!$A:$AT,MATCH($K$1,'Data yoy'!$A$1:$AT$1,),)</f>
        <v>-21.501874910000002</v>
      </c>
      <c r="L92" s="27">
        <f>VLOOKUP(B92,'Data yoy'!$A:$AT,MATCH($L$1,'Data yoy'!$A$1:$AT$1,),)</f>
        <v>-8.1579798780000008</v>
      </c>
      <c r="M92" s="27">
        <f>VLOOKUP(B92,'Data yoy'!$A:$AT,MATCH($M$1,'Data yoy'!$A$1:$AT$1,),)</f>
        <v>-18.795670002000001</v>
      </c>
      <c r="N92" s="27">
        <f>VLOOKUP(B92,'Data yoy'!$A:$AT,MATCH($N$1,'Data yoy'!$A$1:$AT$1,),)</f>
        <v>-5.9372376850000004</v>
      </c>
      <c r="O92" s="27">
        <f>VLOOKUP(B92,'Data yoy'!$A:$AT,MATCH($O$1,'Data yoy'!$J$1:$AT$1,),)</f>
        <v>-10.465479029000001</v>
      </c>
      <c r="P92" s="27">
        <f>VLOOKUP(B92,'Data yoy'!$A:$AT,MATCH($P$1,'Data yoy'!$A$1:$AT$1,),)</f>
        <v>-12.612544486000001</v>
      </c>
      <c r="Q92" s="27">
        <f>VLOOKUP(B92,'Data yoy'!$A:$AT,MATCH($Q$1,'Data yoy'!$A$1:$AT$1,),)</f>
        <v>-6.204095089</v>
      </c>
      <c r="R92" s="27">
        <f>VLOOKUP(B92,'Data yoy'!$A:$AT,MATCH($R$1,'Data yoy'!$A$1:$AT$1,),)</f>
        <v>-6.6996346359999999</v>
      </c>
      <c r="S92" s="27">
        <f>VLOOKUP(B92,'Data yoy'!$A:$AT,MATCH($S$1,'Data yoy'!$A$1:$AT$1,),)</f>
        <v>-2.7480632460000001</v>
      </c>
      <c r="T92" s="27">
        <f>VLOOKUP(B92,'Data yoy'!$A:$AT,MATCH($T$1,'Data yoy'!$A$1:$AT$1,),)</f>
        <v>-10.807178541000001</v>
      </c>
      <c r="U92" s="27">
        <f>VLOOKUP(B92,'Data yoy'!$A:$AT,MATCH($U$1,'Data yoy'!$A$1:$AT$1,),)</f>
        <v>-13.908356806</v>
      </c>
      <c r="V92" s="27">
        <f>VLOOKUP(B92,'Data yoy'!$A:$AT,MATCH($V$1,'Data yoy'!$A$1:$AT$1,),)</f>
        <v>0.88009688900000005</v>
      </c>
      <c r="W92" s="27">
        <f>VLOOKUP(B92,'Data yoy'!$A:$AT,MATCH($W$1,'Data yoy'!$A$1:$AT$1,),)</f>
        <v>-9.1025785149999994</v>
      </c>
      <c r="X92" s="27">
        <f>VLOOKUP(B92,'Data yoy'!$A:$AT,MATCH($X$1,'Data yoy'!$A$1:$AT$1,),)</f>
        <v>-10.942126828999999</v>
      </c>
      <c r="Y92" s="27">
        <f>VLOOKUP(B92,'Data yoy'!$A:$AT,MATCH($Y$1,'Data yoy'!$A$1:$AT$1,),)</f>
        <v>-7.9558562960000003</v>
      </c>
      <c r="Z92" s="27">
        <f>VLOOKUP(B92,'Data yoy'!$A:$AU,MATCH($Z$1,'Data yoy'!$A$1:$AU$1,),)</f>
        <v>-19.910034370000002</v>
      </c>
      <c r="AA92" s="27">
        <f>VLOOKUP(B92,'Data yoy'!$A:$AU,MATCH($AA$1,'Data yoy'!$A$1:$AU$1,),)</f>
        <v>-10.171182533</v>
      </c>
      <c r="AB92" s="85"/>
      <c r="AC92" s="28" t="str">
        <f t="shared" si="25"/>
        <v>2020-Q2</v>
      </c>
      <c r="AD92" s="29">
        <f t="shared" si="26"/>
        <v>-21.357741759</v>
      </c>
      <c r="AE92" s="29">
        <f t="shared" si="27"/>
        <v>-14.521056601</v>
      </c>
      <c r="AF92" s="29">
        <f t="shared" si="28"/>
        <v>-6.8366851579999999</v>
      </c>
    </row>
    <row r="93" spans="2:32" s="1" customFormat="1" x14ac:dyDescent="0.2">
      <c r="B93" s="26" t="s">
        <v>584</v>
      </c>
      <c r="C93" s="27">
        <f>VLOOKUP(B93,'Data yoy'!$A:$AT,MATCH($C$1,'Data yoy'!$A$1:$AT$1,),)</f>
        <v>-2.8875059890000001</v>
      </c>
      <c r="D93" s="27">
        <f>VLOOKUP(B93,'Data yoy'!$A:$AT,MATCH($D$1,'Data yoy'!$A$1:$AT$1,),)</f>
        <v>4.9000000000000004</v>
      </c>
      <c r="E93" s="27">
        <f>VLOOKUP(B93,'Data yoy'!$A:$AT,MATCH($E$1,'Data yoy'!$A$1:$AT$1,),)</f>
        <v>-3.9909011109999999</v>
      </c>
      <c r="F93" s="27">
        <f>VLOOKUP(B93,'Data yoy'!$A:$AT,MATCH($F$1,'Data yoy'!$A$1:$AT$1,),)</f>
        <v>-5.428223579</v>
      </c>
      <c r="G93" s="27">
        <f>VLOOKUP(B93,'Data yoy'!$A:$AT,MATCH($G$1,'Data yoy'!$A$1:$AT$1,),)</f>
        <v>-3.6600779540000001</v>
      </c>
      <c r="H93" s="27">
        <f>VLOOKUP(B93,'Data yoy'!$A:$AT,MATCH($H$1,'Data yoy'!$A$1:$AT$1,),)</f>
        <v>-3.6199767889999999</v>
      </c>
      <c r="I93" s="27">
        <f>VLOOKUP(B93,'Data yoy'!$A:$AT,MATCH($I$1,'Data yoy'!$A$1:$AT$1,),)</f>
        <v>-8.4845191030000002</v>
      </c>
      <c r="J93" s="27">
        <f>VLOOKUP(B93,'Data yoy'!$A:$AT,MATCH($J$1,'Data yoy'!$A$1:$AT$1,),)</f>
        <v>-5.2337706319999997</v>
      </c>
      <c r="K93" s="27">
        <f>VLOOKUP(B93,'Data yoy'!$A:$AT,MATCH($K$1,'Data yoy'!$A$1:$AT$1,),)</f>
        <v>-8.6615832249999993</v>
      </c>
      <c r="L93" s="27">
        <f>VLOOKUP(B93,'Data yoy'!$A:$AT,MATCH($L$1,'Data yoy'!$A$1:$AT$1,),)</f>
        <v>-1.891505929</v>
      </c>
      <c r="M93" s="27">
        <f>VLOOKUP(B93,'Data yoy'!$A:$AT,MATCH($M$1,'Data yoy'!$A$1:$AT$1,),)</f>
        <v>-8.6504368730000003</v>
      </c>
      <c r="N93" s="27">
        <f>VLOOKUP(B93,'Data yoy'!$A:$AT,MATCH($N$1,'Data yoy'!$A$1:$AT$1,),)</f>
        <v>-2.7656891180000001</v>
      </c>
      <c r="O93" s="27">
        <f>VLOOKUP(B93,'Data yoy'!$A:$AT,MATCH($O$1,'Data yoy'!$J$1:$AT$1,),)</f>
        <v>-2.6751384389999999</v>
      </c>
      <c r="P93" s="27">
        <f>VLOOKUP(B93,'Data yoy'!$A:$AT,MATCH($P$1,'Data yoy'!$A$1:$AT$1,),)</f>
        <v>-5.092942206</v>
      </c>
      <c r="Q93" s="27">
        <f>VLOOKUP(B93,'Data yoy'!$A:$AT,MATCH($Q$1,'Data yoy'!$A$1:$AT$1,),)</f>
        <v>-3.6456135750000001</v>
      </c>
      <c r="R93" s="27">
        <f>VLOOKUP(B93,'Data yoy'!$A:$AT,MATCH($R$1,'Data yoy'!$A$1:$AT$1,),)</f>
        <v>-1.322868004</v>
      </c>
      <c r="S93" s="27">
        <f>VLOOKUP(B93,'Data yoy'!$A:$AT,MATCH($S$1,'Data yoy'!$A$1:$AT$1,),)</f>
        <v>-0.97709461500000006</v>
      </c>
      <c r="T93" s="27">
        <f>VLOOKUP(B93,'Data yoy'!$A:$AT,MATCH($T$1,'Data yoy'!$A$1:$AT$1,),)</f>
        <v>-3.8979420249999999</v>
      </c>
      <c r="U93" s="27">
        <f>VLOOKUP(B93,'Data yoy'!$A:$AT,MATCH($U$1,'Data yoy'!$A$1:$AT$1,),)</f>
        <v>-10.034397475</v>
      </c>
      <c r="V93" s="27">
        <f>VLOOKUP(B93,'Data yoy'!$A:$AT,MATCH($V$1,'Data yoy'!$A$1:$AT$1,),)</f>
        <v>11.275944103</v>
      </c>
      <c r="W93" s="27">
        <f>VLOOKUP(B93,'Data yoy'!$A:$AT,MATCH($W$1,'Data yoy'!$A$1:$AT$1,),)</f>
        <v>5.7515175770000004</v>
      </c>
      <c r="X93" s="27">
        <f>VLOOKUP(B93,'Data yoy'!$A:$AT,MATCH($X$1,'Data yoy'!$A$1:$AT$1,),)</f>
        <v>-5.4469678869999996</v>
      </c>
      <c r="Y93" s="27">
        <f>VLOOKUP(B93,'Data yoy'!$A:$AT,MATCH($Y$1,'Data yoy'!$A$1:$AT$1,),)</f>
        <v>-2.0527441089999998</v>
      </c>
      <c r="Z93" s="27">
        <f>VLOOKUP(B93,'Data yoy'!$A:$AU,MATCH($Z$1,'Data yoy'!$A$1:$AU$1,),)</f>
        <v>-10.180626563000001</v>
      </c>
      <c r="AA93" s="27">
        <f>VLOOKUP(B93,'Data yoy'!$A:$AU,MATCH($AA$1,'Data yoy'!$A$1:$AU$1,),)</f>
        <v>1.4411465489999999</v>
      </c>
    </row>
    <row r="94" spans="2:32" s="1" customFormat="1" x14ac:dyDescent="0.2">
      <c r="B94" s="26" t="s">
        <v>585</v>
      </c>
      <c r="C94" s="27">
        <f>VLOOKUP(B94,'Data yoy'!$A:$AT,MATCH($C$1,'Data yoy'!$A$1:$AT$1,),)</f>
        <v>-2.2629152430000001</v>
      </c>
      <c r="D94" s="27">
        <f>VLOOKUP(B94,'Data yoy'!$A:$AT,MATCH($D$1,'Data yoy'!$A$1:$AT$1,),)</f>
        <v>6.5</v>
      </c>
      <c r="E94" s="27">
        <f>VLOOKUP(B94,'Data yoy'!$A:$AT,MATCH($E$1,'Data yoy'!$A$1:$AT$1,),)</f>
        <v>-4.3848968340000001</v>
      </c>
      <c r="F94" s="27">
        <f>VLOOKUP(B94,'Data yoy'!$A:$AT,MATCH($F$1,'Data yoy'!$A$1:$AT$1,),)</f>
        <v>-0.81415452300000002</v>
      </c>
      <c r="G94" s="27">
        <f>VLOOKUP(B94,'Data yoy'!$A:$AT,MATCH($G$1,'Data yoy'!$A$1:$AT$1,),)</f>
        <v>-2.8716205910000001</v>
      </c>
      <c r="H94" s="27">
        <f>VLOOKUP(B94,'Data yoy'!$A:$AT,MATCH($H$1,'Data yoy'!$A$1:$AT$1,),)</f>
        <v>-4.3045437230000001</v>
      </c>
      <c r="I94" s="27">
        <f>VLOOKUP(B94,'Data yoy'!$A:$AT,MATCH($I$1,'Data yoy'!$A$1:$AT$1,),)</f>
        <v>-7.3413947750000004</v>
      </c>
      <c r="J94" s="27">
        <f>VLOOKUP(B94,'Data yoy'!$A:$AT,MATCH($J$1,'Data yoy'!$A$1:$AT$1,),)</f>
        <v>-6.5220168679999997</v>
      </c>
      <c r="K94" s="27">
        <f>VLOOKUP(B94,'Data yoy'!$A:$AT,MATCH($K$1,'Data yoy'!$A$1:$AT$1,),)</f>
        <v>-8.8016765729999999</v>
      </c>
      <c r="L94" s="27">
        <f>VLOOKUP(B94,'Data yoy'!$A:$AT,MATCH($L$1,'Data yoy'!$A$1:$AT$1,),)</f>
        <v>-1.8316189140000001</v>
      </c>
      <c r="M94" s="27">
        <f>VLOOKUP(B94,'Data yoy'!$A:$AT,MATCH($M$1,'Data yoy'!$A$1:$AT$1,),)</f>
        <v>-4.6089597619999996</v>
      </c>
      <c r="N94" s="27">
        <f>VLOOKUP(B94,'Data yoy'!$A:$AT,MATCH($N$1,'Data yoy'!$A$1:$AT$1,),)</f>
        <v>-1.2885090539999999</v>
      </c>
      <c r="O94" s="27">
        <f>VLOOKUP(B94,'Data yoy'!$A:$AT,MATCH($O$1,'Data yoy'!$J$1:$AT$1,),)</f>
        <v>-2.662680054</v>
      </c>
      <c r="P94" s="27">
        <f>VLOOKUP(B94,'Data yoy'!$A:$AT,MATCH($P$1,'Data yoy'!$A$1:$AT$1,),)</f>
        <v>-3.0592972089999999</v>
      </c>
      <c r="Q94" s="27">
        <f>VLOOKUP(B94,'Data yoy'!$A:$AT,MATCH($Q$1,'Data yoy'!$A$1:$AT$1,),)</f>
        <v>-0.92923042300000003</v>
      </c>
      <c r="R94" s="27">
        <f>VLOOKUP(B94,'Data yoy'!$A:$AT,MATCH($R$1,'Data yoy'!$A$1:$AT$1,),)</f>
        <v>-1.8345273769999999</v>
      </c>
      <c r="S94" s="27">
        <f>VLOOKUP(B94,'Data yoy'!$A:$AT,MATCH($S$1,'Data yoy'!$A$1:$AT$1,),)</f>
        <v>-1.1200573890000001</v>
      </c>
      <c r="T94" s="27">
        <f>VLOOKUP(B94,'Data yoy'!$A:$AT,MATCH($T$1,'Data yoy'!$A$1:$AT$1,),)</f>
        <v>-1.2459491970000001</v>
      </c>
      <c r="U94" s="27">
        <f>VLOOKUP(B94,'Data yoy'!$A:$AT,MATCH($U$1,'Data yoy'!$A$1:$AT$1,),)</f>
        <v>-6.8469473179999998</v>
      </c>
      <c r="V94" s="27">
        <f>VLOOKUP(B94,'Data yoy'!$A:$AT,MATCH($V$1,'Data yoy'!$A$1:$AT$1,),)</f>
        <v>4.444592482</v>
      </c>
      <c r="W94" s="27">
        <f>VLOOKUP(B94,'Data yoy'!$A:$AT,MATCH($W$1,'Data yoy'!$A$1:$AT$1,),)</f>
        <v>5.5823967640000003</v>
      </c>
      <c r="X94" s="27">
        <f>VLOOKUP(B94,'Data yoy'!$A:$AT,MATCH($X$1,'Data yoy'!$A$1:$AT$1,),)</f>
        <v>-5.3454798539999997</v>
      </c>
      <c r="Y94" s="27">
        <f>VLOOKUP(B94,'Data yoy'!$A:$AT,MATCH($Y$1,'Data yoy'!$A$1:$AT$1,),)</f>
        <v>-2.6338768770000001</v>
      </c>
      <c r="Z94" s="27">
        <f>VLOOKUP(B94,'Data yoy'!$A:$AU,MATCH($Z$1,'Data yoy'!$A$1:$AU$1,),)</f>
        <v>-4.5798158530000004</v>
      </c>
      <c r="AA94" s="27">
        <f>VLOOKUP(B94,'Data yoy'!$A:$AU,MATCH($AA$1,'Data yoy'!$A$1:$AU$1,),)</f>
        <v>0.13675821399999999</v>
      </c>
    </row>
    <row r="95" spans="2:32" s="1" customFormat="1" x14ac:dyDescent="0.2">
      <c r="B95" s="26" t="s">
        <v>586</v>
      </c>
      <c r="C95" s="27">
        <f>VLOOKUP(B95,'Data yoy'!$A:$AT,MATCH($C$1,'Data yoy'!$A$1:$AT$1,),)</f>
        <v>0.54697680299999996</v>
      </c>
      <c r="D95" s="27">
        <f>VLOOKUP(B95,'Data yoy'!$A:$AT,MATCH($D$1,'Data yoy'!$A$1:$AT$1,),)</f>
        <v>18.3</v>
      </c>
      <c r="E95" s="27">
        <f>VLOOKUP(B95,'Data yoy'!$A:$AT,MATCH($E$1,'Data yoy'!$A$1:$AT$1,),)</f>
        <v>-1.22764578</v>
      </c>
      <c r="F95" s="27">
        <f>VLOOKUP(B95,'Data yoy'!$A:$AT,MATCH($F$1,'Data yoy'!$A$1:$AT$1,),)</f>
        <v>-1.2855928640000001</v>
      </c>
      <c r="G95" s="27">
        <f>VLOOKUP(B95,'Data yoy'!$A:$AT,MATCH($G$1,'Data yoy'!$A$1:$AT$1,),)</f>
        <v>-3.1078290530000001</v>
      </c>
      <c r="H95" s="27">
        <f>VLOOKUP(B95,'Data yoy'!$A:$AT,MATCH($H$1,'Data yoy'!$A$1:$AT$1,),)</f>
        <v>1.5228564929999999</v>
      </c>
      <c r="I95" s="27">
        <f>VLOOKUP(B95,'Data yoy'!$A:$AT,MATCH($I$1,'Data yoy'!$A$1:$AT$1,),)</f>
        <v>-6.1384331369999998</v>
      </c>
      <c r="J95" s="27">
        <f>VLOOKUP(B95,'Data yoy'!$A:$AT,MATCH($J$1,'Data yoy'!$A$1:$AT$1,),)</f>
        <v>-0.70106504000000003</v>
      </c>
      <c r="K95" s="27">
        <f>VLOOKUP(B95,'Data yoy'!$A:$AT,MATCH($K$1,'Data yoy'!$A$1:$AT$1,),)</f>
        <v>-4.2140480010000001</v>
      </c>
      <c r="L95" s="27">
        <f>VLOOKUP(B95,'Data yoy'!$A:$AT,MATCH($L$1,'Data yoy'!$A$1:$AT$1,),)</f>
        <v>-0.243822715</v>
      </c>
      <c r="M95" s="27">
        <f>VLOOKUP(B95,'Data yoy'!$A:$AT,MATCH($M$1,'Data yoy'!$A$1:$AT$1,),)</f>
        <v>-2.654294873</v>
      </c>
      <c r="N95" s="27">
        <f>VLOOKUP(B95,'Data yoy'!$A:$AT,MATCH($N$1,'Data yoy'!$A$1:$AT$1,),)</f>
        <v>-0.129119542</v>
      </c>
      <c r="O95" s="27">
        <f>VLOOKUP(B95,'Data yoy'!$A:$AT,MATCH($O$1,'Data yoy'!$J$1:$AT$1,),)</f>
        <v>0.29598179499999999</v>
      </c>
      <c r="P95" s="27">
        <f>VLOOKUP(B95,'Data yoy'!$A:$AT,MATCH($P$1,'Data yoy'!$A$1:$AT$1,),)</f>
        <v>0.29695326</v>
      </c>
      <c r="Q95" s="27">
        <f>VLOOKUP(B95,'Data yoy'!$A:$AT,MATCH($Q$1,'Data yoy'!$A$1:$AT$1,),)</f>
        <v>1.278219011</v>
      </c>
      <c r="R95" s="27">
        <f>VLOOKUP(B95,'Data yoy'!$A:$AT,MATCH($R$1,'Data yoy'!$A$1:$AT$1,),)</f>
        <v>-0.69753401800000003</v>
      </c>
      <c r="S95" s="27">
        <f>VLOOKUP(B95,'Data yoy'!$A:$AT,MATCH($S$1,'Data yoy'!$A$1:$AT$1,),)</f>
        <v>1.8861570860000001</v>
      </c>
      <c r="T95" s="27">
        <f>VLOOKUP(B95,'Data yoy'!$A:$AT,MATCH($T$1,'Data yoy'!$A$1:$AT$1,),)</f>
        <v>2.3451797289999998</v>
      </c>
      <c r="U95" s="27">
        <f>VLOOKUP(B95,'Data yoy'!$A:$AT,MATCH($U$1,'Data yoy'!$A$1:$AT$1,),)</f>
        <v>-2.2558716059999999</v>
      </c>
      <c r="V95" s="27">
        <f>VLOOKUP(B95,'Data yoy'!$A:$AT,MATCH($V$1,'Data yoy'!$A$1:$AT$1,),)</f>
        <v>10.637347656999999</v>
      </c>
      <c r="W95" s="27">
        <f>VLOOKUP(B95,'Data yoy'!$A:$AT,MATCH($W$1,'Data yoy'!$A$1:$AT$1,),)</f>
        <v>7.3952408299999997</v>
      </c>
      <c r="X95" s="27">
        <f>VLOOKUP(B95,'Data yoy'!$A:$AT,MATCH($X$1,'Data yoy'!$A$1:$AT$1,),)</f>
        <v>-2.4562265829999999</v>
      </c>
      <c r="Y95" s="27">
        <f>VLOOKUP(B95,'Data yoy'!$A:$AT,MATCH($Y$1,'Data yoy'!$A$1:$AT$1,),)</f>
        <v>-1.3132623139999999</v>
      </c>
      <c r="Z95" s="27">
        <f>VLOOKUP(B95,'Data yoy'!$A:$AU,MATCH($Z$1,'Data yoy'!$A$1:$AU$1,),)</f>
        <v>2.50688954</v>
      </c>
      <c r="AA95" s="27">
        <f>VLOOKUP(B95,'Data yoy'!$A:$AU,MATCH($AA$1,'Data yoy'!$A$1:$AU$1,),)</f>
        <v>2.9404878120000002</v>
      </c>
    </row>
    <row r="96" spans="2:32" s="1" customFormat="1" x14ac:dyDescent="0.2">
      <c r="B96" s="26" t="s">
        <v>587</v>
      </c>
      <c r="C96" s="27">
        <f>VLOOKUP(B96,'Data yoy'!$A:$AT,MATCH($C$1,'Data yoy'!$A$1:$AT$1,),)</f>
        <v>12.182002705</v>
      </c>
      <c r="D96" s="27">
        <f>VLOOKUP(B96,'Data yoy'!$A:$AT,MATCH($D$1,'Data yoy'!$A$1:$AT$1,),)</f>
        <v>7.9</v>
      </c>
      <c r="E96" s="27">
        <f>VLOOKUP(B96,'Data yoy'!$A:$AT,MATCH($E$1,'Data yoy'!$A$1:$AT$1,),)</f>
        <v>14.322079311</v>
      </c>
      <c r="F96" s="27">
        <f>VLOOKUP(B96,'Data yoy'!$A:$AT,MATCH($F$1,'Data yoy'!$A$1:$AT$1,),)</f>
        <v>7.7196054890000001</v>
      </c>
      <c r="G96" s="27">
        <f>VLOOKUP(B96,'Data yoy'!$A:$AT,MATCH($G$1,'Data yoy'!$A$1:$AT$1,),)</f>
        <v>9.4115205960000008</v>
      </c>
      <c r="H96" s="27">
        <f>VLOOKUP(B96,'Data yoy'!$A:$AT,MATCH($H$1,'Data yoy'!$A$1:$AT$1,),)</f>
        <v>18.652979417000001</v>
      </c>
      <c r="I96" s="27">
        <f>VLOOKUP(B96,'Data yoy'!$A:$AT,MATCH($I$1,'Data yoy'!$A$1:$AT$1,),)</f>
        <v>22.164398154000001</v>
      </c>
      <c r="J96" s="27">
        <f>VLOOKUP(B96,'Data yoy'!$A:$AT,MATCH($J$1,'Data yoy'!$A$1:$AT$1,),)</f>
        <v>17.276763098</v>
      </c>
      <c r="K96" s="27">
        <f>VLOOKUP(B96,'Data yoy'!$A:$AT,MATCH($K$1,'Data yoy'!$A$1:$AT$1,),)</f>
        <v>17.548571404</v>
      </c>
      <c r="L96" s="27">
        <f>VLOOKUP(B96,'Data yoy'!$A:$AT,MATCH($L$1,'Data yoy'!$A$1:$AT$1,),)</f>
        <v>9.50999646</v>
      </c>
      <c r="M96" s="27">
        <f>VLOOKUP(B96,'Data yoy'!$A:$AT,MATCH($M$1,'Data yoy'!$A$1:$AT$1,),)</f>
        <v>19.455566527999999</v>
      </c>
      <c r="N96" s="27">
        <f>VLOOKUP(B96,'Data yoy'!$A:$AT,MATCH($N$1,'Data yoy'!$A$1:$AT$1,),)</f>
        <v>8.0658041439999995</v>
      </c>
      <c r="O96" s="27">
        <f>VLOOKUP(B96,'Data yoy'!$A:$AT,MATCH($O$1,'Data yoy'!$J$1:$AT$1,),)</f>
        <v>10.174917900000001</v>
      </c>
      <c r="P96" s="27">
        <f>VLOOKUP(B96,'Data yoy'!$A:$AT,MATCH($P$1,'Data yoy'!$A$1:$AT$1,),)</f>
        <v>12.722730786</v>
      </c>
      <c r="Q96" s="27">
        <f>VLOOKUP(B96,'Data yoy'!$A:$AT,MATCH($Q$1,'Data yoy'!$A$1:$AT$1,),)</f>
        <v>9.6011143800000003</v>
      </c>
      <c r="R96" s="27">
        <f>VLOOKUP(B96,'Data yoy'!$A:$AT,MATCH($R$1,'Data yoy'!$A$1:$AT$1,),)</f>
        <v>7.7296955609999998</v>
      </c>
      <c r="S96" s="27">
        <f>VLOOKUP(B96,'Data yoy'!$A:$AT,MATCH($S$1,'Data yoy'!$A$1:$AT$1,),)</f>
        <v>6.0115519959999997</v>
      </c>
      <c r="T96" s="27">
        <f>VLOOKUP(B96,'Data yoy'!$A:$AT,MATCH($T$1,'Data yoy'!$A$1:$AT$1,),)</f>
        <v>12.358305133</v>
      </c>
      <c r="U96" s="27">
        <f>VLOOKUP(B96,'Data yoy'!$A:$AT,MATCH($U$1,'Data yoy'!$A$1:$AT$1,),)</f>
        <v>16.195134448000001</v>
      </c>
      <c r="V96" s="27">
        <f>VLOOKUP(B96,'Data yoy'!$A:$AT,MATCH($V$1,'Data yoy'!$A$1:$AT$1,),)</f>
        <v>21.127504810000001</v>
      </c>
      <c r="W96" s="27">
        <f>VLOOKUP(B96,'Data yoy'!$A:$AT,MATCH($W$1,'Data yoy'!$A$1:$AT$1,),)</f>
        <v>21.441534228999998</v>
      </c>
      <c r="X96" s="27">
        <f>VLOOKUP(B96,'Data yoy'!$A:$AT,MATCH($X$1,'Data yoy'!$A$1:$AT$1,),)</f>
        <v>8.181832065</v>
      </c>
      <c r="Y96" s="27">
        <f>VLOOKUP(B96,'Data yoy'!$A:$AT,MATCH($Y$1,'Data yoy'!$A$1:$AT$1,),)</f>
        <v>10.963778431</v>
      </c>
      <c r="Z96" s="27">
        <f>VLOOKUP(B96,'Data yoy'!$A:$AU,MATCH($Z$1,'Data yoy'!$A$1:$AU$1,),)</f>
        <v>19.578712309</v>
      </c>
      <c r="AA96" s="27">
        <f>VLOOKUP(B96,'Data yoy'!$A:$AU,MATCH($AA$1,'Data yoy'!$A$1:$AU$1,),)</f>
        <v>17.402086719</v>
      </c>
    </row>
    <row r="97" s="1" customFormat="1" x14ac:dyDescent="0.2"/>
    <row r="98" s="1" customFormat="1" x14ac:dyDescent="0.2"/>
    <row r="99" s="1" customFormat="1" x14ac:dyDescent="0.2"/>
    <row r="100" s="1" customFormat="1" x14ac:dyDescent="0.2"/>
    <row r="101" s="1" customFormat="1" x14ac:dyDescent="0.2"/>
    <row r="102" s="1" customFormat="1" x14ac:dyDescent="0.2"/>
    <row r="103" s="1" customFormat="1" x14ac:dyDescent="0.2"/>
    <row r="104" s="1" customFormat="1" x14ac:dyDescent="0.2"/>
    <row r="105" s="1" customFormat="1" x14ac:dyDescent="0.2"/>
    <row r="106" s="1" customFormat="1" x14ac:dyDescent="0.2"/>
    <row r="107" s="1" customFormat="1" x14ac:dyDescent="0.2"/>
    <row r="108" s="1" customFormat="1" x14ac:dyDescent="0.2"/>
    <row r="109" s="1" customFormat="1" x14ac:dyDescent="0.2"/>
    <row r="110" s="1" customFormat="1" x14ac:dyDescent="0.2"/>
    <row r="111" s="1" customFormat="1" x14ac:dyDescent="0.2"/>
    <row r="112" s="1" customFormat="1" x14ac:dyDescent="0.2"/>
    <row r="113" s="1" customFormat="1" x14ac:dyDescent="0.2"/>
    <row r="114" s="1" customFormat="1" x14ac:dyDescent="0.2"/>
    <row r="115" s="1" customFormat="1" x14ac:dyDescent="0.2"/>
    <row r="116" s="1" customFormat="1" x14ac:dyDescent="0.2"/>
    <row r="117" s="1" customFormat="1" x14ac:dyDescent="0.2"/>
    <row r="118" s="1" customFormat="1" x14ac:dyDescent="0.2"/>
    <row r="119" s="1" customFormat="1" x14ac:dyDescent="0.2"/>
    <row r="120" s="1" customFormat="1" x14ac:dyDescent="0.2"/>
    <row r="121" s="1" customFormat="1" x14ac:dyDescent="0.2"/>
    <row r="122" s="1" customFormat="1" x14ac:dyDescent="0.2"/>
    <row r="123" s="1" customFormat="1" x14ac:dyDescent="0.2"/>
    <row r="124" s="1" customFormat="1" x14ac:dyDescent="0.2"/>
    <row r="125" s="1" customFormat="1" x14ac:dyDescent="0.2"/>
    <row r="126" s="1" customFormat="1" x14ac:dyDescent="0.2"/>
    <row r="127" s="1" customFormat="1" x14ac:dyDescent="0.2"/>
    <row r="128" s="1" customFormat="1" x14ac:dyDescent="0.2"/>
    <row r="129" s="1" customFormat="1" x14ac:dyDescent="0.2"/>
    <row r="130" s="1" customFormat="1" x14ac:dyDescent="0.2"/>
    <row r="131" s="1" customFormat="1" x14ac:dyDescent="0.2"/>
    <row r="132" s="1" customFormat="1" x14ac:dyDescent="0.2"/>
    <row r="133" s="1" customFormat="1" x14ac:dyDescent="0.2"/>
    <row r="134" s="1" customFormat="1" x14ac:dyDescent="0.2"/>
    <row r="135" s="1" customFormat="1" x14ac:dyDescent="0.2"/>
    <row r="136" s="1" customFormat="1" x14ac:dyDescent="0.2"/>
    <row r="137" s="1" customFormat="1" x14ac:dyDescent="0.2"/>
    <row r="138" s="1" customFormat="1" x14ac:dyDescent="0.2"/>
    <row r="139" s="1" customFormat="1" x14ac:dyDescent="0.2"/>
    <row r="140" s="1" customFormat="1" x14ac:dyDescent="0.2"/>
    <row r="141" s="1" customFormat="1" x14ac:dyDescent="0.2"/>
    <row r="142" s="1" customFormat="1" x14ac:dyDescent="0.2"/>
    <row r="143" s="1" customFormat="1" x14ac:dyDescent="0.2"/>
    <row r="144" s="1" customFormat="1" x14ac:dyDescent="0.2"/>
    <row r="145" s="1" customFormat="1" x14ac:dyDescent="0.2"/>
    <row r="146" s="1" customFormat="1" x14ac:dyDescent="0.2"/>
    <row r="147" s="1" customFormat="1" x14ac:dyDescent="0.2"/>
    <row r="148" s="1" customFormat="1" x14ac:dyDescent="0.2"/>
    <row r="149" s="1" customFormat="1" x14ac:dyDescent="0.2"/>
    <row r="150" s="1" customFormat="1" x14ac:dyDescent="0.2"/>
    <row r="151" s="1" customFormat="1" x14ac:dyDescent="0.2"/>
    <row r="152" s="1" customFormat="1" x14ac:dyDescent="0.2"/>
    <row r="153" s="1" customFormat="1" x14ac:dyDescent="0.2"/>
    <row r="154" s="1" customFormat="1" x14ac:dyDescent="0.2"/>
    <row r="155" s="1" customFormat="1" x14ac:dyDescent="0.2"/>
    <row r="156" s="1" customFormat="1" x14ac:dyDescent="0.2"/>
    <row r="157" s="1" customFormat="1" x14ac:dyDescent="0.2"/>
    <row r="158" s="1" customFormat="1" x14ac:dyDescent="0.2"/>
    <row r="159" s="1" customFormat="1" x14ac:dyDescent="0.2"/>
    <row r="160" s="1" customFormat="1" x14ac:dyDescent="0.2"/>
    <row r="161" s="1" customFormat="1" x14ac:dyDescent="0.2"/>
    <row r="162" s="1" customFormat="1" x14ac:dyDescent="0.2"/>
    <row r="163" s="1" customFormat="1" x14ac:dyDescent="0.2"/>
    <row r="164" s="1" customFormat="1" x14ac:dyDescent="0.2"/>
    <row r="165" s="1" customFormat="1" x14ac:dyDescent="0.2"/>
    <row r="166" s="1" customFormat="1" x14ac:dyDescent="0.2"/>
    <row r="167" s="1" customFormat="1" x14ac:dyDescent="0.2"/>
    <row r="168" s="1" customFormat="1" x14ac:dyDescent="0.2"/>
    <row r="169" s="1" customFormat="1" x14ac:dyDescent="0.2"/>
    <row r="170" s="1" customFormat="1" x14ac:dyDescent="0.2"/>
    <row r="171" s="1" customFormat="1" x14ac:dyDescent="0.2"/>
    <row r="172" s="1" customFormat="1" x14ac:dyDescent="0.2"/>
    <row r="173" s="1" customFormat="1" x14ac:dyDescent="0.2"/>
    <row r="174" s="1" customFormat="1" x14ac:dyDescent="0.2"/>
    <row r="175" s="1" customFormat="1" x14ac:dyDescent="0.2"/>
    <row r="176" s="1" customFormat="1" x14ac:dyDescent="0.2"/>
    <row r="177" s="1" customFormat="1" x14ac:dyDescent="0.2"/>
    <row r="178" s="1" customFormat="1" x14ac:dyDescent="0.2"/>
    <row r="179" s="1" customFormat="1" x14ac:dyDescent="0.2"/>
    <row r="180" s="1" customFormat="1" x14ac:dyDescent="0.2"/>
    <row r="181" s="1" customFormat="1" x14ac:dyDescent="0.2"/>
    <row r="182" s="1" customFormat="1" x14ac:dyDescent="0.2"/>
    <row r="183" s="1" customFormat="1" x14ac:dyDescent="0.2"/>
    <row r="184" s="1" customFormat="1" x14ac:dyDescent="0.2"/>
    <row r="185" s="1" customFormat="1" x14ac:dyDescent="0.2"/>
    <row r="186" s="1" customFormat="1" x14ac:dyDescent="0.2"/>
    <row r="187" s="1" customFormat="1" x14ac:dyDescent="0.2"/>
    <row r="188" s="1" customFormat="1" x14ac:dyDescent="0.2"/>
    <row r="189" s="1" customFormat="1" x14ac:dyDescent="0.2"/>
    <row r="190" s="1" customFormat="1" x14ac:dyDescent="0.2"/>
    <row r="191" s="1" customFormat="1" x14ac:dyDescent="0.2"/>
    <row r="192" s="1" customFormat="1" x14ac:dyDescent="0.2"/>
    <row r="193" s="1" customFormat="1" x14ac:dyDescent="0.2"/>
    <row r="194" s="1" customFormat="1" x14ac:dyDescent="0.2"/>
    <row r="195" s="1" customFormat="1" x14ac:dyDescent="0.2"/>
    <row r="196" s="1" customFormat="1" x14ac:dyDescent="0.2"/>
    <row r="197" s="1" customFormat="1" x14ac:dyDescent="0.2"/>
    <row r="198" s="1" customFormat="1" x14ac:dyDescent="0.2"/>
    <row r="199" s="1" customFormat="1" x14ac:dyDescent="0.2"/>
    <row r="200" s="1" customFormat="1" x14ac:dyDescent="0.2"/>
    <row r="201" s="1" customFormat="1" x14ac:dyDescent="0.2"/>
    <row r="202" s="1" customFormat="1" x14ac:dyDescent="0.2"/>
    <row r="203" s="1" customFormat="1" x14ac:dyDescent="0.2"/>
    <row r="204" s="1" customFormat="1" x14ac:dyDescent="0.2"/>
    <row r="205" s="1" customFormat="1" x14ac:dyDescent="0.2"/>
    <row r="206" s="1" customFormat="1" x14ac:dyDescent="0.2"/>
    <row r="207" s="1" customFormat="1" x14ac:dyDescent="0.2"/>
    <row r="208" s="1" customFormat="1" x14ac:dyDescent="0.2"/>
    <row r="209" s="1" customFormat="1" x14ac:dyDescent="0.2"/>
    <row r="210" s="1" customFormat="1" x14ac:dyDescent="0.2"/>
    <row r="211" s="1" customFormat="1" x14ac:dyDescent="0.2"/>
    <row r="212" s="1" customFormat="1" x14ac:dyDescent="0.2"/>
    <row r="213" s="1" customFormat="1" x14ac:dyDescent="0.2"/>
    <row r="214" s="1" customFormat="1" x14ac:dyDescent="0.2"/>
    <row r="215" s="1" customFormat="1" x14ac:dyDescent="0.2"/>
    <row r="216" s="1" customFormat="1" x14ac:dyDescent="0.2"/>
    <row r="217" s="1" customFormat="1" x14ac:dyDescent="0.2"/>
    <row r="218" s="1" customFormat="1" x14ac:dyDescent="0.2"/>
    <row r="219" s="1" customFormat="1" x14ac:dyDescent="0.2"/>
    <row r="220" s="1" customFormat="1" x14ac:dyDescent="0.2"/>
    <row r="221" s="1" customFormat="1" x14ac:dyDescent="0.2"/>
    <row r="222" s="1" customFormat="1" x14ac:dyDescent="0.2"/>
    <row r="223" s="1" customFormat="1" x14ac:dyDescent="0.2"/>
    <row r="224" s="1" customFormat="1" x14ac:dyDescent="0.2"/>
    <row r="225" s="1" customFormat="1" x14ac:dyDescent="0.2"/>
    <row r="226" s="1" customFormat="1" x14ac:dyDescent="0.2"/>
    <row r="227" s="1" customFormat="1" x14ac:dyDescent="0.2"/>
    <row r="228" s="1" customFormat="1" x14ac:dyDescent="0.2"/>
    <row r="229" s="1" customFormat="1" x14ac:dyDescent="0.2"/>
    <row r="230" s="1" customFormat="1" x14ac:dyDescent="0.2"/>
    <row r="231" s="1" customFormat="1" x14ac:dyDescent="0.2"/>
    <row r="232" s="1" customFormat="1" x14ac:dyDescent="0.2"/>
    <row r="233" s="1" customFormat="1" x14ac:dyDescent="0.2"/>
    <row r="234" s="1" customFormat="1" x14ac:dyDescent="0.2"/>
    <row r="235" s="1" customFormat="1" x14ac:dyDescent="0.2"/>
    <row r="236" s="1" customFormat="1" x14ac:dyDescent="0.2"/>
    <row r="237" s="1" customFormat="1" x14ac:dyDescent="0.2"/>
    <row r="238" s="1" customFormat="1" x14ac:dyDescent="0.2"/>
    <row r="239" s="1" customFormat="1" x14ac:dyDescent="0.2"/>
    <row r="240" s="1" customFormat="1" x14ac:dyDescent="0.2"/>
    <row r="241" s="1" customFormat="1" x14ac:dyDescent="0.2"/>
    <row r="242" s="1" customFormat="1" x14ac:dyDescent="0.2"/>
    <row r="243" s="1" customFormat="1" x14ac:dyDescent="0.2"/>
    <row r="244" s="1" customFormat="1" x14ac:dyDescent="0.2"/>
    <row r="245" s="1" customFormat="1" x14ac:dyDescent="0.2"/>
    <row r="246" s="1" customFormat="1" x14ac:dyDescent="0.2"/>
    <row r="247" s="1" customFormat="1" x14ac:dyDescent="0.2"/>
    <row r="248" s="1" customFormat="1" x14ac:dyDescent="0.2"/>
    <row r="249" s="1" customFormat="1" x14ac:dyDescent="0.2"/>
    <row r="250" s="1" customFormat="1" x14ac:dyDescent="0.2"/>
    <row r="251" s="1" customFormat="1" x14ac:dyDescent="0.2"/>
    <row r="252" s="1" customFormat="1" x14ac:dyDescent="0.2"/>
    <row r="253" s="1" customFormat="1" x14ac:dyDescent="0.2"/>
    <row r="254" s="1" customFormat="1" x14ac:dyDescent="0.2"/>
    <row r="255" s="1" customFormat="1" x14ac:dyDescent="0.2"/>
    <row r="256" s="1" customFormat="1" x14ac:dyDescent="0.2"/>
    <row r="257" s="1" customFormat="1" x14ac:dyDescent="0.2"/>
    <row r="258" s="1" customFormat="1" x14ac:dyDescent="0.2"/>
    <row r="259" s="1" customFormat="1" x14ac:dyDescent="0.2"/>
    <row r="260" s="1" customFormat="1" x14ac:dyDescent="0.2"/>
    <row r="261" s="1" customFormat="1" x14ac:dyDescent="0.2"/>
    <row r="262" s="1" customFormat="1" x14ac:dyDescent="0.2"/>
    <row r="263" s="1" customFormat="1" x14ac:dyDescent="0.2"/>
    <row r="264" s="1" customFormat="1" x14ac:dyDescent="0.2"/>
    <row r="265" s="1" customFormat="1" x14ac:dyDescent="0.2"/>
    <row r="266" s="1" customFormat="1" x14ac:dyDescent="0.2"/>
    <row r="267" s="1" customFormat="1" x14ac:dyDescent="0.2"/>
    <row r="268" s="1" customFormat="1" x14ac:dyDescent="0.2"/>
    <row r="269" s="1" customFormat="1" x14ac:dyDescent="0.2"/>
    <row r="270" s="1" customFormat="1" x14ac:dyDescent="0.2"/>
    <row r="271" s="1" customFormat="1" x14ac:dyDescent="0.2"/>
    <row r="272" s="1" customFormat="1" x14ac:dyDescent="0.2"/>
    <row r="273" s="1" customFormat="1" x14ac:dyDescent="0.2"/>
    <row r="274" s="1" customFormat="1" x14ac:dyDescent="0.2"/>
    <row r="275" s="1" customFormat="1" x14ac:dyDescent="0.2"/>
    <row r="276" s="1" customFormat="1" x14ac:dyDescent="0.2"/>
    <row r="277" s="1" customFormat="1" x14ac:dyDescent="0.2"/>
    <row r="278" s="1" customFormat="1" x14ac:dyDescent="0.2"/>
    <row r="279" s="1" customFormat="1" x14ac:dyDescent="0.2"/>
    <row r="280" s="1" customFormat="1" x14ac:dyDescent="0.2"/>
    <row r="281" s="1" customFormat="1" x14ac:dyDescent="0.2"/>
    <row r="282" s="1" customFormat="1" x14ac:dyDescent="0.2"/>
    <row r="283" s="1" customFormat="1" x14ac:dyDescent="0.2"/>
    <row r="284" s="1" customFormat="1" x14ac:dyDescent="0.2"/>
    <row r="285" s="1" customFormat="1" x14ac:dyDescent="0.2"/>
    <row r="286" s="1" customFormat="1" x14ac:dyDescent="0.2"/>
    <row r="287" s="1" customFormat="1" x14ac:dyDescent="0.2"/>
    <row r="288" s="1" customFormat="1" x14ac:dyDescent="0.2"/>
    <row r="289" s="1" customFormat="1" x14ac:dyDescent="0.2"/>
    <row r="290" s="1" customFormat="1" x14ac:dyDescent="0.2"/>
    <row r="291" s="1" customFormat="1" x14ac:dyDescent="0.2"/>
    <row r="292" s="1" customFormat="1" x14ac:dyDescent="0.2"/>
    <row r="293" s="1" customFormat="1" x14ac:dyDescent="0.2"/>
    <row r="294" s="1" customFormat="1" x14ac:dyDescent="0.2"/>
    <row r="295" s="1" customFormat="1" x14ac:dyDescent="0.2"/>
    <row r="296" s="1" customFormat="1" x14ac:dyDescent="0.2"/>
    <row r="297" s="1" customFormat="1" x14ac:dyDescent="0.2"/>
    <row r="298" s="1" customFormat="1" x14ac:dyDescent="0.2"/>
    <row r="299" s="1" customFormat="1" x14ac:dyDescent="0.2"/>
    <row r="300" s="1" customFormat="1" x14ac:dyDescent="0.2"/>
    <row r="301" s="1" customFormat="1" x14ac:dyDescent="0.2"/>
    <row r="302" s="1" customFormat="1" x14ac:dyDescent="0.2"/>
    <row r="303" s="1" customFormat="1" x14ac:dyDescent="0.2"/>
    <row r="304" s="1" customFormat="1" x14ac:dyDescent="0.2"/>
    <row r="305" s="1" customFormat="1" x14ac:dyDescent="0.2"/>
    <row r="306" s="1" customFormat="1" x14ac:dyDescent="0.2"/>
    <row r="307" s="1" customFormat="1" x14ac:dyDescent="0.2"/>
    <row r="308" s="1" customFormat="1" x14ac:dyDescent="0.2"/>
    <row r="309" s="1" customFormat="1" x14ac:dyDescent="0.2"/>
    <row r="310" s="1" customFormat="1" x14ac:dyDescent="0.2"/>
    <row r="311" s="1" customFormat="1" x14ac:dyDescent="0.2"/>
    <row r="312" s="1" customFormat="1" x14ac:dyDescent="0.2"/>
    <row r="313" s="1" customFormat="1" x14ac:dyDescent="0.2"/>
    <row r="314" s="1" customFormat="1" x14ac:dyDescent="0.2"/>
    <row r="315" s="1" customFormat="1" x14ac:dyDescent="0.2"/>
    <row r="316" s="1" customFormat="1" x14ac:dyDescent="0.2"/>
    <row r="317" s="1" customFormat="1" x14ac:dyDescent="0.2"/>
    <row r="318" s="1" customFormat="1" x14ac:dyDescent="0.2"/>
    <row r="319" s="1" customFormat="1" x14ac:dyDescent="0.2"/>
    <row r="320" s="1" customFormat="1" x14ac:dyDescent="0.2"/>
    <row r="321" s="1" customFormat="1" x14ac:dyDescent="0.2"/>
    <row r="322" s="1" customFormat="1" x14ac:dyDescent="0.2"/>
    <row r="323" s="1" customFormat="1" x14ac:dyDescent="0.2"/>
    <row r="324" s="1" customFormat="1" x14ac:dyDescent="0.2"/>
    <row r="325" s="1" customFormat="1" x14ac:dyDescent="0.2"/>
    <row r="326" s="1" customFormat="1" x14ac:dyDescent="0.2"/>
    <row r="327" s="1" customFormat="1" x14ac:dyDescent="0.2"/>
    <row r="328" s="1" customFormat="1" x14ac:dyDescent="0.2"/>
    <row r="329" s="1" customFormat="1" x14ac:dyDescent="0.2"/>
    <row r="330" s="1" customFormat="1" x14ac:dyDescent="0.2"/>
    <row r="331" s="1" customFormat="1" x14ac:dyDescent="0.2"/>
    <row r="332" s="1" customFormat="1" x14ac:dyDescent="0.2"/>
    <row r="333" s="1" customFormat="1" x14ac:dyDescent="0.2"/>
    <row r="334" s="1" customFormat="1" x14ac:dyDescent="0.2"/>
    <row r="335" s="1" customFormat="1" x14ac:dyDescent="0.2"/>
    <row r="336" s="1" customFormat="1" x14ac:dyDescent="0.2"/>
    <row r="337" s="1" customFormat="1" x14ac:dyDescent="0.2"/>
    <row r="338" s="1" customFormat="1" x14ac:dyDescent="0.2"/>
    <row r="339" s="1" customFormat="1" x14ac:dyDescent="0.2"/>
    <row r="340" s="1" customFormat="1" x14ac:dyDescent="0.2"/>
    <row r="341" s="1" customFormat="1" x14ac:dyDescent="0.2"/>
    <row r="342" s="1" customFormat="1" x14ac:dyDescent="0.2"/>
    <row r="343" s="1" customFormat="1" x14ac:dyDescent="0.2"/>
    <row r="344" s="1" customFormat="1" x14ac:dyDescent="0.2"/>
    <row r="345" s="1" customFormat="1" x14ac:dyDescent="0.2"/>
    <row r="346" s="1" customFormat="1" x14ac:dyDescent="0.2"/>
    <row r="347" s="1" customFormat="1" x14ac:dyDescent="0.2"/>
    <row r="348" s="1" customFormat="1" x14ac:dyDescent="0.2"/>
    <row r="349" s="1" customFormat="1" x14ac:dyDescent="0.2"/>
    <row r="350" s="1" customFormat="1" x14ac:dyDescent="0.2"/>
    <row r="351" s="1" customFormat="1" x14ac:dyDescent="0.2"/>
    <row r="352" s="1" customFormat="1" x14ac:dyDescent="0.2"/>
    <row r="353" s="1" customFormat="1" x14ac:dyDescent="0.2"/>
    <row r="354" s="1" customFormat="1" x14ac:dyDescent="0.2"/>
    <row r="355" s="1" customFormat="1" x14ac:dyDescent="0.2"/>
    <row r="356" s="1" customFormat="1" x14ac:dyDescent="0.2"/>
    <row r="357" s="1" customFormat="1" x14ac:dyDescent="0.2"/>
    <row r="358" s="1" customFormat="1" x14ac:dyDescent="0.2"/>
    <row r="359" s="1" customFormat="1" x14ac:dyDescent="0.2"/>
    <row r="360" s="1" customFormat="1" x14ac:dyDescent="0.2"/>
    <row r="361" s="1" customFormat="1" x14ac:dyDescent="0.2"/>
    <row r="362" s="1" customFormat="1" x14ac:dyDescent="0.2"/>
    <row r="363" s="1" customFormat="1" x14ac:dyDescent="0.2"/>
    <row r="364" s="1" customFormat="1" x14ac:dyDescent="0.2"/>
    <row r="365" s="1" customFormat="1" x14ac:dyDescent="0.2"/>
    <row r="366" s="1" customFormat="1" x14ac:dyDescent="0.2"/>
    <row r="367" s="1" customFormat="1" x14ac:dyDescent="0.2"/>
    <row r="368" s="1" customFormat="1" x14ac:dyDescent="0.2"/>
    <row r="369" s="1" customFormat="1" x14ac:dyDescent="0.2"/>
    <row r="370" s="1" customFormat="1" x14ac:dyDescent="0.2"/>
    <row r="371" s="1" customFormat="1" x14ac:dyDescent="0.2"/>
    <row r="372" s="1" customFormat="1" x14ac:dyDescent="0.2"/>
    <row r="373" s="1" customFormat="1" x14ac:dyDescent="0.2"/>
    <row r="374" s="1" customFormat="1" x14ac:dyDescent="0.2"/>
    <row r="375" s="1" customFormat="1" x14ac:dyDescent="0.2"/>
    <row r="376" s="1" customFormat="1" x14ac:dyDescent="0.2"/>
    <row r="377" s="1" customFormat="1" x14ac:dyDescent="0.2"/>
    <row r="378" s="1" customFormat="1" x14ac:dyDescent="0.2"/>
  </sheetData>
  <phoneticPr fontId="8" type="noConversion"/>
  <conditionalFormatting sqref="C11:C96">
    <cfRule type="colorScale" priority="1">
      <colorScale>
        <cfvo type="min"/>
        <cfvo type="percentile" val="50"/>
        <cfvo type="max"/>
        <color rgb="FFF8696B"/>
        <color rgb="FFFFEB84"/>
        <color rgb="FF63BE7B"/>
      </colorScale>
    </cfRule>
  </conditionalFormatting>
  <conditionalFormatting sqref="D11:D96">
    <cfRule type="colorScale" priority="2">
      <colorScale>
        <cfvo type="min"/>
        <cfvo type="percentile" val="50"/>
        <cfvo type="max"/>
        <color rgb="FFF8696B"/>
        <color rgb="FFFFEB84"/>
        <color rgb="FF63BE7B"/>
      </colorScale>
    </cfRule>
  </conditionalFormatting>
  <conditionalFormatting sqref="E11:E96">
    <cfRule type="colorScale" priority="3">
      <colorScale>
        <cfvo type="min"/>
        <cfvo type="percentile" val="50"/>
        <cfvo type="max"/>
        <color rgb="FFF8696B"/>
        <color rgb="FFFFEB84"/>
        <color rgb="FF63BE7B"/>
      </colorScale>
    </cfRule>
  </conditionalFormatting>
  <conditionalFormatting sqref="F11:F96">
    <cfRule type="colorScale" priority="4">
      <colorScale>
        <cfvo type="min"/>
        <cfvo type="percentile" val="50"/>
        <cfvo type="max"/>
        <color rgb="FFF8696B"/>
        <color rgb="FFFFEB84"/>
        <color rgb="FF63BE7B"/>
      </colorScale>
    </cfRule>
  </conditionalFormatting>
  <conditionalFormatting sqref="G11:G96">
    <cfRule type="colorScale" priority="5">
      <colorScale>
        <cfvo type="min"/>
        <cfvo type="percentile" val="50"/>
        <cfvo type="max"/>
        <color rgb="FFF8696B"/>
        <color rgb="FFFFEB84"/>
        <color rgb="FF63BE7B"/>
      </colorScale>
    </cfRule>
  </conditionalFormatting>
  <conditionalFormatting sqref="H11:H96">
    <cfRule type="colorScale" priority="6">
      <colorScale>
        <cfvo type="min"/>
        <cfvo type="percentile" val="50"/>
        <cfvo type="max"/>
        <color rgb="FFF8696B"/>
        <color rgb="FFFFEB84"/>
        <color rgb="FF63BE7B"/>
      </colorScale>
    </cfRule>
  </conditionalFormatting>
  <conditionalFormatting sqref="I11:I96">
    <cfRule type="colorScale" priority="7">
      <colorScale>
        <cfvo type="min"/>
        <cfvo type="percentile" val="50"/>
        <cfvo type="max"/>
        <color rgb="FFF8696B"/>
        <color rgb="FFFFEB84"/>
        <color rgb="FF63BE7B"/>
      </colorScale>
    </cfRule>
  </conditionalFormatting>
  <conditionalFormatting sqref="J11:J96">
    <cfRule type="colorScale" priority="8">
      <colorScale>
        <cfvo type="min"/>
        <cfvo type="percentile" val="50"/>
        <cfvo type="max"/>
        <color rgb="FFF8696B"/>
        <color rgb="FFFFEB84"/>
        <color rgb="FF63BE7B"/>
      </colorScale>
    </cfRule>
  </conditionalFormatting>
  <conditionalFormatting sqref="K11:K96">
    <cfRule type="colorScale" priority="9">
      <colorScale>
        <cfvo type="min"/>
        <cfvo type="percentile" val="50"/>
        <cfvo type="max"/>
        <color rgb="FFF8696B"/>
        <color rgb="FFFFEB84"/>
        <color rgb="FF63BE7B"/>
      </colorScale>
    </cfRule>
  </conditionalFormatting>
  <conditionalFormatting sqref="L11:L96">
    <cfRule type="colorScale" priority="10">
      <colorScale>
        <cfvo type="min"/>
        <cfvo type="percentile" val="50"/>
        <cfvo type="max"/>
        <color rgb="FFF8696B"/>
        <color rgb="FFFFEB84"/>
        <color rgb="FF63BE7B"/>
      </colorScale>
    </cfRule>
  </conditionalFormatting>
  <conditionalFormatting sqref="M11:M96">
    <cfRule type="colorScale" priority="11">
      <colorScale>
        <cfvo type="min"/>
        <cfvo type="percentile" val="50"/>
        <cfvo type="max"/>
        <color rgb="FFF8696B"/>
        <color rgb="FFFFEB84"/>
        <color rgb="FF63BE7B"/>
      </colorScale>
    </cfRule>
  </conditionalFormatting>
  <conditionalFormatting sqref="N11:N96">
    <cfRule type="colorScale" priority="12">
      <colorScale>
        <cfvo type="min"/>
        <cfvo type="percentile" val="50"/>
        <cfvo type="max"/>
        <color rgb="FFF8696B"/>
        <color rgb="FFFFEB84"/>
        <color rgb="FF63BE7B"/>
      </colorScale>
    </cfRule>
  </conditionalFormatting>
  <conditionalFormatting sqref="O11:O96">
    <cfRule type="colorScale" priority="13">
      <colorScale>
        <cfvo type="min"/>
        <cfvo type="percentile" val="50"/>
        <cfvo type="max"/>
        <color rgb="FFF8696B"/>
        <color rgb="FFFFEB84"/>
        <color rgb="FF63BE7B"/>
      </colorScale>
    </cfRule>
  </conditionalFormatting>
  <conditionalFormatting sqref="P11:P96">
    <cfRule type="colorScale" priority="14">
      <colorScale>
        <cfvo type="min"/>
        <cfvo type="percentile" val="50"/>
        <cfvo type="max"/>
        <color rgb="FFF8696B"/>
        <color rgb="FFFFEB84"/>
        <color rgb="FF63BE7B"/>
      </colorScale>
    </cfRule>
  </conditionalFormatting>
  <conditionalFormatting sqref="Q11:Q96">
    <cfRule type="colorScale" priority="15">
      <colorScale>
        <cfvo type="min"/>
        <cfvo type="percentile" val="50"/>
        <cfvo type="max"/>
        <color rgb="FFF8696B"/>
        <color rgb="FFFFEB84"/>
        <color rgb="FF63BE7B"/>
      </colorScale>
    </cfRule>
  </conditionalFormatting>
  <conditionalFormatting sqref="R11:R96">
    <cfRule type="colorScale" priority="16">
      <colorScale>
        <cfvo type="min"/>
        <cfvo type="percentile" val="50"/>
        <cfvo type="max"/>
        <color rgb="FFF8696B"/>
        <color rgb="FFFFEB84"/>
        <color rgb="FF63BE7B"/>
      </colorScale>
    </cfRule>
  </conditionalFormatting>
  <conditionalFormatting sqref="S11:S96">
    <cfRule type="colorScale" priority="17">
      <colorScale>
        <cfvo type="min"/>
        <cfvo type="percentile" val="50"/>
        <cfvo type="max"/>
        <color rgb="FFF8696B"/>
        <color rgb="FFFFEB84"/>
        <color rgb="FF63BE7B"/>
      </colorScale>
    </cfRule>
  </conditionalFormatting>
  <conditionalFormatting sqref="T11:T96">
    <cfRule type="colorScale" priority="18">
      <colorScale>
        <cfvo type="min"/>
        <cfvo type="percentile" val="50"/>
        <cfvo type="max"/>
        <color rgb="FFF8696B"/>
        <color rgb="FFFFEB84"/>
        <color rgb="FF63BE7B"/>
      </colorScale>
    </cfRule>
  </conditionalFormatting>
  <conditionalFormatting sqref="U11:U96">
    <cfRule type="colorScale" priority="19">
      <colorScale>
        <cfvo type="min"/>
        <cfvo type="percentile" val="50"/>
        <cfvo type="max"/>
        <color rgb="FFF8696B"/>
        <color rgb="FFFFEB84"/>
        <color rgb="FF63BE7B"/>
      </colorScale>
    </cfRule>
  </conditionalFormatting>
  <conditionalFormatting sqref="V11:V96">
    <cfRule type="colorScale" priority="20">
      <colorScale>
        <cfvo type="min"/>
        <cfvo type="percentile" val="50"/>
        <cfvo type="max"/>
        <color rgb="FFF8696B"/>
        <color rgb="FFFFEB84"/>
        <color rgb="FF63BE7B"/>
      </colorScale>
    </cfRule>
  </conditionalFormatting>
  <conditionalFormatting sqref="W11:W96">
    <cfRule type="colorScale" priority="21">
      <colorScale>
        <cfvo type="min"/>
        <cfvo type="percentile" val="50"/>
        <cfvo type="max"/>
        <color rgb="FFF8696B"/>
        <color rgb="FFFFEB84"/>
        <color rgb="FF63BE7B"/>
      </colorScale>
    </cfRule>
  </conditionalFormatting>
  <conditionalFormatting sqref="X11:X96">
    <cfRule type="colorScale" priority="22">
      <colorScale>
        <cfvo type="min"/>
        <cfvo type="percentile" val="50"/>
        <cfvo type="max"/>
        <color rgb="FFF8696B"/>
        <color rgb="FFFFEB84"/>
        <color rgb="FF63BE7B"/>
      </colorScale>
    </cfRule>
  </conditionalFormatting>
  <conditionalFormatting sqref="Y11:Y96">
    <cfRule type="colorScale" priority="23">
      <colorScale>
        <cfvo type="min"/>
        <cfvo type="percentile" val="50"/>
        <cfvo type="max"/>
        <color rgb="FFF8696B"/>
        <color rgb="FFFFEB84"/>
        <color rgb="FF63BE7B"/>
      </colorScale>
    </cfRule>
  </conditionalFormatting>
  <conditionalFormatting sqref="Z11:Z96">
    <cfRule type="colorScale" priority="24">
      <colorScale>
        <cfvo type="min"/>
        <cfvo type="percentile" val="50"/>
        <cfvo type="max"/>
        <color rgb="FFF8696B"/>
        <color rgb="FFFFEB84"/>
        <color rgb="FF63BE7B"/>
      </colorScale>
    </cfRule>
  </conditionalFormatting>
  <conditionalFormatting sqref="AA11:AA96">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09559-9FBC-41DA-AC93-F93A66BD7056}">
  <sheetPr codeName="Sheet6">
    <tabColor rgb="FF0070C0"/>
  </sheetPr>
  <dimension ref="A1:BT378"/>
  <sheetViews>
    <sheetView zoomScale="140" zoomScaleNormal="140" workbookViewId="0">
      <selection activeCell="Z71" sqref="Z71"/>
    </sheetView>
  </sheetViews>
  <sheetFormatPr baseColWidth="10" defaultColWidth="8.83203125" defaultRowHeight="15" x14ac:dyDescent="0.2"/>
  <cols>
    <col min="1" max="1" width="9.1640625" style="1"/>
    <col min="2" max="2" width="13.6640625" customWidth="1"/>
    <col min="3" max="27" width="6.1640625" customWidth="1"/>
    <col min="28" max="28" width="6.1640625" style="1" customWidth="1"/>
    <col min="29" max="30" width="15.33203125" style="1" customWidth="1"/>
    <col min="31" max="31" width="10.6640625" style="1" bestFit="1" customWidth="1"/>
    <col min="32" max="72" width="9.1640625" style="1"/>
  </cols>
  <sheetData>
    <row r="1" spans="2:34" x14ac:dyDescent="0.2">
      <c r="C1" t="s">
        <v>34</v>
      </c>
      <c r="D1" t="s">
        <v>42</v>
      </c>
      <c r="E1" t="s">
        <v>35</v>
      </c>
      <c r="F1" t="s">
        <v>21</v>
      </c>
      <c r="G1" t="s">
        <v>8</v>
      </c>
      <c r="H1" t="s">
        <v>13</v>
      </c>
      <c r="I1" t="s">
        <v>14</v>
      </c>
      <c r="J1" t="s">
        <v>20</v>
      </c>
      <c r="K1" t="s">
        <v>10</v>
      </c>
      <c r="L1" t="s">
        <v>33</v>
      </c>
      <c r="M1" t="s">
        <v>25</v>
      </c>
      <c r="N1" t="s">
        <v>41</v>
      </c>
      <c r="O1" t="s">
        <v>39</v>
      </c>
      <c r="P1" t="s">
        <v>5</v>
      </c>
      <c r="Q1" t="s">
        <v>2</v>
      </c>
      <c r="R1" t="s">
        <v>38</v>
      </c>
      <c r="S1" t="s">
        <v>22</v>
      </c>
      <c r="T1" t="s">
        <v>44</v>
      </c>
      <c r="U1" t="s">
        <v>15</v>
      </c>
      <c r="V1" t="s">
        <v>17</v>
      </c>
      <c r="W1" t="s">
        <v>43</v>
      </c>
      <c r="X1" t="s">
        <v>7</v>
      </c>
      <c r="Y1" t="s">
        <v>29</v>
      </c>
      <c r="Z1" t="s">
        <v>48</v>
      </c>
      <c r="AA1" t="s">
        <v>46</v>
      </c>
    </row>
    <row r="2" spans="2:34" s="1" customFormat="1" x14ac:dyDescent="0.2">
      <c r="AD2" s="1" t="s">
        <v>578</v>
      </c>
      <c r="AE2" s="5" t="str">
        <f>'Table yoy'!AE2</f>
        <v>2021-Q2</v>
      </c>
      <c r="AH2" s="1" t="s">
        <v>340</v>
      </c>
    </row>
    <row r="3" spans="2:34" ht="75.75" customHeight="1" x14ac:dyDescent="0.2">
      <c r="B3" s="6"/>
      <c r="C3" s="7" t="s">
        <v>341</v>
      </c>
      <c r="D3" s="8" t="s">
        <v>342</v>
      </c>
      <c r="E3" s="9" t="s">
        <v>343</v>
      </c>
      <c r="F3" s="10" t="s">
        <v>344</v>
      </c>
      <c r="G3" s="11" t="s">
        <v>345</v>
      </c>
      <c r="H3" s="11" t="s">
        <v>346</v>
      </c>
      <c r="I3" s="11" t="s">
        <v>347</v>
      </c>
      <c r="J3" s="11" t="s">
        <v>348</v>
      </c>
      <c r="K3" s="11" t="s">
        <v>349</v>
      </c>
      <c r="L3" s="11" t="s">
        <v>350</v>
      </c>
      <c r="M3" s="11" t="s">
        <v>351</v>
      </c>
      <c r="N3" s="11" t="s">
        <v>352</v>
      </c>
      <c r="O3" s="11" t="s">
        <v>353</v>
      </c>
      <c r="P3" s="11" t="s">
        <v>354</v>
      </c>
      <c r="Q3" s="11" t="s">
        <v>355</v>
      </c>
      <c r="R3" s="12" t="s">
        <v>356</v>
      </c>
      <c r="S3" s="11" t="s">
        <v>357</v>
      </c>
      <c r="T3" s="11" t="s">
        <v>358</v>
      </c>
      <c r="U3" s="11" t="s">
        <v>359</v>
      </c>
      <c r="V3" s="11" t="s">
        <v>360</v>
      </c>
      <c r="W3" s="11" t="s">
        <v>361</v>
      </c>
      <c r="X3" s="11" t="s">
        <v>362</v>
      </c>
      <c r="Y3" s="11" t="s">
        <v>363</v>
      </c>
      <c r="Z3" s="11" t="s">
        <v>364</v>
      </c>
      <c r="AA3" s="11" t="s">
        <v>365</v>
      </c>
      <c r="AD3" s="13" t="s">
        <v>366</v>
      </c>
      <c r="AE3" s="14" t="str">
        <f>'Table yoy'!AE3</f>
        <v>2020-Q2</v>
      </c>
    </row>
    <row r="4" spans="2:34" ht="16" thickBot="1" x14ac:dyDescent="0.25">
      <c r="B4" s="6" t="s">
        <v>367</v>
      </c>
      <c r="C4" s="15">
        <f>MAX(C90:C93)</f>
        <v>7.547534636</v>
      </c>
      <c r="D4" s="15">
        <f t="shared" ref="D4:AA4" si="0">MAX(D90:D93)</f>
        <v>10</v>
      </c>
      <c r="E4" s="15">
        <f t="shared" si="0"/>
        <v>12.629339</v>
      </c>
      <c r="F4" s="15">
        <f t="shared" si="0"/>
        <v>5.3639763330000001</v>
      </c>
      <c r="G4" s="15">
        <f t="shared" si="0"/>
        <v>9.043062505</v>
      </c>
      <c r="H4" s="15">
        <f t="shared" si="0"/>
        <v>18.59198829</v>
      </c>
      <c r="I4" s="15">
        <f t="shared" si="0"/>
        <v>16.948031074999999</v>
      </c>
      <c r="J4" s="15">
        <f t="shared" si="0"/>
        <v>16.017151626</v>
      </c>
      <c r="K4" s="15">
        <f t="shared" si="0"/>
        <v>16.798457004999999</v>
      </c>
      <c r="L4" s="15">
        <f t="shared" si="0"/>
        <v>7.5035567929999996</v>
      </c>
      <c r="M4" s="15">
        <f t="shared" si="0"/>
        <v>12.660986414</v>
      </c>
      <c r="N4" s="15">
        <f t="shared" si="0"/>
        <v>2.360610753</v>
      </c>
      <c r="O4" s="15">
        <f t="shared" si="0"/>
        <v>8.9503223139999992</v>
      </c>
      <c r="P4" s="15">
        <f t="shared" si="0"/>
        <v>9.0959062159999995</v>
      </c>
      <c r="Q4" s="15">
        <f t="shared" si="0"/>
        <v>3.5568602949999999</v>
      </c>
      <c r="R4" s="15">
        <f t="shared" si="0"/>
        <v>6.3700234389999997</v>
      </c>
      <c r="S4" s="15">
        <f t="shared" si="0"/>
        <v>2.2334243909999998</v>
      </c>
      <c r="T4" s="15">
        <f t="shared" si="0"/>
        <v>7.7144445529999999</v>
      </c>
      <c r="U4" s="15">
        <f t="shared" si="0"/>
        <v>3.8877735069999999</v>
      </c>
      <c r="V4" s="15">
        <f t="shared" si="0"/>
        <v>9.8489940849999993</v>
      </c>
      <c r="W4" s="15">
        <f t="shared" si="0"/>
        <v>16.400501818999999</v>
      </c>
      <c r="X4" s="15">
        <f t="shared" si="0"/>
        <v>6.7526521910000001</v>
      </c>
      <c r="Y4" s="15">
        <f t="shared" si="0"/>
        <v>7.6809579010000002</v>
      </c>
      <c r="Z4" s="15">
        <f t="shared" si="0"/>
        <v>12.878151215000001</v>
      </c>
      <c r="AA4" s="15">
        <f t="shared" si="0"/>
        <v>13.925321823999999</v>
      </c>
      <c r="AD4" s="16" t="s">
        <v>368</v>
      </c>
      <c r="AE4" s="17" t="str">
        <f>'Table yoy'!AE4</f>
        <v>2019-Q3</v>
      </c>
    </row>
    <row r="5" spans="2:34" x14ac:dyDescent="0.2">
      <c r="B5" s="6" t="s">
        <v>369</v>
      </c>
      <c r="C5" s="15">
        <f>MIN(C90:C93)</f>
        <v>-8.9372505009999994</v>
      </c>
      <c r="D5" s="15">
        <f t="shared" ref="D5:AA5" si="1">MIN(D90:D93)</f>
        <v>-8.6999999999999993</v>
      </c>
      <c r="E5" s="15">
        <f t="shared" si="1"/>
        <v>-11.676441000000001</v>
      </c>
      <c r="F5" s="15">
        <f t="shared" si="1"/>
        <v>-7.9322973809999997</v>
      </c>
      <c r="G5" s="15">
        <f t="shared" si="1"/>
        <v>-9.9962156110000002</v>
      </c>
      <c r="H5" s="15">
        <f t="shared" si="1"/>
        <v>-13.490288832999999</v>
      </c>
      <c r="I5" s="15">
        <f t="shared" si="1"/>
        <v>-19.467407879</v>
      </c>
      <c r="J5" s="15">
        <f t="shared" si="1"/>
        <v>-13.060475352999999</v>
      </c>
      <c r="K5" s="15">
        <f t="shared" si="1"/>
        <v>-17.652092760999999</v>
      </c>
      <c r="L5" s="15">
        <f t="shared" si="1"/>
        <v>-8.0999501089999999</v>
      </c>
      <c r="M5" s="15">
        <f t="shared" si="1"/>
        <v>-17.307458528000002</v>
      </c>
      <c r="N5" s="15">
        <f t="shared" si="1"/>
        <v>-4.3865124099999999</v>
      </c>
      <c r="O5" s="15">
        <f t="shared" si="1"/>
        <v>-7.1367805930000001</v>
      </c>
      <c r="P5" s="15">
        <f t="shared" si="1"/>
        <v>-11.280023061</v>
      </c>
      <c r="Q5" s="15">
        <f t="shared" si="1"/>
        <v>-6.9776266260000002</v>
      </c>
      <c r="R5" s="15">
        <f t="shared" si="1"/>
        <v>-6.1682247630000004</v>
      </c>
      <c r="S5" s="15">
        <f t="shared" si="1"/>
        <v>-3.1507382079999999</v>
      </c>
      <c r="T5" s="15">
        <f t="shared" si="1"/>
        <v>-8.9609775379999999</v>
      </c>
      <c r="U5" s="15">
        <f t="shared" si="1"/>
        <v>-12.990475420999999</v>
      </c>
      <c r="V5" s="15">
        <f t="shared" si="1"/>
        <v>-2.9254753469999999</v>
      </c>
      <c r="W5" s="15">
        <f t="shared" si="1"/>
        <v>-10.769850757</v>
      </c>
      <c r="X5" s="15">
        <f t="shared" si="1"/>
        <v>-8.9098688030000002</v>
      </c>
      <c r="Y5" s="15">
        <f t="shared" si="1"/>
        <v>-9.2378443059999995</v>
      </c>
      <c r="Z5" s="15">
        <f t="shared" si="1"/>
        <v>-15.470492227999999</v>
      </c>
      <c r="AA5" s="15">
        <f t="shared" si="1"/>
        <v>-9.9061124889999999</v>
      </c>
      <c r="AC5" s="18" t="s">
        <v>370</v>
      </c>
      <c r="AE5" s="19"/>
    </row>
    <row r="6" spans="2:34" x14ac:dyDescent="0.2">
      <c r="B6" s="6" t="s">
        <v>371</v>
      </c>
      <c r="C6" s="15">
        <f>AVERAGE(C90:C93)</f>
        <v>-0.55605024825000005</v>
      </c>
      <c r="D6" s="15">
        <f t="shared" ref="D6:AA6" si="2">AVERAGE(D90:D93)</f>
        <v>1.3250000000000002</v>
      </c>
      <c r="E6" s="15">
        <f t="shared" si="2"/>
        <v>-0.63372300000000026</v>
      </c>
      <c r="F6" s="15">
        <f t="shared" si="2"/>
        <v>-1.2722989459999998</v>
      </c>
      <c r="G6" s="15">
        <f t="shared" si="2"/>
        <v>-0.69788582450000014</v>
      </c>
      <c r="H6" s="15">
        <f t="shared" si="2"/>
        <v>-0.2441314564999999</v>
      </c>
      <c r="I6" s="15">
        <f t="shared" si="2"/>
        <v>-1.337346031</v>
      </c>
      <c r="J6" s="15">
        <f t="shared" si="2"/>
        <v>-0.77834976724999994</v>
      </c>
      <c r="K6" s="15">
        <f t="shared" si="2"/>
        <v>-1.4670705919999998</v>
      </c>
      <c r="L6" s="15">
        <f t="shared" si="2"/>
        <v>-0.3228391115</v>
      </c>
      <c r="M6" s="15">
        <f t="shared" si="2"/>
        <v>-1.6504273177500002</v>
      </c>
      <c r="N6" s="15">
        <f t="shared" si="2"/>
        <v>-0.66922016049999999</v>
      </c>
      <c r="O6" s="15">
        <f t="shared" si="2"/>
        <v>-0.49260210350000033</v>
      </c>
      <c r="P6" s="15">
        <f t="shared" si="2"/>
        <v>-1.0318608285000002</v>
      </c>
      <c r="Q6" s="15">
        <f t="shared" si="2"/>
        <v>-0.84884784375</v>
      </c>
      <c r="R6" s="15">
        <f t="shared" si="2"/>
        <v>-0.23119471300000005</v>
      </c>
      <c r="S6" s="15">
        <f t="shared" si="2"/>
        <v>-0.22259142250000008</v>
      </c>
      <c r="T6" s="15">
        <f t="shared" si="2"/>
        <v>-0.80929872925000002</v>
      </c>
      <c r="U6" s="15">
        <f t="shared" si="2"/>
        <v>-2.3937215567499996</v>
      </c>
      <c r="V6" s="15">
        <f t="shared" si="2"/>
        <v>2.8078255257499998</v>
      </c>
      <c r="W6" s="15">
        <f t="shared" si="2"/>
        <v>1.8603809869999997</v>
      </c>
      <c r="X6" s="15">
        <f t="shared" si="2"/>
        <v>-1.2250911302499998</v>
      </c>
      <c r="Y6" s="15">
        <f t="shared" si="2"/>
        <v>-0.33451302549999995</v>
      </c>
      <c r="Z6" s="15">
        <f t="shared" si="2"/>
        <v>-2.1317442577499999</v>
      </c>
      <c r="AA6" s="15">
        <f t="shared" si="2"/>
        <v>0.71372187849999991</v>
      </c>
      <c r="AC6" s="20"/>
      <c r="AD6" s="1" t="s">
        <v>372</v>
      </c>
      <c r="AE6" s="19" t="s">
        <v>34</v>
      </c>
    </row>
    <row r="7" spans="2:34" ht="16" thickBot="1" x14ac:dyDescent="0.25">
      <c r="B7" s="6" t="s">
        <v>373</v>
      </c>
      <c r="C7" s="15" t="str">
        <f t="shared" ref="C7:Y7" si="3">IF((VLOOKUP($AE$2,$B:$Y,MATCH(C3,$B$3:$Y$3,),))&gt;C6,"above","below")</f>
        <v>above</v>
      </c>
      <c r="D7" s="15" t="str">
        <f t="shared" si="3"/>
        <v>below</v>
      </c>
      <c r="E7" s="15" t="str">
        <f t="shared" si="3"/>
        <v>above</v>
      </c>
      <c r="F7" s="15" t="str">
        <f t="shared" si="3"/>
        <v>above</v>
      </c>
      <c r="G7" s="15" t="str">
        <f t="shared" si="3"/>
        <v>above</v>
      </c>
      <c r="H7" s="15" t="str">
        <f t="shared" si="3"/>
        <v>above</v>
      </c>
      <c r="I7" s="15" t="str">
        <f t="shared" si="3"/>
        <v>above</v>
      </c>
      <c r="J7" s="15" t="str">
        <f t="shared" si="3"/>
        <v>above</v>
      </c>
      <c r="K7" s="15" t="str">
        <f t="shared" si="3"/>
        <v>above</v>
      </c>
      <c r="L7" s="15" t="str">
        <f t="shared" si="3"/>
        <v>above</v>
      </c>
      <c r="M7" s="15" t="str">
        <f t="shared" si="3"/>
        <v>above</v>
      </c>
      <c r="N7" s="15" t="str">
        <f t="shared" si="3"/>
        <v>above</v>
      </c>
      <c r="O7" s="15" t="str">
        <f t="shared" si="3"/>
        <v>above</v>
      </c>
      <c r="P7" s="15" t="str">
        <f t="shared" si="3"/>
        <v>above</v>
      </c>
      <c r="Q7" s="15" t="str">
        <f t="shared" si="3"/>
        <v>above</v>
      </c>
      <c r="R7" s="15" t="str">
        <f t="shared" si="3"/>
        <v>above</v>
      </c>
      <c r="S7" s="15" t="str">
        <f t="shared" si="3"/>
        <v>above</v>
      </c>
      <c r="T7" s="15" t="str">
        <f t="shared" si="3"/>
        <v>above</v>
      </c>
      <c r="U7" s="15" t="str">
        <f t="shared" si="3"/>
        <v>above</v>
      </c>
      <c r="V7" s="15" t="str">
        <f t="shared" si="3"/>
        <v>above</v>
      </c>
      <c r="W7" s="15" t="str">
        <f t="shared" si="3"/>
        <v>below</v>
      </c>
      <c r="X7" s="15" t="str">
        <f t="shared" si="3"/>
        <v>above</v>
      </c>
      <c r="Y7" s="15" t="str">
        <f t="shared" si="3"/>
        <v>above</v>
      </c>
      <c r="Z7" s="15" t="str">
        <f>IF((VLOOKUP($AE$2,$B:$Z,MATCH(Z3,$B$3:$Z$3,),))&gt;Z6,"above","below")</f>
        <v>above</v>
      </c>
      <c r="AA7" s="15" t="str">
        <f>IF((VLOOKUP($AE$2,$B:$AA,MATCH(AA3,$B$3:$AA$3,),))&gt;AA6,"above","below")</f>
        <v>above</v>
      </c>
      <c r="AC7" s="21"/>
      <c r="AD7" s="22" t="s">
        <v>374</v>
      </c>
      <c r="AE7" s="23" t="s">
        <v>8</v>
      </c>
    </row>
    <row r="8" spans="2:34" x14ac:dyDescent="0.2">
      <c r="B8" s="6" t="s">
        <v>375</v>
      </c>
      <c r="C8" s="15">
        <f t="shared" ref="C8:Y8" si="4">VLOOKUP($AE$2,$B:$Y,MATCH(C3,$B$3:$Y$3,),)-VLOOKUP($AE$4,$B:$Y,MATCH(C3,$B$3:$Y$3,),)</f>
        <v>0.91478731800000002</v>
      </c>
      <c r="D8" s="15">
        <f t="shared" si="4"/>
        <v>0.10000000000000009</v>
      </c>
      <c r="E8" s="15">
        <f t="shared" si="4"/>
        <v>1.9520339999999998</v>
      </c>
      <c r="F8" s="15">
        <f t="shared" si="4"/>
        <v>0.34649410800000002</v>
      </c>
      <c r="G8" s="15">
        <f t="shared" si="4"/>
        <v>1.2221427149999999</v>
      </c>
      <c r="H8" s="15">
        <f t="shared" si="4"/>
        <v>0.94468577700000012</v>
      </c>
      <c r="I8" s="15">
        <f t="shared" si="4"/>
        <v>4.3189468700000004</v>
      </c>
      <c r="J8" s="15">
        <f t="shared" si="4"/>
        <v>2.4907457470000001</v>
      </c>
      <c r="K8" s="15">
        <f t="shared" si="4"/>
        <v>0.67838529399999992</v>
      </c>
      <c r="L8" s="15">
        <f t="shared" si="4"/>
        <v>0.24873074299999998</v>
      </c>
      <c r="M8" s="15">
        <f t="shared" si="4"/>
        <v>1.3253521180000001</v>
      </c>
      <c r="N8" s="15">
        <f t="shared" si="4"/>
        <v>4.4372154540000004</v>
      </c>
      <c r="O8" s="15">
        <f t="shared" si="4"/>
        <v>1.7806195239999998</v>
      </c>
      <c r="P8" s="15">
        <f t="shared" si="4"/>
        <v>-0.74061986499999999</v>
      </c>
      <c r="Q8" s="15">
        <f t="shared" si="4"/>
        <v>-0.14031725699999997</v>
      </c>
      <c r="R8" s="15">
        <f t="shared" si="4"/>
        <v>1.220655866</v>
      </c>
      <c r="S8" s="15">
        <f t="shared" si="4"/>
        <v>0.36567416000000003</v>
      </c>
      <c r="T8" s="15">
        <f t="shared" si="4"/>
        <v>-2.4348475000000001E-2</v>
      </c>
      <c r="U8" s="15">
        <f t="shared" si="4"/>
        <v>4.019857053</v>
      </c>
      <c r="V8" s="15">
        <f t="shared" si="4"/>
        <v>6.692255007</v>
      </c>
      <c r="W8" s="15">
        <f t="shared" si="4"/>
        <v>0.84999305800000002</v>
      </c>
      <c r="X8" s="15">
        <f t="shared" si="4"/>
        <v>0.47587464300000015</v>
      </c>
      <c r="Y8" s="15">
        <f t="shared" si="4"/>
        <v>0.86213318899999991</v>
      </c>
      <c r="Z8" s="15">
        <f>VLOOKUP($AE$2,$B:$Z,MATCH(Z3,$B$3:$Z$3,),)-VLOOKUP($AE$4,$B:$Z,MATCH(Z3,$B$3:$Z$3,),)</f>
        <v>-2.043651798</v>
      </c>
      <c r="AA8" s="15">
        <f>VLOOKUP($AE$2,$B:$AA,MATCH(AA3,$B$3:$AA$3,),)-VLOOKUP($AE$4,$B:$AA,MATCH(AA3,$B$3:$AA$3,),)</f>
        <v>1.8668464500000002</v>
      </c>
    </row>
    <row r="9" spans="2:34" x14ac:dyDescent="0.2">
      <c r="B9" s="6" t="s">
        <v>376</v>
      </c>
      <c r="C9" s="15">
        <f t="shared" ref="C9:Y9" si="5">VLOOKUP($AE$2,$B:$Y,MATCH(C3,$B$3:$Y$3,),)-VLOOKUP($AE$3,$B:$Y,MATCH(C3,$B$3:$Y$3,),)</f>
        <v>10.53753661</v>
      </c>
      <c r="D9" s="15">
        <f t="shared" si="5"/>
        <v>-8.6999999999999993</v>
      </c>
      <c r="E9" s="15">
        <f t="shared" si="5"/>
        <v>13.904772000000001</v>
      </c>
      <c r="F9" s="15">
        <f t="shared" si="5"/>
        <v>8.3988543119999992</v>
      </c>
      <c r="G9" s="15">
        <f t="shared" si="5"/>
        <v>11.629307461</v>
      </c>
      <c r="H9" s="15">
        <f t="shared" si="5"/>
        <v>14.596929573999999</v>
      </c>
      <c r="I9" s="15">
        <f t="shared" si="5"/>
        <v>24.283638601</v>
      </c>
      <c r="J9" s="15">
        <f t="shared" si="5"/>
        <v>15.740187274</v>
      </c>
      <c r="K9" s="15">
        <f t="shared" si="5"/>
        <v>18.709488465</v>
      </c>
      <c r="L9" s="15">
        <f t="shared" si="5"/>
        <v>8.9856738010000008</v>
      </c>
      <c r="M9" s="15">
        <f t="shared" si="5"/>
        <v>18.781728773000001</v>
      </c>
      <c r="N9" s="15">
        <f t="shared" si="5"/>
        <v>7.8455825209999999</v>
      </c>
      <c r="O9" s="15">
        <f t="shared" si="5"/>
        <v>9.1468251739999999</v>
      </c>
      <c r="P9" s="15">
        <f t="shared" si="5"/>
        <v>10.991507316</v>
      </c>
      <c r="Q9" s="15">
        <f t="shared" si="5"/>
        <v>7.6444420940000004</v>
      </c>
      <c r="R9" s="15">
        <f t="shared" si="5"/>
        <v>7.9629634970000005</v>
      </c>
      <c r="S9" s="15">
        <f t="shared" si="5"/>
        <v>3.9214498129999997</v>
      </c>
      <c r="T9" s="15">
        <f t="shared" si="5"/>
        <v>8.9069670979999991</v>
      </c>
      <c r="U9" s="15">
        <f t="shared" si="5"/>
        <v>16.424651701999998</v>
      </c>
      <c r="V9" s="15">
        <f t="shared" si="5"/>
        <v>9.2041886469999987</v>
      </c>
      <c r="W9" s="15">
        <f t="shared" si="5"/>
        <v>11.670469256000001</v>
      </c>
      <c r="X9" s="15">
        <f t="shared" si="5"/>
        <v>9.9342287460000005</v>
      </c>
      <c r="Y9" s="15">
        <f t="shared" si="5"/>
        <v>11.291189776</v>
      </c>
      <c r="Z9" s="15">
        <f>VLOOKUP($AE$2,$B:$Z,MATCH(Z3,$B$3:$Z$3,),)-VLOOKUP($AE$3,$B:$Z,MATCH(Z3,$B$3:$Z$3,),)</f>
        <v>14.077812544</v>
      </c>
      <c r="AA9" s="15">
        <f>VLOOKUP($AE$2,$B:$AA,MATCH(AA3,$B$3:$AA$3,),)-VLOOKUP($AE$3,$B:$AA,MATCH(AA3,$B$3:$AA$3,),)</f>
        <v>12.656843705</v>
      </c>
    </row>
    <row r="10" spans="2:34" x14ac:dyDescent="0.2">
      <c r="B10" s="6"/>
      <c r="C10" s="24"/>
      <c r="D10" s="24"/>
      <c r="E10" s="24"/>
      <c r="F10" s="24"/>
      <c r="G10" s="24"/>
      <c r="H10" s="24"/>
      <c r="I10" s="24"/>
      <c r="J10" s="24"/>
      <c r="K10" s="24"/>
      <c r="L10" s="24"/>
      <c r="M10" s="24"/>
      <c r="N10" s="24"/>
      <c r="O10" s="24"/>
      <c r="P10" s="24"/>
      <c r="Q10" s="24"/>
      <c r="R10" s="25"/>
      <c r="S10" s="24"/>
      <c r="T10" s="24"/>
      <c r="U10" s="24"/>
      <c r="V10" s="24"/>
      <c r="W10" s="24"/>
      <c r="X10" s="24"/>
      <c r="Y10" s="24"/>
      <c r="Z10" s="24"/>
      <c r="AA10" s="24"/>
    </row>
    <row r="11" spans="2:34" hidden="1" x14ac:dyDescent="0.2">
      <c r="B11" s="26" t="s">
        <v>260</v>
      </c>
      <c r="C11" s="27">
        <f>VLOOKUP(B11,'Data qoq'!$A:$AT,MATCH($C$1,'Data qoq'!$A$1:$AT$1,),)</f>
        <v>0.36444736100000003</v>
      </c>
      <c r="D11" s="27">
        <f>VLOOKUP(B11,'Data qoq'!$A:$AT,MATCH($D$1,'Data qoq'!$A$1:$AT$1,),)</f>
        <v>0</v>
      </c>
      <c r="E11" s="27">
        <f>VLOOKUP(B11,'Data qoq'!$A:$AT,MATCH($E$1,'Data qoq'!$A$1:$AT$1,),)</f>
        <v>1.2338100000000001</v>
      </c>
      <c r="F11" s="27">
        <f>VLOOKUP(B11,'Data qoq'!$A:$AT,MATCH($F$1,'Data qoq'!$A$1:$AT$1,),)</f>
        <v>1.707938256</v>
      </c>
      <c r="G11" s="27">
        <f>VLOOKUP(B11,'Data qoq'!$A:$AT,MATCH($G$1,'Data qoq'!$A$1:$AT$1,),)</f>
        <v>1.430876974</v>
      </c>
      <c r="H11" s="27">
        <f>VLOOKUP(B11,'Data qoq'!$A:$AT,MATCH($H$1,'Data qoq'!$A$1:$AT$1,),)</f>
        <v>0.908571621</v>
      </c>
      <c r="I11" s="27">
        <f>VLOOKUP(B11,'Data qoq'!$A:$AT,MATCH($I$1,'Data qoq'!$A$1:$AT$1,),)</f>
        <v>0.80528592700000001</v>
      </c>
      <c r="J11" s="27">
        <f>VLOOKUP(B11,'Data qoq'!$A:$AT,MATCH($J$1,'Data qoq'!$A$1:$AT$1,),)</f>
        <v>1.1745673459999999</v>
      </c>
      <c r="K11" s="27">
        <f>VLOOKUP(B11,'Data qoq'!$A:$AT,MATCH($K$1,'Data qoq'!$A$1:$AT$1,),)</f>
        <v>1.5996598479999999</v>
      </c>
      <c r="L11" s="27">
        <f>VLOOKUP(B11,'Data qoq'!$A:$AT,MATCH($L$1,'Data qoq'!$A$1:$AT$1,),)</f>
        <v>0.70105533499999995</v>
      </c>
      <c r="M11" s="27">
        <f>VLOOKUP(B11,'Data qoq'!$A:$AT,MATCH($M$1,'Data qoq'!$A$1:$AT$1,),)</f>
        <v>1.9258357669999999</v>
      </c>
      <c r="N11" s="27">
        <f>VLOOKUP(B11,'Data qoq'!$A:$AT,MATCH($N$1,'Data qoq'!$A$1:$AT$1,),)</f>
        <v>0</v>
      </c>
      <c r="O11" s="27">
        <f>VLOOKUP(B11,'Data qoq'!$A:$AT,MATCH($C$1,'Data qoq'!$J$1:$AT$1,),)</f>
        <v>0.62271010999999998</v>
      </c>
      <c r="P11" s="27">
        <f>VLOOKUP(B11,'Data qoq'!$A:$AT,MATCH($P$1,'Data qoq'!$A$1:$AT$1,),)</f>
        <v>1.59973568</v>
      </c>
      <c r="Q11" s="27">
        <f>VLOOKUP(B11,'Data qoq'!$A:$AT,MATCH($Q$1,'Data qoq'!$A$1:$AT$1,),)</f>
        <v>0.36249632599999998</v>
      </c>
      <c r="R11" s="27">
        <f>VLOOKUP(B11,'Data qoq'!$A:$AT,MATCH($E$1,'Data qoq'!$A$1:$AT$1,),)</f>
        <v>1.2338100000000001</v>
      </c>
      <c r="S11" s="27">
        <f>VLOOKUP(B11,'Data qoq'!$A:$AT,MATCH($S$1,'Data qoq'!$A$1:$AT$1,),)</f>
        <v>1.895051738</v>
      </c>
      <c r="T11" s="27">
        <f>VLOOKUP(B11,'Data qoq'!$A:$AT,MATCH($T$1,'Data qoq'!$A$1:$AT$1,),)</f>
        <v>1.0589441390000001</v>
      </c>
      <c r="U11" s="27">
        <f>VLOOKUP(B11,'Data qoq'!$A:$AT,MATCH($U$1,'Data qoq'!$A$1:$AT$1,),)</f>
        <v>0.37966255999999998</v>
      </c>
      <c r="V11" s="27">
        <f>VLOOKUP(B11,'Data qoq'!$A:$AT,MATCH($V$1,'Data qoq'!$A$1:$AT$1,),)</f>
        <v>1.3066733770000001</v>
      </c>
      <c r="W11" s="27">
        <f>VLOOKUP(B11,'Data qoq'!$A:$AT,MATCH($W$1,'Data qoq'!$A$1:$AT$1,),)</f>
        <v>1.5748513790000001</v>
      </c>
      <c r="X11" s="27">
        <f>VLOOKUP(B11,'Data qoq'!$A:$AT,MATCH($X$1,'Data qoq'!$A$1:$AT$1,),)</f>
        <v>1.357098004</v>
      </c>
      <c r="Y11" s="27">
        <f>VLOOKUP(B11,'Data qoq'!$A:$AT,MATCH($Y$1,'Data qoq'!$A$1:$AT$1,),)</f>
        <v>-0.34101668200000002</v>
      </c>
      <c r="Z11" s="27">
        <f>VLOOKUP(B11,'Data qoq'!$A:$AU,MATCH($Z$1,'Data qoq'!$A$1:$AU$1,),)</f>
        <v>-0.34000240700000001</v>
      </c>
      <c r="AA11" s="27" t="e">
        <f>VLOOKUP(C11,'Data qoq'!$A:$AU,MATCH($Z$1,'Data qoq'!$A$1:$AU$1,),)</f>
        <v>#N/A</v>
      </c>
      <c r="AC11" s="28" t="str">
        <f>B11</f>
        <v>2000-Q1</v>
      </c>
      <c r="AD11" s="29">
        <f t="shared" ref="AD11:AD42" si="6">(VLOOKUP(AC11,B:Y,MATCH($AE$6,$B$1:$Y$1,),))-(VLOOKUP(AC11,B:Y,MATCH($AE$7,$B$1:$Y$1,),))</f>
        <v>-1.0664296129999999</v>
      </c>
      <c r="AE11" s="29">
        <f>C11-G11</f>
        <v>-1.0664296129999999</v>
      </c>
    </row>
    <row r="12" spans="2:34" hidden="1" x14ac:dyDescent="0.2">
      <c r="B12" s="26" t="s">
        <v>261</v>
      </c>
      <c r="C12" s="27">
        <f>VLOOKUP(B12,'Data qoq'!$A:$AT,MATCH($C$1,'Data qoq'!$A$1:$AT$1,),)</f>
        <v>1.8205830080000001</v>
      </c>
      <c r="D12" s="27">
        <f>VLOOKUP(B12,'Data qoq'!$A:$AT,MATCH($D$1,'Data qoq'!$A$1:$AT$1,),)</f>
        <v>0</v>
      </c>
      <c r="E12" s="27">
        <f>VLOOKUP(B12,'Data qoq'!$A:$AT,MATCH($E$1,'Data qoq'!$A$1:$AT$1,),)</f>
        <v>0.90307800000000005</v>
      </c>
      <c r="F12" s="27">
        <f>VLOOKUP(B12,'Data qoq'!$A:$AT,MATCH($F$1,'Data qoq'!$A$1:$AT$1,),)</f>
        <v>0.46580867599999998</v>
      </c>
      <c r="G12" s="27">
        <f>VLOOKUP(B12,'Data qoq'!$A:$AT,MATCH($G$1,'Data qoq'!$A$1:$AT$1,),)</f>
        <v>0.821432516</v>
      </c>
      <c r="H12" s="27">
        <f>VLOOKUP(B12,'Data qoq'!$A:$AT,MATCH($H$1,'Data qoq'!$A$1:$AT$1,),)</f>
        <v>0.99096279200000004</v>
      </c>
      <c r="I12" s="27">
        <f>VLOOKUP(B12,'Data qoq'!$A:$AT,MATCH($I$1,'Data qoq'!$A$1:$AT$1,),)</f>
        <v>0.60596473399999995</v>
      </c>
      <c r="J12" s="27">
        <f>VLOOKUP(B12,'Data qoq'!$A:$AT,MATCH($J$1,'Data qoq'!$A$1:$AT$1,),)</f>
        <v>0.73143672699999995</v>
      </c>
      <c r="K12" s="27">
        <f>VLOOKUP(B12,'Data qoq'!$A:$AT,MATCH($K$1,'Data qoq'!$A$1:$AT$1,),)</f>
        <v>1.2522319770000001</v>
      </c>
      <c r="L12" s="27">
        <f>VLOOKUP(B12,'Data qoq'!$A:$AT,MATCH($L$1,'Data qoq'!$A$1:$AT$1,),)</f>
        <v>2.4820457349999998</v>
      </c>
      <c r="M12" s="27">
        <f>VLOOKUP(B12,'Data qoq'!$A:$AT,MATCH($M$1,'Data qoq'!$A$1:$AT$1,),)</f>
        <v>1.5115141949999999</v>
      </c>
      <c r="N12" s="27">
        <f>VLOOKUP(B12,'Data qoq'!$A:$AT,MATCH($N$1,'Data qoq'!$A$1:$AT$1,),)</f>
        <v>0</v>
      </c>
      <c r="O12" s="27">
        <f>VLOOKUP(B12,'Data qoq'!$A:$AT,MATCH($C$1,'Data qoq'!$J$1:$AT$1,),)</f>
        <v>1.1168028889999999</v>
      </c>
      <c r="P12" s="27">
        <f>VLOOKUP(B12,'Data qoq'!$A:$AT,MATCH($P$1,'Data qoq'!$A$1:$AT$1,),)</f>
        <v>1.1885847089999999</v>
      </c>
      <c r="Q12" s="27">
        <f>VLOOKUP(B12,'Data qoq'!$A:$AT,MATCH($Q$1,'Data qoq'!$A$1:$AT$1,),)</f>
        <v>0.923188487</v>
      </c>
      <c r="R12" s="27">
        <f>VLOOKUP(B12,'Data qoq'!$A:$AT,MATCH($E$1,'Data qoq'!$A$1:$AT$1,),)</f>
        <v>0.90307800000000005</v>
      </c>
      <c r="S12" s="27">
        <f>VLOOKUP(B12,'Data qoq'!$A:$AT,MATCH($S$1,'Data qoq'!$A$1:$AT$1,),)</f>
        <v>1.3325102150000001</v>
      </c>
      <c r="T12" s="27">
        <f>VLOOKUP(B12,'Data qoq'!$A:$AT,MATCH($T$1,'Data qoq'!$A$1:$AT$1,),)</f>
        <v>1.401883497</v>
      </c>
      <c r="U12" s="27">
        <f>VLOOKUP(B12,'Data qoq'!$A:$AT,MATCH($U$1,'Data qoq'!$A$1:$AT$1,),)</f>
        <v>0.92199407799999999</v>
      </c>
      <c r="V12" s="27">
        <f>VLOOKUP(B12,'Data qoq'!$A:$AT,MATCH($V$1,'Data qoq'!$A$1:$AT$1,),)</f>
        <v>3.2753115180000001</v>
      </c>
      <c r="W12" s="27">
        <f>VLOOKUP(B12,'Data qoq'!$A:$AT,MATCH($W$1,'Data qoq'!$A$1:$AT$1,),)</f>
        <v>3.8933703569999998</v>
      </c>
      <c r="X12" s="27">
        <f>VLOOKUP(B12,'Data qoq'!$A:$AT,MATCH($X$1,'Data qoq'!$A$1:$AT$1,),)</f>
        <v>1.0430145470000001</v>
      </c>
      <c r="Y12" s="27">
        <f>VLOOKUP(B12,'Data qoq'!$A:$AT,MATCH($Y$1,'Data qoq'!$A$1:$AT$1,),)</f>
        <v>1.2045631139999999</v>
      </c>
      <c r="Z12" s="27">
        <f>VLOOKUP(B12,'Data qoq'!$A:$AU,MATCH($Z$1,'Data qoq'!$A$1:$AU$1,),)</f>
        <v>-1.6088924600000001</v>
      </c>
      <c r="AA12" s="27" t="e">
        <f>VLOOKUP(C12,'Data qoq'!$A:$AU,MATCH($Z$1,'Data qoq'!$A$1:$AU$1,),)</f>
        <v>#N/A</v>
      </c>
      <c r="AC12" s="28" t="str">
        <f t="shared" ref="AC12:AC75" si="7">B12</f>
        <v>2000-Q2</v>
      </c>
      <c r="AD12" s="29">
        <f t="shared" si="6"/>
        <v>0.99915049200000006</v>
      </c>
      <c r="AE12" s="29">
        <f t="shared" ref="AE12:AE75" si="8">C12-G12</f>
        <v>0.99915049200000006</v>
      </c>
    </row>
    <row r="13" spans="2:34" hidden="1" x14ac:dyDescent="0.2">
      <c r="B13" s="26" t="s">
        <v>262</v>
      </c>
      <c r="C13" s="27">
        <f>VLOOKUP(B13,'Data qoq'!$A:$AT,MATCH($C$1,'Data qoq'!$A$1:$AT$1,),)</f>
        <v>9.9774128000000004E-2</v>
      </c>
      <c r="D13" s="27">
        <f>VLOOKUP(B13,'Data qoq'!$A:$AT,MATCH($D$1,'Data qoq'!$A$1:$AT$1,),)</f>
        <v>0</v>
      </c>
      <c r="E13" s="27">
        <f>VLOOKUP(B13,'Data qoq'!$A:$AT,MATCH($E$1,'Data qoq'!$A$1:$AT$1,),)</f>
        <v>0.55272500000000002</v>
      </c>
      <c r="F13" s="27">
        <f>VLOOKUP(B13,'Data qoq'!$A:$AT,MATCH($F$1,'Data qoq'!$A$1:$AT$1,),)</f>
        <v>2.5885027000000001E-2</v>
      </c>
      <c r="G13" s="27">
        <f>VLOOKUP(B13,'Data qoq'!$A:$AT,MATCH($G$1,'Data qoq'!$A$1:$AT$1,),)</f>
        <v>-2.3611874000000001E-2</v>
      </c>
      <c r="H13" s="27">
        <f>VLOOKUP(B13,'Data qoq'!$A:$AT,MATCH($H$1,'Data qoq'!$A$1:$AT$1,),)</f>
        <v>0.61854990300000001</v>
      </c>
      <c r="I13" s="27">
        <f>VLOOKUP(B13,'Data qoq'!$A:$AT,MATCH($I$1,'Data qoq'!$A$1:$AT$1,),)</f>
        <v>0.29342246700000002</v>
      </c>
      <c r="J13" s="27">
        <f>VLOOKUP(B13,'Data qoq'!$A:$AT,MATCH($J$1,'Data qoq'!$A$1:$AT$1,),)</f>
        <v>0.63995090700000001</v>
      </c>
      <c r="K13" s="27">
        <f>VLOOKUP(B13,'Data qoq'!$A:$AT,MATCH($K$1,'Data qoq'!$A$1:$AT$1,),)</f>
        <v>1.0792242439999999</v>
      </c>
      <c r="L13" s="27">
        <f>VLOOKUP(B13,'Data qoq'!$A:$AT,MATCH($L$1,'Data qoq'!$A$1:$AT$1,),)</f>
        <v>0.81383961299999996</v>
      </c>
      <c r="M13" s="27">
        <f>VLOOKUP(B13,'Data qoq'!$A:$AT,MATCH($M$1,'Data qoq'!$A$1:$AT$1,),)</f>
        <v>0.77649150899999997</v>
      </c>
      <c r="N13" s="27">
        <f>VLOOKUP(B13,'Data qoq'!$A:$AT,MATCH($N$1,'Data qoq'!$A$1:$AT$1,),)</f>
        <v>0</v>
      </c>
      <c r="O13" s="27">
        <f>VLOOKUP(B13,'Data qoq'!$A:$AT,MATCH($C$1,'Data qoq'!$J$1:$AT$1,),)</f>
        <v>0.82516336300000004</v>
      </c>
      <c r="P13" s="27">
        <f>VLOOKUP(B13,'Data qoq'!$A:$AT,MATCH($P$1,'Data qoq'!$A$1:$AT$1,),)</f>
        <v>1.0169817880000001</v>
      </c>
      <c r="Q13" s="27">
        <f>VLOOKUP(B13,'Data qoq'!$A:$AT,MATCH($Q$1,'Data qoq'!$A$1:$AT$1,),)</f>
        <v>0.19379577200000001</v>
      </c>
      <c r="R13" s="27">
        <f>VLOOKUP(B13,'Data qoq'!$A:$AT,MATCH($E$1,'Data qoq'!$A$1:$AT$1,),)</f>
        <v>0.55272500000000002</v>
      </c>
      <c r="S13" s="27">
        <f>VLOOKUP(B13,'Data qoq'!$A:$AT,MATCH($S$1,'Data qoq'!$A$1:$AT$1,),)</f>
        <v>2.754591172</v>
      </c>
      <c r="T13" s="27">
        <f>VLOOKUP(B13,'Data qoq'!$A:$AT,MATCH($T$1,'Data qoq'!$A$1:$AT$1,),)</f>
        <v>1.197025912</v>
      </c>
      <c r="U13" s="27">
        <f>VLOOKUP(B13,'Data qoq'!$A:$AT,MATCH($U$1,'Data qoq'!$A$1:$AT$1,),)</f>
        <v>1.8684096670000001</v>
      </c>
      <c r="V13" s="27">
        <f>VLOOKUP(B13,'Data qoq'!$A:$AT,MATCH($V$1,'Data qoq'!$A$1:$AT$1,),)</f>
        <v>2.280912378</v>
      </c>
      <c r="W13" s="27">
        <f>VLOOKUP(B13,'Data qoq'!$A:$AT,MATCH($W$1,'Data qoq'!$A$1:$AT$1,),)</f>
        <v>1.4893164219999999</v>
      </c>
      <c r="X13" s="27">
        <f>VLOOKUP(B13,'Data qoq'!$A:$AT,MATCH($X$1,'Data qoq'!$A$1:$AT$1,),)</f>
        <v>1.3601614339999999</v>
      </c>
      <c r="Y13" s="27">
        <f>VLOOKUP(B13,'Data qoq'!$A:$AT,MATCH($Y$1,'Data qoq'!$A$1:$AT$1,),)</f>
        <v>0.38726986099999999</v>
      </c>
      <c r="Z13" s="27">
        <f>VLOOKUP(B13,'Data qoq'!$A:$AU,MATCH($Z$1,'Data qoq'!$A$1:$AU$1,),)</f>
        <v>-0.25518508200000001</v>
      </c>
      <c r="AA13" s="27">
        <f>VLOOKUP(B13,'Data qoq'!$A:$AU,MATCH($AA$1,'Data qoq'!$A$1:$AU$1,),)</f>
        <v>0.39260816100000001</v>
      </c>
      <c r="AC13" s="28" t="str">
        <f t="shared" si="7"/>
        <v>2000-Q3</v>
      </c>
      <c r="AD13" s="29">
        <f t="shared" si="6"/>
        <v>0.12338600200000001</v>
      </c>
      <c r="AE13" s="29">
        <f t="shared" si="8"/>
        <v>0.12338600200000001</v>
      </c>
    </row>
    <row r="14" spans="2:34" hidden="1" x14ac:dyDescent="0.2">
      <c r="B14" s="26" t="s">
        <v>263</v>
      </c>
      <c r="C14" s="27">
        <f>VLOOKUP(B14,'Data qoq'!$A:$AT,MATCH($C$1,'Data qoq'!$A$1:$AT$1,),)</f>
        <v>0.59436175499999999</v>
      </c>
      <c r="D14" s="27">
        <f>VLOOKUP(B14,'Data qoq'!$A:$AT,MATCH($D$1,'Data qoq'!$A$1:$AT$1,),)</f>
        <v>0</v>
      </c>
      <c r="E14" s="27">
        <f>VLOOKUP(B14,'Data qoq'!$A:$AT,MATCH($E$1,'Data qoq'!$A$1:$AT$1,),)</f>
        <v>0.66166100000000005</v>
      </c>
      <c r="F14" s="27">
        <f>VLOOKUP(B14,'Data qoq'!$A:$AT,MATCH($F$1,'Data qoq'!$A$1:$AT$1,),)</f>
        <v>0.969856724</v>
      </c>
      <c r="G14" s="27">
        <f>VLOOKUP(B14,'Data qoq'!$A:$AT,MATCH($G$1,'Data qoq'!$A$1:$AT$1,),)</f>
        <v>-0.30707993500000003</v>
      </c>
      <c r="H14" s="27">
        <f>VLOOKUP(B14,'Data qoq'!$A:$AT,MATCH($H$1,'Data qoq'!$A$1:$AT$1,),)</f>
        <v>0.818570876</v>
      </c>
      <c r="I14" s="27">
        <f>VLOOKUP(B14,'Data qoq'!$A:$AT,MATCH($I$1,'Data qoq'!$A$1:$AT$1,),)</f>
        <v>0.23617527499999999</v>
      </c>
      <c r="J14" s="27">
        <f>VLOOKUP(B14,'Data qoq'!$A:$AT,MATCH($J$1,'Data qoq'!$A$1:$AT$1,),)</f>
        <v>1.4337667599999999</v>
      </c>
      <c r="K14" s="27">
        <f>VLOOKUP(B14,'Data qoq'!$A:$AT,MATCH($K$1,'Data qoq'!$A$1:$AT$1,),)</f>
        <v>1.0304453899999999</v>
      </c>
      <c r="L14" s="27">
        <f>VLOOKUP(B14,'Data qoq'!$A:$AT,MATCH($L$1,'Data qoq'!$A$1:$AT$1,),)</f>
        <v>-0.30527104399999999</v>
      </c>
      <c r="M14" s="27">
        <f>VLOOKUP(B14,'Data qoq'!$A:$AT,MATCH($M$1,'Data qoq'!$A$1:$AT$1,),)</f>
        <v>-0.646374114</v>
      </c>
      <c r="N14" s="27">
        <f>VLOOKUP(B14,'Data qoq'!$A:$AT,MATCH($N$1,'Data qoq'!$A$1:$AT$1,),)</f>
        <v>0</v>
      </c>
      <c r="O14" s="27">
        <f>VLOOKUP(B14,'Data qoq'!$A:$AT,MATCH($C$1,'Data qoq'!$J$1:$AT$1,),)</f>
        <v>1.299729479</v>
      </c>
      <c r="P14" s="27">
        <f>VLOOKUP(B14,'Data qoq'!$A:$AT,MATCH($P$1,'Data qoq'!$A$1:$AT$1,),)</f>
        <v>0.17120740000000001</v>
      </c>
      <c r="Q14" s="27">
        <f>VLOOKUP(B14,'Data qoq'!$A:$AT,MATCH($Q$1,'Data qoq'!$A$1:$AT$1,),)</f>
        <v>-0.37477460099999998</v>
      </c>
      <c r="R14" s="27">
        <f>VLOOKUP(B14,'Data qoq'!$A:$AT,MATCH($E$1,'Data qoq'!$A$1:$AT$1,),)</f>
        <v>0.66166100000000005</v>
      </c>
      <c r="S14" s="27">
        <f>VLOOKUP(B14,'Data qoq'!$A:$AT,MATCH($S$1,'Data qoq'!$A$1:$AT$1,),)</f>
        <v>-0.32445797199999998</v>
      </c>
      <c r="T14" s="27">
        <f>VLOOKUP(B14,'Data qoq'!$A:$AT,MATCH($T$1,'Data qoq'!$A$1:$AT$1,),)</f>
        <v>1.2295597629999999</v>
      </c>
      <c r="U14" s="27">
        <f>VLOOKUP(B14,'Data qoq'!$A:$AT,MATCH($U$1,'Data qoq'!$A$1:$AT$1,),)</f>
        <v>1.418925598</v>
      </c>
      <c r="V14" s="27">
        <f>VLOOKUP(B14,'Data qoq'!$A:$AT,MATCH($V$1,'Data qoq'!$A$1:$AT$1,),)</f>
        <v>9.7509050000000007E-3</v>
      </c>
      <c r="W14" s="27">
        <f>VLOOKUP(B14,'Data qoq'!$A:$AT,MATCH($W$1,'Data qoq'!$A$1:$AT$1,),)</f>
        <v>1.436633405</v>
      </c>
      <c r="X14" s="27">
        <f>VLOOKUP(B14,'Data qoq'!$A:$AT,MATCH($X$1,'Data qoq'!$A$1:$AT$1,),)</f>
        <v>0.40518897100000001</v>
      </c>
      <c r="Y14" s="27">
        <f>VLOOKUP(B14,'Data qoq'!$A:$AT,MATCH($Y$1,'Data qoq'!$A$1:$AT$1,),)</f>
        <v>2.9321085180000002</v>
      </c>
      <c r="Z14" s="27">
        <f>VLOOKUP(B14,'Data qoq'!$A:$AU,MATCH($Z$1,'Data qoq'!$A$1:$AU$1,),)</f>
        <v>0.30685813499999998</v>
      </c>
      <c r="AA14" s="27">
        <f>VLOOKUP(B14,'Data qoq'!$A:$AU,MATCH($AA$1,'Data qoq'!$A$1:$AU$1,),)</f>
        <v>0.19824834099999999</v>
      </c>
      <c r="AC14" s="28" t="str">
        <f t="shared" si="7"/>
        <v>2000-Q4</v>
      </c>
      <c r="AD14" s="29">
        <f t="shared" si="6"/>
        <v>0.90144168999999996</v>
      </c>
      <c r="AE14" s="29">
        <f t="shared" si="8"/>
        <v>0.90144168999999996</v>
      </c>
    </row>
    <row r="15" spans="2:34" hidden="1" x14ac:dyDescent="0.2">
      <c r="B15" s="26" t="s">
        <v>264</v>
      </c>
      <c r="C15" s="27">
        <f>VLOOKUP(B15,'Data qoq'!$A:$AT,MATCH($C$1,'Data qoq'!$A$1:$AT$1,),)</f>
        <v>-0.32422100300000001</v>
      </c>
      <c r="D15" s="27">
        <f>VLOOKUP(B15,'Data qoq'!$A:$AT,MATCH($D$1,'Data qoq'!$A$1:$AT$1,),)</f>
        <v>0</v>
      </c>
      <c r="E15" s="27">
        <f>VLOOKUP(B15,'Data qoq'!$A:$AT,MATCH($E$1,'Data qoq'!$A$1:$AT$1,),)</f>
        <v>1.003293</v>
      </c>
      <c r="F15" s="27">
        <f>VLOOKUP(B15,'Data qoq'!$A:$AT,MATCH($F$1,'Data qoq'!$A$1:$AT$1,),)</f>
        <v>0.74209235699999998</v>
      </c>
      <c r="G15" s="27">
        <f>VLOOKUP(B15,'Data qoq'!$A:$AT,MATCH($G$1,'Data qoq'!$A$1:$AT$1,),)</f>
        <v>2.010957903</v>
      </c>
      <c r="H15" s="27">
        <f>VLOOKUP(B15,'Data qoq'!$A:$AT,MATCH($H$1,'Data qoq'!$A$1:$AT$1,),)</f>
        <v>0.54301662399999995</v>
      </c>
      <c r="I15" s="27">
        <f>VLOOKUP(B15,'Data qoq'!$A:$AT,MATCH($I$1,'Data qoq'!$A$1:$AT$1,),)</f>
        <v>1.1649760469999999</v>
      </c>
      <c r="J15" s="27">
        <f>VLOOKUP(B15,'Data qoq'!$A:$AT,MATCH($J$1,'Data qoq'!$A$1:$AT$1,),)</f>
        <v>0.57305545099999999</v>
      </c>
      <c r="K15" s="27">
        <f>VLOOKUP(B15,'Data qoq'!$A:$AT,MATCH($K$1,'Data qoq'!$A$1:$AT$1,),)</f>
        <v>1.0617582640000001</v>
      </c>
      <c r="L15" s="27">
        <f>VLOOKUP(B15,'Data qoq'!$A:$AT,MATCH($L$1,'Data qoq'!$A$1:$AT$1,),)</f>
        <v>0.38952552099999999</v>
      </c>
      <c r="M15" s="27">
        <f>VLOOKUP(B15,'Data qoq'!$A:$AT,MATCH($M$1,'Data qoq'!$A$1:$AT$1,),)</f>
        <v>3.1771203999999997E-2</v>
      </c>
      <c r="N15" s="27">
        <f>VLOOKUP(B15,'Data qoq'!$A:$AT,MATCH($N$1,'Data qoq'!$A$1:$AT$1,),)</f>
        <v>0</v>
      </c>
      <c r="O15" s="27">
        <f>VLOOKUP(B15,'Data qoq'!$A:$AT,MATCH($C$1,'Data qoq'!$J$1:$AT$1,),)</f>
        <v>0.10852068400000001</v>
      </c>
      <c r="P15" s="27">
        <f>VLOOKUP(B15,'Data qoq'!$A:$AT,MATCH($P$1,'Data qoq'!$A$1:$AT$1,),)</f>
        <v>0.529651011</v>
      </c>
      <c r="Q15" s="27">
        <f>VLOOKUP(B15,'Data qoq'!$A:$AT,MATCH($Q$1,'Data qoq'!$A$1:$AT$1,),)</f>
        <v>1.016078684</v>
      </c>
      <c r="R15" s="27">
        <f>VLOOKUP(B15,'Data qoq'!$A:$AT,MATCH($E$1,'Data qoq'!$A$1:$AT$1,),)</f>
        <v>1.003293</v>
      </c>
      <c r="S15" s="27">
        <f>VLOOKUP(B15,'Data qoq'!$A:$AT,MATCH($S$1,'Data qoq'!$A$1:$AT$1,),)</f>
        <v>1.2255548009999999</v>
      </c>
      <c r="T15" s="27">
        <f>VLOOKUP(B15,'Data qoq'!$A:$AT,MATCH($T$1,'Data qoq'!$A$1:$AT$1,),)</f>
        <v>0.34800729499999999</v>
      </c>
      <c r="U15" s="27">
        <f>VLOOKUP(B15,'Data qoq'!$A:$AT,MATCH($U$1,'Data qoq'!$A$1:$AT$1,),)</f>
        <v>1.237878102</v>
      </c>
      <c r="V15" s="27">
        <f>VLOOKUP(B15,'Data qoq'!$A:$AT,MATCH($V$1,'Data qoq'!$A$1:$AT$1,),)</f>
        <v>2.370011495</v>
      </c>
      <c r="W15" s="27">
        <f>VLOOKUP(B15,'Data qoq'!$A:$AT,MATCH($W$1,'Data qoq'!$A$1:$AT$1,),)</f>
        <v>-5.1251296079999999</v>
      </c>
      <c r="X15" s="27">
        <f>VLOOKUP(B15,'Data qoq'!$A:$AT,MATCH($X$1,'Data qoq'!$A$1:$AT$1,),)</f>
        <v>1.1528293249999999</v>
      </c>
      <c r="Y15" s="27">
        <f>VLOOKUP(B15,'Data qoq'!$A:$AT,MATCH($Y$1,'Data qoq'!$A$1:$AT$1,),)</f>
        <v>-1.348335096</v>
      </c>
      <c r="Z15" s="27">
        <f>VLOOKUP(B15,'Data qoq'!$A:$AU,MATCH($Z$1,'Data qoq'!$A$1:$AU$1,),)</f>
        <v>0.16364615900000001</v>
      </c>
      <c r="AA15" s="27">
        <f>VLOOKUP(B15,'Data qoq'!$A:$AU,MATCH($AA$1,'Data qoq'!$A$1:$AU$1,),)</f>
        <v>0.33845222800000002</v>
      </c>
      <c r="AC15" s="28" t="str">
        <f t="shared" si="7"/>
        <v>2001-Q1</v>
      </c>
      <c r="AD15" s="29">
        <f t="shared" si="6"/>
        <v>-2.3351789059999999</v>
      </c>
      <c r="AE15" s="29">
        <f t="shared" si="8"/>
        <v>-2.3351789059999999</v>
      </c>
    </row>
    <row r="16" spans="2:34" hidden="1" x14ac:dyDescent="0.2">
      <c r="B16" s="26" t="s">
        <v>265</v>
      </c>
      <c r="C16" s="27">
        <f>VLOOKUP(B16,'Data qoq'!$A:$AT,MATCH($C$1,'Data qoq'!$A$1:$AT$1,),)</f>
        <v>0.62138921499999999</v>
      </c>
      <c r="D16" s="27">
        <f>VLOOKUP(B16,'Data qoq'!$A:$AT,MATCH($D$1,'Data qoq'!$A$1:$AT$1,),)</f>
        <v>0</v>
      </c>
      <c r="E16" s="27">
        <f>VLOOKUP(B16,'Data qoq'!$A:$AT,MATCH($E$1,'Data qoq'!$A$1:$AT$1,),)</f>
        <v>0.107656</v>
      </c>
      <c r="F16" s="27">
        <f>VLOOKUP(B16,'Data qoq'!$A:$AT,MATCH($F$1,'Data qoq'!$A$1:$AT$1,),)</f>
        <v>-0.75061028699999999</v>
      </c>
      <c r="G16" s="27">
        <f>VLOOKUP(B16,'Data qoq'!$A:$AT,MATCH($G$1,'Data qoq'!$A$1:$AT$1,),)</f>
        <v>-5.8069487000000003E-2</v>
      </c>
      <c r="H16" s="27">
        <f>VLOOKUP(B16,'Data qoq'!$A:$AT,MATCH($H$1,'Data qoq'!$A$1:$AT$1,),)</f>
        <v>0.189869871</v>
      </c>
      <c r="I16" s="27">
        <f>VLOOKUP(B16,'Data qoq'!$A:$AT,MATCH($I$1,'Data qoq'!$A$1:$AT$1,),)</f>
        <v>0.77227875800000001</v>
      </c>
      <c r="J16" s="27">
        <f>VLOOKUP(B16,'Data qoq'!$A:$AT,MATCH($J$1,'Data qoq'!$A$1:$AT$1,),)</f>
        <v>-0.30769237999999999</v>
      </c>
      <c r="K16" s="27">
        <f>VLOOKUP(B16,'Data qoq'!$A:$AT,MATCH($K$1,'Data qoq'!$A$1:$AT$1,),)</f>
        <v>0.73911573100000005</v>
      </c>
      <c r="L16" s="27">
        <f>VLOOKUP(B16,'Data qoq'!$A:$AT,MATCH($L$1,'Data qoq'!$A$1:$AT$1,),)</f>
        <v>-8.3693880000000002E-3</v>
      </c>
      <c r="M16" s="27">
        <f>VLOOKUP(B16,'Data qoq'!$A:$AT,MATCH($M$1,'Data qoq'!$A$1:$AT$1,),)</f>
        <v>-0.53155255000000001</v>
      </c>
      <c r="N16" s="27">
        <f>VLOOKUP(B16,'Data qoq'!$A:$AT,MATCH($N$1,'Data qoq'!$A$1:$AT$1,),)</f>
        <v>0</v>
      </c>
      <c r="O16" s="27">
        <f>VLOOKUP(B16,'Data qoq'!$A:$AT,MATCH($C$1,'Data qoq'!$J$1:$AT$1,),)</f>
        <v>0.50566903500000004</v>
      </c>
      <c r="P16" s="27">
        <f>VLOOKUP(B16,'Data qoq'!$A:$AT,MATCH($P$1,'Data qoq'!$A$1:$AT$1,),)</f>
        <v>0.26949002500000002</v>
      </c>
      <c r="Q16" s="27">
        <f>VLOOKUP(B16,'Data qoq'!$A:$AT,MATCH($Q$1,'Data qoq'!$A$1:$AT$1,),)</f>
        <v>0.82770906799999999</v>
      </c>
      <c r="R16" s="27">
        <f>VLOOKUP(B16,'Data qoq'!$A:$AT,MATCH($E$1,'Data qoq'!$A$1:$AT$1,),)</f>
        <v>0.107656</v>
      </c>
      <c r="S16" s="27">
        <f>VLOOKUP(B16,'Data qoq'!$A:$AT,MATCH($S$1,'Data qoq'!$A$1:$AT$1,),)</f>
        <v>1.2988810260000001</v>
      </c>
      <c r="T16" s="27">
        <f>VLOOKUP(B16,'Data qoq'!$A:$AT,MATCH($T$1,'Data qoq'!$A$1:$AT$1,),)</f>
        <v>-0.48902766600000003</v>
      </c>
      <c r="U16" s="27">
        <f>VLOOKUP(B16,'Data qoq'!$A:$AT,MATCH($U$1,'Data qoq'!$A$1:$AT$1,),)</f>
        <v>-0.26357386700000002</v>
      </c>
      <c r="V16" s="27">
        <f>VLOOKUP(B16,'Data qoq'!$A:$AT,MATCH($V$1,'Data qoq'!$A$1:$AT$1,),)</f>
        <v>1.476057398</v>
      </c>
      <c r="W16" s="27">
        <f>VLOOKUP(B16,'Data qoq'!$A:$AT,MATCH($W$1,'Data qoq'!$A$1:$AT$1,),)</f>
        <v>-4.8440387170000001</v>
      </c>
      <c r="X16" s="27">
        <f>VLOOKUP(B16,'Data qoq'!$A:$AT,MATCH($X$1,'Data qoq'!$A$1:$AT$1,),)</f>
        <v>0.27706922299999998</v>
      </c>
      <c r="Y16" s="27">
        <f>VLOOKUP(B16,'Data qoq'!$A:$AT,MATCH($Y$1,'Data qoq'!$A$1:$AT$1,),)</f>
        <v>-0.45310335499999999</v>
      </c>
      <c r="Z16" s="27">
        <f>VLOOKUP(B16,'Data qoq'!$A:$AU,MATCH($Z$1,'Data qoq'!$A$1:$AU$1,),)</f>
        <v>-0.82981777400000001</v>
      </c>
      <c r="AA16" s="27">
        <f>VLOOKUP(B16,'Data qoq'!$A:$AU,MATCH($AA$1,'Data qoq'!$A$1:$AU$1,),)</f>
        <v>1.4197823119999999</v>
      </c>
      <c r="AC16" s="28" t="str">
        <f t="shared" si="7"/>
        <v>2001-Q2</v>
      </c>
      <c r="AD16" s="29">
        <f t="shared" si="6"/>
        <v>0.67945870200000003</v>
      </c>
      <c r="AE16" s="29">
        <f t="shared" si="8"/>
        <v>0.67945870200000003</v>
      </c>
    </row>
    <row r="17" spans="2:31" hidden="1" x14ac:dyDescent="0.2">
      <c r="B17" s="26" t="s">
        <v>266</v>
      </c>
      <c r="C17" s="27">
        <f>VLOOKUP(B17,'Data qoq'!$A:$AT,MATCH($C$1,'Data qoq'!$A$1:$AT$1,),)</f>
        <v>-0.400349016</v>
      </c>
      <c r="D17" s="27">
        <f>VLOOKUP(B17,'Data qoq'!$A:$AT,MATCH($D$1,'Data qoq'!$A$1:$AT$1,),)</f>
        <v>0</v>
      </c>
      <c r="E17" s="27">
        <f>VLOOKUP(B17,'Data qoq'!$A:$AT,MATCH($E$1,'Data qoq'!$A$1:$AT$1,),)</f>
        <v>0.121111</v>
      </c>
      <c r="F17" s="27">
        <f>VLOOKUP(B17,'Data qoq'!$A:$AT,MATCH($F$1,'Data qoq'!$A$1:$AT$1,),)</f>
        <v>-1.0849405190000001</v>
      </c>
      <c r="G17" s="27">
        <f>VLOOKUP(B17,'Data qoq'!$A:$AT,MATCH($G$1,'Data qoq'!$A$1:$AT$1,),)</f>
        <v>-0.162669071</v>
      </c>
      <c r="H17" s="27">
        <f>VLOOKUP(B17,'Data qoq'!$A:$AT,MATCH($H$1,'Data qoq'!$A$1:$AT$1,),)</f>
        <v>0.27039061399999997</v>
      </c>
      <c r="I17" s="27">
        <f>VLOOKUP(B17,'Data qoq'!$A:$AT,MATCH($I$1,'Data qoq'!$A$1:$AT$1,),)</f>
        <v>0.77155682299999995</v>
      </c>
      <c r="J17" s="27">
        <f>VLOOKUP(B17,'Data qoq'!$A:$AT,MATCH($J$1,'Data qoq'!$A$1:$AT$1,),)</f>
        <v>-0.23302297499999999</v>
      </c>
      <c r="K17" s="27">
        <f>VLOOKUP(B17,'Data qoq'!$A:$AT,MATCH($K$1,'Data qoq'!$A$1:$AT$1,),)</f>
        <v>0.93202408199999998</v>
      </c>
      <c r="L17" s="27">
        <f>VLOOKUP(B17,'Data qoq'!$A:$AT,MATCH($L$1,'Data qoq'!$A$1:$AT$1,),)</f>
        <v>0.38142026400000001</v>
      </c>
      <c r="M17" s="27">
        <f>VLOOKUP(B17,'Data qoq'!$A:$AT,MATCH($M$1,'Data qoq'!$A$1:$AT$1,),)</f>
        <v>2.6607235999999999E-2</v>
      </c>
      <c r="N17" s="27">
        <f>VLOOKUP(B17,'Data qoq'!$A:$AT,MATCH($N$1,'Data qoq'!$A$1:$AT$1,),)</f>
        <v>0</v>
      </c>
      <c r="O17" s="27">
        <f>VLOOKUP(B17,'Data qoq'!$A:$AT,MATCH($C$1,'Data qoq'!$J$1:$AT$1,),)</f>
        <v>0.17378780599999999</v>
      </c>
      <c r="P17" s="27">
        <f>VLOOKUP(B17,'Data qoq'!$A:$AT,MATCH($P$1,'Data qoq'!$A$1:$AT$1,),)</f>
        <v>-6.6614244000000003E-2</v>
      </c>
      <c r="Q17" s="27">
        <f>VLOOKUP(B17,'Data qoq'!$A:$AT,MATCH($Q$1,'Data qoq'!$A$1:$AT$1,),)</f>
        <v>1.2099651380000001</v>
      </c>
      <c r="R17" s="27">
        <f>VLOOKUP(B17,'Data qoq'!$A:$AT,MATCH($E$1,'Data qoq'!$A$1:$AT$1,),)</f>
        <v>0.121111</v>
      </c>
      <c r="S17" s="27">
        <f>VLOOKUP(B17,'Data qoq'!$A:$AT,MATCH($S$1,'Data qoq'!$A$1:$AT$1,),)</f>
        <v>1.3501936240000001</v>
      </c>
      <c r="T17" s="27">
        <f>VLOOKUP(B17,'Data qoq'!$A:$AT,MATCH($T$1,'Data qoq'!$A$1:$AT$1,),)</f>
        <v>-0.502577363</v>
      </c>
      <c r="U17" s="27">
        <f>VLOOKUP(B17,'Data qoq'!$A:$AT,MATCH($U$1,'Data qoq'!$A$1:$AT$1,),)</f>
        <v>1.621616296</v>
      </c>
      <c r="V17" s="27">
        <f>VLOOKUP(B17,'Data qoq'!$A:$AT,MATCH($V$1,'Data qoq'!$A$1:$AT$1,),)</f>
        <v>-9.6956127000000003E-2</v>
      </c>
      <c r="W17" s="27">
        <f>VLOOKUP(B17,'Data qoq'!$A:$AT,MATCH($W$1,'Data qoq'!$A$1:$AT$1,),)</f>
        <v>1.2517857720000001</v>
      </c>
      <c r="X17" s="27">
        <f>VLOOKUP(B17,'Data qoq'!$A:$AT,MATCH($X$1,'Data qoq'!$A$1:$AT$1,),)</f>
        <v>0.496594761</v>
      </c>
      <c r="Y17" s="27">
        <f>VLOOKUP(B17,'Data qoq'!$A:$AT,MATCH($Y$1,'Data qoq'!$A$1:$AT$1,),)</f>
        <v>0.78293147200000002</v>
      </c>
      <c r="Z17" s="27">
        <f>VLOOKUP(B17,'Data qoq'!$A:$AU,MATCH($Z$1,'Data qoq'!$A$1:$AU$1,),)</f>
        <v>-4.6458788760000003</v>
      </c>
      <c r="AA17" s="27">
        <f>VLOOKUP(B17,'Data qoq'!$A:$AU,MATCH($AA$1,'Data qoq'!$A$1:$AU$1,),)</f>
        <v>0.77224283500000002</v>
      </c>
      <c r="AC17" s="28" t="str">
        <f t="shared" si="7"/>
        <v>2001-Q3</v>
      </c>
      <c r="AD17" s="29">
        <f t="shared" si="6"/>
        <v>-0.237679945</v>
      </c>
      <c r="AE17" s="29">
        <f t="shared" si="8"/>
        <v>-0.237679945</v>
      </c>
    </row>
    <row r="18" spans="2:31" hidden="1" x14ac:dyDescent="0.2">
      <c r="B18" s="26" t="s">
        <v>267</v>
      </c>
      <c r="C18" s="27">
        <f>VLOOKUP(B18,'Data qoq'!$A:$AT,MATCH($C$1,'Data qoq'!$A$1:$AT$1,),)</f>
        <v>0.27731435799999998</v>
      </c>
      <c r="D18" s="27">
        <f>VLOOKUP(B18,'Data qoq'!$A:$AT,MATCH($D$1,'Data qoq'!$A$1:$AT$1,),)</f>
        <v>0</v>
      </c>
      <c r="E18" s="27">
        <f>VLOOKUP(B18,'Data qoq'!$A:$AT,MATCH($E$1,'Data qoq'!$A$1:$AT$1,),)</f>
        <v>0.121508</v>
      </c>
      <c r="F18" s="27">
        <f>VLOOKUP(B18,'Data qoq'!$A:$AT,MATCH($F$1,'Data qoq'!$A$1:$AT$1,),)</f>
        <v>-0.345049412</v>
      </c>
      <c r="G18" s="27">
        <f>VLOOKUP(B18,'Data qoq'!$A:$AT,MATCH($G$1,'Data qoq'!$A$1:$AT$1,),)</f>
        <v>-0.11638810300000001</v>
      </c>
      <c r="H18" s="27">
        <f>VLOOKUP(B18,'Data qoq'!$A:$AT,MATCH($H$1,'Data qoq'!$A$1:$AT$1,),)</f>
        <v>2.2954477000000001E-2</v>
      </c>
      <c r="I18" s="27">
        <f>VLOOKUP(B18,'Data qoq'!$A:$AT,MATCH($I$1,'Data qoq'!$A$1:$AT$1,),)</f>
        <v>0.3921559</v>
      </c>
      <c r="J18" s="27">
        <f>VLOOKUP(B18,'Data qoq'!$A:$AT,MATCH($J$1,'Data qoq'!$A$1:$AT$1,),)</f>
        <v>-0.100776782</v>
      </c>
      <c r="K18" s="27">
        <f>VLOOKUP(B18,'Data qoq'!$A:$AT,MATCH($K$1,'Data qoq'!$A$1:$AT$1,),)</f>
        <v>0.69190674799999996</v>
      </c>
      <c r="L18" s="27">
        <f>VLOOKUP(B18,'Data qoq'!$A:$AT,MATCH($L$1,'Data qoq'!$A$1:$AT$1,),)</f>
        <v>0.87227717400000004</v>
      </c>
      <c r="M18" s="27">
        <f>VLOOKUP(B18,'Data qoq'!$A:$AT,MATCH($M$1,'Data qoq'!$A$1:$AT$1,),)</f>
        <v>-0.45449707700000003</v>
      </c>
      <c r="N18" s="27">
        <f>VLOOKUP(B18,'Data qoq'!$A:$AT,MATCH($N$1,'Data qoq'!$A$1:$AT$1,),)</f>
        <v>0</v>
      </c>
      <c r="O18" s="27">
        <f>VLOOKUP(B18,'Data qoq'!$A:$AT,MATCH($C$1,'Data qoq'!$J$1:$AT$1,),)</f>
        <v>0.32251530099999998</v>
      </c>
      <c r="P18" s="27">
        <f>VLOOKUP(B18,'Data qoq'!$A:$AT,MATCH($P$1,'Data qoq'!$A$1:$AT$1,),)</f>
        <v>0.60882924699999996</v>
      </c>
      <c r="Q18" s="27">
        <f>VLOOKUP(B18,'Data qoq'!$A:$AT,MATCH($Q$1,'Data qoq'!$A$1:$AT$1,),)</f>
        <v>1.1985214879999999</v>
      </c>
      <c r="R18" s="27">
        <f>VLOOKUP(B18,'Data qoq'!$A:$AT,MATCH($E$1,'Data qoq'!$A$1:$AT$1,),)</f>
        <v>0.121508</v>
      </c>
      <c r="S18" s="27">
        <f>VLOOKUP(B18,'Data qoq'!$A:$AT,MATCH($S$1,'Data qoq'!$A$1:$AT$1,),)</f>
        <v>1.762585517</v>
      </c>
      <c r="T18" s="27">
        <f>VLOOKUP(B18,'Data qoq'!$A:$AT,MATCH($T$1,'Data qoq'!$A$1:$AT$1,),)</f>
        <v>-0.29587292700000001</v>
      </c>
      <c r="U18" s="27">
        <f>VLOOKUP(B18,'Data qoq'!$A:$AT,MATCH($U$1,'Data qoq'!$A$1:$AT$1,),)</f>
        <v>0.26489864099999999</v>
      </c>
      <c r="V18" s="27">
        <f>VLOOKUP(B18,'Data qoq'!$A:$AT,MATCH($V$1,'Data qoq'!$A$1:$AT$1,),)</f>
        <v>1.0812138549999999</v>
      </c>
      <c r="W18" s="27">
        <f>VLOOKUP(B18,'Data qoq'!$A:$AT,MATCH($W$1,'Data qoq'!$A$1:$AT$1,),)</f>
        <v>-1.6828962709999999</v>
      </c>
      <c r="X18" s="27">
        <f>VLOOKUP(B18,'Data qoq'!$A:$AT,MATCH($X$1,'Data qoq'!$A$1:$AT$1,),)</f>
        <v>0.60274464500000002</v>
      </c>
      <c r="Y18" s="27">
        <f>VLOOKUP(B18,'Data qoq'!$A:$AT,MATCH($Y$1,'Data qoq'!$A$1:$AT$1,),)</f>
        <v>0.295687861</v>
      </c>
      <c r="Z18" s="27">
        <f>VLOOKUP(B18,'Data qoq'!$A:$AU,MATCH($Z$1,'Data qoq'!$A$1:$AU$1,),)</f>
        <v>-5.6948729309999999</v>
      </c>
      <c r="AA18" s="27">
        <f>VLOOKUP(B18,'Data qoq'!$A:$AU,MATCH($AA$1,'Data qoq'!$A$1:$AU$1,),)</f>
        <v>1.4878486280000001</v>
      </c>
      <c r="AC18" s="28" t="str">
        <f t="shared" si="7"/>
        <v>2001-Q4</v>
      </c>
      <c r="AD18" s="29">
        <f t="shared" si="6"/>
        <v>0.393702461</v>
      </c>
      <c r="AE18" s="29">
        <f t="shared" si="8"/>
        <v>0.393702461</v>
      </c>
    </row>
    <row r="19" spans="2:31" hidden="1" x14ac:dyDescent="0.2">
      <c r="B19" s="26" t="s">
        <v>268</v>
      </c>
      <c r="C19" s="27">
        <f>VLOOKUP(B19,'Data qoq'!$A:$AT,MATCH($C$1,'Data qoq'!$A$1:$AT$1,),)</f>
        <v>0.82822721600000004</v>
      </c>
      <c r="D19" s="27">
        <f>VLOOKUP(B19,'Data qoq'!$A:$AT,MATCH($D$1,'Data qoq'!$A$1:$AT$1,),)</f>
        <v>0</v>
      </c>
      <c r="E19" s="27">
        <f>VLOOKUP(B19,'Data qoq'!$A:$AT,MATCH($E$1,'Data qoq'!$A$1:$AT$1,),)</f>
        <v>7.9439999999999997E-2</v>
      </c>
      <c r="F19" s="27">
        <f>VLOOKUP(B19,'Data qoq'!$A:$AT,MATCH($F$1,'Data qoq'!$A$1:$AT$1,),)</f>
        <v>0.16727735699999999</v>
      </c>
      <c r="G19" s="27">
        <f>VLOOKUP(B19,'Data qoq'!$A:$AT,MATCH($G$1,'Data qoq'!$A$1:$AT$1,),)</f>
        <v>-0.52435598400000005</v>
      </c>
      <c r="H19" s="27">
        <f>VLOOKUP(B19,'Data qoq'!$A:$AT,MATCH($H$1,'Data qoq'!$A$1:$AT$1,),)</f>
        <v>0.37169140000000001</v>
      </c>
      <c r="I19" s="27">
        <f>VLOOKUP(B19,'Data qoq'!$A:$AT,MATCH($I$1,'Data qoq'!$A$1:$AT$1,),)</f>
        <v>0.39160243900000002</v>
      </c>
      <c r="J19" s="27">
        <f>VLOOKUP(B19,'Data qoq'!$A:$AT,MATCH($J$1,'Data qoq'!$A$1:$AT$1,),)</f>
        <v>1.9412464000000001E-2</v>
      </c>
      <c r="K19" s="27">
        <f>VLOOKUP(B19,'Data qoq'!$A:$AT,MATCH($K$1,'Data qoq'!$A$1:$AT$1,),)</f>
        <v>0.42550417200000001</v>
      </c>
      <c r="L19" s="27">
        <f>VLOOKUP(B19,'Data qoq'!$A:$AT,MATCH($L$1,'Data qoq'!$A$1:$AT$1,),)</f>
        <v>-0.139606599</v>
      </c>
      <c r="M19" s="27">
        <f>VLOOKUP(B19,'Data qoq'!$A:$AT,MATCH($M$1,'Data qoq'!$A$1:$AT$1,),)</f>
        <v>-0.70616957300000005</v>
      </c>
      <c r="N19" s="27">
        <f>VLOOKUP(B19,'Data qoq'!$A:$AT,MATCH($N$1,'Data qoq'!$A$1:$AT$1,),)</f>
        <v>0</v>
      </c>
      <c r="O19" s="27">
        <f>VLOOKUP(B19,'Data qoq'!$A:$AT,MATCH($C$1,'Data qoq'!$J$1:$AT$1,),)</f>
        <v>-0.61017998900000003</v>
      </c>
      <c r="P19" s="27">
        <f>VLOOKUP(B19,'Data qoq'!$A:$AT,MATCH($P$1,'Data qoq'!$A$1:$AT$1,),)</f>
        <v>1.4842260460000001</v>
      </c>
      <c r="Q19" s="27">
        <f>VLOOKUP(B19,'Data qoq'!$A:$AT,MATCH($Q$1,'Data qoq'!$A$1:$AT$1,),)</f>
        <v>0.755713466</v>
      </c>
      <c r="R19" s="27">
        <f>VLOOKUP(B19,'Data qoq'!$A:$AT,MATCH($E$1,'Data qoq'!$A$1:$AT$1,),)</f>
        <v>7.9439999999999997E-2</v>
      </c>
      <c r="S19" s="27">
        <f>VLOOKUP(B19,'Data qoq'!$A:$AT,MATCH($S$1,'Data qoq'!$A$1:$AT$1,),)</f>
        <v>2.5444815919999999</v>
      </c>
      <c r="T19" s="27">
        <f>VLOOKUP(B19,'Data qoq'!$A:$AT,MATCH($T$1,'Data qoq'!$A$1:$AT$1,),)</f>
        <v>2.30671618</v>
      </c>
      <c r="U19" s="27">
        <f>VLOOKUP(B19,'Data qoq'!$A:$AT,MATCH($U$1,'Data qoq'!$A$1:$AT$1,),)</f>
        <v>0.81704766799999995</v>
      </c>
      <c r="V19" s="27">
        <f>VLOOKUP(B19,'Data qoq'!$A:$AT,MATCH($V$1,'Data qoq'!$A$1:$AT$1,),)</f>
        <v>2.8500485420000001</v>
      </c>
      <c r="W19" s="27">
        <f>VLOOKUP(B19,'Data qoq'!$A:$AT,MATCH($W$1,'Data qoq'!$A$1:$AT$1,),)</f>
        <v>3.7775825539999999</v>
      </c>
      <c r="X19" s="27">
        <f>VLOOKUP(B19,'Data qoq'!$A:$AT,MATCH($X$1,'Data qoq'!$A$1:$AT$1,),)</f>
        <v>-0.12518095500000001</v>
      </c>
      <c r="Y19" s="27">
        <f>VLOOKUP(B19,'Data qoq'!$A:$AT,MATCH($Y$1,'Data qoq'!$A$1:$AT$1,),)</f>
        <v>0.21151945899999999</v>
      </c>
      <c r="Z19" s="27">
        <f>VLOOKUP(B19,'Data qoq'!$A:$AU,MATCH($Z$1,'Data qoq'!$A$1:$AU$1,),)</f>
        <v>-4.9310185359999998</v>
      </c>
      <c r="AA19" s="27">
        <f>VLOOKUP(B19,'Data qoq'!$A:$AU,MATCH($AA$1,'Data qoq'!$A$1:$AU$1,),)</f>
        <v>0.89170639900000004</v>
      </c>
      <c r="AC19" s="28" t="str">
        <f t="shared" si="7"/>
        <v>2002-Q1</v>
      </c>
      <c r="AD19" s="29">
        <f t="shared" si="6"/>
        <v>1.3525832000000002</v>
      </c>
      <c r="AE19" s="29">
        <f t="shared" si="8"/>
        <v>1.3525832000000002</v>
      </c>
    </row>
    <row r="20" spans="2:31" hidden="1" x14ac:dyDescent="0.2">
      <c r="B20" s="26" t="s">
        <v>269</v>
      </c>
      <c r="C20" s="27">
        <f>VLOOKUP(B20,'Data qoq'!$A:$AT,MATCH($C$1,'Data qoq'!$A$1:$AT$1,),)</f>
        <v>0.61550245599999998</v>
      </c>
      <c r="D20" s="27">
        <f>VLOOKUP(B20,'Data qoq'!$A:$AT,MATCH($D$1,'Data qoq'!$A$1:$AT$1,),)</f>
        <v>0</v>
      </c>
      <c r="E20" s="27">
        <f>VLOOKUP(B20,'Data qoq'!$A:$AT,MATCH($E$1,'Data qoq'!$A$1:$AT$1,),)</f>
        <v>0.53998000000000002</v>
      </c>
      <c r="F20" s="27">
        <f>VLOOKUP(B20,'Data qoq'!$A:$AT,MATCH($F$1,'Data qoq'!$A$1:$AT$1,),)</f>
        <v>0.810131712</v>
      </c>
      <c r="G20" s="27">
        <f>VLOOKUP(B20,'Data qoq'!$A:$AT,MATCH($G$1,'Data qoq'!$A$1:$AT$1,),)</f>
        <v>0.445116442</v>
      </c>
      <c r="H20" s="27">
        <f>VLOOKUP(B20,'Data qoq'!$A:$AT,MATCH($H$1,'Data qoq'!$A$1:$AT$1,),)</f>
        <v>0.46412239799999999</v>
      </c>
      <c r="I20" s="27">
        <f>VLOOKUP(B20,'Data qoq'!$A:$AT,MATCH($I$1,'Data qoq'!$A$1:$AT$1,),)</f>
        <v>0.48996915499999999</v>
      </c>
      <c r="J20" s="27">
        <f>VLOOKUP(B20,'Data qoq'!$A:$AT,MATCH($J$1,'Data qoq'!$A$1:$AT$1,),)</f>
        <v>0.38952470700000003</v>
      </c>
      <c r="K20" s="27">
        <f>VLOOKUP(B20,'Data qoq'!$A:$AT,MATCH($K$1,'Data qoq'!$A$1:$AT$1,),)</f>
        <v>0.81494336899999997</v>
      </c>
      <c r="L20" s="27">
        <f>VLOOKUP(B20,'Data qoq'!$A:$AT,MATCH($L$1,'Data qoq'!$A$1:$AT$1,),)</f>
        <v>1.556559359</v>
      </c>
      <c r="M20" s="27">
        <f>VLOOKUP(B20,'Data qoq'!$A:$AT,MATCH($M$1,'Data qoq'!$A$1:$AT$1,),)</f>
        <v>0.93424689599999999</v>
      </c>
      <c r="N20" s="27">
        <f>VLOOKUP(B20,'Data qoq'!$A:$AT,MATCH($N$1,'Data qoq'!$A$1:$AT$1,),)</f>
        <v>0</v>
      </c>
      <c r="O20" s="27">
        <f>VLOOKUP(B20,'Data qoq'!$A:$AT,MATCH($C$1,'Data qoq'!$J$1:$AT$1,),)</f>
        <v>0.34826357800000002</v>
      </c>
      <c r="P20" s="27">
        <f>VLOOKUP(B20,'Data qoq'!$A:$AT,MATCH($P$1,'Data qoq'!$A$1:$AT$1,),)</f>
        <v>0.58937331199999998</v>
      </c>
      <c r="Q20" s="27">
        <f>VLOOKUP(B20,'Data qoq'!$A:$AT,MATCH($Q$1,'Data qoq'!$A$1:$AT$1,),)</f>
        <v>1.6729499699999999</v>
      </c>
      <c r="R20" s="27">
        <f>VLOOKUP(B20,'Data qoq'!$A:$AT,MATCH($E$1,'Data qoq'!$A$1:$AT$1,),)</f>
        <v>0.53998000000000002</v>
      </c>
      <c r="S20" s="27">
        <f>VLOOKUP(B20,'Data qoq'!$A:$AT,MATCH($S$1,'Data qoq'!$A$1:$AT$1,),)</f>
        <v>1.8121354160000001</v>
      </c>
      <c r="T20" s="27">
        <f>VLOOKUP(B20,'Data qoq'!$A:$AT,MATCH($T$1,'Data qoq'!$A$1:$AT$1,),)</f>
        <v>0.57459292900000003</v>
      </c>
      <c r="U20" s="27">
        <f>VLOOKUP(B20,'Data qoq'!$A:$AT,MATCH($U$1,'Data qoq'!$A$1:$AT$1,),)</f>
        <v>2.238306787</v>
      </c>
      <c r="V20" s="27">
        <f>VLOOKUP(B20,'Data qoq'!$A:$AT,MATCH($V$1,'Data qoq'!$A$1:$AT$1,),)</f>
        <v>0.463489292</v>
      </c>
      <c r="W20" s="27">
        <f>VLOOKUP(B20,'Data qoq'!$A:$AT,MATCH($W$1,'Data qoq'!$A$1:$AT$1,),)</f>
        <v>4.3164154459999997</v>
      </c>
      <c r="X20" s="27">
        <f>VLOOKUP(B20,'Data qoq'!$A:$AT,MATCH($X$1,'Data qoq'!$A$1:$AT$1,),)</f>
        <v>0.51301652200000003</v>
      </c>
      <c r="Y20" s="27">
        <f>VLOOKUP(B20,'Data qoq'!$A:$AT,MATCH($Y$1,'Data qoq'!$A$1:$AT$1,),)</f>
        <v>0.90442432800000006</v>
      </c>
      <c r="Z20" s="27">
        <f>VLOOKUP(B20,'Data qoq'!$A:$AU,MATCH($Z$1,'Data qoq'!$A$1:$AU$1,),)</f>
        <v>0.42398614800000001</v>
      </c>
      <c r="AA20" s="27">
        <f>VLOOKUP(B20,'Data qoq'!$A:$AU,MATCH($AA$1,'Data qoq'!$A$1:$AU$1,),)</f>
        <v>1.33182921</v>
      </c>
      <c r="AC20" s="28" t="str">
        <f t="shared" si="7"/>
        <v>2002-Q2</v>
      </c>
      <c r="AD20" s="29">
        <f t="shared" si="6"/>
        <v>0.17038601399999997</v>
      </c>
      <c r="AE20" s="29">
        <f t="shared" si="8"/>
        <v>0.17038601399999997</v>
      </c>
    </row>
    <row r="21" spans="2:31" hidden="1" x14ac:dyDescent="0.2">
      <c r="B21" s="26" t="s">
        <v>270</v>
      </c>
      <c r="C21" s="27">
        <f>VLOOKUP(B21,'Data qoq'!$A:$AT,MATCH($C$1,'Data qoq'!$A$1:$AT$1,),)</f>
        <v>0.40352870400000002</v>
      </c>
      <c r="D21" s="27">
        <f>VLOOKUP(B21,'Data qoq'!$A:$AT,MATCH($D$1,'Data qoq'!$A$1:$AT$1,),)</f>
        <v>0</v>
      </c>
      <c r="E21" s="27">
        <f>VLOOKUP(B21,'Data qoq'!$A:$AT,MATCH($E$1,'Data qoq'!$A$1:$AT$1,),)</f>
        <v>0.42774600000000002</v>
      </c>
      <c r="F21" s="27">
        <f>VLOOKUP(B21,'Data qoq'!$A:$AT,MATCH($F$1,'Data qoq'!$A$1:$AT$1,),)</f>
        <v>0.32111837199999999</v>
      </c>
      <c r="G21" s="27">
        <f>VLOOKUP(B21,'Data qoq'!$A:$AT,MATCH($G$1,'Data qoq'!$A$1:$AT$1,),)</f>
        <v>0.48979764199999998</v>
      </c>
      <c r="H21" s="27">
        <f>VLOOKUP(B21,'Data qoq'!$A:$AT,MATCH($H$1,'Data qoq'!$A$1:$AT$1,),)</f>
        <v>0.41752454500000002</v>
      </c>
      <c r="I21" s="27">
        <f>VLOOKUP(B21,'Data qoq'!$A:$AT,MATCH($I$1,'Data qoq'!$A$1:$AT$1,),)</f>
        <v>0.66481591500000004</v>
      </c>
      <c r="J21" s="27">
        <f>VLOOKUP(B21,'Data qoq'!$A:$AT,MATCH($J$1,'Data qoq'!$A$1:$AT$1,),)</f>
        <v>0.22310115599999999</v>
      </c>
      <c r="K21" s="27">
        <f>VLOOKUP(B21,'Data qoq'!$A:$AT,MATCH($K$1,'Data qoq'!$A$1:$AT$1,),)</f>
        <v>0.61646246699999996</v>
      </c>
      <c r="L21" s="27">
        <f>VLOOKUP(B21,'Data qoq'!$A:$AT,MATCH($L$1,'Data qoq'!$A$1:$AT$1,),)</f>
        <v>0.56942837499999999</v>
      </c>
      <c r="M21" s="27">
        <f>VLOOKUP(B21,'Data qoq'!$A:$AT,MATCH($M$1,'Data qoq'!$A$1:$AT$1,),)</f>
        <v>0.68870581500000005</v>
      </c>
      <c r="N21" s="27">
        <f>VLOOKUP(B21,'Data qoq'!$A:$AT,MATCH($N$1,'Data qoq'!$A$1:$AT$1,),)</f>
        <v>0</v>
      </c>
      <c r="O21" s="27">
        <f>VLOOKUP(B21,'Data qoq'!$A:$AT,MATCH($C$1,'Data qoq'!$J$1:$AT$1,),)</f>
        <v>0.15526388299999999</v>
      </c>
      <c r="P21" s="27">
        <f>VLOOKUP(B21,'Data qoq'!$A:$AT,MATCH($P$1,'Data qoq'!$A$1:$AT$1,),)</f>
        <v>0.86544944000000001</v>
      </c>
      <c r="Q21" s="27">
        <f>VLOOKUP(B21,'Data qoq'!$A:$AT,MATCH($Q$1,'Data qoq'!$A$1:$AT$1,),)</f>
        <v>0.34942162500000001</v>
      </c>
      <c r="R21" s="27">
        <f>VLOOKUP(B21,'Data qoq'!$A:$AT,MATCH($E$1,'Data qoq'!$A$1:$AT$1,),)</f>
        <v>0.42774600000000002</v>
      </c>
      <c r="S21" s="27">
        <f>VLOOKUP(B21,'Data qoq'!$A:$AT,MATCH($S$1,'Data qoq'!$A$1:$AT$1,),)</f>
        <v>2.0218129560000002</v>
      </c>
      <c r="T21" s="27">
        <f>VLOOKUP(B21,'Data qoq'!$A:$AT,MATCH($T$1,'Data qoq'!$A$1:$AT$1,),)</f>
        <v>1.218307542</v>
      </c>
      <c r="U21" s="27">
        <f>VLOOKUP(B21,'Data qoq'!$A:$AT,MATCH($U$1,'Data qoq'!$A$1:$AT$1,),)</f>
        <v>0.57704490600000002</v>
      </c>
      <c r="V21" s="27">
        <f>VLOOKUP(B21,'Data qoq'!$A:$AT,MATCH($V$1,'Data qoq'!$A$1:$AT$1,),)</f>
        <v>2.6920250399999999</v>
      </c>
      <c r="W21" s="27">
        <f>VLOOKUP(B21,'Data qoq'!$A:$AT,MATCH($W$1,'Data qoq'!$A$1:$AT$1,),)</f>
        <v>1.366468032</v>
      </c>
      <c r="X21" s="27">
        <f>VLOOKUP(B21,'Data qoq'!$A:$AT,MATCH($X$1,'Data qoq'!$A$1:$AT$1,),)</f>
        <v>0.52188020099999999</v>
      </c>
      <c r="Y21" s="27">
        <f>VLOOKUP(B21,'Data qoq'!$A:$AT,MATCH($Y$1,'Data qoq'!$A$1:$AT$1,),)</f>
        <v>1.2326704930000001</v>
      </c>
      <c r="Z21" s="27">
        <f>VLOOKUP(B21,'Data qoq'!$A:$AU,MATCH($Z$1,'Data qoq'!$A$1:$AU$1,),)</f>
        <v>7.4497308999999998E-2</v>
      </c>
      <c r="AA21" s="27">
        <f>VLOOKUP(B21,'Data qoq'!$A:$AU,MATCH($AA$1,'Data qoq'!$A$1:$AU$1,),)</f>
        <v>1.130110183</v>
      </c>
      <c r="AC21" s="28" t="str">
        <f t="shared" si="7"/>
        <v>2002-Q3</v>
      </c>
      <c r="AD21" s="29">
        <f t="shared" si="6"/>
        <v>-8.6268937999999962E-2</v>
      </c>
      <c r="AE21" s="29">
        <f t="shared" si="8"/>
        <v>-8.6268937999999962E-2</v>
      </c>
    </row>
    <row r="22" spans="2:31" hidden="1" x14ac:dyDescent="0.2">
      <c r="B22" s="26" t="s">
        <v>271</v>
      </c>
      <c r="C22" s="27">
        <f>VLOOKUP(B22,'Data qoq'!$A:$AT,MATCH($C$1,'Data qoq'!$A$1:$AT$1,),)</f>
        <v>0.13065576700000001</v>
      </c>
      <c r="D22" s="27">
        <f>VLOOKUP(B22,'Data qoq'!$A:$AT,MATCH($D$1,'Data qoq'!$A$1:$AT$1,),)</f>
        <v>0</v>
      </c>
      <c r="E22" s="27">
        <f>VLOOKUP(B22,'Data qoq'!$A:$AT,MATCH($E$1,'Data qoq'!$A$1:$AT$1,),)</f>
        <v>0.14651</v>
      </c>
      <c r="F22" s="27">
        <f>VLOOKUP(B22,'Data qoq'!$A:$AT,MATCH($F$1,'Data qoq'!$A$1:$AT$1,),)</f>
        <v>0.273317221</v>
      </c>
      <c r="G22" s="27">
        <f>VLOOKUP(B22,'Data qoq'!$A:$AT,MATCH($G$1,'Data qoq'!$A$1:$AT$1,),)</f>
        <v>-0.13925285900000001</v>
      </c>
      <c r="H22" s="27">
        <f>VLOOKUP(B22,'Data qoq'!$A:$AT,MATCH($H$1,'Data qoq'!$A$1:$AT$1,),)</f>
        <v>-5.0199634E-2</v>
      </c>
      <c r="I22" s="27">
        <f>VLOOKUP(B22,'Data qoq'!$A:$AT,MATCH($I$1,'Data qoq'!$A$1:$AT$1,),)</f>
        <v>0.78952375699999999</v>
      </c>
      <c r="J22" s="27">
        <f>VLOOKUP(B22,'Data qoq'!$A:$AT,MATCH($J$1,'Data qoq'!$A$1:$AT$1,),)</f>
        <v>0.383239677</v>
      </c>
      <c r="K22" s="27">
        <f>VLOOKUP(B22,'Data qoq'!$A:$AT,MATCH($K$1,'Data qoq'!$A$1:$AT$1,),)</f>
        <v>0.76073692900000001</v>
      </c>
      <c r="L22" s="27">
        <f>VLOOKUP(B22,'Data qoq'!$A:$AT,MATCH($L$1,'Data qoq'!$A$1:$AT$1,),)</f>
        <v>0.19023562199999999</v>
      </c>
      <c r="M22" s="27">
        <f>VLOOKUP(B22,'Data qoq'!$A:$AT,MATCH($M$1,'Data qoq'!$A$1:$AT$1,),)</f>
        <v>0.31728298900000002</v>
      </c>
      <c r="N22" s="27">
        <f>VLOOKUP(B22,'Data qoq'!$A:$AT,MATCH($N$1,'Data qoq'!$A$1:$AT$1,),)</f>
        <v>0</v>
      </c>
      <c r="O22" s="27">
        <f>VLOOKUP(B22,'Data qoq'!$A:$AT,MATCH($C$1,'Data qoq'!$J$1:$AT$1,),)</f>
        <v>0.14965119700000001</v>
      </c>
      <c r="P22" s="27">
        <f>VLOOKUP(B22,'Data qoq'!$A:$AT,MATCH($P$1,'Data qoq'!$A$1:$AT$1,),)</f>
        <v>0.54862090500000005</v>
      </c>
      <c r="Q22" s="27">
        <f>VLOOKUP(B22,'Data qoq'!$A:$AT,MATCH($Q$1,'Data qoq'!$A$1:$AT$1,),)</f>
        <v>0.73481242400000002</v>
      </c>
      <c r="R22" s="27">
        <f>VLOOKUP(B22,'Data qoq'!$A:$AT,MATCH($E$1,'Data qoq'!$A$1:$AT$1,),)</f>
        <v>0.14651</v>
      </c>
      <c r="S22" s="27">
        <f>VLOOKUP(B22,'Data qoq'!$A:$AT,MATCH($S$1,'Data qoq'!$A$1:$AT$1,),)</f>
        <v>1.0973539919999999</v>
      </c>
      <c r="T22" s="27">
        <f>VLOOKUP(B22,'Data qoq'!$A:$AT,MATCH($T$1,'Data qoq'!$A$1:$AT$1,),)</f>
        <v>1.0120638479999999</v>
      </c>
      <c r="U22" s="27">
        <f>VLOOKUP(B22,'Data qoq'!$A:$AT,MATCH($U$1,'Data qoq'!$A$1:$AT$1,),)</f>
        <v>0.77102046599999996</v>
      </c>
      <c r="V22" s="27">
        <f>VLOOKUP(B22,'Data qoq'!$A:$AT,MATCH($V$1,'Data qoq'!$A$1:$AT$1,),)</f>
        <v>0.41720457300000002</v>
      </c>
      <c r="W22" s="27">
        <f>VLOOKUP(B22,'Data qoq'!$A:$AT,MATCH($W$1,'Data qoq'!$A$1:$AT$1,),)</f>
        <v>2.13363529</v>
      </c>
      <c r="X22" s="27">
        <f>VLOOKUP(B22,'Data qoq'!$A:$AT,MATCH($X$1,'Data qoq'!$A$1:$AT$1,),)</f>
        <v>0.75339327899999997</v>
      </c>
      <c r="Y22" s="27">
        <f>VLOOKUP(B22,'Data qoq'!$A:$AT,MATCH($Y$1,'Data qoq'!$A$1:$AT$1,),)</f>
        <v>9.4289651000000002E-2</v>
      </c>
      <c r="Z22" s="27">
        <f>VLOOKUP(B22,'Data qoq'!$A:$AU,MATCH($Z$1,'Data qoq'!$A$1:$AU$1,),)</f>
        <v>1.019056942</v>
      </c>
      <c r="AA22" s="27">
        <f>VLOOKUP(B22,'Data qoq'!$A:$AU,MATCH($AA$1,'Data qoq'!$A$1:$AU$1,),)</f>
        <v>1.343189527</v>
      </c>
      <c r="AC22" s="28" t="str">
        <f t="shared" si="7"/>
        <v>2002-Q4</v>
      </c>
      <c r="AD22" s="29">
        <f t="shared" si="6"/>
        <v>0.26990862599999998</v>
      </c>
      <c r="AE22" s="29">
        <f t="shared" si="8"/>
        <v>0.26990862599999998</v>
      </c>
    </row>
    <row r="23" spans="2:31" hidden="1" x14ac:dyDescent="0.2">
      <c r="B23" s="26" t="s">
        <v>272</v>
      </c>
      <c r="C23" s="27">
        <f>VLOOKUP(B23,'Data qoq'!$A:$AT,MATCH($C$1,'Data qoq'!$A$1:$AT$1,),)</f>
        <v>0.51672318699999997</v>
      </c>
      <c r="D23" s="27">
        <f>VLOOKUP(B23,'Data qoq'!$A:$AT,MATCH($D$1,'Data qoq'!$A$1:$AT$1,),)</f>
        <v>0</v>
      </c>
      <c r="E23" s="27">
        <f>VLOOKUP(B23,'Data qoq'!$A:$AT,MATCH($E$1,'Data qoq'!$A$1:$AT$1,),)</f>
        <v>-0.313554</v>
      </c>
      <c r="F23" s="27">
        <f>VLOOKUP(B23,'Data qoq'!$A:$AT,MATCH($F$1,'Data qoq'!$A$1:$AT$1,),)</f>
        <v>5.9527741000000002E-2</v>
      </c>
      <c r="G23" s="27">
        <f>VLOOKUP(B23,'Data qoq'!$A:$AT,MATCH($G$1,'Data qoq'!$A$1:$AT$1,),)</f>
        <v>-1.4903972080000001</v>
      </c>
      <c r="H23" s="27">
        <f>VLOOKUP(B23,'Data qoq'!$A:$AT,MATCH($H$1,'Data qoq'!$A$1:$AT$1,),)</f>
        <v>0.19687292100000001</v>
      </c>
      <c r="I23" s="27">
        <f>VLOOKUP(B23,'Data qoq'!$A:$AT,MATCH($I$1,'Data qoq'!$A$1:$AT$1,),)</f>
        <v>0.74438722499999999</v>
      </c>
      <c r="J23" s="27">
        <f>VLOOKUP(B23,'Data qoq'!$A:$AT,MATCH($J$1,'Data qoq'!$A$1:$AT$1,),)</f>
        <v>-0.406413358</v>
      </c>
      <c r="K23" s="27">
        <f>VLOOKUP(B23,'Data qoq'!$A:$AT,MATCH($K$1,'Data qoq'!$A$1:$AT$1,),)</f>
        <v>0.93072099100000005</v>
      </c>
      <c r="L23" s="27">
        <f>VLOOKUP(B23,'Data qoq'!$A:$AT,MATCH($L$1,'Data qoq'!$A$1:$AT$1,),)</f>
        <v>1.153178093</v>
      </c>
      <c r="M23" s="27">
        <f>VLOOKUP(B23,'Data qoq'!$A:$AT,MATCH($M$1,'Data qoq'!$A$1:$AT$1,),)</f>
        <v>0.18683023700000001</v>
      </c>
      <c r="N23" s="27">
        <f>VLOOKUP(B23,'Data qoq'!$A:$AT,MATCH($N$1,'Data qoq'!$A$1:$AT$1,),)</f>
        <v>0</v>
      </c>
      <c r="O23" s="27">
        <f>VLOOKUP(B23,'Data qoq'!$A:$AT,MATCH($C$1,'Data qoq'!$J$1:$AT$1,),)</f>
        <v>1.7344153000000001E-2</v>
      </c>
      <c r="P23" s="27">
        <f>VLOOKUP(B23,'Data qoq'!$A:$AT,MATCH($P$1,'Data qoq'!$A$1:$AT$1,),)</f>
        <v>0.55332523499999997</v>
      </c>
      <c r="Q23" s="27">
        <f>VLOOKUP(B23,'Data qoq'!$A:$AT,MATCH($Q$1,'Data qoq'!$A$1:$AT$1,),)</f>
        <v>9.9310592000000003E-2</v>
      </c>
      <c r="R23" s="27">
        <f>VLOOKUP(B23,'Data qoq'!$A:$AT,MATCH($E$1,'Data qoq'!$A$1:$AT$1,),)</f>
        <v>-0.313554</v>
      </c>
      <c r="S23" s="27">
        <f>VLOOKUP(B23,'Data qoq'!$A:$AT,MATCH($S$1,'Data qoq'!$A$1:$AT$1,),)</f>
        <v>-0.65915983499999997</v>
      </c>
      <c r="T23" s="27">
        <f>VLOOKUP(B23,'Data qoq'!$A:$AT,MATCH($T$1,'Data qoq'!$A$1:$AT$1,),)</f>
        <v>-0.40775379899999997</v>
      </c>
      <c r="U23" s="27">
        <f>VLOOKUP(B23,'Data qoq'!$A:$AT,MATCH($U$1,'Data qoq'!$A$1:$AT$1,),)</f>
        <v>2.0819525830000001</v>
      </c>
      <c r="V23" s="27">
        <f>VLOOKUP(B23,'Data qoq'!$A:$AT,MATCH($V$1,'Data qoq'!$A$1:$AT$1,),)</f>
        <v>-0.42042289500000002</v>
      </c>
      <c r="W23" s="27">
        <f>VLOOKUP(B23,'Data qoq'!$A:$AT,MATCH($W$1,'Data qoq'!$A$1:$AT$1,),)</f>
        <v>8.3600699000000001E-2</v>
      </c>
      <c r="X23" s="27">
        <f>VLOOKUP(B23,'Data qoq'!$A:$AT,MATCH($X$1,'Data qoq'!$A$1:$AT$1,),)</f>
        <v>1.0777540880000001</v>
      </c>
      <c r="Y23" s="27">
        <f>VLOOKUP(B23,'Data qoq'!$A:$AT,MATCH($Y$1,'Data qoq'!$A$1:$AT$1,),)</f>
        <v>0.34951182600000003</v>
      </c>
      <c r="Z23" s="27">
        <f>VLOOKUP(B23,'Data qoq'!$A:$AU,MATCH($Z$1,'Data qoq'!$A$1:$AU$1,),)</f>
        <v>3.695017177</v>
      </c>
      <c r="AA23" s="27">
        <f>VLOOKUP(B23,'Data qoq'!$A:$AU,MATCH($AA$1,'Data qoq'!$A$1:$AU$1,),)</f>
        <v>0.578324685</v>
      </c>
      <c r="AC23" s="28" t="str">
        <f t="shared" si="7"/>
        <v>2003-Q1</v>
      </c>
      <c r="AD23" s="29">
        <f t="shared" si="6"/>
        <v>2.0071203950000003</v>
      </c>
      <c r="AE23" s="29">
        <f t="shared" si="8"/>
        <v>2.0071203950000003</v>
      </c>
    </row>
    <row r="24" spans="2:31" hidden="1" x14ac:dyDescent="0.2">
      <c r="B24" s="26" t="s">
        <v>273</v>
      </c>
      <c r="C24" s="27">
        <f>VLOOKUP(B24,'Data qoq'!$A:$AT,MATCH($C$1,'Data qoq'!$A$1:$AT$1,),)</f>
        <v>0.89337780099999997</v>
      </c>
      <c r="D24" s="27">
        <f>VLOOKUP(B24,'Data qoq'!$A:$AT,MATCH($D$1,'Data qoq'!$A$1:$AT$1,),)</f>
        <v>0</v>
      </c>
      <c r="E24" s="27">
        <f>VLOOKUP(B24,'Data qoq'!$A:$AT,MATCH($E$1,'Data qoq'!$A$1:$AT$1,),)</f>
        <v>9.7310999999999995E-2</v>
      </c>
      <c r="F24" s="27">
        <f>VLOOKUP(B24,'Data qoq'!$A:$AT,MATCH($F$1,'Data qoq'!$A$1:$AT$1,),)</f>
        <v>0.68803634300000005</v>
      </c>
      <c r="G24" s="27">
        <f>VLOOKUP(B24,'Data qoq'!$A:$AT,MATCH($G$1,'Data qoq'!$A$1:$AT$1,),)</f>
        <v>0.117964262</v>
      </c>
      <c r="H24" s="27">
        <f>VLOOKUP(B24,'Data qoq'!$A:$AT,MATCH($H$1,'Data qoq'!$A$1:$AT$1,),)</f>
        <v>-0.211502791</v>
      </c>
      <c r="I24" s="27">
        <f>VLOOKUP(B24,'Data qoq'!$A:$AT,MATCH($I$1,'Data qoq'!$A$1:$AT$1,),)</f>
        <v>0.91275677200000005</v>
      </c>
      <c r="J24" s="27">
        <f>VLOOKUP(B24,'Data qoq'!$A:$AT,MATCH($J$1,'Data qoq'!$A$1:$AT$1,),)</f>
        <v>-6.9382339000000001E-2</v>
      </c>
      <c r="K24" s="27">
        <f>VLOOKUP(B24,'Data qoq'!$A:$AT,MATCH($K$1,'Data qoq'!$A$1:$AT$1,),)</f>
        <v>0.52106276699999998</v>
      </c>
      <c r="L24" s="27">
        <f>VLOOKUP(B24,'Data qoq'!$A:$AT,MATCH($L$1,'Data qoq'!$A$1:$AT$1,),)</f>
        <v>-0.54846799899999998</v>
      </c>
      <c r="M24" s="27">
        <f>VLOOKUP(B24,'Data qoq'!$A:$AT,MATCH($M$1,'Data qoq'!$A$1:$AT$1,),)</f>
        <v>0.26311912399999998</v>
      </c>
      <c r="N24" s="27">
        <f>VLOOKUP(B24,'Data qoq'!$A:$AT,MATCH($N$1,'Data qoq'!$A$1:$AT$1,),)</f>
        <v>1.1154365420000001</v>
      </c>
      <c r="O24" s="27">
        <f>VLOOKUP(B24,'Data qoq'!$A:$AT,MATCH($C$1,'Data qoq'!$J$1:$AT$1,),)</f>
        <v>-0.34532982099999998</v>
      </c>
      <c r="P24" s="27">
        <f>VLOOKUP(B24,'Data qoq'!$A:$AT,MATCH($P$1,'Data qoq'!$A$1:$AT$1,),)</f>
        <v>-0.14746372799999999</v>
      </c>
      <c r="Q24" s="27">
        <f>VLOOKUP(B24,'Data qoq'!$A:$AT,MATCH($Q$1,'Data qoq'!$A$1:$AT$1,),)</f>
        <v>0.33508074599999998</v>
      </c>
      <c r="R24" s="27">
        <f>VLOOKUP(B24,'Data qoq'!$A:$AT,MATCH($E$1,'Data qoq'!$A$1:$AT$1,),)</f>
        <v>9.7310999999999995E-2</v>
      </c>
      <c r="S24" s="27">
        <f>VLOOKUP(B24,'Data qoq'!$A:$AT,MATCH($S$1,'Data qoq'!$A$1:$AT$1,),)</f>
        <v>-0.154146863</v>
      </c>
      <c r="T24" s="27">
        <f>VLOOKUP(B24,'Data qoq'!$A:$AT,MATCH($T$1,'Data qoq'!$A$1:$AT$1,),)</f>
        <v>-0.87958070700000002</v>
      </c>
      <c r="U24" s="27">
        <f>VLOOKUP(B24,'Data qoq'!$A:$AT,MATCH($U$1,'Data qoq'!$A$1:$AT$1,),)</f>
        <v>1.771173645</v>
      </c>
      <c r="V24" s="27">
        <f>VLOOKUP(B24,'Data qoq'!$A:$AT,MATCH($V$1,'Data qoq'!$A$1:$AT$1,),)</f>
        <v>0.27184008500000001</v>
      </c>
      <c r="W24" s="27">
        <f>VLOOKUP(B24,'Data qoq'!$A:$AT,MATCH($W$1,'Data qoq'!$A$1:$AT$1,),)</f>
        <v>0.336326982</v>
      </c>
      <c r="X24" s="27">
        <f>VLOOKUP(B24,'Data qoq'!$A:$AT,MATCH($X$1,'Data qoq'!$A$1:$AT$1,),)</f>
        <v>1.0416591289999999</v>
      </c>
      <c r="Y24" s="27">
        <f>VLOOKUP(B24,'Data qoq'!$A:$AT,MATCH($Y$1,'Data qoq'!$A$1:$AT$1,),)</f>
        <v>2.0967551950000001</v>
      </c>
      <c r="Z24" s="27">
        <f>VLOOKUP(B24,'Data qoq'!$A:$AU,MATCH($Z$1,'Data qoq'!$A$1:$AU$1,),)</f>
        <v>3.1643250489999999</v>
      </c>
      <c r="AA24" s="27">
        <f>VLOOKUP(B24,'Data qoq'!$A:$AU,MATCH($AA$1,'Data qoq'!$A$1:$AU$1,),)</f>
        <v>0.42312951700000001</v>
      </c>
      <c r="AC24" s="28" t="str">
        <f t="shared" si="7"/>
        <v>2003-Q2</v>
      </c>
      <c r="AD24" s="29">
        <f t="shared" si="6"/>
        <v>0.77541353899999999</v>
      </c>
      <c r="AE24" s="29">
        <f t="shared" si="8"/>
        <v>0.77541353899999999</v>
      </c>
    </row>
    <row r="25" spans="2:31" hidden="1" x14ac:dyDescent="0.2">
      <c r="B25" s="26" t="s">
        <v>274</v>
      </c>
      <c r="C25" s="27">
        <f>VLOOKUP(B25,'Data qoq'!$A:$AT,MATCH($C$1,'Data qoq'!$A$1:$AT$1,),)</f>
        <v>1.6668962700000001</v>
      </c>
      <c r="D25" s="27">
        <f>VLOOKUP(B25,'Data qoq'!$A:$AT,MATCH($D$1,'Data qoq'!$A$1:$AT$1,),)</f>
        <v>0</v>
      </c>
      <c r="E25" s="27">
        <f>VLOOKUP(B25,'Data qoq'!$A:$AT,MATCH($E$1,'Data qoq'!$A$1:$AT$1,),)</f>
        <v>0.55084599999999995</v>
      </c>
      <c r="F25" s="27">
        <f>VLOOKUP(B25,'Data qoq'!$A:$AT,MATCH($F$1,'Data qoq'!$A$1:$AT$1,),)</f>
        <v>0.30286051000000003</v>
      </c>
      <c r="G25" s="27">
        <f>VLOOKUP(B25,'Data qoq'!$A:$AT,MATCH($G$1,'Data qoq'!$A$1:$AT$1,),)</f>
        <v>0.76587593499999995</v>
      </c>
      <c r="H25" s="27">
        <f>VLOOKUP(B25,'Data qoq'!$A:$AT,MATCH($H$1,'Data qoq'!$A$1:$AT$1,),)</f>
        <v>0.67124904900000004</v>
      </c>
      <c r="I25" s="27">
        <f>VLOOKUP(B25,'Data qoq'!$A:$AT,MATCH($I$1,'Data qoq'!$A$1:$AT$1,),)</f>
        <v>1.139088165</v>
      </c>
      <c r="J25" s="27">
        <f>VLOOKUP(B25,'Data qoq'!$A:$AT,MATCH($J$1,'Data qoq'!$A$1:$AT$1,),)</f>
        <v>-5.6133803000000003E-2</v>
      </c>
      <c r="K25" s="27">
        <f>VLOOKUP(B25,'Data qoq'!$A:$AT,MATCH($K$1,'Data qoq'!$A$1:$AT$1,),)</f>
        <v>0.65942963499999996</v>
      </c>
      <c r="L25" s="27">
        <f>VLOOKUP(B25,'Data qoq'!$A:$AT,MATCH($L$1,'Data qoq'!$A$1:$AT$1,),)</f>
        <v>1.411343462</v>
      </c>
      <c r="M25" s="27">
        <f>VLOOKUP(B25,'Data qoq'!$A:$AT,MATCH($M$1,'Data qoq'!$A$1:$AT$1,),)</f>
        <v>1.705142E-3</v>
      </c>
      <c r="N25" s="27">
        <f>VLOOKUP(B25,'Data qoq'!$A:$AT,MATCH($N$1,'Data qoq'!$A$1:$AT$1,),)</f>
        <v>1.6881671840000001</v>
      </c>
      <c r="O25" s="27">
        <f>VLOOKUP(B25,'Data qoq'!$A:$AT,MATCH($C$1,'Data qoq'!$J$1:$AT$1,),)</f>
        <v>8.8712713999999998E-2</v>
      </c>
      <c r="P25" s="27">
        <f>VLOOKUP(B25,'Data qoq'!$A:$AT,MATCH($P$1,'Data qoq'!$A$1:$AT$1,),)</f>
        <v>0.373654347</v>
      </c>
      <c r="Q25" s="27">
        <f>VLOOKUP(B25,'Data qoq'!$A:$AT,MATCH($Q$1,'Data qoq'!$A$1:$AT$1,),)</f>
        <v>1.686075998</v>
      </c>
      <c r="R25" s="27">
        <f>VLOOKUP(B25,'Data qoq'!$A:$AT,MATCH($E$1,'Data qoq'!$A$1:$AT$1,),)</f>
        <v>0.55084599999999995</v>
      </c>
      <c r="S25" s="27">
        <f>VLOOKUP(B25,'Data qoq'!$A:$AT,MATCH($S$1,'Data qoq'!$A$1:$AT$1,),)</f>
        <v>1.9326695089999999</v>
      </c>
      <c r="T25" s="27">
        <f>VLOOKUP(B25,'Data qoq'!$A:$AT,MATCH($T$1,'Data qoq'!$A$1:$AT$1,),)</f>
        <v>0.94319987299999997</v>
      </c>
      <c r="U25" s="27">
        <f>VLOOKUP(B25,'Data qoq'!$A:$AT,MATCH($U$1,'Data qoq'!$A$1:$AT$1,),)</f>
        <v>0.62731859400000001</v>
      </c>
      <c r="V25" s="27">
        <f>VLOOKUP(B25,'Data qoq'!$A:$AT,MATCH($V$1,'Data qoq'!$A$1:$AT$1,),)</f>
        <v>1.652961809</v>
      </c>
      <c r="W25" s="27">
        <f>VLOOKUP(B25,'Data qoq'!$A:$AT,MATCH($W$1,'Data qoq'!$A$1:$AT$1,),)</f>
        <v>2.8512124029999999</v>
      </c>
      <c r="X25" s="27">
        <f>VLOOKUP(B25,'Data qoq'!$A:$AT,MATCH($X$1,'Data qoq'!$A$1:$AT$1,),)</f>
        <v>0.92743451600000004</v>
      </c>
      <c r="Y25" s="27">
        <f>VLOOKUP(B25,'Data qoq'!$A:$AT,MATCH($Y$1,'Data qoq'!$A$1:$AT$1,),)</f>
        <v>1.113605548</v>
      </c>
      <c r="Z25" s="27">
        <f>VLOOKUP(B25,'Data qoq'!$A:$AU,MATCH($Z$1,'Data qoq'!$A$1:$AU$1,),)</f>
        <v>2.4436381310000002</v>
      </c>
      <c r="AA25" s="27">
        <f>VLOOKUP(B25,'Data qoq'!$A:$AU,MATCH($AA$1,'Data qoq'!$A$1:$AU$1,),)</f>
        <v>2.121113496</v>
      </c>
      <c r="AC25" s="28" t="str">
        <f t="shared" si="7"/>
        <v>2003-Q3</v>
      </c>
      <c r="AD25" s="29">
        <f t="shared" si="6"/>
        <v>0.90102033500000012</v>
      </c>
      <c r="AE25" s="29">
        <f>C25-G25</f>
        <v>0.90102033500000012</v>
      </c>
    </row>
    <row r="26" spans="2:31" hidden="1" x14ac:dyDescent="0.2">
      <c r="B26" s="26" t="s">
        <v>275</v>
      </c>
      <c r="C26" s="27">
        <f>VLOOKUP(B26,'Data qoq'!$A:$AT,MATCH($C$1,'Data qoq'!$A$1:$AT$1,),)</f>
        <v>1.154045728</v>
      </c>
      <c r="D26" s="27">
        <f>VLOOKUP(B26,'Data qoq'!$A:$AT,MATCH($D$1,'Data qoq'!$A$1:$AT$1,),)</f>
        <v>0</v>
      </c>
      <c r="E26" s="27">
        <f>VLOOKUP(B26,'Data qoq'!$A:$AT,MATCH($E$1,'Data qoq'!$A$1:$AT$1,),)</f>
        <v>0.70654399999999995</v>
      </c>
      <c r="F26" s="27">
        <f>VLOOKUP(B26,'Data qoq'!$A:$AT,MATCH($F$1,'Data qoq'!$A$1:$AT$1,),)</f>
        <v>1.082235485</v>
      </c>
      <c r="G26" s="27">
        <f>VLOOKUP(B26,'Data qoq'!$A:$AT,MATCH($G$1,'Data qoq'!$A$1:$AT$1,),)</f>
        <v>0.26894256</v>
      </c>
      <c r="H26" s="27">
        <f>VLOOKUP(B26,'Data qoq'!$A:$AT,MATCH($H$1,'Data qoq'!$A$1:$AT$1,),)</f>
        <v>0.72235532899999999</v>
      </c>
      <c r="I26" s="27">
        <f>VLOOKUP(B26,'Data qoq'!$A:$AT,MATCH($I$1,'Data qoq'!$A$1:$AT$1,),)</f>
        <v>0.93033741299999995</v>
      </c>
      <c r="J26" s="27">
        <f>VLOOKUP(B26,'Data qoq'!$A:$AT,MATCH($J$1,'Data qoq'!$A$1:$AT$1,),)</f>
        <v>0.86316747900000002</v>
      </c>
      <c r="K26" s="27">
        <f>VLOOKUP(B26,'Data qoq'!$A:$AT,MATCH($K$1,'Data qoq'!$A$1:$AT$1,),)</f>
        <v>0.86449595899999998</v>
      </c>
      <c r="L26" s="27">
        <f>VLOOKUP(B26,'Data qoq'!$A:$AT,MATCH($L$1,'Data qoq'!$A$1:$AT$1,),)</f>
        <v>0.65846204699999999</v>
      </c>
      <c r="M26" s="27">
        <f>VLOOKUP(B26,'Data qoq'!$A:$AT,MATCH($M$1,'Data qoq'!$A$1:$AT$1,),)</f>
        <v>1.0468015770000001</v>
      </c>
      <c r="N26" s="27">
        <f>VLOOKUP(B26,'Data qoq'!$A:$AT,MATCH($N$1,'Data qoq'!$A$1:$AT$1,),)</f>
        <v>1.8238187690000001</v>
      </c>
      <c r="O26" s="27">
        <f>VLOOKUP(B26,'Data qoq'!$A:$AT,MATCH($C$1,'Data qoq'!$J$1:$AT$1,),)</f>
        <v>0.53539578399999999</v>
      </c>
      <c r="P26" s="27">
        <f>VLOOKUP(B26,'Data qoq'!$A:$AT,MATCH($P$1,'Data qoq'!$A$1:$AT$1,),)</f>
        <v>0.68995918099999998</v>
      </c>
      <c r="Q26" s="27">
        <f>VLOOKUP(B26,'Data qoq'!$A:$AT,MATCH($Q$1,'Data qoq'!$A$1:$AT$1,),)</f>
        <v>1.662196709</v>
      </c>
      <c r="R26" s="27">
        <f>VLOOKUP(B26,'Data qoq'!$A:$AT,MATCH($E$1,'Data qoq'!$A$1:$AT$1,),)</f>
        <v>0.70654399999999995</v>
      </c>
      <c r="S26" s="27">
        <f>VLOOKUP(B26,'Data qoq'!$A:$AT,MATCH($S$1,'Data qoq'!$A$1:$AT$1,),)</f>
        <v>2.6394795860000002</v>
      </c>
      <c r="T26" s="27">
        <f>VLOOKUP(B26,'Data qoq'!$A:$AT,MATCH($T$1,'Data qoq'!$A$1:$AT$1,),)</f>
        <v>1.036908103</v>
      </c>
      <c r="U26" s="27">
        <f>VLOOKUP(B26,'Data qoq'!$A:$AT,MATCH($U$1,'Data qoq'!$A$1:$AT$1,),)</f>
        <v>2.1371795480000002</v>
      </c>
      <c r="V26" s="27">
        <f>VLOOKUP(B26,'Data qoq'!$A:$AT,MATCH($V$1,'Data qoq'!$A$1:$AT$1,),)</f>
        <v>4.5625712729999996</v>
      </c>
      <c r="W26" s="27">
        <f>VLOOKUP(B26,'Data qoq'!$A:$AT,MATCH($W$1,'Data qoq'!$A$1:$AT$1,),)</f>
        <v>3.0230130769999999</v>
      </c>
      <c r="X26" s="27">
        <f>VLOOKUP(B26,'Data qoq'!$A:$AT,MATCH($X$1,'Data qoq'!$A$1:$AT$1,),)</f>
        <v>1.0113947480000001</v>
      </c>
      <c r="Y26" s="27">
        <f>VLOOKUP(B26,'Data qoq'!$A:$AT,MATCH($Y$1,'Data qoq'!$A$1:$AT$1,),)</f>
        <v>0.28005457299999997</v>
      </c>
      <c r="Z26" s="27">
        <f>VLOOKUP(B26,'Data qoq'!$A:$AU,MATCH($Z$1,'Data qoq'!$A$1:$AU$1,),)</f>
        <v>1.8764988899999999</v>
      </c>
      <c r="AA26" s="27">
        <f>VLOOKUP(B26,'Data qoq'!$A:$AU,MATCH($AA$1,'Data qoq'!$A$1:$AU$1,),)</f>
        <v>1.2772020749999999</v>
      </c>
      <c r="AC26" s="28" t="str">
        <f t="shared" si="7"/>
        <v>2003-Q4</v>
      </c>
      <c r="AD26" s="29">
        <f t="shared" si="6"/>
        <v>0.88510316800000011</v>
      </c>
      <c r="AE26" s="29">
        <f t="shared" si="8"/>
        <v>0.88510316800000011</v>
      </c>
    </row>
    <row r="27" spans="2:31" hidden="1" x14ac:dyDescent="0.2">
      <c r="B27" s="26" t="s">
        <v>276</v>
      </c>
      <c r="C27" s="27">
        <f>VLOOKUP(B27,'Data qoq'!$A:$AT,MATCH($C$1,'Data qoq'!$A$1:$AT$1,),)</f>
        <v>0.572916486</v>
      </c>
      <c r="D27" s="27">
        <f>VLOOKUP(B27,'Data qoq'!$A:$AT,MATCH($D$1,'Data qoq'!$A$1:$AT$1,),)</f>
        <v>0</v>
      </c>
      <c r="E27" s="27">
        <f>VLOOKUP(B27,'Data qoq'!$A:$AT,MATCH($E$1,'Data qoq'!$A$1:$AT$1,),)</f>
        <v>0.53049900000000005</v>
      </c>
      <c r="F27" s="27">
        <f>VLOOKUP(B27,'Data qoq'!$A:$AT,MATCH($F$1,'Data qoq'!$A$1:$AT$1,),)</f>
        <v>0.74175270299999996</v>
      </c>
      <c r="G27" s="27">
        <f>VLOOKUP(B27,'Data qoq'!$A:$AT,MATCH($G$1,'Data qoq'!$A$1:$AT$1,),)</f>
        <v>-0.17199453100000001</v>
      </c>
      <c r="H27" s="27">
        <f>VLOOKUP(B27,'Data qoq'!$A:$AT,MATCH($H$1,'Data qoq'!$A$1:$AT$1,),)</f>
        <v>0.93059228100000002</v>
      </c>
      <c r="I27" s="27">
        <f>VLOOKUP(B27,'Data qoq'!$A:$AT,MATCH($I$1,'Data qoq'!$A$1:$AT$1,),)</f>
        <v>0.351158362</v>
      </c>
      <c r="J27" s="27">
        <f>VLOOKUP(B27,'Data qoq'!$A:$AT,MATCH($J$1,'Data qoq'!$A$1:$AT$1,),)</f>
        <v>0.36107339300000002</v>
      </c>
      <c r="K27" s="27">
        <f>VLOOKUP(B27,'Data qoq'!$A:$AT,MATCH($K$1,'Data qoq'!$A$1:$AT$1,),)</f>
        <v>0.60304358199999997</v>
      </c>
      <c r="L27" s="27">
        <f>VLOOKUP(B27,'Data qoq'!$A:$AT,MATCH($L$1,'Data qoq'!$A$1:$AT$1,),)</f>
        <v>1.7851125379999999</v>
      </c>
      <c r="M27" s="27">
        <f>VLOOKUP(B27,'Data qoq'!$A:$AT,MATCH($M$1,'Data qoq'!$A$1:$AT$1,),)</f>
        <v>1.370845125</v>
      </c>
      <c r="N27" s="27">
        <f>VLOOKUP(B27,'Data qoq'!$A:$AT,MATCH($N$1,'Data qoq'!$A$1:$AT$1,),)</f>
        <v>1.8786669309999999</v>
      </c>
      <c r="O27" s="27">
        <f>VLOOKUP(B27,'Data qoq'!$A:$AT,MATCH($C$1,'Data qoq'!$J$1:$AT$1,),)</f>
        <v>0.90523695299999996</v>
      </c>
      <c r="P27" s="27">
        <f>VLOOKUP(B27,'Data qoq'!$A:$AT,MATCH($P$1,'Data qoq'!$A$1:$AT$1,),)</f>
        <v>0.72026758700000004</v>
      </c>
      <c r="Q27" s="27">
        <f>VLOOKUP(B27,'Data qoq'!$A:$AT,MATCH($Q$1,'Data qoq'!$A$1:$AT$1,),)</f>
        <v>0.82445216499999996</v>
      </c>
      <c r="R27" s="27">
        <f>VLOOKUP(B27,'Data qoq'!$A:$AT,MATCH($E$1,'Data qoq'!$A$1:$AT$1,),)</f>
        <v>0.53049900000000005</v>
      </c>
      <c r="S27" s="27">
        <f>VLOOKUP(B27,'Data qoq'!$A:$AT,MATCH($S$1,'Data qoq'!$A$1:$AT$1,),)</f>
        <v>1.254800591</v>
      </c>
      <c r="T27" s="27">
        <f>VLOOKUP(B27,'Data qoq'!$A:$AT,MATCH($T$1,'Data qoq'!$A$1:$AT$1,),)</f>
        <v>1.4201238599999999</v>
      </c>
      <c r="U27" s="27">
        <f>VLOOKUP(B27,'Data qoq'!$A:$AT,MATCH($U$1,'Data qoq'!$A$1:$AT$1,),)</f>
        <v>1.8285645370000001</v>
      </c>
      <c r="V27" s="27">
        <f>VLOOKUP(B27,'Data qoq'!$A:$AT,MATCH($V$1,'Data qoq'!$A$1:$AT$1,),)</f>
        <v>-7.1763377000000003E-2</v>
      </c>
      <c r="W27" s="27">
        <f>VLOOKUP(B27,'Data qoq'!$A:$AT,MATCH($W$1,'Data qoq'!$A$1:$AT$1,),)</f>
        <v>2.7542829950000001</v>
      </c>
      <c r="X27" s="27">
        <f>VLOOKUP(B27,'Data qoq'!$A:$AT,MATCH($X$1,'Data qoq'!$A$1:$AT$1,),)</f>
        <v>0.973754181</v>
      </c>
      <c r="Y27" s="27">
        <f>VLOOKUP(B27,'Data qoq'!$A:$AT,MATCH($Y$1,'Data qoq'!$A$1:$AT$1,),)</f>
        <v>2.987164462</v>
      </c>
      <c r="Z27" s="27">
        <f>VLOOKUP(B27,'Data qoq'!$A:$AU,MATCH($Z$1,'Data qoq'!$A$1:$AU$1,),)</f>
        <v>3.2745832930000001</v>
      </c>
      <c r="AA27" s="27">
        <f>VLOOKUP(B27,'Data qoq'!$A:$AU,MATCH($AA$1,'Data qoq'!$A$1:$AU$1,),)</f>
        <v>1.713327668</v>
      </c>
      <c r="AC27" s="28" t="str">
        <f t="shared" si="7"/>
        <v>2004-Q1</v>
      </c>
      <c r="AD27" s="29">
        <f t="shared" si="6"/>
        <v>0.74491101699999995</v>
      </c>
      <c r="AE27" s="29">
        <f t="shared" si="8"/>
        <v>0.74491101699999995</v>
      </c>
    </row>
    <row r="28" spans="2:31" hidden="1" x14ac:dyDescent="0.2">
      <c r="B28" s="26" t="s">
        <v>277</v>
      </c>
      <c r="C28" s="27">
        <f>VLOOKUP(B28,'Data qoq'!$A:$AT,MATCH($C$1,'Data qoq'!$A$1:$AT$1,),)</f>
        <v>0.77873875800000003</v>
      </c>
      <c r="D28" s="27">
        <f>VLOOKUP(B28,'Data qoq'!$A:$AT,MATCH($D$1,'Data qoq'!$A$1:$AT$1,),)</f>
        <v>0</v>
      </c>
      <c r="E28" s="27">
        <f>VLOOKUP(B28,'Data qoq'!$A:$AT,MATCH($E$1,'Data qoq'!$A$1:$AT$1,),)</f>
        <v>0.59959700000000005</v>
      </c>
      <c r="F28" s="27">
        <f>VLOOKUP(B28,'Data qoq'!$A:$AT,MATCH($F$1,'Data qoq'!$A$1:$AT$1,),)</f>
        <v>7.1163329999999999E-3</v>
      </c>
      <c r="G28" s="27">
        <f>VLOOKUP(B28,'Data qoq'!$A:$AT,MATCH($G$1,'Data qoq'!$A$1:$AT$1,),)</f>
        <v>0.50232971599999998</v>
      </c>
      <c r="H28" s="27">
        <f>VLOOKUP(B28,'Data qoq'!$A:$AT,MATCH($H$1,'Data qoq'!$A$1:$AT$1,),)</f>
        <v>0.65485226500000004</v>
      </c>
      <c r="I28" s="27">
        <f>VLOOKUP(B28,'Data qoq'!$A:$AT,MATCH($I$1,'Data qoq'!$A$1:$AT$1,),)</f>
        <v>0.36805705300000002</v>
      </c>
      <c r="J28" s="27">
        <f>VLOOKUP(B28,'Data qoq'!$A:$AT,MATCH($J$1,'Data qoq'!$A$1:$AT$1,),)</f>
        <v>0.28690599900000002</v>
      </c>
      <c r="K28" s="27">
        <f>VLOOKUP(B28,'Data qoq'!$A:$AT,MATCH($K$1,'Data qoq'!$A$1:$AT$1,),)</f>
        <v>0.97698308</v>
      </c>
      <c r="L28" s="27">
        <f>VLOOKUP(B28,'Data qoq'!$A:$AT,MATCH($L$1,'Data qoq'!$A$1:$AT$1,),)</f>
        <v>0.45779946700000002</v>
      </c>
      <c r="M28" s="27">
        <f>VLOOKUP(B28,'Data qoq'!$A:$AT,MATCH($M$1,'Data qoq'!$A$1:$AT$1,),)</f>
        <v>1.5826676129999999</v>
      </c>
      <c r="N28" s="27">
        <f>VLOOKUP(B28,'Data qoq'!$A:$AT,MATCH($N$1,'Data qoq'!$A$1:$AT$1,),)</f>
        <v>1.9271840410000001</v>
      </c>
      <c r="O28" s="27">
        <f>VLOOKUP(B28,'Data qoq'!$A:$AT,MATCH($C$1,'Data qoq'!$J$1:$AT$1,),)</f>
        <v>0.47679610300000003</v>
      </c>
      <c r="P28" s="27">
        <f>VLOOKUP(B28,'Data qoq'!$A:$AT,MATCH($P$1,'Data qoq'!$A$1:$AT$1,),)</f>
        <v>1.1878190150000001</v>
      </c>
      <c r="Q28" s="27">
        <f>VLOOKUP(B28,'Data qoq'!$A:$AT,MATCH($Q$1,'Data qoq'!$A$1:$AT$1,),)</f>
        <v>0.67051039599999995</v>
      </c>
      <c r="R28" s="27">
        <f>VLOOKUP(B28,'Data qoq'!$A:$AT,MATCH($E$1,'Data qoq'!$A$1:$AT$1,),)</f>
        <v>0.59959700000000005</v>
      </c>
      <c r="S28" s="27">
        <f>VLOOKUP(B28,'Data qoq'!$A:$AT,MATCH($S$1,'Data qoq'!$A$1:$AT$1,),)</f>
        <v>0.76349936900000004</v>
      </c>
      <c r="T28" s="27">
        <f>VLOOKUP(B28,'Data qoq'!$A:$AT,MATCH($T$1,'Data qoq'!$A$1:$AT$1,),)</f>
        <v>2.7344208210000001</v>
      </c>
      <c r="U28" s="27">
        <f>VLOOKUP(B28,'Data qoq'!$A:$AT,MATCH($U$1,'Data qoq'!$A$1:$AT$1,),)</f>
        <v>-1.8592187999999999E-2</v>
      </c>
      <c r="V28" s="27">
        <f>VLOOKUP(B28,'Data qoq'!$A:$AT,MATCH($V$1,'Data qoq'!$A$1:$AT$1,),)</f>
        <v>2.0061647159999998</v>
      </c>
      <c r="W28" s="27">
        <f>VLOOKUP(B28,'Data qoq'!$A:$AT,MATCH($W$1,'Data qoq'!$A$1:$AT$1,),)</f>
        <v>2.328300885</v>
      </c>
      <c r="X28" s="27">
        <f>VLOOKUP(B28,'Data qoq'!$A:$AT,MATCH($X$1,'Data qoq'!$A$1:$AT$1,),)</f>
        <v>1.1687850900000001</v>
      </c>
      <c r="Y28" s="27">
        <f>VLOOKUP(B28,'Data qoq'!$A:$AT,MATCH($Y$1,'Data qoq'!$A$1:$AT$1,),)</f>
        <v>0.80936053900000005</v>
      </c>
      <c r="Z28" s="27">
        <f>VLOOKUP(B28,'Data qoq'!$A:$AU,MATCH($Z$1,'Data qoq'!$A$1:$AU$1,),)</f>
        <v>-1.144049651</v>
      </c>
      <c r="AA28" s="27">
        <f>VLOOKUP(B28,'Data qoq'!$A:$AU,MATCH($AA$1,'Data qoq'!$A$1:$AU$1,),)</f>
        <v>0.87519769800000002</v>
      </c>
      <c r="AC28" s="28" t="str">
        <f t="shared" si="7"/>
        <v>2004-Q2</v>
      </c>
      <c r="AD28" s="29">
        <f t="shared" si="6"/>
        <v>0.27640904200000005</v>
      </c>
      <c r="AE28" s="29">
        <f t="shared" si="8"/>
        <v>0.27640904200000005</v>
      </c>
    </row>
    <row r="29" spans="2:31" hidden="1" x14ac:dyDescent="0.2">
      <c r="B29" s="26" t="s">
        <v>278</v>
      </c>
      <c r="C29" s="27">
        <f>VLOOKUP(B29,'Data qoq'!$A:$AT,MATCH($C$1,'Data qoq'!$A$1:$AT$1,),)</f>
        <v>0.94124722500000002</v>
      </c>
      <c r="D29" s="27">
        <f>VLOOKUP(B29,'Data qoq'!$A:$AT,MATCH($D$1,'Data qoq'!$A$1:$AT$1,),)</f>
        <v>0</v>
      </c>
      <c r="E29" s="27">
        <f>VLOOKUP(B29,'Data qoq'!$A:$AT,MATCH($E$1,'Data qoq'!$A$1:$AT$1,),)</f>
        <v>0.25078400000000001</v>
      </c>
      <c r="F29" s="27">
        <f>VLOOKUP(B29,'Data qoq'!$A:$AT,MATCH($F$1,'Data qoq'!$A$1:$AT$1,),)</f>
        <v>0.619615044</v>
      </c>
      <c r="G29" s="27">
        <f>VLOOKUP(B29,'Data qoq'!$A:$AT,MATCH($G$1,'Data qoq'!$A$1:$AT$1,),)</f>
        <v>-0.18597518800000001</v>
      </c>
      <c r="H29" s="27">
        <f>VLOOKUP(B29,'Data qoq'!$A:$AT,MATCH($H$1,'Data qoq'!$A$1:$AT$1,),)</f>
        <v>0.25863186399999999</v>
      </c>
      <c r="I29" s="27">
        <f>VLOOKUP(B29,'Data qoq'!$A:$AT,MATCH($I$1,'Data qoq'!$A$1:$AT$1,),)</f>
        <v>0.179467131</v>
      </c>
      <c r="J29" s="27">
        <f>VLOOKUP(B29,'Data qoq'!$A:$AT,MATCH($J$1,'Data qoq'!$A$1:$AT$1,),)</f>
        <v>-1.8031360999999999E-2</v>
      </c>
      <c r="K29" s="27">
        <f>VLOOKUP(B29,'Data qoq'!$A:$AT,MATCH($K$1,'Data qoq'!$A$1:$AT$1,),)</f>
        <v>0.94041857500000003</v>
      </c>
      <c r="L29" s="27">
        <f>VLOOKUP(B29,'Data qoq'!$A:$AT,MATCH($L$1,'Data qoq'!$A$1:$AT$1,),)</f>
        <v>0.75681135600000005</v>
      </c>
      <c r="M29" s="27">
        <f>VLOOKUP(B29,'Data qoq'!$A:$AT,MATCH($M$1,'Data qoq'!$A$1:$AT$1,),)</f>
        <v>-0.12623029899999999</v>
      </c>
      <c r="N29" s="27">
        <f>VLOOKUP(B29,'Data qoq'!$A:$AT,MATCH($N$1,'Data qoq'!$A$1:$AT$1,),)</f>
        <v>1.514535194</v>
      </c>
      <c r="O29" s="27">
        <f>VLOOKUP(B29,'Data qoq'!$A:$AT,MATCH($C$1,'Data qoq'!$J$1:$AT$1,),)</f>
        <v>0.14938823900000001</v>
      </c>
      <c r="P29" s="27">
        <f>VLOOKUP(B29,'Data qoq'!$A:$AT,MATCH($P$1,'Data qoq'!$A$1:$AT$1,),)</f>
        <v>1.1804355769999999</v>
      </c>
      <c r="Q29" s="27">
        <f>VLOOKUP(B29,'Data qoq'!$A:$AT,MATCH($Q$1,'Data qoq'!$A$1:$AT$1,),)</f>
        <v>0.75663384600000005</v>
      </c>
      <c r="R29" s="27">
        <f>VLOOKUP(B29,'Data qoq'!$A:$AT,MATCH($E$1,'Data qoq'!$A$1:$AT$1,),)</f>
        <v>0.25078400000000001</v>
      </c>
      <c r="S29" s="27">
        <f>VLOOKUP(B29,'Data qoq'!$A:$AT,MATCH($S$1,'Data qoq'!$A$1:$AT$1,),)</f>
        <v>0.40558612900000002</v>
      </c>
      <c r="T29" s="27">
        <f>VLOOKUP(B29,'Data qoq'!$A:$AT,MATCH($T$1,'Data qoq'!$A$1:$AT$1,),)</f>
        <v>1.2453975660000001</v>
      </c>
      <c r="U29" s="27">
        <f>VLOOKUP(B29,'Data qoq'!$A:$AT,MATCH($U$1,'Data qoq'!$A$1:$AT$1,),)</f>
        <v>1.334459386</v>
      </c>
      <c r="V29" s="27">
        <f>VLOOKUP(B29,'Data qoq'!$A:$AT,MATCH($V$1,'Data qoq'!$A$1:$AT$1,),)</f>
        <v>0.29225087100000002</v>
      </c>
      <c r="W29" s="27">
        <f>VLOOKUP(B29,'Data qoq'!$A:$AT,MATCH($W$1,'Data qoq'!$A$1:$AT$1,),)</f>
        <v>1.1277305360000001</v>
      </c>
      <c r="X29" s="27">
        <f>VLOOKUP(B29,'Data qoq'!$A:$AT,MATCH($X$1,'Data qoq'!$A$1:$AT$1,),)</f>
        <v>1.570060767</v>
      </c>
      <c r="Y29" s="27">
        <f>VLOOKUP(B29,'Data qoq'!$A:$AT,MATCH($Y$1,'Data qoq'!$A$1:$AT$1,),)</f>
        <v>-0.50367010899999998</v>
      </c>
      <c r="Z29" s="27">
        <f>VLOOKUP(B29,'Data qoq'!$A:$AU,MATCH($Z$1,'Data qoq'!$A$1:$AU$1,),)</f>
        <v>4.9805616769999999</v>
      </c>
      <c r="AA29" s="27">
        <f>VLOOKUP(B29,'Data qoq'!$A:$AU,MATCH($AA$1,'Data qoq'!$A$1:$AU$1,),)</f>
        <v>0.28897252299999998</v>
      </c>
      <c r="AC29" s="28" t="str">
        <f t="shared" si="7"/>
        <v>2004-Q3</v>
      </c>
      <c r="AD29" s="29">
        <f t="shared" si="6"/>
        <v>1.1272224130000001</v>
      </c>
      <c r="AE29" s="29">
        <f t="shared" si="8"/>
        <v>1.1272224130000001</v>
      </c>
    </row>
    <row r="30" spans="2:31" hidden="1" x14ac:dyDescent="0.2">
      <c r="B30" s="26" t="s">
        <v>279</v>
      </c>
      <c r="C30" s="27">
        <f>VLOOKUP(B30,'Data qoq'!$A:$AT,MATCH($C$1,'Data qoq'!$A$1:$AT$1,),)</f>
        <v>1.0220273689999999</v>
      </c>
      <c r="D30" s="27">
        <f>VLOOKUP(B30,'Data qoq'!$A:$AT,MATCH($D$1,'Data qoq'!$A$1:$AT$1,),)</f>
        <v>0</v>
      </c>
      <c r="E30" s="27">
        <f>VLOOKUP(B30,'Data qoq'!$A:$AT,MATCH($E$1,'Data qoq'!$A$1:$AT$1,),)</f>
        <v>0.35061900000000001</v>
      </c>
      <c r="F30" s="27">
        <f>VLOOKUP(B30,'Data qoq'!$A:$AT,MATCH($F$1,'Data qoq'!$A$1:$AT$1,),)</f>
        <v>-0.19964057599999999</v>
      </c>
      <c r="G30" s="27">
        <f>VLOOKUP(B30,'Data qoq'!$A:$AT,MATCH($G$1,'Data qoq'!$A$1:$AT$1,),)</f>
        <v>-0.104814134</v>
      </c>
      <c r="H30" s="27">
        <f>VLOOKUP(B30,'Data qoq'!$A:$AT,MATCH($H$1,'Data qoq'!$A$1:$AT$1,),)</f>
        <v>0.74475246100000003</v>
      </c>
      <c r="I30" s="27">
        <f>VLOOKUP(B30,'Data qoq'!$A:$AT,MATCH($I$1,'Data qoq'!$A$1:$AT$1,),)</f>
        <v>0.25103208399999999</v>
      </c>
      <c r="J30" s="27">
        <f>VLOOKUP(B30,'Data qoq'!$A:$AT,MATCH($J$1,'Data qoq'!$A$1:$AT$1,),)</f>
        <v>0.21611322899999999</v>
      </c>
      <c r="K30" s="27">
        <f>VLOOKUP(B30,'Data qoq'!$A:$AT,MATCH($K$1,'Data qoq'!$A$1:$AT$1,),)</f>
        <v>0.68431095900000005</v>
      </c>
      <c r="L30" s="27">
        <f>VLOOKUP(B30,'Data qoq'!$A:$AT,MATCH($L$1,'Data qoq'!$A$1:$AT$1,),)</f>
        <v>0.85413719700000001</v>
      </c>
      <c r="M30" s="27">
        <f>VLOOKUP(B30,'Data qoq'!$A:$AT,MATCH($M$1,'Data qoq'!$A$1:$AT$1,),)</f>
        <v>1.2206260920000001</v>
      </c>
      <c r="N30" s="27">
        <f>VLOOKUP(B30,'Data qoq'!$A:$AT,MATCH($N$1,'Data qoq'!$A$1:$AT$1,),)</f>
        <v>1.1181707839999999</v>
      </c>
      <c r="O30" s="27">
        <f>VLOOKUP(B30,'Data qoq'!$A:$AT,MATCH($C$1,'Data qoq'!$J$1:$AT$1,),)</f>
        <v>0.21801400900000001</v>
      </c>
      <c r="P30" s="27">
        <f>VLOOKUP(B30,'Data qoq'!$A:$AT,MATCH($P$1,'Data qoq'!$A$1:$AT$1,),)</f>
        <v>0.71842654399999994</v>
      </c>
      <c r="Q30" s="27">
        <f>VLOOKUP(B30,'Data qoq'!$A:$AT,MATCH($Q$1,'Data qoq'!$A$1:$AT$1,),)</f>
        <v>0.77176975999999997</v>
      </c>
      <c r="R30" s="27">
        <f>VLOOKUP(B30,'Data qoq'!$A:$AT,MATCH($E$1,'Data qoq'!$A$1:$AT$1,),)</f>
        <v>0.35061900000000001</v>
      </c>
      <c r="S30" s="27">
        <f>VLOOKUP(B30,'Data qoq'!$A:$AT,MATCH($S$1,'Data qoq'!$A$1:$AT$1,),)</f>
        <v>0.75793377399999995</v>
      </c>
      <c r="T30" s="27">
        <f>VLOOKUP(B30,'Data qoq'!$A:$AT,MATCH($T$1,'Data qoq'!$A$1:$AT$1,),)</f>
        <v>0.77048731199999998</v>
      </c>
      <c r="U30" s="27">
        <f>VLOOKUP(B30,'Data qoq'!$A:$AT,MATCH($U$1,'Data qoq'!$A$1:$AT$1,),)</f>
        <v>-0.381337288</v>
      </c>
      <c r="V30" s="27">
        <f>VLOOKUP(B30,'Data qoq'!$A:$AT,MATCH($V$1,'Data qoq'!$A$1:$AT$1,),)</f>
        <v>1.7456480400000001</v>
      </c>
      <c r="W30" s="27">
        <f>VLOOKUP(B30,'Data qoq'!$A:$AT,MATCH($W$1,'Data qoq'!$A$1:$AT$1,),)</f>
        <v>1.622484668</v>
      </c>
      <c r="X30" s="27">
        <f>VLOOKUP(B30,'Data qoq'!$A:$AT,MATCH($X$1,'Data qoq'!$A$1:$AT$1,),)</f>
        <v>1.786929327</v>
      </c>
      <c r="Y30" s="27">
        <f>VLOOKUP(B30,'Data qoq'!$A:$AT,MATCH($Y$1,'Data qoq'!$A$1:$AT$1,),)</f>
        <v>1.0601376849999999</v>
      </c>
      <c r="Z30" s="27">
        <f>VLOOKUP(B30,'Data qoq'!$A:$AU,MATCH($Z$1,'Data qoq'!$A$1:$AU$1,),)</f>
        <v>1.494785552</v>
      </c>
      <c r="AA30" s="27">
        <f>VLOOKUP(B30,'Data qoq'!$A:$AU,MATCH($AA$1,'Data qoq'!$A$1:$AU$1,),)</f>
        <v>0.34204065</v>
      </c>
      <c r="AC30" s="28" t="str">
        <f t="shared" si="7"/>
        <v>2004-Q4</v>
      </c>
      <c r="AD30" s="29">
        <f t="shared" si="6"/>
        <v>1.1268415029999999</v>
      </c>
      <c r="AE30" s="29">
        <f t="shared" si="8"/>
        <v>1.1268415029999999</v>
      </c>
    </row>
    <row r="31" spans="2:31" hidden="1" x14ac:dyDescent="0.2">
      <c r="B31" s="26" t="s">
        <v>280</v>
      </c>
      <c r="C31" s="27">
        <f>VLOOKUP(B31,'Data qoq'!$A:$AT,MATCH($C$1,'Data qoq'!$A$1:$AT$1,),)</f>
        <v>1.110882508</v>
      </c>
      <c r="D31" s="27">
        <f>VLOOKUP(B31,'Data qoq'!$A:$AT,MATCH($D$1,'Data qoq'!$A$1:$AT$1,),)</f>
        <v>0</v>
      </c>
      <c r="E31" s="27">
        <f>VLOOKUP(B31,'Data qoq'!$A:$AT,MATCH($E$1,'Data qoq'!$A$1:$AT$1,),)</f>
        <v>0.26292700000000002</v>
      </c>
      <c r="F31" s="27">
        <f>VLOOKUP(B31,'Data qoq'!$A:$AT,MATCH($F$1,'Data qoq'!$A$1:$AT$1,),)</f>
        <v>0.51063975100000003</v>
      </c>
      <c r="G31" s="27">
        <f>VLOOKUP(B31,'Data qoq'!$A:$AT,MATCH($G$1,'Data qoq'!$A$1:$AT$1,),)</f>
        <v>2.8892190000000002E-3</v>
      </c>
      <c r="H31" s="27">
        <f>VLOOKUP(B31,'Data qoq'!$A:$AT,MATCH($H$1,'Data qoq'!$A$1:$AT$1,),)</f>
        <v>0.27092818400000002</v>
      </c>
      <c r="I31" s="27">
        <f>VLOOKUP(B31,'Data qoq'!$A:$AT,MATCH($I$1,'Data qoq'!$A$1:$AT$1,),)</f>
        <v>0.79719366000000003</v>
      </c>
      <c r="J31" s="27">
        <f>VLOOKUP(B31,'Data qoq'!$A:$AT,MATCH($J$1,'Data qoq'!$A$1:$AT$1,),)</f>
        <v>-0.10463491900000001</v>
      </c>
      <c r="K31" s="27">
        <f>VLOOKUP(B31,'Data qoq'!$A:$AT,MATCH($K$1,'Data qoq'!$A$1:$AT$1,),)</f>
        <v>0.97628954199999995</v>
      </c>
      <c r="L31" s="27">
        <f>VLOOKUP(B31,'Data qoq'!$A:$AT,MATCH($L$1,'Data qoq'!$A$1:$AT$1,),)</f>
        <v>0.43382349100000001</v>
      </c>
      <c r="M31" s="27">
        <f>VLOOKUP(B31,'Data qoq'!$A:$AT,MATCH($M$1,'Data qoq'!$A$1:$AT$1,),)</f>
        <v>0.13879014000000001</v>
      </c>
      <c r="N31" s="27">
        <f>VLOOKUP(B31,'Data qoq'!$A:$AT,MATCH($N$1,'Data qoq'!$A$1:$AT$1,),)</f>
        <v>1.7480820589999999</v>
      </c>
      <c r="O31" s="27">
        <f>VLOOKUP(B31,'Data qoq'!$A:$AT,MATCH($C$1,'Data qoq'!$J$1:$AT$1,),)</f>
        <v>0.322858268</v>
      </c>
      <c r="P31" s="27">
        <f>VLOOKUP(B31,'Data qoq'!$A:$AT,MATCH($P$1,'Data qoq'!$A$1:$AT$1,),)</f>
        <v>0.34606659499999998</v>
      </c>
      <c r="Q31" s="27">
        <f>VLOOKUP(B31,'Data qoq'!$A:$AT,MATCH($Q$1,'Data qoq'!$A$1:$AT$1,),)</f>
        <v>0.78681692400000003</v>
      </c>
      <c r="R31" s="27">
        <f>VLOOKUP(B31,'Data qoq'!$A:$AT,MATCH($E$1,'Data qoq'!$A$1:$AT$1,),)</f>
        <v>0.26292700000000002</v>
      </c>
      <c r="S31" s="27">
        <f>VLOOKUP(B31,'Data qoq'!$A:$AT,MATCH($S$1,'Data qoq'!$A$1:$AT$1,),)</f>
        <v>0.85090336899999997</v>
      </c>
      <c r="T31" s="27">
        <f>VLOOKUP(B31,'Data qoq'!$A:$AT,MATCH($T$1,'Data qoq'!$A$1:$AT$1,),)</f>
        <v>0.750144535</v>
      </c>
      <c r="U31" s="27">
        <f>VLOOKUP(B31,'Data qoq'!$A:$AT,MATCH($U$1,'Data qoq'!$A$1:$AT$1,),)</f>
        <v>-0.588090483</v>
      </c>
      <c r="V31" s="27">
        <f>VLOOKUP(B31,'Data qoq'!$A:$AT,MATCH($V$1,'Data qoq'!$A$1:$AT$1,),)</f>
        <v>2.013807629</v>
      </c>
      <c r="W31" s="27">
        <f>VLOOKUP(B31,'Data qoq'!$A:$AT,MATCH($W$1,'Data qoq'!$A$1:$AT$1,),)</f>
        <v>4.6099516109999996</v>
      </c>
      <c r="X31" s="27">
        <f>VLOOKUP(B31,'Data qoq'!$A:$AT,MATCH($X$1,'Data qoq'!$A$1:$AT$1,),)</f>
        <v>1.7874860459999999</v>
      </c>
      <c r="Y31" s="27">
        <f>VLOOKUP(B31,'Data qoq'!$A:$AT,MATCH($Y$1,'Data qoq'!$A$1:$AT$1,),)</f>
        <v>1.1018808099999999</v>
      </c>
      <c r="Z31" s="27">
        <f>VLOOKUP(B31,'Data qoq'!$A:$AU,MATCH($Z$1,'Data qoq'!$A$1:$AU$1,),)</f>
        <v>2.904430455</v>
      </c>
      <c r="AA31" s="27">
        <f>VLOOKUP(B31,'Data qoq'!$A:$AU,MATCH($AA$1,'Data qoq'!$A$1:$AU$1,),)</f>
        <v>1.148298746</v>
      </c>
      <c r="AC31" s="28" t="str">
        <f t="shared" si="7"/>
        <v>2005-Q1</v>
      </c>
      <c r="AD31" s="29">
        <f t="shared" si="6"/>
        <v>1.1079932889999999</v>
      </c>
      <c r="AE31" s="29">
        <f t="shared" si="8"/>
        <v>1.1079932889999999</v>
      </c>
    </row>
    <row r="32" spans="2:31" hidden="1" x14ac:dyDescent="0.2">
      <c r="B32" s="26" t="s">
        <v>281</v>
      </c>
      <c r="C32" s="27">
        <f>VLOOKUP(B32,'Data qoq'!$A:$AT,MATCH($C$1,'Data qoq'!$A$1:$AT$1,),)</f>
        <v>0.48660447800000001</v>
      </c>
      <c r="D32" s="27">
        <f>VLOOKUP(B32,'Data qoq'!$A:$AT,MATCH($D$1,'Data qoq'!$A$1:$AT$1,),)</f>
        <v>0</v>
      </c>
      <c r="E32" s="27">
        <f>VLOOKUP(B32,'Data qoq'!$A:$AT,MATCH($E$1,'Data qoq'!$A$1:$AT$1,),)</f>
        <v>0.54738900000000001</v>
      </c>
      <c r="F32" s="27">
        <f>VLOOKUP(B32,'Data qoq'!$A:$AT,MATCH($F$1,'Data qoq'!$A$1:$AT$1,),)</f>
        <v>0.78315941600000005</v>
      </c>
      <c r="G32" s="27">
        <f>VLOOKUP(B32,'Data qoq'!$A:$AT,MATCH($G$1,'Data qoq'!$A$1:$AT$1,),)</f>
        <v>0.52459768399999995</v>
      </c>
      <c r="H32" s="27">
        <f>VLOOKUP(B32,'Data qoq'!$A:$AT,MATCH($H$1,'Data qoq'!$A$1:$AT$1,),)</f>
        <v>0.18751206200000001</v>
      </c>
      <c r="I32" s="27">
        <f>VLOOKUP(B32,'Data qoq'!$A:$AT,MATCH($I$1,'Data qoq'!$A$1:$AT$1,),)</f>
        <v>1.1750411590000001</v>
      </c>
      <c r="J32" s="27">
        <f>VLOOKUP(B32,'Data qoq'!$A:$AT,MATCH($J$1,'Data qoq'!$A$1:$AT$1,),)</f>
        <v>0.66349802099999999</v>
      </c>
      <c r="K32" s="27">
        <f>VLOOKUP(B32,'Data qoq'!$A:$AT,MATCH($K$1,'Data qoq'!$A$1:$AT$1,),)</f>
        <v>0.88207344399999998</v>
      </c>
      <c r="L32" s="27">
        <f>VLOOKUP(B32,'Data qoq'!$A:$AT,MATCH($L$1,'Data qoq'!$A$1:$AT$1,),)</f>
        <v>0.64918249299999997</v>
      </c>
      <c r="M32" s="27">
        <f>VLOOKUP(B32,'Data qoq'!$A:$AT,MATCH($M$1,'Data qoq'!$A$1:$AT$1,),)</f>
        <v>0.31505251499999998</v>
      </c>
      <c r="N32" s="27">
        <f>VLOOKUP(B32,'Data qoq'!$A:$AT,MATCH($N$1,'Data qoq'!$A$1:$AT$1,),)</f>
        <v>1.522295172</v>
      </c>
      <c r="O32" s="27">
        <f>VLOOKUP(B32,'Data qoq'!$A:$AT,MATCH($C$1,'Data qoq'!$J$1:$AT$1,),)</f>
        <v>0.703469864</v>
      </c>
      <c r="P32" s="27">
        <f>VLOOKUP(B32,'Data qoq'!$A:$AT,MATCH($P$1,'Data qoq'!$A$1:$AT$1,),)</f>
        <v>0.72552270699999999</v>
      </c>
      <c r="Q32" s="27">
        <f>VLOOKUP(B32,'Data qoq'!$A:$AT,MATCH($Q$1,'Data qoq'!$A$1:$AT$1,),)</f>
        <v>0.44796691900000002</v>
      </c>
      <c r="R32" s="27">
        <f>VLOOKUP(B32,'Data qoq'!$A:$AT,MATCH($E$1,'Data qoq'!$A$1:$AT$1,),)</f>
        <v>0.54738900000000001</v>
      </c>
      <c r="S32" s="27">
        <f>VLOOKUP(B32,'Data qoq'!$A:$AT,MATCH($S$1,'Data qoq'!$A$1:$AT$1,),)</f>
        <v>1.8870628620000001</v>
      </c>
      <c r="T32" s="27">
        <f>VLOOKUP(B32,'Data qoq'!$A:$AT,MATCH($T$1,'Data qoq'!$A$1:$AT$1,),)</f>
        <v>1.393544852</v>
      </c>
      <c r="U32" s="27">
        <f>VLOOKUP(B32,'Data qoq'!$A:$AT,MATCH($U$1,'Data qoq'!$A$1:$AT$1,),)</f>
        <v>0.23781521799999999</v>
      </c>
      <c r="V32" s="27">
        <f>VLOOKUP(B32,'Data qoq'!$A:$AT,MATCH($V$1,'Data qoq'!$A$1:$AT$1,),)</f>
        <v>1.6091750890000001</v>
      </c>
      <c r="W32" s="27">
        <f>VLOOKUP(B32,'Data qoq'!$A:$AT,MATCH($W$1,'Data qoq'!$A$1:$AT$1,),)</f>
        <v>0.42215947599999998</v>
      </c>
      <c r="X32" s="27">
        <f>VLOOKUP(B32,'Data qoq'!$A:$AT,MATCH($X$1,'Data qoq'!$A$1:$AT$1,),)</f>
        <v>1.359003151</v>
      </c>
      <c r="Y32" s="27">
        <f>VLOOKUP(B32,'Data qoq'!$A:$AT,MATCH($Y$1,'Data qoq'!$A$1:$AT$1,),)</f>
        <v>0.14736906699999999</v>
      </c>
      <c r="Z32" s="27">
        <f>VLOOKUP(B32,'Data qoq'!$A:$AU,MATCH($Z$1,'Data qoq'!$A$1:$AU$1,),)</f>
        <v>2.0959281559999998</v>
      </c>
      <c r="AA32" s="27">
        <f>VLOOKUP(B32,'Data qoq'!$A:$AU,MATCH($AA$1,'Data qoq'!$A$1:$AU$1,),)</f>
        <v>1.5972829690000001</v>
      </c>
      <c r="AC32" s="28" t="str">
        <f t="shared" si="7"/>
        <v>2005-Q2</v>
      </c>
      <c r="AD32" s="29">
        <f t="shared" si="6"/>
        <v>-3.7993205999999946E-2</v>
      </c>
      <c r="AE32" s="29">
        <f t="shared" si="8"/>
        <v>-3.7993205999999946E-2</v>
      </c>
    </row>
    <row r="33" spans="2:31" hidden="1" x14ac:dyDescent="0.2">
      <c r="B33" s="26" t="s">
        <v>282</v>
      </c>
      <c r="C33" s="27">
        <f>VLOOKUP(B33,'Data qoq'!$A:$AT,MATCH($C$1,'Data qoq'!$A$1:$AT$1,),)</f>
        <v>0.78562198000000005</v>
      </c>
      <c r="D33" s="27">
        <f>VLOOKUP(B33,'Data qoq'!$A:$AT,MATCH($D$1,'Data qoq'!$A$1:$AT$1,),)</f>
        <v>0</v>
      </c>
      <c r="E33" s="27">
        <f>VLOOKUP(B33,'Data qoq'!$A:$AT,MATCH($E$1,'Data qoq'!$A$1:$AT$1,),)</f>
        <v>0.77927299999999999</v>
      </c>
      <c r="F33" s="27">
        <f>VLOOKUP(B33,'Data qoq'!$A:$AT,MATCH($F$1,'Data qoq'!$A$1:$AT$1,),)</f>
        <v>1.0235183489999999</v>
      </c>
      <c r="G33" s="27">
        <f>VLOOKUP(B33,'Data qoq'!$A:$AT,MATCH($G$1,'Data qoq'!$A$1:$AT$1,),)</f>
        <v>0.85817236299999999</v>
      </c>
      <c r="H33" s="27">
        <f>VLOOKUP(B33,'Data qoq'!$A:$AT,MATCH($H$1,'Data qoq'!$A$1:$AT$1,),)</f>
        <v>0.50795079899999995</v>
      </c>
      <c r="I33" s="27">
        <f>VLOOKUP(B33,'Data qoq'!$A:$AT,MATCH($I$1,'Data qoq'!$A$1:$AT$1,),)</f>
        <v>1.054696917</v>
      </c>
      <c r="J33" s="27">
        <f>VLOOKUP(B33,'Data qoq'!$A:$AT,MATCH($J$1,'Data qoq'!$A$1:$AT$1,),)</f>
        <v>0.71039076800000001</v>
      </c>
      <c r="K33" s="27">
        <f>VLOOKUP(B33,'Data qoq'!$A:$AT,MATCH($K$1,'Data qoq'!$A$1:$AT$1,),)</f>
        <v>0.96699551299999997</v>
      </c>
      <c r="L33" s="27">
        <f>VLOOKUP(B33,'Data qoq'!$A:$AT,MATCH($L$1,'Data qoq'!$A$1:$AT$1,),)</f>
        <v>1.1896788250000001</v>
      </c>
      <c r="M33" s="27">
        <f>VLOOKUP(B33,'Data qoq'!$A:$AT,MATCH($M$1,'Data qoq'!$A$1:$AT$1,),)</f>
        <v>0.93712956800000002</v>
      </c>
      <c r="N33" s="27">
        <f>VLOOKUP(B33,'Data qoq'!$A:$AT,MATCH($N$1,'Data qoq'!$A$1:$AT$1,),)</f>
        <v>1.762204946</v>
      </c>
      <c r="O33" s="27">
        <f>VLOOKUP(B33,'Data qoq'!$A:$AT,MATCH($C$1,'Data qoq'!$J$1:$AT$1,),)</f>
        <v>1.342952261</v>
      </c>
      <c r="P33" s="27">
        <f>VLOOKUP(B33,'Data qoq'!$A:$AT,MATCH($P$1,'Data qoq'!$A$1:$AT$1,),)</f>
        <v>1.211374835</v>
      </c>
      <c r="Q33" s="27">
        <f>VLOOKUP(B33,'Data qoq'!$A:$AT,MATCH($Q$1,'Data qoq'!$A$1:$AT$1,),)</f>
        <v>1.0729283730000001</v>
      </c>
      <c r="R33" s="27">
        <f>VLOOKUP(B33,'Data qoq'!$A:$AT,MATCH($E$1,'Data qoq'!$A$1:$AT$1,),)</f>
        <v>0.77927299999999999</v>
      </c>
      <c r="S33" s="27">
        <f>VLOOKUP(B33,'Data qoq'!$A:$AT,MATCH($S$1,'Data qoq'!$A$1:$AT$1,),)</f>
        <v>1.5053308940000001</v>
      </c>
      <c r="T33" s="27">
        <f>VLOOKUP(B33,'Data qoq'!$A:$AT,MATCH($T$1,'Data qoq'!$A$1:$AT$1,),)</f>
        <v>-0.78654068799999999</v>
      </c>
      <c r="U33" s="27">
        <f>VLOOKUP(B33,'Data qoq'!$A:$AT,MATCH($U$1,'Data qoq'!$A$1:$AT$1,),)</f>
        <v>1.3908431649999999</v>
      </c>
      <c r="V33" s="27">
        <f>VLOOKUP(B33,'Data qoq'!$A:$AT,MATCH($V$1,'Data qoq'!$A$1:$AT$1,),)</f>
        <v>-0.103677083</v>
      </c>
      <c r="W33" s="27">
        <f>VLOOKUP(B33,'Data qoq'!$A:$AT,MATCH($W$1,'Data qoq'!$A$1:$AT$1,),)</f>
        <v>1.4119712600000001</v>
      </c>
      <c r="X33" s="27">
        <f>VLOOKUP(B33,'Data qoq'!$A:$AT,MATCH($X$1,'Data qoq'!$A$1:$AT$1,),)</f>
        <v>1.6727000780000001</v>
      </c>
      <c r="Y33" s="27">
        <f>VLOOKUP(B33,'Data qoq'!$A:$AT,MATCH($Y$1,'Data qoq'!$A$1:$AT$1,),)</f>
        <v>1.9325990209999999</v>
      </c>
      <c r="Z33" s="27">
        <f>VLOOKUP(B33,'Data qoq'!$A:$AU,MATCH($Z$1,'Data qoq'!$A$1:$AU$1,),)</f>
        <v>0.66211545299999996</v>
      </c>
      <c r="AA33" s="27">
        <f>VLOOKUP(B33,'Data qoq'!$A:$AU,MATCH($AA$1,'Data qoq'!$A$1:$AU$1,),)</f>
        <v>0.51362587900000001</v>
      </c>
      <c r="AC33" s="28" t="str">
        <f t="shared" si="7"/>
        <v>2005-Q3</v>
      </c>
      <c r="AD33" s="29">
        <f t="shared" si="6"/>
        <v>-7.2550382999999941E-2</v>
      </c>
      <c r="AE33" s="29">
        <f t="shared" si="8"/>
        <v>-7.2550382999999941E-2</v>
      </c>
    </row>
    <row r="34" spans="2:31" hidden="1" x14ac:dyDescent="0.2">
      <c r="B34" s="26" t="s">
        <v>283</v>
      </c>
      <c r="C34" s="27">
        <f>VLOOKUP(B34,'Data qoq'!$A:$AT,MATCH($C$1,'Data qoq'!$A$1:$AT$1,),)</f>
        <v>0.56792823800000003</v>
      </c>
      <c r="D34" s="27">
        <f>VLOOKUP(B34,'Data qoq'!$A:$AT,MATCH($D$1,'Data qoq'!$A$1:$AT$1,),)</f>
        <v>0</v>
      </c>
      <c r="E34" s="27">
        <f>VLOOKUP(B34,'Data qoq'!$A:$AT,MATCH($E$1,'Data qoq'!$A$1:$AT$1,),)</f>
        <v>0.608074</v>
      </c>
      <c r="F34" s="27">
        <f>VLOOKUP(B34,'Data qoq'!$A:$AT,MATCH($F$1,'Data qoq'!$A$1:$AT$1,),)</f>
        <v>0.16483012399999999</v>
      </c>
      <c r="G34" s="27">
        <f>VLOOKUP(B34,'Data qoq'!$A:$AT,MATCH($G$1,'Data qoq'!$A$1:$AT$1,),)</f>
        <v>0.47142782</v>
      </c>
      <c r="H34" s="27">
        <f>VLOOKUP(B34,'Data qoq'!$A:$AT,MATCH($H$1,'Data qoq'!$A$1:$AT$1,),)</f>
        <v>0.77209717099999997</v>
      </c>
      <c r="I34" s="27">
        <f>VLOOKUP(B34,'Data qoq'!$A:$AT,MATCH($I$1,'Data qoq'!$A$1:$AT$1,),)</f>
        <v>1.370380433</v>
      </c>
      <c r="J34" s="27">
        <f>VLOOKUP(B34,'Data qoq'!$A:$AT,MATCH($J$1,'Data qoq'!$A$1:$AT$1,),)</f>
        <v>8.5092565999999994E-2</v>
      </c>
      <c r="K34" s="27">
        <f>VLOOKUP(B34,'Data qoq'!$A:$AT,MATCH($K$1,'Data qoq'!$A$1:$AT$1,),)</f>
        <v>1.0138666300000001</v>
      </c>
      <c r="L34" s="27">
        <f>VLOOKUP(B34,'Data qoq'!$A:$AT,MATCH($L$1,'Data qoq'!$A$1:$AT$1,),)</f>
        <v>0.69227981900000002</v>
      </c>
      <c r="M34" s="27">
        <f>VLOOKUP(B34,'Data qoq'!$A:$AT,MATCH($M$1,'Data qoq'!$A$1:$AT$1,),)</f>
        <v>1.574801237</v>
      </c>
      <c r="N34" s="27">
        <f>VLOOKUP(B34,'Data qoq'!$A:$AT,MATCH($N$1,'Data qoq'!$A$1:$AT$1,),)</f>
        <v>2.0628404740000001</v>
      </c>
      <c r="O34" s="27">
        <f>VLOOKUP(B34,'Data qoq'!$A:$AT,MATCH($C$1,'Data qoq'!$J$1:$AT$1,),)</f>
        <v>0.63055092499999998</v>
      </c>
      <c r="P34" s="27">
        <f>VLOOKUP(B34,'Data qoq'!$A:$AT,MATCH($P$1,'Data qoq'!$A$1:$AT$1,),)</f>
        <v>0.988734322</v>
      </c>
      <c r="Q34" s="27">
        <f>VLOOKUP(B34,'Data qoq'!$A:$AT,MATCH($Q$1,'Data qoq'!$A$1:$AT$1,),)</f>
        <v>0.83536200000000005</v>
      </c>
      <c r="R34" s="27">
        <f>VLOOKUP(B34,'Data qoq'!$A:$AT,MATCH($E$1,'Data qoq'!$A$1:$AT$1,),)</f>
        <v>0.608074</v>
      </c>
      <c r="S34" s="27">
        <f>VLOOKUP(B34,'Data qoq'!$A:$AT,MATCH($S$1,'Data qoq'!$A$1:$AT$1,),)</f>
        <v>1.0124646660000001</v>
      </c>
      <c r="T34" s="27">
        <f>VLOOKUP(B34,'Data qoq'!$A:$AT,MATCH($T$1,'Data qoq'!$A$1:$AT$1,),)</f>
        <v>1.280380386</v>
      </c>
      <c r="U34" s="27">
        <f>VLOOKUP(B34,'Data qoq'!$A:$AT,MATCH($U$1,'Data qoq'!$A$1:$AT$1,),)</f>
        <v>0.50101551600000005</v>
      </c>
      <c r="V34" s="27">
        <f>VLOOKUP(B34,'Data qoq'!$A:$AT,MATCH($V$1,'Data qoq'!$A$1:$AT$1,),)</f>
        <v>2.5563876969999999</v>
      </c>
      <c r="W34" s="27">
        <f>VLOOKUP(B34,'Data qoq'!$A:$AT,MATCH($W$1,'Data qoq'!$A$1:$AT$1,),)</f>
        <v>3.3068041410000002</v>
      </c>
      <c r="X34" s="27">
        <f>VLOOKUP(B34,'Data qoq'!$A:$AT,MATCH($X$1,'Data qoq'!$A$1:$AT$1,),)</f>
        <v>1.8274858439999999</v>
      </c>
      <c r="Y34" s="27">
        <f>VLOOKUP(B34,'Data qoq'!$A:$AT,MATCH($Y$1,'Data qoq'!$A$1:$AT$1,),)</f>
        <v>1.8394077980000001</v>
      </c>
      <c r="Z34" s="27">
        <f>VLOOKUP(B34,'Data qoq'!$A:$AU,MATCH($Z$1,'Data qoq'!$A$1:$AU$1,),)</f>
        <v>2.008210933</v>
      </c>
      <c r="AA34" s="27">
        <f>VLOOKUP(B34,'Data qoq'!$A:$AU,MATCH($AA$1,'Data qoq'!$A$1:$AU$1,),)</f>
        <v>-0.41290206699999998</v>
      </c>
      <c r="AC34" s="28" t="str">
        <f t="shared" si="7"/>
        <v>2005-Q4</v>
      </c>
      <c r="AD34" s="29">
        <f t="shared" si="6"/>
        <v>9.6500418000000032E-2</v>
      </c>
      <c r="AE34" s="29">
        <f t="shared" si="8"/>
        <v>9.6500418000000032E-2</v>
      </c>
    </row>
    <row r="35" spans="2:31" hidden="1" x14ac:dyDescent="0.2">
      <c r="B35" s="26" t="s">
        <v>284</v>
      </c>
      <c r="C35" s="27">
        <f>VLOOKUP(B35,'Data qoq'!$A:$AT,MATCH($C$1,'Data qoq'!$A$1:$AT$1,),)</f>
        <v>1.3486661200000001</v>
      </c>
      <c r="D35" s="27">
        <f>VLOOKUP(B35,'Data qoq'!$A:$AT,MATCH($D$1,'Data qoq'!$A$1:$AT$1,),)</f>
        <v>0</v>
      </c>
      <c r="E35" s="27">
        <f>VLOOKUP(B35,'Data qoq'!$A:$AT,MATCH($E$1,'Data qoq'!$A$1:$AT$1,),)</f>
        <v>0.89577600000000002</v>
      </c>
      <c r="F35" s="27">
        <f>VLOOKUP(B35,'Data qoq'!$A:$AT,MATCH($F$1,'Data qoq'!$A$1:$AT$1,),)</f>
        <v>0.14840895100000001</v>
      </c>
      <c r="G35" s="27">
        <f>VLOOKUP(B35,'Data qoq'!$A:$AT,MATCH($G$1,'Data qoq'!$A$1:$AT$1,),)</f>
        <v>0.96704201899999997</v>
      </c>
      <c r="H35" s="27">
        <f>VLOOKUP(B35,'Data qoq'!$A:$AT,MATCH($H$1,'Data qoq'!$A$1:$AT$1,),)</f>
        <v>0.76738273000000001</v>
      </c>
      <c r="I35" s="27">
        <f>VLOOKUP(B35,'Data qoq'!$A:$AT,MATCH($I$1,'Data qoq'!$A$1:$AT$1,),)</f>
        <v>0.464999728</v>
      </c>
      <c r="J35" s="27">
        <f>VLOOKUP(B35,'Data qoq'!$A:$AT,MATCH($J$1,'Data qoq'!$A$1:$AT$1,),)</f>
        <v>0.28523871899999997</v>
      </c>
      <c r="K35" s="27">
        <f>VLOOKUP(B35,'Data qoq'!$A:$AT,MATCH($K$1,'Data qoq'!$A$1:$AT$1,),)</f>
        <v>1.145103991</v>
      </c>
      <c r="L35" s="27">
        <f>VLOOKUP(B35,'Data qoq'!$A:$AT,MATCH($L$1,'Data qoq'!$A$1:$AT$1,),)</f>
        <v>1.5364671990000001</v>
      </c>
      <c r="M35" s="27">
        <f>VLOOKUP(B35,'Data qoq'!$A:$AT,MATCH($M$1,'Data qoq'!$A$1:$AT$1,),)</f>
        <v>1.734497197</v>
      </c>
      <c r="N35" s="27">
        <f>VLOOKUP(B35,'Data qoq'!$A:$AT,MATCH($N$1,'Data qoq'!$A$1:$AT$1,),)</f>
        <v>1.930605205</v>
      </c>
      <c r="O35" s="27">
        <f>VLOOKUP(B35,'Data qoq'!$A:$AT,MATCH($C$1,'Data qoq'!$J$1:$AT$1,),)</f>
        <v>0.62393787499999998</v>
      </c>
      <c r="P35" s="27">
        <f>VLOOKUP(B35,'Data qoq'!$A:$AT,MATCH($P$1,'Data qoq'!$A$1:$AT$1,),)</f>
        <v>0.81099541100000005</v>
      </c>
      <c r="Q35" s="27">
        <f>VLOOKUP(B35,'Data qoq'!$A:$AT,MATCH($Q$1,'Data qoq'!$A$1:$AT$1,),)</f>
        <v>0.20863378199999999</v>
      </c>
      <c r="R35" s="27">
        <f>VLOOKUP(B35,'Data qoq'!$A:$AT,MATCH($E$1,'Data qoq'!$A$1:$AT$1,),)</f>
        <v>0.89577600000000002</v>
      </c>
      <c r="S35" s="27">
        <f>VLOOKUP(B35,'Data qoq'!$A:$AT,MATCH($S$1,'Data qoq'!$A$1:$AT$1,),)</f>
        <v>1.639117138</v>
      </c>
      <c r="T35" s="27">
        <f>VLOOKUP(B35,'Data qoq'!$A:$AT,MATCH($T$1,'Data qoq'!$A$1:$AT$1,),)</f>
        <v>1.687680056</v>
      </c>
      <c r="U35" s="27">
        <f>VLOOKUP(B35,'Data qoq'!$A:$AT,MATCH($U$1,'Data qoq'!$A$1:$AT$1,),)</f>
        <v>3.2582208709999998</v>
      </c>
      <c r="V35" s="27">
        <f>VLOOKUP(B35,'Data qoq'!$A:$AT,MATCH($V$1,'Data qoq'!$A$1:$AT$1,),)</f>
        <v>1.7966630020000001</v>
      </c>
      <c r="W35" s="27">
        <f>VLOOKUP(B35,'Data qoq'!$A:$AT,MATCH($W$1,'Data qoq'!$A$1:$AT$1,),)</f>
        <v>1.1451332700000001</v>
      </c>
      <c r="X35" s="27">
        <f>VLOOKUP(B35,'Data qoq'!$A:$AT,MATCH($X$1,'Data qoq'!$A$1:$AT$1,),)</f>
        <v>1.7578437170000001</v>
      </c>
      <c r="Y35" s="27">
        <f>VLOOKUP(B35,'Data qoq'!$A:$AT,MATCH($Y$1,'Data qoq'!$A$1:$AT$1,),)</f>
        <v>1.5032987330000001</v>
      </c>
      <c r="Z35" s="27">
        <f>VLOOKUP(B35,'Data qoq'!$A:$AU,MATCH($Z$1,'Data qoq'!$A$1:$AU$1,),)</f>
        <v>2.6214561710000002</v>
      </c>
      <c r="AA35" s="27">
        <f>VLOOKUP(B35,'Data qoq'!$A:$AU,MATCH($AA$1,'Data qoq'!$A$1:$AU$1,),)</f>
        <v>1.6604771089999999</v>
      </c>
      <c r="AC35" s="28" t="str">
        <f t="shared" si="7"/>
        <v>2006-Q1</v>
      </c>
      <c r="AD35" s="29">
        <f t="shared" si="6"/>
        <v>0.3816241010000001</v>
      </c>
      <c r="AE35" s="29">
        <f t="shared" si="8"/>
        <v>0.3816241010000001</v>
      </c>
    </row>
    <row r="36" spans="2:31" hidden="1" x14ac:dyDescent="0.2">
      <c r="B36" s="26" t="s">
        <v>285</v>
      </c>
      <c r="C36" s="27">
        <f>VLOOKUP(B36,'Data qoq'!$A:$AT,MATCH($C$1,'Data qoq'!$A$1:$AT$1,),)</f>
        <v>0.245583731</v>
      </c>
      <c r="D36" s="27">
        <f>VLOOKUP(B36,'Data qoq'!$A:$AT,MATCH($D$1,'Data qoq'!$A$1:$AT$1,),)</f>
        <v>0</v>
      </c>
      <c r="E36" s="27">
        <f>VLOOKUP(B36,'Data qoq'!$A:$AT,MATCH($E$1,'Data qoq'!$A$1:$AT$1,),)</f>
        <v>1.091936</v>
      </c>
      <c r="F36" s="27">
        <f>VLOOKUP(B36,'Data qoq'!$A:$AT,MATCH($F$1,'Data qoq'!$A$1:$AT$1,),)</f>
        <v>0.169709691</v>
      </c>
      <c r="G36" s="27">
        <f>VLOOKUP(B36,'Data qoq'!$A:$AT,MATCH($G$1,'Data qoq'!$A$1:$AT$1,),)</f>
        <v>1.722767803</v>
      </c>
      <c r="H36" s="27">
        <f>VLOOKUP(B36,'Data qoq'!$A:$AT,MATCH($H$1,'Data qoq'!$A$1:$AT$1,),)</f>
        <v>1.003133177</v>
      </c>
      <c r="I36" s="27">
        <f>VLOOKUP(B36,'Data qoq'!$A:$AT,MATCH($I$1,'Data qoq'!$A$1:$AT$1,),)</f>
        <v>0.27024740899999999</v>
      </c>
      <c r="J36" s="27">
        <f>VLOOKUP(B36,'Data qoq'!$A:$AT,MATCH($J$1,'Data qoq'!$A$1:$AT$1,),)</f>
        <v>0.66821165900000001</v>
      </c>
      <c r="K36" s="27">
        <f>VLOOKUP(B36,'Data qoq'!$A:$AT,MATCH($K$1,'Data qoq'!$A$1:$AT$1,),)</f>
        <v>0.96921473899999999</v>
      </c>
      <c r="L36" s="27">
        <f>VLOOKUP(B36,'Data qoq'!$A:$AT,MATCH($L$1,'Data qoq'!$A$1:$AT$1,),)</f>
        <v>1.6719996939999999</v>
      </c>
      <c r="M36" s="27">
        <f>VLOOKUP(B36,'Data qoq'!$A:$AT,MATCH($M$1,'Data qoq'!$A$1:$AT$1,),)</f>
        <v>1.01114557</v>
      </c>
      <c r="N36" s="27">
        <f>VLOOKUP(B36,'Data qoq'!$A:$AT,MATCH($N$1,'Data qoq'!$A$1:$AT$1,),)</f>
        <v>1.9251039539999999</v>
      </c>
      <c r="O36" s="27">
        <f>VLOOKUP(B36,'Data qoq'!$A:$AT,MATCH($C$1,'Data qoq'!$J$1:$AT$1,),)</f>
        <v>1.497031303</v>
      </c>
      <c r="P36" s="27">
        <f>VLOOKUP(B36,'Data qoq'!$A:$AT,MATCH($P$1,'Data qoq'!$A$1:$AT$1,),)</f>
        <v>5.1646385000000003E-2</v>
      </c>
      <c r="Q36" s="27">
        <f>VLOOKUP(B36,'Data qoq'!$A:$AT,MATCH($Q$1,'Data qoq'!$A$1:$AT$1,),)</f>
        <v>0.17316167700000001</v>
      </c>
      <c r="R36" s="27">
        <f>VLOOKUP(B36,'Data qoq'!$A:$AT,MATCH($E$1,'Data qoq'!$A$1:$AT$1,),)</f>
        <v>1.091936</v>
      </c>
      <c r="S36" s="27">
        <f>VLOOKUP(B36,'Data qoq'!$A:$AT,MATCH($S$1,'Data qoq'!$A$1:$AT$1,),)</f>
        <v>0.73060202799999996</v>
      </c>
      <c r="T36" s="27">
        <f>VLOOKUP(B36,'Data qoq'!$A:$AT,MATCH($T$1,'Data qoq'!$A$1:$AT$1,),)</f>
        <v>0.25488619400000001</v>
      </c>
      <c r="U36" s="27">
        <f>VLOOKUP(B36,'Data qoq'!$A:$AT,MATCH($U$1,'Data qoq'!$A$1:$AT$1,),)</f>
        <v>0.30705051100000003</v>
      </c>
      <c r="V36" s="27">
        <f>VLOOKUP(B36,'Data qoq'!$A:$AT,MATCH($V$1,'Data qoq'!$A$1:$AT$1,),)</f>
        <v>-9.3960840000000007E-3</v>
      </c>
      <c r="W36" s="27">
        <f>VLOOKUP(B36,'Data qoq'!$A:$AT,MATCH($W$1,'Data qoq'!$A$1:$AT$1,),)</f>
        <v>3.0461220990000002</v>
      </c>
      <c r="X36" s="27">
        <f>VLOOKUP(B36,'Data qoq'!$A:$AT,MATCH($X$1,'Data qoq'!$A$1:$AT$1,),)</f>
        <v>2.0356021279999998</v>
      </c>
      <c r="Y36" s="27">
        <f>VLOOKUP(B36,'Data qoq'!$A:$AT,MATCH($Y$1,'Data qoq'!$A$1:$AT$1,),)</f>
        <v>2.2997835499999999</v>
      </c>
      <c r="Z36" s="27">
        <f>VLOOKUP(B36,'Data qoq'!$A:$AU,MATCH($Z$1,'Data qoq'!$A$1:$AU$1,),)</f>
        <v>1.1874912360000001</v>
      </c>
      <c r="AA36" s="27">
        <f>VLOOKUP(B36,'Data qoq'!$A:$AU,MATCH($AA$1,'Data qoq'!$A$1:$AU$1,),)</f>
        <v>0.45313727599999998</v>
      </c>
      <c r="AC36" s="28" t="str">
        <f t="shared" si="7"/>
        <v>2006-Q2</v>
      </c>
      <c r="AD36" s="29">
        <f t="shared" si="6"/>
        <v>-1.477184072</v>
      </c>
      <c r="AE36" s="29">
        <f t="shared" si="8"/>
        <v>-1.477184072</v>
      </c>
    </row>
    <row r="37" spans="2:31" hidden="1" x14ac:dyDescent="0.2">
      <c r="B37" s="26" t="s">
        <v>286</v>
      </c>
      <c r="C37" s="27">
        <f>VLOOKUP(B37,'Data qoq'!$A:$AT,MATCH($C$1,'Data qoq'!$A$1:$AT$1,),)</f>
        <v>0.15045618799999999</v>
      </c>
      <c r="D37" s="27">
        <f>VLOOKUP(B37,'Data qoq'!$A:$AT,MATCH($D$1,'Data qoq'!$A$1:$AT$1,),)</f>
        <v>0</v>
      </c>
      <c r="E37" s="27">
        <f>VLOOKUP(B37,'Data qoq'!$A:$AT,MATCH($E$1,'Data qoq'!$A$1:$AT$1,),)</f>
        <v>0.59592599999999996</v>
      </c>
      <c r="F37" s="27">
        <f>VLOOKUP(B37,'Data qoq'!$A:$AT,MATCH($F$1,'Data qoq'!$A$1:$AT$1,),)</f>
        <v>-0.188860256</v>
      </c>
      <c r="G37" s="27">
        <f>VLOOKUP(B37,'Data qoq'!$A:$AT,MATCH($G$1,'Data qoq'!$A$1:$AT$1,),)</f>
        <v>0.76880583300000005</v>
      </c>
      <c r="H37" s="27">
        <f>VLOOKUP(B37,'Data qoq'!$A:$AT,MATCH($H$1,'Data qoq'!$A$1:$AT$1,),)</f>
        <v>1.4359563000000001E-2</v>
      </c>
      <c r="I37" s="27">
        <f>VLOOKUP(B37,'Data qoq'!$A:$AT,MATCH($I$1,'Data qoq'!$A$1:$AT$1,),)</f>
        <v>9.2795881999999996E-2</v>
      </c>
      <c r="J37" s="27">
        <f>VLOOKUP(B37,'Data qoq'!$A:$AT,MATCH($J$1,'Data qoq'!$A$1:$AT$1,),)</f>
        <v>0.41058533699999999</v>
      </c>
      <c r="K37" s="27">
        <f>VLOOKUP(B37,'Data qoq'!$A:$AT,MATCH($K$1,'Data qoq'!$A$1:$AT$1,),)</f>
        <v>0.92913994499999997</v>
      </c>
      <c r="L37" s="27">
        <f>VLOOKUP(B37,'Data qoq'!$A:$AT,MATCH($L$1,'Data qoq'!$A$1:$AT$1,),)</f>
        <v>1.1536084799999999</v>
      </c>
      <c r="M37" s="27">
        <f>VLOOKUP(B37,'Data qoq'!$A:$AT,MATCH($M$1,'Data qoq'!$A$1:$AT$1,),)</f>
        <v>0.31779876699999998</v>
      </c>
      <c r="N37" s="27">
        <f>VLOOKUP(B37,'Data qoq'!$A:$AT,MATCH($N$1,'Data qoq'!$A$1:$AT$1,),)</f>
        <v>2.2961291660000001</v>
      </c>
      <c r="O37" s="27">
        <f>VLOOKUP(B37,'Data qoq'!$A:$AT,MATCH($C$1,'Data qoq'!$J$1:$AT$1,),)</f>
        <v>0.59815274699999998</v>
      </c>
      <c r="P37" s="27">
        <f>VLOOKUP(B37,'Data qoq'!$A:$AT,MATCH($P$1,'Data qoq'!$A$1:$AT$1,),)</f>
        <v>0.27924548500000002</v>
      </c>
      <c r="Q37" s="27">
        <f>VLOOKUP(B37,'Data qoq'!$A:$AT,MATCH($Q$1,'Data qoq'!$A$1:$AT$1,),)</f>
        <v>1.4823379779999999</v>
      </c>
      <c r="R37" s="27">
        <f>VLOOKUP(B37,'Data qoq'!$A:$AT,MATCH($E$1,'Data qoq'!$A$1:$AT$1,),)</f>
        <v>0.59592599999999996</v>
      </c>
      <c r="S37" s="27">
        <f>VLOOKUP(B37,'Data qoq'!$A:$AT,MATCH($S$1,'Data qoq'!$A$1:$AT$1,),)</f>
        <v>1.613954951</v>
      </c>
      <c r="T37" s="27">
        <f>VLOOKUP(B37,'Data qoq'!$A:$AT,MATCH($T$1,'Data qoq'!$A$1:$AT$1,),)</f>
        <v>1.639590256</v>
      </c>
      <c r="U37" s="27">
        <f>VLOOKUP(B37,'Data qoq'!$A:$AT,MATCH($U$1,'Data qoq'!$A$1:$AT$1,),)</f>
        <v>0.47743896299999999</v>
      </c>
      <c r="V37" s="27">
        <f>VLOOKUP(B37,'Data qoq'!$A:$AT,MATCH($V$1,'Data qoq'!$A$1:$AT$1,),)</f>
        <v>1.979004832</v>
      </c>
      <c r="W37" s="27">
        <f>VLOOKUP(B37,'Data qoq'!$A:$AT,MATCH($W$1,'Data qoq'!$A$1:$AT$1,),)</f>
        <v>-0.75348610900000002</v>
      </c>
      <c r="X37" s="27">
        <f>VLOOKUP(B37,'Data qoq'!$A:$AT,MATCH($X$1,'Data qoq'!$A$1:$AT$1,),)</f>
        <v>1.269985656</v>
      </c>
      <c r="Y37" s="27">
        <f>VLOOKUP(B37,'Data qoq'!$A:$AT,MATCH($Y$1,'Data qoq'!$A$1:$AT$1,),)</f>
        <v>1.6510472629999999</v>
      </c>
      <c r="Z37" s="27">
        <f>VLOOKUP(B37,'Data qoq'!$A:$AU,MATCH($Z$1,'Data qoq'!$A$1:$AU$1,),)</f>
        <v>2.7768106399999999</v>
      </c>
      <c r="AA37" s="27">
        <f>VLOOKUP(B37,'Data qoq'!$A:$AU,MATCH($AA$1,'Data qoq'!$A$1:$AU$1,),)</f>
        <v>0.62024140400000005</v>
      </c>
      <c r="AC37" s="28" t="str">
        <f t="shared" si="7"/>
        <v>2006-Q3</v>
      </c>
      <c r="AD37" s="29">
        <f t="shared" si="6"/>
        <v>-0.61834964500000011</v>
      </c>
      <c r="AE37" s="29">
        <f t="shared" si="8"/>
        <v>-0.61834964500000011</v>
      </c>
    </row>
    <row r="38" spans="2:31" hidden="1" x14ac:dyDescent="0.2">
      <c r="B38" s="26" t="s">
        <v>287</v>
      </c>
      <c r="C38" s="27">
        <f>VLOOKUP(B38,'Data qoq'!$A:$AT,MATCH($C$1,'Data qoq'!$A$1:$AT$1,),)</f>
        <v>0.84371169599999996</v>
      </c>
      <c r="D38" s="27">
        <f>VLOOKUP(B38,'Data qoq'!$A:$AT,MATCH($D$1,'Data qoq'!$A$1:$AT$1,),)</f>
        <v>0</v>
      </c>
      <c r="E38" s="27">
        <f>VLOOKUP(B38,'Data qoq'!$A:$AT,MATCH($E$1,'Data qoq'!$A$1:$AT$1,),)</f>
        <v>1.1491340000000001</v>
      </c>
      <c r="F38" s="27">
        <f>VLOOKUP(B38,'Data qoq'!$A:$AT,MATCH($F$1,'Data qoq'!$A$1:$AT$1,),)</f>
        <v>1.325935074</v>
      </c>
      <c r="G38" s="27">
        <f>VLOOKUP(B38,'Data qoq'!$A:$AT,MATCH($G$1,'Data qoq'!$A$1:$AT$1,),)</f>
        <v>1.514812212</v>
      </c>
      <c r="H38" s="27">
        <f>VLOOKUP(B38,'Data qoq'!$A:$AT,MATCH($H$1,'Data qoq'!$A$1:$AT$1,),)</f>
        <v>0.78867920800000002</v>
      </c>
      <c r="I38" s="27">
        <f>VLOOKUP(B38,'Data qoq'!$A:$AT,MATCH($I$1,'Data qoq'!$A$1:$AT$1,),)</f>
        <v>0.46614253500000002</v>
      </c>
      <c r="J38" s="27">
        <f>VLOOKUP(B38,'Data qoq'!$A:$AT,MATCH($J$1,'Data qoq'!$A$1:$AT$1,),)</f>
        <v>1.164244646</v>
      </c>
      <c r="K38" s="27">
        <f>VLOOKUP(B38,'Data qoq'!$A:$AT,MATCH($K$1,'Data qoq'!$A$1:$AT$1,),)</f>
        <v>0.96148483600000001</v>
      </c>
      <c r="L38" s="27">
        <f>VLOOKUP(B38,'Data qoq'!$A:$AT,MATCH($L$1,'Data qoq'!$A$1:$AT$1,),)</f>
        <v>0.65172888799999995</v>
      </c>
      <c r="M38" s="27">
        <f>VLOOKUP(B38,'Data qoq'!$A:$AT,MATCH($M$1,'Data qoq'!$A$1:$AT$1,),)</f>
        <v>0.204020958</v>
      </c>
      <c r="N38" s="27">
        <f>VLOOKUP(B38,'Data qoq'!$A:$AT,MATCH($N$1,'Data qoq'!$A$1:$AT$1,),)</f>
        <v>1.8992405130000001</v>
      </c>
      <c r="O38" s="27">
        <f>VLOOKUP(B38,'Data qoq'!$A:$AT,MATCH($C$1,'Data qoq'!$J$1:$AT$1,),)</f>
        <v>0.82450046799999999</v>
      </c>
      <c r="P38" s="27">
        <f>VLOOKUP(B38,'Data qoq'!$A:$AT,MATCH($P$1,'Data qoq'!$A$1:$AT$1,),)</f>
        <v>0.39859824199999999</v>
      </c>
      <c r="Q38" s="27">
        <f>VLOOKUP(B38,'Data qoq'!$A:$AT,MATCH($Q$1,'Data qoq'!$A$1:$AT$1,),)</f>
        <v>1.302596648</v>
      </c>
      <c r="R38" s="27">
        <f>VLOOKUP(B38,'Data qoq'!$A:$AT,MATCH($E$1,'Data qoq'!$A$1:$AT$1,),)</f>
        <v>1.1491340000000001</v>
      </c>
      <c r="S38" s="27">
        <f>VLOOKUP(B38,'Data qoq'!$A:$AT,MATCH($S$1,'Data qoq'!$A$1:$AT$1,),)</f>
        <v>0.779357615</v>
      </c>
      <c r="T38" s="27">
        <f>VLOOKUP(B38,'Data qoq'!$A:$AT,MATCH($T$1,'Data qoq'!$A$1:$AT$1,),)</f>
        <v>1.190865241</v>
      </c>
      <c r="U38" s="27">
        <f>VLOOKUP(B38,'Data qoq'!$A:$AT,MATCH($U$1,'Data qoq'!$A$1:$AT$1,),)</f>
        <v>2.5429404259999999</v>
      </c>
      <c r="V38" s="27">
        <f>VLOOKUP(B38,'Data qoq'!$A:$AT,MATCH($V$1,'Data qoq'!$A$1:$AT$1,),)</f>
        <v>-0.201266734</v>
      </c>
      <c r="W38" s="27">
        <f>VLOOKUP(B38,'Data qoq'!$A:$AT,MATCH($W$1,'Data qoq'!$A$1:$AT$1,),)</f>
        <v>2.2587130449999999</v>
      </c>
      <c r="X38" s="27">
        <f>VLOOKUP(B38,'Data qoq'!$A:$AT,MATCH($X$1,'Data qoq'!$A$1:$AT$1,),)</f>
        <v>1.2799202460000001</v>
      </c>
      <c r="Y38" s="27">
        <f>VLOOKUP(B38,'Data qoq'!$A:$AT,MATCH($Y$1,'Data qoq'!$A$1:$AT$1,),)</f>
        <v>-1.498644847</v>
      </c>
      <c r="Z38" s="27">
        <f>VLOOKUP(B38,'Data qoq'!$A:$AU,MATCH($Z$1,'Data qoq'!$A$1:$AU$1,),)</f>
        <v>2.1974619909999999</v>
      </c>
      <c r="AA38" s="27">
        <f>VLOOKUP(B38,'Data qoq'!$A:$AU,MATCH($AA$1,'Data qoq'!$A$1:$AU$1,),)</f>
        <v>0.90672530200000001</v>
      </c>
      <c r="AC38" s="28" t="str">
        <f t="shared" si="7"/>
        <v>2006-Q4</v>
      </c>
      <c r="AD38" s="29">
        <f t="shared" si="6"/>
        <v>-0.67110051600000009</v>
      </c>
      <c r="AE38" s="29">
        <f t="shared" si="8"/>
        <v>-0.67110051600000009</v>
      </c>
    </row>
    <row r="39" spans="2:31" hidden="1" x14ac:dyDescent="0.2">
      <c r="B39" s="26" t="s">
        <v>288</v>
      </c>
      <c r="C39" s="27">
        <f>VLOOKUP(B39,'Data qoq'!$A:$AT,MATCH($C$1,'Data qoq'!$A$1:$AT$1,),)</f>
        <v>0.29359886099999999</v>
      </c>
      <c r="D39" s="27">
        <f>VLOOKUP(B39,'Data qoq'!$A:$AT,MATCH($D$1,'Data qoq'!$A$1:$AT$1,),)</f>
        <v>0</v>
      </c>
      <c r="E39" s="27">
        <f>VLOOKUP(B39,'Data qoq'!$A:$AT,MATCH($E$1,'Data qoq'!$A$1:$AT$1,),)</f>
        <v>0.64771800000000002</v>
      </c>
      <c r="F39" s="27">
        <f>VLOOKUP(B39,'Data qoq'!$A:$AT,MATCH($F$1,'Data qoq'!$A$1:$AT$1,),)</f>
        <v>0.65529408600000005</v>
      </c>
      <c r="G39" s="27">
        <f>VLOOKUP(B39,'Data qoq'!$A:$AT,MATCH($G$1,'Data qoq'!$A$1:$AT$1,),)</f>
        <v>7.6329825000000004E-2</v>
      </c>
      <c r="H39" s="27">
        <f>VLOOKUP(B39,'Data qoq'!$A:$AT,MATCH($H$1,'Data qoq'!$A$1:$AT$1,),)</f>
        <v>0.74504102800000005</v>
      </c>
      <c r="I39" s="27">
        <f>VLOOKUP(B39,'Data qoq'!$A:$AT,MATCH($I$1,'Data qoq'!$A$1:$AT$1,),)</f>
        <v>0.94280164600000005</v>
      </c>
      <c r="J39" s="27">
        <f>VLOOKUP(B39,'Data qoq'!$A:$AT,MATCH($J$1,'Data qoq'!$A$1:$AT$1,),)</f>
        <v>-3.1234790000000002E-3</v>
      </c>
      <c r="K39" s="27">
        <f>VLOOKUP(B39,'Data qoq'!$A:$AT,MATCH($K$1,'Data qoq'!$A$1:$AT$1,),)</f>
        <v>0.914765508</v>
      </c>
      <c r="L39" s="27">
        <f>VLOOKUP(B39,'Data qoq'!$A:$AT,MATCH($L$1,'Data qoq'!$A$1:$AT$1,),)</f>
        <v>0.98230317499999997</v>
      </c>
      <c r="M39" s="27">
        <f>VLOOKUP(B39,'Data qoq'!$A:$AT,MATCH($M$1,'Data qoq'!$A$1:$AT$1,),)</f>
        <v>0.68926328000000003</v>
      </c>
      <c r="N39" s="27">
        <f>VLOOKUP(B39,'Data qoq'!$A:$AT,MATCH($N$1,'Data qoq'!$A$1:$AT$1,),)</f>
        <v>1.8136509329999999</v>
      </c>
      <c r="O39" s="27">
        <f>VLOOKUP(B39,'Data qoq'!$A:$AT,MATCH($C$1,'Data qoq'!$J$1:$AT$1,),)</f>
        <v>1.1456973779999999</v>
      </c>
      <c r="P39" s="27">
        <f>VLOOKUP(B39,'Data qoq'!$A:$AT,MATCH($P$1,'Data qoq'!$A$1:$AT$1,),)</f>
        <v>0.63962664400000002</v>
      </c>
      <c r="Q39" s="27">
        <f>VLOOKUP(B39,'Data qoq'!$A:$AT,MATCH($Q$1,'Data qoq'!$A$1:$AT$1,),)</f>
        <v>1.478457208</v>
      </c>
      <c r="R39" s="27">
        <f>VLOOKUP(B39,'Data qoq'!$A:$AT,MATCH($E$1,'Data qoq'!$A$1:$AT$1,),)</f>
        <v>0.64771800000000002</v>
      </c>
      <c r="S39" s="27">
        <f>VLOOKUP(B39,'Data qoq'!$A:$AT,MATCH($S$1,'Data qoq'!$A$1:$AT$1,),)</f>
        <v>1.674043596</v>
      </c>
      <c r="T39" s="27">
        <f>VLOOKUP(B39,'Data qoq'!$A:$AT,MATCH($T$1,'Data qoq'!$A$1:$AT$1,),)</f>
        <v>1.970567051</v>
      </c>
      <c r="U39" s="27">
        <f>VLOOKUP(B39,'Data qoq'!$A:$AT,MATCH($U$1,'Data qoq'!$A$1:$AT$1,),)</f>
        <v>-0.78528566200000005</v>
      </c>
      <c r="V39" s="27">
        <f>VLOOKUP(B39,'Data qoq'!$A:$AT,MATCH($V$1,'Data qoq'!$A$1:$AT$1,),)</f>
        <v>5.9200323929999996</v>
      </c>
      <c r="W39" s="27">
        <f>VLOOKUP(B39,'Data qoq'!$A:$AT,MATCH($W$1,'Data qoq'!$A$1:$AT$1,),)</f>
        <v>1.8230804439999999</v>
      </c>
      <c r="X39" s="27">
        <f>VLOOKUP(B39,'Data qoq'!$A:$AT,MATCH($X$1,'Data qoq'!$A$1:$AT$1,),)</f>
        <v>1.6834019280000001</v>
      </c>
      <c r="Y39" s="27">
        <f>VLOOKUP(B39,'Data qoq'!$A:$AT,MATCH($Y$1,'Data qoq'!$A$1:$AT$1,),)</f>
        <v>4.5899590239999997</v>
      </c>
      <c r="Z39" s="27">
        <f>VLOOKUP(B39,'Data qoq'!$A:$AU,MATCH($Z$1,'Data qoq'!$A$1:$AU$1,),)</f>
        <v>2.3385317940000001</v>
      </c>
      <c r="AA39" s="27">
        <f>VLOOKUP(B39,'Data qoq'!$A:$AU,MATCH($AA$1,'Data qoq'!$A$1:$AU$1,),)</f>
        <v>1.2043074810000001</v>
      </c>
      <c r="AC39" s="28" t="str">
        <f t="shared" si="7"/>
        <v>2007-Q1</v>
      </c>
      <c r="AD39" s="29">
        <f t="shared" si="6"/>
        <v>0.21726903599999997</v>
      </c>
      <c r="AE39" s="29">
        <f t="shared" si="8"/>
        <v>0.21726903599999997</v>
      </c>
    </row>
    <row r="40" spans="2:31" hidden="1" x14ac:dyDescent="0.2">
      <c r="B40" s="26" t="s">
        <v>289</v>
      </c>
      <c r="C40" s="27">
        <f>VLOOKUP(B40,'Data qoq'!$A:$AT,MATCH($C$1,'Data qoq'!$A$1:$AT$1,),)</f>
        <v>0.63843452999999994</v>
      </c>
      <c r="D40" s="27">
        <f>VLOOKUP(B40,'Data qoq'!$A:$AT,MATCH($D$1,'Data qoq'!$A$1:$AT$1,),)</f>
        <v>0</v>
      </c>
      <c r="E40" s="27">
        <f>VLOOKUP(B40,'Data qoq'!$A:$AT,MATCH($E$1,'Data qoq'!$A$1:$AT$1,),)</f>
        <v>0.70404199999999995</v>
      </c>
      <c r="F40" s="27">
        <f>VLOOKUP(B40,'Data qoq'!$A:$AT,MATCH($F$1,'Data qoq'!$A$1:$AT$1,),)</f>
        <v>5.8422424000000001E-2</v>
      </c>
      <c r="G40" s="27">
        <f>VLOOKUP(B40,'Data qoq'!$A:$AT,MATCH($G$1,'Data qoq'!$A$1:$AT$1,),)</f>
        <v>0.838052558</v>
      </c>
      <c r="H40" s="27">
        <f>VLOOKUP(B40,'Data qoq'!$A:$AT,MATCH($H$1,'Data qoq'!$A$1:$AT$1,),)</f>
        <v>0.76238734200000002</v>
      </c>
      <c r="I40" s="27">
        <f>VLOOKUP(B40,'Data qoq'!$A:$AT,MATCH($I$1,'Data qoq'!$A$1:$AT$1,),)</f>
        <v>0.56384969100000004</v>
      </c>
      <c r="J40" s="27">
        <f>VLOOKUP(B40,'Data qoq'!$A:$AT,MATCH($J$1,'Data qoq'!$A$1:$AT$1,),)</f>
        <v>0.12081549499999999</v>
      </c>
      <c r="K40" s="27">
        <f>VLOOKUP(B40,'Data qoq'!$A:$AT,MATCH($K$1,'Data qoq'!$A$1:$AT$1,),)</f>
        <v>0.89625550600000004</v>
      </c>
      <c r="L40" s="27">
        <f>VLOOKUP(B40,'Data qoq'!$A:$AT,MATCH($L$1,'Data qoq'!$A$1:$AT$1,),)</f>
        <v>0.537183356</v>
      </c>
      <c r="M40" s="27">
        <f>VLOOKUP(B40,'Data qoq'!$A:$AT,MATCH($M$1,'Data qoq'!$A$1:$AT$1,),)</f>
        <v>0.79612424900000001</v>
      </c>
      <c r="N40" s="27">
        <f>VLOOKUP(B40,'Data qoq'!$A:$AT,MATCH($N$1,'Data qoq'!$A$1:$AT$1,),)</f>
        <v>2.5237981899999999</v>
      </c>
      <c r="O40" s="27">
        <f>VLOOKUP(B40,'Data qoq'!$A:$AT,MATCH($C$1,'Data qoq'!$J$1:$AT$1,),)</f>
        <v>0.51164677300000005</v>
      </c>
      <c r="P40" s="27">
        <f>VLOOKUP(B40,'Data qoq'!$A:$AT,MATCH($P$1,'Data qoq'!$A$1:$AT$1,),)</f>
        <v>0.96890726299999996</v>
      </c>
      <c r="Q40" s="27">
        <f>VLOOKUP(B40,'Data qoq'!$A:$AT,MATCH($Q$1,'Data qoq'!$A$1:$AT$1,),)</f>
        <v>0.58991573799999997</v>
      </c>
      <c r="R40" s="27">
        <f>VLOOKUP(B40,'Data qoq'!$A:$AT,MATCH($E$1,'Data qoq'!$A$1:$AT$1,),)</f>
        <v>0.70404199999999995</v>
      </c>
      <c r="S40" s="27">
        <f>VLOOKUP(B40,'Data qoq'!$A:$AT,MATCH($S$1,'Data qoq'!$A$1:$AT$1,),)</f>
        <v>1.730290857</v>
      </c>
      <c r="T40" s="27">
        <f>VLOOKUP(B40,'Data qoq'!$A:$AT,MATCH($T$1,'Data qoq'!$A$1:$AT$1,),)</f>
        <v>1.5650135590000001</v>
      </c>
      <c r="U40" s="27">
        <f>VLOOKUP(B40,'Data qoq'!$A:$AT,MATCH($U$1,'Data qoq'!$A$1:$AT$1,),)</f>
        <v>2.9117218239999998</v>
      </c>
      <c r="V40" s="27">
        <f>VLOOKUP(B40,'Data qoq'!$A:$AT,MATCH($V$1,'Data qoq'!$A$1:$AT$1,),)</f>
        <v>-1.7830174400000001</v>
      </c>
      <c r="W40" s="27">
        <f>VLOOKUP(B40,'Data qoq'!$A:$AT,MATCH($W$1,'Data qoq'!$A$1:$AT$1,),)</f>
        <v>3.0535506E-2</v>
      </c>
      <c r="X40" s="27">
        <f>VLOOKUP(B40,'Data qoq'!$A:$AT,MATCH($X$1,'Data qoq'!$A$1:$AT$1,),)</f>
        <v>0.84880433200000005</v>
      </c>
      <c r="Y40" s="27">
        <f>VLOOKUP(B40,'Data qoq'!$A:$AT,MATCH($Y$1,'Data qoq'!$A$1:$AT$1,),)</f>
        <v>1.139746207</v>
      </c>
      <c r="Z40" s="27">
        <f>VLOOKUP(B40,'Data qoq'!$A:$AU,MATCH($Z$1,'Data qoq'!$A$1:$AU$1,),)</f>
        <v>2.164104939</v>
      </c>
      <c r="AA40" s="27">
        <f>VLOOKUP(B40,'Data qoq'!$A:$AU,MATCH($AA$1,'Data qoq'!$A$1:$AU$1,),)</f>
        <v>0.906147916</v>
      </c>
      <c r="AC40" s="28" t="str">
        <f t="shared" si="7"/>
        <v>2007-Q2</v>
      </c>
      <c r="AD40" s="29">
        <f t="shared" si="6"/>
        <v>-0.19961802800000006</v>
      </c>
      <c r="AE40" s="29">
        <f t="shared" si="8"/>
        <v>-0.19961802800000006</v>
      </c>
    </row>
    <row r="41" spans="2:31" hidden="1" x14ac:dyDescent="0.2">
      <c r="B41" s="26" t="s">
        <v>290</v>
      </c>
      <c r="C41" s="27">
        <f>VLOOKUP(B41,'Data qoq'!$A:$AT,MATCH($C$1,'Data qoq'!$A$1:$AT$1,),)</f>
        <v>0.60230665699999997</v>
      </c>
      <c r="D41" s="27">
        <f>VLOOKUP(B41,'Data qoq'!$A:$AT,MATCH($D$1,'Data qoq'!$A$1:$AT$1,),)</f>
        <v>0</v>
      </c>
      <c r="E41" s="27">
        <f>VLOOKUP(B41,'Data qoq'!$A:$AT,MATCH($E$1,'Data qoq'!$A$1:$AT$1,),)</f>
        <v>0.44444800000000001</v>
      </c>
      <c r="F41" s="27">
        <f>VLOOKUP(B41,'Data qoq'!$A:$AT,MATCH($F$1,'Data qoq'!$A$1:$AT$1,),)</f>
        <v>-0.52907656400000003</v>
      </c>
      <c r="G41" s="27">
        <f>VLOOKUP(B41,'Data qoq'!$A:$AT,MATCH($G$1,'Data qoq'!$A$1:$AT$1,),)</f>
        <v>0.49649168999999999</v>
      </c>
      <c r="H41" s="27">
        <f>VLOOKUP(B41,'Data qoq'!$A:$AT,MATCH($H$1,'Data qoq'!$A$1:$AT$1,),)</f>
        <v>0.36100874799999999</v>
      </c>
      <c r="I41" s="27">
        <f>VLOOKUP(B41,'Data qoq'!$A:$AT,MATCH($I$1,'Data qoq'!$A$1:$AT$1,),)</f>
        <v>0.76496016300000003</v>
      </c>
      <c r="J41" s="27">
        <f>VLOOKUP(B41,'Data qoq'!$A:$AT,MATCH($J$1,'Data qoq'!$A$1:$AT$1,),)</f>
        <v>0.185361149</v>
      </c>
      <c r="K41" s="27">
        <f>VLOOKUP(B41,'Data qoq'!$A:$AT,MATCH($K$1,'Data qoq'!$A$1:$AT$1,),)</f>
        <v>0.76676854100000003</v>
      </c>
      <c r="L41" s="27">
        <f>VLOOKUP(B41,'Data qoq'!$A:$AT,MATCH($L$1,'Data qoq'!$A$1:$AT$1,),)</f>
        <v>0.75926688799999997</v>
      </c>
      <c r="M41" s="27">
        <f>VLOOKUP(B41,'Data qoq'!$A:$AT,MATCH($M$1,'Data qoq'!$A$1:$AT$1,),)</f>
        <v>0.62756930499999997</v>
      </c>
      <c r="N41" s="27">
        <f>VLOOKUP(B41,'Data qoq'!$A:$AT,MATCH($N$1,'Data qoq'!$A$1:$AT$1,),)</f>
        <v>2.2051103799999998</v>
      </c>
      <c r="O41" s="27">
        <f>VLOOKUP(B41,'Data qoq'!$A:$AT,MATCH($C$1,'Data qoq'!$J$1:$AT$1,),)</f>
        <v>1.1175019079999999</v>
      </c>
      <c r="P41" s="27">
        <f>VLOOKUP(B41,'Data qoq'!$A:$AT,MATCH($P$1,'Data qoq'!$A$1:$AT$1,),)</f>
        <v>0.41985457500000001</v>
      </c>
      <c r="Q41" s="27">
        <f>VLOOKUP(B41,'Data qoq'!$A:$AT,MATCH($Q$1,'Data qoq'!$A$1:$AT$1,),)</f>
        <v>1.1120354349999999</v>
      </c>
      <c r="R41" s="27">
        <f>VLOOKUP(B41,'Data qoq'!$A:$AT,MATCH($E$1,'Data qoq'!$A$1:$AT$1,),)</f>
        <v>0.44444800000000001</v>
      </c>
      <c r="S41" s="27">
        <f>VLOOKUP(B41,'Data qoq'!$A:$AT,MATCH($S$1,'Data qoq'!$A$1:$AT$1,),)</f>
        <v>1.173831453</v>
      </c>
      <c r="T41" s="27">
        <f>VLOOKUP(B41,'Data qoq'!$A:$AT,MATCH($T$1,'Data qoq'!$A$1:$AT$1,),)</f>
        <v>1.041483634</v>
      </c>
      <c r="U41" s="27">
        <f>VLOOKUP(B41,'Data qoq'!$A:$AT,MATCH($U$1,'Data qoq'!$A$1:$AT$1,),)</f>
        <v>-0.62311345799999995</v>
      </c>
      <c r="V41" s="27">
        <f>VLOOKUP(B41,'Data qoq'!$A:$AT,MATCH($V$1,'Data qoq'!$A$1:$AT$1,),)</f>
        <v>-1.946816906</v>
      </c>
      <c r="W41" s="27">
        <f>VLOOKUP(B41,'Data qoq'!$A:$AT,MATCH($W$1,'Data qoq'!$A$1:$AT$1,),)</f>
        <v>0.58639459900000002</v>
      </c>
      <c r="X41" s="27">
        <f>VLOOKUP(B41,'Data qoq'!$A:$AT,MATCH($X$1,'Data qoq'!$A$1:$AT$1,),)</f>
        <v>1.4618810390000001</v>
      </c>
      <c r="Y41" s="27">
        <f>VLOOKUP(B41,'Data qoq'!$A:$AT,MATCH($Y$1,'Data qoq'!$A$1:$AT$1,),)</f>
        <v>1.6971584660000001</v>
      </c>
      <c r="Z41" s="27">
        <f>VLOOKUP(B41,'Data qoq'!$A:$AU,MATCH($Z$1,'Data qoq'!$A$1:$AU$1,),)</f>
        <v>1.316499198</v>
      </c>
      <c r="AA41" s="27">
        <f>VLOOKUP(B41,'Data qoq'!$A:$AU,MATCH($AA$1,'Data qoq'!$A$1:$AU$1,),)</f>
        <v>0.76177660199999997</v>
      </c>
      <c r="AC41" s="28" t="str">
        <f t="shared" si="7"/>
        <v>2007-Q3</v>
      </c>
      <c r="AD41" s="29">
        <f t="shared" si="6"/>
        <v>0.10581496699999998</v>
      </c>
      <c r="AE41" s="29">
        <f t="shared" si="8"/>
        <v>0.10581496699999998</v>
      </c>
    </row>
    <row r="42" spans="2:31" hidden="1" x14ac:dyDescent="0.2">
      <c r="B42" s="26" t="s">
        <v>291</v>
      </c>
      <c r="C42" s="27">
        <f>VLOOKUP(B42,'Data qoq'!$A:$AT,MATCH($C$1,'Data qoq'!$A$1:$AT$1,),)</f>
        <v>0.60964400299999999</v>
      </c>
      <c r="D42" s="27">
        <f>VLOOKUP(B42,'Data qoq'!$A:$AT,MATCH($D$1,'Data qoq'!$A$1:$AT$1,),)</f>
        <v>0</v>
      </c>
      <c r="E42" s="27">
        <f>VLOOKUP(B42,'Data qoq'!$A:$AT,MATCH($E$1,'Data qoq'!$A$1:$AT$1,),)</f>
        <v>0.52684600000000004</v>
      </c>
      <c r="F42" s="27">
        <f>VLOOKUP(B42,'Data qoq'!$A:$AT,MATCH($F$1,'Data qoq'!$A$1:$AT$1,),)</f>
        <v>0.40180436600000002</v>
      </c>
      <c r="G42" s="27">
        <f>VLOOKUP(B42,'Data qoq'!$A:$AT,MATCH($G$1,'Data qoq'!$A$1:$AT$1,),)</f>
        <v>0.66588292599999999</v>
      </c>
      <c r="H42" s="27">
        <f>VLOOKUP(B42,'Data qoq'!$A:$AT,MATCH($H$1,'Data qoq'!$A$1:$AT$1,),)</f>
        <v>0.225632893</v>
      </c>
      <c r="I42" s="27">
        <f>VLOOKUP(B42,'Data qoq'!$A:$AT,MATCH($I$1,'Data qoq'!$A$1:$AT$1,),)</f>
        <v>0.510588186</v>
      </c>
      <c r="J42" s="27">
        <f>VLOOKUP(B42,'Data qoq'!$A:$AT,MATCH($J$1,'Data qoq'!$A$1:$AT$1,),)</f>
        <v>-0.31794302800000002</v>
      </c>
      <c r="K42" s="27">
        <f>VLOOKUP(B42,'Data qoq'!$A:$AT,MATCH($K$1,'Data qoq'!$A$1:$AT$1,),)</f>
        <v>0.64284560599999996</v>
      </c>
      <c r="L42" s="27">
        <f>VLOOKUP(B42,'Data qoq'!$A:$AT,MATCH($L$1,'Data qoq'!$A$1:$AT$1,),)</f>
        <v>1.1045978160000001</v>
      </c>
      <c r="M42" s="27">
        <f>VLOOKUP(B42,'Data qoq'!$A:$AT,MATCH($M$1,'Data qoq'!$A$1:$AT$1,),)</f>
        <v>0.39112810399999998</v>
      </c>
      <c r="N42" s="27">
        <f>VLOOKUP(B42,'Data qoq'!$A:$AT,MATCH($N$1,'Data qoq'!$A$1:$AT$1,),)</f>
        <v>3.193832161</v>
      </c>
      <c r="O42" s="27">
        <f>VLOOKUP(B42,'Data qoq'!$A:$AT,MATCH($C$1,'Data qoq'!$J$1:$AT$1,),)</f>
        <v>1.3530236470000001</v>
      </c>
      <c r="P42" s="27">
        <f>VLOOKUP(B42,'Data qoq'!$A:$AT,MATCH($P$1,'Data qoq'!$A$1:$AT$1,),)</f>
        <v>0.113617046</v>
      </c>
      <c r="Q42" s="27">
        <f>VLOOKUP(B42,'Data qoq'!$A:$AT,MATCH($Q$1,'Data qoq'!$A$1:$AT$1,),)</f>
        <v>0.49582499000000002</v>
      </c>
      <c r="R42" s="27">
        <f>VLOOKUP(B42,'Data qoq'!$A:$AT,MATCH($E$1,'Data qoq'!$A$1:$AT$1,),)</f>
        <v>0.52684600000000004</v>
      </c>
      <c r="S42" s="27">
        <f>VLOOKUP(B42,'Data qoq'!$A:$AT,MATCH($S$1,'Data qoq'!$A$1:$AT$1,),)</f>
        <v>2.156948555</v>
      </c>
      <c r="T42" s="27">
        <f>VLOOKUP(B42,'Data qoq'!$A:$AT,MATCH($T$1,'Data qoq'!$A$1:$AT$1,),)</f>
        <v>1.533870938</v>
      </c>
      <c r="U42" s="27">
        <f>VLOOKUP(B42,'Data qoq'!$A:$AT,MATCH($U$1,'Data qoq'!$A$1:$AT$1,),)</f>
        <v>-0.49587677200000002</v>
      </c>
      <c r="V42" s="27">
        <f>VLOOKUP(B42,'Data qoq'!$A:$AT,MATCH($V$1,'Data qoq'!$A$1:$AT$1,),)</f>
        <v>3.7489912059999999</v>
      </c>
      <c r="W42" s="27">
        <f>VLOOKUP(B42,'Data qoq'!$A:$AT,MATCH($W$1,'Data qoq'!$A$1:$AT$1,),)</f>
        <v>3.432599138</v>
      </c>
      <c r="X42" s="27">
        <f>VLOOKUP(B42,'Data qoq'!$A:$AT,MATCH($X$1,'Data qoq'!$A$1:$AT$1,),)</f>
        <v>1.1864127360000001</v>
      </c>
      <c r="Y42" s="27">
        <f>VLOOKUP(B42,'Data qoq'!$A:$AT,MATCH($Y$1,'Data qoq'!$A$1:$AT$1,),)</f>
        <v>1.3435121000000001</v>
      </c>
      <c r="Z42" s="27">
        <f>VLOOKUP(B42,'Data qoq'!$A:$AU,MATCH($Z$1,'Data qoq'!$A$1:$AU$1,),)</f>
        <v>3.083338983</v>
      </c>
      <c r="AA42" s="27">
        <f>VLOOKUP(B42,'Data qoq'!$A:$AU,MATCH($AA$1,'Data qoq'!$A$1:$AU$1,),)</f>
        <v>0.16597260799999999</v>
      </c>
      <c r="AC42" s="28" t="str">
        <f t="shared" si="7"/>
        <v>2007-Q4</v>
      </c>
      <c r="AD42" s="29">
        <f t="shared" si="6"/>
        <v>-5.6238922999999996E-2</v>
      </c>
      <c r="AE42" s="29">
        <f t="shared" si="8"/>
        <v>-5.6238922999999996E-2</v>
      </c>
    </row>
    <row r="43" spans="2:31" hidden="1" x14ac:dyDescent="0.2">
      <c r="B43" s="26" t="s">
        <v>292</v>
      </c>
      <c r="C43" s="27">
        <f>VLOOKUP(B43,'Data qoq'!$A:$AT,MATCH($C$1,'Data qoq'!$A$1:$AT$1,),)</f>
        <v>-0.40742947400000001</v>
      </c>
      <c r="D43" s="27">
        <f>VLOOKUP(B43,'Data qoq'!$A:$AT,MATCH($D$1,'Data qoq'!$A$1:$AT$1,),)</f>
        <v>0</v>
      </c>
      <c r="E43" s="27">
        <f>VLOOKUP(B43,'Data qoq'!$A:$AT,MATCH($E$1,'Data qoq'!$A$1:$AT$1,),)</f>
        <v>0.45720899999999998</v>
      </c>
      <c r="F43" s="27">
        <f>VLOOKUP(B43,'Data qoq'!$A:$AT,MATCH($F$1,'Data qoq'!$A$1:$AT$1,),)</f>
        <v>0.35776681700000001</v>
      </c>
      <c r="G43" s="27">
        <f>VLOOKUP(B43,'Data qoq'!$A:$AT,MATCH($G$1,'Data qoq'!$A$1:$AT$1,),)</f>
        <v>0.62947670200000005</v>
      </c>
      <c r="H43" s="27">
        <f>VLOOKUP(B43,'Data qoq'!$A:$AT,MATCH($H$1,'Data qoq'!$A$1:$AT$1,),)</f>
        <v>0.40209071899999999</v>
      </c>
      <c r="I43" s="27">
        <f>VLOOKUP(B43,'Data qoq'!$A:$AT,MATCH($I$1,'Data qoq'!$A$1:$AT$1,),)</f>
        <v>0.53665803300000003</v>
      </c>
      <c r="J43" s="27">
        <f>VLOOKUP(B43,'Data qoq'!$A:$AT,MATCH($J$1,'Data qoq'!$A$1:$AT$1,),)</f>
        <v>1.059917706</v>
      </c>
      <c r="K43" s="27">
        <f>VLOOKUP(B43,'Data qoq'!$A:$AT,MATCH($K$1,'Data qoq'!$A$1:$AT$1,),)</f>
        <v>0.21576627300000001</v>
      </c>
      <c r="L43" s="27">
        <f>VLOOKUP(B43,'Data qoq'!$A:$AT,MATCH($L$1,'Data qoq'!$A$1:$AT$1,),)</f>
        <v>-0.73863550899999997</v>
      </c>
      <c r="M43" s="27">
        <f>VLOOKUP(B43,'Data qoq'!$A:$AT,MATCH($M$1,'Data qoq'!$A$1:$AT$1,),)</f>
        <v>-0.18280496800000001</v>
      </c>
      <c r="N43" s="27">
        <f>VLOOKUP(B43,'Data qoq'!$A:$AT,MATCH($N$1,'Data qoq'!$A$1:$AT$1,),)</f>
        <v>2.653171822</v>
      </c>
      <c r="O43" s="27">
        <f>VLOOKUP(B43,'Data qoq'!$A:$AT,MATCH($C$1,'Data qoq'!$J$1:$AT$1,),)</f>
        <v>0.327531403</v>
      </c>
      <c r="P43" s="27">
        <f>VLOOKUP(B43,'Data qoq'!$A:$AT,MATCH($P$1,'Data qoq'!$A$1:$AT$1,),)</f>
        <v>7.6640567000000007E-2</v>
      </c>
      <c r="Q43" s="27">
        <f>VLOOKUP(B43,'Data qoq'!$A:$AT,MATCH($Q$1,'Data qoq'!$A$1:$AT$1,),)</f>
        <v>1.13368665</v>
      </c>
      <c r="R43" s="27">
        <f>VLOOKUP(B43,'Data qoq'!$A:$AT,MATCH($E$1,'Data qoq'!$A$1:$AT$1,),)</f>
        <v>0.45720899999999998</v>
      </c>
      <c r="S43" s="27">
        <f>VLOOKUP(B43,'Data qoq'!$A:$AT,MATCH($S$1,'Data qoq'!$A$1:$AT$1,),)</f>
        <v>0.40239485800000002</v>
      </c>
      <c r="T43" s="27">
        <f>VLOOKUP(B43,'Data qoq'!$A:$AT,MATCH($T$1,'Data qoq'!$A$1:$AT$1,),)</f>
        <v>1.1348539099999999</v>
      </c>
      <c r="U43" s="27">
        <f>VLOOKUP(B43,'Data qoq'!$A:$AT,MATCH($U$1,'Data qoq'!$A$1:$AT$1,),)</f>
        <v>0.61159760600000002</v>
      </c>
      <c r="V43" s="27">
        <f>VLOOKUP(B43,'Data qoq'!$A:$AT,MATCH($V$1,'Data qoq'!$A$1:$AT$1,),)</f>
        <v>-2.5974923510000001</v>
      </c>
      <c r="W43" s="27">
        <f>VLOOKUP(B43,'Data qoq'!$A:$AT,MATCH($W$1,'Data qoq'!$A$1:$AT$1,),)</f>
        <v>2.1064921079999999</v>
      </c>
      <c r="X43" s="27">
        <f>VLOOKUP(B43,'Data qoq'!$A:$AT,MATCH($X$1,'Data qoq'!$A$1:$AT$1,),)</f>
        <v>0.530801089</v>
      </c>
      <c r="Y43" s="27">
        <f>VLOOKUP(B43,'Data qoq'!$A:$AT,MATCH($Y$1,'Data qoq'!$A$1:$AT$1,),)</f>
        <v>1.9176713990000001</v>
      </c>
      <c r="Z43" s="27">
        <f>VLOOKUP(B43,'Data qoq'!$A:$AU,MATCH($Z$1,'Data qoq'!$A$1:$AU$1,),)</f>
        <v>0.92097468999999998</v>
      </c>
      <c r="AA43" s="27">
        <f>VLOOKUP(B43,'Data qoq'!$A:$AU,MATCH($AA$1,'Data qoq'!$A$1:$AU$1,),)</f>
        <v>-0.307069798</v>
      </c>
      <c r="AC43" s="28" t="str">
        <f t="shared" si="7"/>
        <v>2008-Q1</v>
      </c>
      <c r="AD43" s="29">
        <f t="shared" ref="AD43:AD74" si="9">(VLOOKUP(AC43,B:Y,MATCH($AE$6,$B$1:$Y$1,),))-(VLOOKUP(AC43,B:Y,MATCH($AE$7,$B$1:$Y$1,),))</f>
        <v>-1.036906176</v>
      </c>
      <c r="AE43" s="29">
        <f t="shared" si="8"/>
        <v>-1.036906176</v>
      </c>
    </row>
    <row r="44" spans="2:31" hidden="1" x14ac:dyDescent="0.2">
      <c r="B44" s="26" t="s">
        <v>293</v>
      </c>
      <c r="C44" s="27">
        <f>VLOOKUP(B44,'Data qoq'!$A:$AT,MATCH($C$1,'Data qoq'!$A$1:$AT$1,),)</f>
        <v>0.57229534500000001</v>
      </c>
      <c r="D44" s="27">
        <f>VLOOKUP(B44,'Data qoq'!$A:$AT,MATCH($D$1,'Data qoq'!$A$1:$AT$1,),)</f>
        <v>0</v>
      </c>
      <c r="E44" s="27">
        <f>VLOOKUP(B44,'Data qoq'!$A:$AT,MATCH($E$1,'Data qoq'!$A$1:$AT$1,),)</f>
        <v>-0.32083</v>
      </c>
      <c r="F44" s="27">
        <f>VLOOKUP(B44,'Data qoq'!$A:$AT,MATCH($F$1,'Data qoq'!$A$1:$AT$1,),)</f>
        <v>-0.56103813999999996</v>
      </c>
      <c r="G44" s="27">
        <f>VLOOKUP(B44,'Data qoq'!$A:$AT,MATCH($G$1,'Data qoq'!$A$1:$AT$1,),)</f>
        <v>-0.23324228799999999</v>
      </c>
      <c r="H44" s="27">
        <f>VLOOKUP(B44,'Data qoq'!$A:$AT,MATCH($H$1,'Data qoq'!$A$1:$AT$1,),)</f>
        <v>-0.43017383999999997</v>
      </c>
      <c r="I44" s="27">
        <f>VLOOKUP(B44,'Data qoq'!$A:$AT,MATCH($I$1,'Data qoq'!$A$1:$AT$1,),)</f>
        <v>-0.55959860400000005</v>
      </c>
      <c r="J44" s="27">
        <f>VLOOKUP(B44,'Data qoq'!$A:$AT,MATCH($J$1,'Data qoq'!$A$1:$AT$1,),)</f>
        <v>-0.91916943799999995</v>
      </c>
      <c r="K44" s="27">
        <f>VLOOKUP(B44,'Data qoq'!$A:$AT,MATCH($K$1,'Data qoq'!$A$1:$AT$1,),)</f>
        <v>0.10925227999999999</v>
      </c>
      <c r="L44" s="27">
        <f>VLOOKUP(B44,'Data qoq'!$A:$AT,MATCH($L$1,'Data qoq'!$A$1:$AT$1,),)</f>
        <v>-8.5650021000000007E-2</v>
      </c>
      <c r="M44" s="27">
        <f>VLOOKUP(B44,'Data qoq'!$A:$AT,MATCH($M$1,'Data qoq'!$A$1:$AT$1,),)</f>
        <v>0.74889984399999998</v>
      </c>
      <c r="N44" s="27">
        <f>VLOOKUP(B44,'Data qoq'!$A:$AT,MATCH($N$1,'Data qoq'!$A$1:$AT$1,),)</f>
        <v>0.62160239399999995</v>
      </c>
      <c r="O44" s="27">
        <f>VLOOKUP(B44,'Data qoq'!$A:$AT,MATCH($C$1,'Data qoq'!$J$1:$AT$1,),)</f>
        <v>0.492586831</v>
      </c>
      <c r="P44" s="27">
        <f>VLOOKUP(B44,'Data qoq'!$A:$AT,MATCH($P$1,'Data qoq'!$A$1:$AT$1,),)</f>
        <v>0.36167189700000002</v>
      </c>
      <c r="Q44" s="27">
        <f>VLOOKUP(B44,'Data qoq'!$A:$AT,MATCH($Q$1,'Data qoq'!$A$1:$AT$1,),)</f>
        <v>0.23722280400000001</v>
      </c>
      <c r="R44" s="27">
        <f>VLOOKUP(B44,'Data qoq'!$A:$AT,MATCH($E$1,'Data qoq'!$A$1:$AT$1,),)</f>
        <v>-0.32083</v>
      </c>
      <c r="S44" s="27">
        <f>VLOOKUP(B44,'Data qoq'!$A:$AT,MATCH($S$1,'Data qoq'!$A$1:$AT$1,),)</f>
        <v>0.52347300299999999</v>
      </c>
      <c r="T44" s="27">
        <f>VLOOKUP(B44,'Data qoq'!$A:$AT,MATCH($T$1,'Data qoq'!$A$1:$AT$1,),)</f>
        <v>2.3363141569999999</v>
      </c>
      <c r="U44" s="27">
        <f>VLOOKUP(B44,'Data qoq'!$A:$AT,MATCH($U$1,'Data qoq'!$A$1:$AT$1,),)</f>
        <v>-0.63973648299999997</v>
      </c>
      <c r="V44" s="27">
        <f>VLOOKUP(B44,'Data qoq'!$A:$AT,MATCH($V$1,'Data qoq'!$A$1:$AT$1,),)</f>
        <v>-2.753503673</v>
      </c>
      <c r="W44" s="27">
        <f>VLOOKUP(B44,'Data qoq'!$A:$AT,MATCH($W$1,'Data qoq'!$A$1:$AT$1,),)</f>
        <v>-3.5485985709999999</v>
      </c>
      <c r="X44" s="27">
        <f>VLOOKUP(B44,'Data qoq'!$A:$AT,MATCH($X$1,'Data qoq'!$A$1:$AT$1,),)</f>
        <v>0.68159132499999997</v>
      </c>
      <c r="Y44" s="27">
        <f>VLOOKUP(B44,'Data qoq'!$A:$AT,MATCH($Y$1,'Data qoq'!$A$1:$AT$1,),)</f>
        <v>0.243076973</v>
      </c>
      <c r="Z44" s="27">
        <f>VLOOKUP(B44,'Data qoq'!$A:$AU,MATCH($Z$1,'Data qoq'!$A$1:$AU$1,),)</f>
        <v>0.593733654</v>
      </c>
      <c r="AA44" s="27">
        <f>VLOOKUP(B44,'Data qoq'!$A:$AU,MATCH($AA$1,'Data qoq'!$A$1:$AU$1,),)</f>
        <v>-0.30784092499999999</v>
      </c>
      <c r="AC44" s="28" t="str">
        <f t="shared" si="7"/>
        <v>2008-Q2</v>
      </c>
      <c r="AD44" s="29">
        <f t="shared" si="9"/>
        <v>0.80553763300000003</v>
      </c>
      <c r="AE44" s="29">
        <f t="shared" si="8"/>
        <v>0.80553763300000003</v>
      </c>
    </row>
    <row r="45" spans="2:31" hidden="1" x14ac:dyDescent="0.2">
      <c r="B45" s="26" t="s">
        <v>294</v>
      </c>
      <c r="C45" s="27">
        <f>VLOOKUP(B45,'Data qoq'!$A:$AT,MATCH($C$1,'Data qoq'!$A$1:$AT$1,),)</f>
        <v>-0.52689290200000005</v>
      </c>
      <c r="D45" s="27">
        <f>VLOOKUP(B45,'Data qoq'!$A:$AT,MATCH($D$1,'Data qoq'!$A$1:$AT$1,),)</f>
        <v>0</v>
      </c>
      <c r="E45" s="27">
        <f>VLOOKUP(B45,'Data qoq'!$A:$AT,MATCH($E$1,'Data qoq'!$A$1:$AT$1,),)</f>
        <v>-0.516544</v>
      </c>
      <c r="F45" s="27">
        <f>VLOOKUP(B45,'Data qoq'!$A:$AT,MATCH($F$1,'Data qoq'!$A$1:$AT$1,),)</f>
        <v>-1.2325694819999999</v>
      </c>
      <c r="G45" s="27">
        <f>VLOOKUP(B45,'Data qoq'!$A:$AT,MATCH($G$1,'Data qoq'!$A$1:$AT$1,),)</f>
        <v>-0.64824918200000003</v>
      </c>
      <c r="H45" s="27">
        <f>VLOOKUP(B45,'Data qoq'!$A:$AT,MATCH($H$1,'Data qoq'!$A$1:$AT$1,),)</f>
        <v>-0.27413024800000002</v>
      </c>
      <c r="I45" s="27">
        <f>VLOOKUP(B45,'Data qoq'!$A:$AT,MATCH($I$1,'Data qoq'!$A$1:$AT$1,),)</f>
        <v>-1.5624673</v>
      </c>
      <c r="J45" s="27">
        <f>VLOOKUP(B45,'Data qoq'!$A:$AT,MATCH($J$1,'Data qoq'!$A$1:$AT$1,),)</f>
        <v>-1.1837941809999999</v>
      </c>
      <c r="K45" s="27">
        <f>VLOOKUP(B45,'Data qoq'!$A:$AT,MATCH($K$1,'Data qoq'!$A$1:$AT$1,),)</f>
        <v>-0.18413980399999999</v>
      </c>
      <c r="L45" s="27">
        <f>VLOOKUP(B45,'Data qoq'!$A:$AT,MATCH($L$1,'Data qoq'!$A$1:$AT$1,),)</f>
        <v>-0.48778915099999998</v>
      </c>
      <c r="M45" s="27">
        <f>VLOOKUP(B45,'Data qoq'!$A:$AT,MATCH($M$1,'Data qoq'!$A$1:$AT$1,),)</f>
        <v>0.29651686900000002</v>
      </c>
      <c r="N45" s="27">
        <f>VLOOKUP(B45,'Data qoq'!$A:$AT,MATCH($N$1,'Data qoq'!$A$1:$AT$1,),)</f>
        <v>-1.490668597</v>
      </c>
      <c r="O45" s="27">
        <f>VLOOKUP(B45,'Data qoq'!$A:$AT,MATCH($C$1,'Data qoq'!$J$1:$AT$1,),)</f>
        <v>-0.122148031</v>
      </c>
      <c r="P45" s="27">
        <f>VLOOKUP(B45,'Data qoq'!$A:$AT,MATCH($P$1,'Data qoq'!$A$1:$AT$1,),)</f>
        <v>0.82004401199999999</v>
      </c>
      <c r="Q45" s="27">
        <f>VLOOKUP(B45,'Data qoq'!$A:$AT,MATCH($Q$1,'Data qoq'!$A$1:$AT$1,),)</f>
        <v>0.74929402700000003</v>
      </c>
      <c r="R45" s="27">
        <f>VLOOKUP(B45,'Data qoq'!$A:$AT,MATCH($E$1,'Data qoq'!$A$1:$AT$1,),)</f>
        <v>-0.516544</v>
      </c>
      <c r="S45" s="27">
        <f>VLOOKUP(B45,'Data qoq'!$A:$AT,MATCH($S$1,'Data qoq'!$A$1:$AT$1,),)</f>
        <v>0.81588104299999997</v>
      </c>
      <c r="T45" s="27">
        <f>VLOOKUP(B45,'Data qoq'!$A:$AT,MATCH($T$1,'Data qoq'!$A$1:$AT$1,),)</f>
        <v>1.4432612950000001</v>
      </c>
      <c r="U45" s="27">
        <f>VLOOKUP(B45,'Data qoq'!$A:$AT,MATCH($U$1,'Data qoq'!$A$1:$AT$1,),)</f>
        <v>-9.7483140999999995E-2</v>
      </c>
      <c r="V45" s="27">
        <f>VLOOKUP(B45,'Data qoq'!$A:$AT,MATCH($V$1,'Data qoq'!$A$1:$AT$1,),)</f>
        <v>-0.40573951800000002</v>
      </c>
      <c r="W45" s="27">
        <f>VLOOKUP(B45,'Data qoq'!$A:$AT,MATCH($W$1,'Data qoq'!$A$1:$AT$1,),)</f>
        <v>-1.8168699740000001</v>
      </c>
      <c r="X45" s="27">
        <f>VLOOKUP(B45,'Data qoq'!$A:$AT,MATCH($X$1,'Data qoq'!$A$1:$AT$1,),)</f>
        <v>0.163162275</v>
      </c>
      <c r="Y45" s="27">
        <f>VLOOKUP(B45,'Data qoq'!$A:$AT,MATCH($Y$1,'Data qoq'!$A$1:$AT$1,),)</f>
        <v>-0.33652505900000002</v>
      </c>
      <c r="Z45" s="27">
        <f>VLOOKUP(B45,'Data qoq'!$A:$AU,MATCH($Z$1,'Data qoq'!$A$1:$AU$1,),)</f>
        <v>0.74147043899999998</v>
      </c>
      <c r="AA45" s="27">
        <f>VLOOKUP(B45,'Data qoq'!$A:$AU,MATCH($AA$1,'Data qoq'!$A$1:$AU$1,),)</f>
        <v>-0.36114984900000002</v>
      </c>
      <c r="AC45" s="28" t="str">
        <f t="shared" si="7"/>
        <v>2008-Q3</v>
      </c>
      <c r="AD45" s="29">
        <f t="shared" si="9"/>
        <v>0.12135627999999998</v>
      </c>
      <c r="AE45" s="29">
        <f t="shared" si="8"/>
        <v>0.12135627999999998</v>
      </c>
    </row>
    <row r="46" spans="2:31" hidden="1" x14ac:dyDescent="0.2">
      <c r="B46" s="26" t="s">
        <v>295</v>
      </c>
      <c r="C46" s="27">
        <f>VLOOKUP(B46,'Data qoq'!$A:$AT,MATCH($C$1,'Data qoq'!$A$1:$AT$1,),)</f>
        <v>-2.1830971479999999</v>
      </c>
      <c r="D46" s="27">
        <f>VLOOKUP(B46,'Data qoq'!$A:$AT,MATCH($D$1,'Data qoq'!$A$1:$AT$1,),)</f>
        <v>0</v>
      </c>
      <c r="E46" s="27">
        <f>VLOOKUP(B46,'Data qoq'!$A:$AT,MATCH($E$1,'Data qoq'!$A$1:$AT$1,),)</f>
        <v>-1.7661009999999999</v>
      </c>
      <c r="F46" s="27">
        <f>VLOOKUP(B46,'Data qoq'!$A:$AT,MATCH($F$1,'Data qoq'!$A$1:$AT$1,),)</f>
        <v>-2.500176637</v>
      </c>
      <c r="G46" s="27">
        <f>VLOOKUP(B46,'Data qoq'!$A:$AT,MATCH($G$1,'Data qoq'!$A$1:$AT$1,),)</f>
        <v>-1.593756296</v>
      </c>
      <c r="H46" s="27">
        <f>VLOOKUP(B46,'Data qoq'!$A:$AT,MATCH($H$1,'Data qoq'!$A$1:$AT$1,),)</f>
        <v>-1.4599127810000001</v>
      </c>
      <c r="I46" s="27">
        <f>VLOOKUP(B46,'Data qoq'!$A:$AT,MATCH($I$1,'Data qoq'!$A$1:$AT$1,),)</f>
        <v>-2.0605143209999999</v>
      </c>
      <c r="J46" s="27">
        <f>VLOOKUP(B46,'Data qoq'!$A:$AT,MATCH($J$1,'Data qoq'!$A$1:$AT$1,),)</f>
        <v>-2.4993967389999998</v>
      </c>
      <c r="K46" s="27">
        <f>VLOOKUP(B46,'Data qoq'!$A:$AT,MATCH($K$1,'Data qoq'!$A$1:$AT$1,),)</f>
        <v>-1.614017593</v>
      </c>
      <c r="L46" s="27">
        <f>VLOOKUP(B46,'Data qoq'!$A:$AT,MATCH($L$1,'Data qoq'!$A$1:$AT$1,),)</f>
        <v>-3.5617156310000002</v>
      </c>
      <c r="M46" s="27">
        <f>VLOOKUP(B46,'Data qoq'!$A:$AT,MATCH($M$1,'Data qoq'!$A$1:$AT$1,),)</f>
        <v>-1.6040196680000001</v>
      </c>
      <c r="N46" s="27">
        <f>VLOOKUP(B46,'Data qoq'!$A:$AT,MATCH($N$1,'Data qoq'!$A$1:$AT$1,),)</f>
        <v>-3.252211484</v>
      </c>
      <c r="O46" s="27">
        <f>VLOOKUP(B46,'Data qoq'!$A:$AT,MATCH($C$1,'Data qoq'!$J$1:$AT$1,),)</f>
        <v>-0.65994078300000003</v>
      </c>
      <c r="P46" s="27">
        <f>VLOOKUP(B46,'Data qoq'!$A:$AT,MATCH($P$1,'Data qoq'!$A$1:$AT$1,),)</f>
        <v>-1.1595184890000001</v>
      </c>
      <c r="Q46" s="27">
        <f>VLOOKUP(B46,'Data qoq'!$A:$AT,MATCH($Q$1,'Data qoq'!$A$1:$AT$1,),)</f>
        <v>-0.44883398699999999</v>
      </c>
      <c r="R46" s="27">
        <f>VLOOKUP(B46,'Data qoq'!$A:$AT,MATCH($E$1,'Data qoq'!$A$1:$AT$1,),)</f>
        <v>-1.7661009999999999</v>
      </c>
      <c r="S46" s="27">
        <f>VLOOKUP(B46,'Data qoq'!$A:$AT,MATCH($S$1,'Data qoq'!$A$1:$AT$1,),)</f>
        <v>-3.2838893470000001</v>
      </c>
      <c r="T46" s="27">
        <f>VLOOKUP(B46,'Data qoq'!$A:$AT,MATCH($T$1,'Data qoq'!$A$1:$AT$1,),)</f>
        <v>-3.7761032650000002</v>
      </c>
      <c r="U46" s="27">
        <f>VLOOKUP(B46,'Data qoq'!$A:$AT,MATCH($U$1,'Data qoq'!$A$1:$AT$1,),)</f>
        <v>-1.397015176</v>
      </c>
      <c r="V46" s="27">
        <f>VLOOKUP(B46,'Data qoq'!$A:$AT,MATCH($V$1,'Data qoq'!$A$1:$AT$1,),)</f>
        <v>-4.3288415499999999</v>
      </c>
      <c r="W46" s="27">
        <f>VLOOKUP(B46,'Data qoq'!$A:$AT,MATCH($W$1,'Data qoq'!$A$1:$AT$1,),)</f>
        <v>-2.5400315510000002</v>
      </c>
      <c r="X46" s="27">
        <f>VLOOKUP(B46,'Data qoq'!$A:$AT,MATCH($X$1,'Data qoq'!$A$1:$AT$1,),)</f>
        <v>-1.8149627370000001</v>
      </c>
      <c r="Y46" s="27">
        <f>VLOOKUP(B46,'Data qoq'!$A:$AT,MATCH($Y$1,'Data qoq'!$A$1:$AT$1,),)</f>
        <v>0.4048969</v>
      </c>
      <c r="Z46" s="27">
        <f>VLOOKUP(B46,'Data qoq'!$A:$AU,MATCH($Z$1,'Data qoq'!$A$1:$AU$1,),)</f>
        <v>-4.7219664970000004</v>
      </c>
      <c r="AA46" s="27">
        <f>VLOOKUP(B46,'Data qoq'!$A:$AU,MATCH($AA$1,'Data qoq'!$A$1:$AU$1,),)</f>
        <v>-0.65844901700000003</v>
      </c>
      <c r="AC46" s="28" t="str">
        <f t="shared" si="7"/>
        <v>2008-Q4</v>
      </c>
      <c r="AD46" s="29">
        <f t="shared" si="9"/>
        <v>-0.58934085199999986</v>
      </c>
      <c r="AE46" s="29">
        <f t="shared" si="8"/>
        <v>-0.58934085199999986</v>
      </c>
    </row>
    <row r="47" spans="2:31" hidden="1" x14ac:dyDescent="0.2">
      <c r="B47" s="26" t="s">
        <v>296</v>
      </c>
      <c r="C47" s="27">
        <f>VLOOKUP(B47,'Data qoq'!$A:$AT,MATCH($C$1,'Data qoq'!$A$1:$AT$1,),)</f>
        <v>-1.1657225309999999</v>
      </c>
      <c r="D47" s="27">
        <f>VLOOKUP(B47,'Data qoq'!$A:$AT,MATCH($D$1,'Data qoq'!$A$1:$AT$1,),)</f>
        <v>0</v>
      </c>
      <c r="E47" s="27">
        <f>VLOOKUP(B47,'Data qoq'!$A:$AT,MATCH($E$1,'Data qoq'!$A$1:$AT$1,),)</f>
        <v>-3.1192549999999999</v>
      </c>
      <c r="F47" s="27">
        <f>VLOOKUP(B47,'Data qoq'!$A:$AT,MATCH($F$1,'Data qoq'!$A$1:$AT$1,),)</f>
        <v>-4.813080781</v>
      </c>
      <c r="G47" s="27">
        <f>VLOOKUP(B47,'Data qoq'!$A:$AT,MATCH($G$1,'Data qoq'!$A$1:$AT$1,),)</f>
        <v>-4.6822270550000002</v>
      </c>
      <c r="H47" s="27">
        <f>VLOOKUP(B47,'Data qoq'!$A:$AT,MATCH($H$1,'Data qoq'!$A$1:$AT$1,),)</f>
        <v>-1.637555222</v>
      </c>
      <c r="I47" s="27">
        <f>VLOOKUP(B47,'Data qoq'!$A:$AT,MATCH($I$1,'Data qoq'!$A$1:$AT$1,),)</f>
        <v>-1.6888225130000001</v>
      </c>
      <c r="J47" s="27">
        <f>VLOOKUP(B47,'Data qoq'!$A:$AT,MATCH($J$1,'Data qoq'!$A$1:$AT$1,),)</f>
        <v>-2.775615771</v>
      </c>
      <c r="K47" s="27">
        <f>VLOOKUP(B47,'Data qoq'!$A:$AT,MATCH($K$1,'Data qoq'!$A$1:$AT$1,),)</f>
        <v>-2.6055354049999999</v>
      </c>
      <c r="L47" s="27">
        <f>VLOOKUP(B47,'Data qoq'!$A:$AT,MATCH($L$1,'Data qoq'!$A$1:$AT$1,),)</f>
        <v>-1.448668176</v>
      </c>
      <c r="M47" s="27">
        <f>VLOOKUP(B47,'Data qoq'!$A:$AT,MATCH($M$1,'Data qoq'!$A$1:$AT$1,),)</f>
        <v>-5.121011706</v>
      </c>
      <c r="N47" s="27">
        <f>VLOOKUP(B47,'Data qoq'!$A:$AT,MATCH($N$1,'Data qoq'!$A$1:$AT$1,),)</f>
        <v>-3.5269817579999998</v>
      </c>
      <c r="O47" s="27">
        <f>VLOOKUP(B47,'Data qoq'!$A:$AT,MATCH($C$1,'Data qoq'!$J$1:$AT$1,),)</f>
        <v>-3.5936407930000001</v>
      </c>
      <c r="P47" s="27">
        <f>VLOOKUP(B47,'Data qoq'!$A:$AT,MATCH($P$1,'Data qoq'!$A$1:$AT$1,),)</f>
        <v>-2.2596861829999999</v>
      </c>
      <c r="Q47" s="27">
        <f>VLOOKUP(B47,'Data qoq'!$A:$AT,MATCH($Q$1,'Data qoq'!$A$1:$AT$1,),)</f>
        <v>1.0120966339999999</v>
      </c>
      <c r="R47" s="27">
        <f>VLOOKUP(B47,'Data qoq'!$A:$AT,MATCH($E$1,'Data qoq'!$A$1:$AT$1,),)</f>
        <v>-3.1192549999999999</v>
      </c>
      <c r="S47" s="27">
        <f>VLOOKUP(B47,'Data qoq'!$A:$AT,MATCH($S$1,'Data qoq'!$A$1:$AT$1,),)</f>
        <v>8.9986722000000005E-2</v>
      </c>
      <c r="T47" s="27">
        <f>VLOOKUP(B47,'Data qoq'!$A:$AT,MATCH($T$1,'Data qoq'!$A$1:$AT$1,),)</f>
        <v>-1.3657896249999999</v>
      </c>
      <c r="U47" s="27">
        <f>VLOOKUP(B47,'Data qoq'!$A:$AT,MATCH($U$1,'Data qoq'!$A$1:$AT$1,),)</f>
        <v>-4.7477806170000001</v>
      </c>
      <c r="V47" s="27">
        <f>VLOOKUP(B47,'Data qoq'!$A:$AT,MATCH($V$1,'Data qoq'!$A$1:$AT$1,),)</f>
        <v>0.49996375799999998</v>
      </c>
      <c r="W47" s="27">
        <f>VLOOKUP(B47,'Data qoq'!$A:$AT,MATCH($W$1,'Data qoq'!$A$1:$AT$1,),)</f>
        <v>-5.6640195660000003</v>
      </c>
      <c r="X47" s="27">
        <f>VLOOKUP(B47,'Data qoq'!$A:$AT,MATCH($X$1,'Data qoq'!$A$1:$AT$1,),)</f>
        <v>-3.3816703659999998</v>
      </c>
      <c r="Y47" s="27">
        <f>VLOOKUP(B47,'Data qoq'!$A:$AT,MATCH($Y$1,'Data qoq'!$A$1:$AT$1,),)</f>
        <v>1.5786300680000001</v>
      </c>
      <c r="Z47" s="27">
        <f>VLOOKUP(B47,'Data qoq'!$A:$AU,MATCH($Z$1,'Data qoq'!$A$1:$AU$1,),)</f>
        <v>-3.652029894</v>
      </c>
      <c r="AA47" s="27">
        <f>VLOOKUP(B47,'Data qoq'!$A:$AU,MATCH($AA$1,'Data qoq'!$A$1:$AU$1,),)</f>
        <v>-0.99967020900000003</v>
      </c>
      <c r="AC47" s="28" t="str">
        <f t="shared" si="7"/>
        <v>2009-Q1</v>
      </c>
      <c r="AD47" s="29">
        <f t="shared" si="9"/>
        <v>3.5165045240000001</v>
      </c>
      <c r="AE47" s="29">
        <f t="shared" si="8"/>
        <v>3.5165045240000001</v>
      </c>
    </row>
    <row r="48" spans="2:31" hidden="1" x14ac:dyDescent="0.2">
      <c r="B48" s="26" t="s">
        <v>297</v>
      </c>
      <c r="C48" s="27">
        <f>VLOOKUP(B48,'Data qoq'!$A:$AT,MATCH($C$1,'Data qoq'!$A$1:$AT$1,),)</f>
        <v>-0.16923813900000001</v>
      </c>
      <c r="D48" s="27">
        <f>VLOOKUP(B48,'Data qoq'!$A:$AT,MATCH($D$1,'Data qoq'!$A$1:$AT$1,),)</f>
        <v>0</v>
      </c>
      <c r="E48" s="27">
        <f>VLOOKUP(B48,'Data qoq'!$A:$AT,MATCH($E$1,'Data qoq'!$A$1:$AT$1,),)</f>
        <v>-3.6669E-2</v>
      </c>
      <c r="F48" s="27">
        <f>VLOOKUP(B48,'Data qoq'!$A:$AT,MATCH($F$1,'Data qoq'!$A$1:$AT$1,),)</f>
        <v>1.9829471240000001</v>
      </c>
      <c r="G48" s="27">
        <f>VLOOKUP(B48,'Data qoq'!$A:$AT,MATCH($G$1,'Data qoq'!$A$1:$AT$1,),)</f>
        <v>0.159652865</v>
      </c>
      <c r="H48" s="27">
        <f>VLOOKUP(B48,'Data qoq'!$A:$AT,MATCH($H$1,'Data qoq'!$A$1:$AT$1,),)</f>
        <v>-0.102048687</v>
      </c>
      <c r="I48" s="27">
        <f>VLOOKUP(B48,'Data qoq'!$A:$AT,MATCH($I$1,'Data qoq'!$A$1:$AT$1,),)</f>
        <v>-0.18988906899999999</v>
      </c>
      <c r="J48" s="27">
        <f>VLOOKUP(B48,'Data qoq'!$A:$AT,MATCH($J$1,'Data qoq'!$A$1:$AT$1,),)</f>
        <v>-0.30760812700000001</v>
      </c>
      <c r="K48" s="27">
        <f>VLOOKUP(B48,'Data qoq'!$A:$AT,MATCH($K$1,'Data qoq'!$A$1:$AT$1,),)</f>
        <v>-1.0778265E-2</v>
      </c>
      <c r="L48" s="27">
        <f>VLOOKUP(B48,'Data qoq'!$A:$AT,MATCH($L$1,'Data qoq'!$A$1:$AT$1,),)</f>
        <v>4.6622523999999999E-2</v>
      </c>
      <c r="M48" s="27">
        <f>VLOOKUP(B48,'Data qoq'!$A:$AT,MATCH($M$1,'Data qoq'!$A$1:$AT$1,),)</f>
        <v>-1.4733920309999999</v>
      </c>
      <c r="N48" s="27">
        <f>VLOOKUP(B48,'Data qoq'!$A:$AT,MATCH($N$1,'Data qoq'!$A$1:$AT$1,),)</f>
        <v>-1.4588607810000001</v>
      </c>
      <c r="O48" s="27">
        <f>VLOOKUP(B48,'Data qoq'!$A:$AT,MATCH($C$1,'Data qoq'!$J$1:$AT$1,),)</f>
        <v>2.5085789999999999E-3</v>
      </c>
      <c r="P48" s="27">
        <f>VLOOKUP(B48,'Data qoq'!$A:$AT,MATCH($P$1,'Data qoq'!$A$1:$AT$1,),)</f>
        <v>-1.0912585960000001</v>
      </c>
      <c r="Q48" s="27">
        <f>VLOOKUP(B48,'Data qoq'!$A:$AT,MATCH($Q$1,'Data qoq'!$A$1:$AT$1,),)</f>
        <v>0.56934110100000002</v>
      </c>
      <c r="R48" s="27">
        <f>VLOOKUP(B48,'Data qoq'!$A:$AT,MATCH($E$1,'Data qoq'!$A$1:$AT$1,),)</f>
        <v>-3.6669E-2</v>
      </c>
      <c r="S48" s="27">
        <f>VLOOKUP(B48,'Data qoq'!$A:$AT,MATCH($S$1,'Data qoq'!$A$1:$AT$1,),)</f>
        <v>1.332777638</v>
      </c>
      <c r="T48" s="27">
        <f>VLOOKUP(B48,'Data qoq'!$A:$AT,MATCH($T$1,'Data qoq'!$A$1:$AT$1,),)</f>
        <v>1.7811715050000001</v>
      </c>
      <c r="U48" s="27">
        <f>VLOOKUP(B48,'Data qoq'!$A:$AT,MATCH($U$1,'Data qoq'!$A$1:$AT$1,),)</f>
        <v>2.7768419029999998</v>
      </c>
      <c r="V48" s="27">
        <f>VLOOKUP(B48,'Data qoq'!$A:$AT,MATCH($V$1,'Data qoq'!$A$1:$AT$1,),)</f>
        <v>-0.73748988699999996</v>
      </c>
      <c r="W48" s="27">
        <f>VLOOKUP(B48,'Data qoq'!$A:$AT,MATCH($W$1,'Data qoq'!$A$1:$AT$1,),)</f>
        <v>4.0069981370000001</v>
      </c>
      <c r="X48" s="27">
        <f>VLOOKUP(B48,'Data qoq'!$A:$AT,MATCH($X$1,'Data qoq'!$A$1:$AT$1,),)</f>
        <v>-0.38789759499999998</v>
      </c>
      <c r="Y48" s="27">
        <f>VLOOKUP(B48,'Data qoq'!$A:$AT,MATCH($Y$1,'Data qoq'!$A$1:$AT$1,),)</f>
        <v>4.6176223000000002E-2</v>
      </c>
      <c r="Z48" s="27">
        <f>VLOOKUP(B48,'Data qoq'!$A:$AU,MATCH($Z$1,'Data qoq'!$A$1:$AU$1,),)</f>
        <v>-2.1627157829999999</v>
      </c>
      <c r="AA48" s="27">
        <f>VLOOKUP(B48,'Data qoq'!$A:$AU,MATCH($AA$1,'Data qoq'!$A$1:$AU$1,),)</f>
        <v>-4.7966138999999998E-2</v>
      </c>
      <c r="AC48" s="28" t="str">
        <f t="shared" si="7"/>
        <v>2009-Q2</v>
      </c>
      <c r="AD48" s="29">
        <f t="shared" si="9"/>
        <v>-0.32889100400000004</v>
      </c>
      <c r="AE48" s="29">
        <f t="shared" si="8"/>
        <v>-0.32889100400000004</v>
      </c>
    </row>
    <row r="49" spans="2:31" hidden="1" x14ac:dyDescent="0.2">
      <c r="B49" s="26" t="s">
        <v>298</v>
      </c>
      <c r="C49" s="27">
        <f>VLOOKUP(B49,'Data qoq'!$A:$AT,MATCH($C$1,'Data qoq'!$A$1:$AT$1,),)</f>
        <v>0.36192999100000001</v>
      </c>
      <c r="D49" s="27">
        <f>VLOOKUP(B49,'Data qoq'!$A:$AT,MATCH($D$1,'Data qoq'!$A$1:$AT$1,),)</f>
        <v>0</v>
      </c>
      <c r="E49" s="27">
        <f>VLOOKUP(B49,'Data qoq'!$A:$AT,MATCH($E$1,'Data qoq'!$A$1:$AT$1,),)</f>
        <v>0.37625999999999998</v>
      </c>
      <c r="F49" s="27">
        <f>VLOOKUP(B49,'Data qoq'!$A:$AT,MATCH($F$1,'Data qoq'!$A$1:$AT$1,),)</f>
        <v>-3.3623228999999998E-2</v>
      </c>
      <c r="G49" s="27">
        <f>VLOOKUP(B49,'Data qoq'!$A:$AT,MATCH($G$1,'Data qoq'!$A$1:$AT$1,),)</f>
        <v>0.55789132299999999</v>
      </c>
      <c r="H49" s="27">
        <f>VLOOKUP(B49,'Data qoq'!$A:$AT,MATCH($H$1,'Data qoq'!$A$1:$AT$1,),)</f>
        <v>0.16490967600000001</v>
      </c>
      <c r="I49" s="27">
        <f>VLOOKUP(B49,'Data qoq'!$A:$AT,MATCH($I$1,'Data qoq'!$A$1:$AT$1,),)</f>
        <v>0.12366271700000001</v>
      </c>
      <c r="J49" s="27">
        <f>VLOOKUP(B49,'Data qoq'!$A:$AT,MATCH($J$1,'Data qoq'!$A$1:$AT$1,),)</f>
        <v>0.48514844400000001</v>
      </c>
      <c r="K49" s="27">
        <f>VLOOKUP(B49,'Data qoq'!$A:$AT,MATCH($K$1,'Data qoq'!$A$1:$AT$1,),)</f>
        <v>0.21112808599999999</v>
      </c>
      <c r="L49" s="27">
        <f>VLOOKUP(B49,'Data qoq'!$A:$AT,MATCH($L$1,'Data qoq'!$A$1:$AT$1,),)</f>
        <v>-4.1289309000000003E-2</v>
      </c>
      <c r="M49" s="27">
        <f>VLOOKUP(B49,'Data qoq'!$A:$AT,MATCH($M$1,'Data qoq'!$A$1:$AT$1,),)</f>
        <v>3.2392361360000002</v>
      </c>
      <c r="N49" s="27">
        <f>VLOOKUP(B49,'Data qoq'!$A:$AT,MATCH($N$1,'Data qoq'!$A$1:$AT$1,),)</f>
        <v>0.41042516099999998</v>
      </c>
      <c r="O49" s="27">
        <f>VLOOKUP(B49,'Data qoq'!$A:$AT,MATCH($C$1,'Data qoq'!$J$1:$AT$1,),)</f>
        <v>0.400707908</v>
      </c>
      <c r="P49" s="27">
        <f>VLOOKUP(B49,'Data qoq'!$A:$AT,MATCH($P$1,'Data qoq'!$A$1:$AT$1,),)</f>
        <v>0.44993852000000001</v>
      </c>
      <c r="Q49" s="27">
        <f>VLOOKUP(B49,'Data qoq'!$A:$AT,MATCH($Q$1,'Data qoq'!$A$1:$AT$1,),)</f>
        <v>0.29106389199999999</v>
      </c>
      <c r="R49" s="27">
        <f>VLOOKUP(B49,'Data qoq'!$A:$AT,MATCH($E$1,'Data qoq'!$A$1:$AT$1,),)</f>
        <v>0.37625999999999998</v>
      </c>
      <c r="S49" s="27">
        <f>VLOOKUP(B49,'Data qoq'!$A:$AT,MATCH($S$1,'Data qoq'!$A$1:$AT$1,),)</f>
        <v>2.9926747850000002</v>
      </c>
      <c r="T49" s="27">
        <f>VLOOKUP(B49,'Data qoq'!$A:$AT,MATCH($T$1,'Data qoq'!$A$1:$AT$1,),)</f>
        <v>2.3453161260000002</v>
      </c>
      <c r="U49" s="27">
        <f>VLOOKUP(B49,'Data qoq'!$A:$AT,MATCH($U$1,'Data qoq'!$A$1:$AT$1,),)</f>
        <v>-0.72543689099999997</v>
      </c>
      <c r="V49" s="27">
        <f>VLOOKUP(B49,'Data qoq'!$A:$AT,MATCH($V$1,'Data qoq'!$A$1:$AT$1,),)</f>
        <v>-1.2148104289999999</v>
      </c>
      <c r="W49" s="27">
        <f>VLOOKUP(B49,'Data qoq'!$A:$AT,MATCH($W$1,'Data qoq'!$A$1:$AT$1,),)</f>
        <v>2.3957610740000002</v>
      </c>
      <c r="X49" s="27">
        <f>VLOOKUP(B49,'Data qoq'!$A:$AT,MATCH($X$1,'Data qoq'!$A$1:$AT$1,),)</f>
        <v>0.44110371599999998</v>
      </c>
      <c r="Y49" s="27">
        <f>VLOOKUP(B49,'Data qoq'!$A:$AT,MATCH($Y$1,'Data qoq'!$A$1:$AT$1,),)</f>
        <v>0.57841743599999995</v>
      </c>
      <c r="Z49" s="27">
        <f>VLOOKUP(B49,'Data qoq'!$A:$AU,MATCH($Z$1,'Data qoq'!$A$1:$AU$1,),)</f>
        <v>3.8680236560000001</v>
      </c>
      <c r="AA49" s="27">
        <f>VLOOKUP(B49,'Data qoq'!$A:$AU,MATCH($AA$1,'Data qoq'!$A$1:$AU$1,),)</f>
        <v>0.49781108600000001</v>
      </c>
      <c r="AC49" s="28" t="str">
        <f t="shared" si="7"/>
        <v>2009-Q3</v>
      </c>
      <c r="AD49" s="29">
        <f t="shared" si="9"/>
        <v>-0.19596133199999999</v>
      </c>
      <c r="AE49" s="29">
        <f t="shared" si="8"/>
        <v>-0.19596133199999999</v>
      </c>
    </row>
    <row r="50" spans="2:31" hidden="1" x14ac:dyDescent="0.2">
      <c r="B50" s="26" t="s">
        <v>299</v>
      </c>
      <c r="C50" s="27">
        <f>VLOOKUP(B50,'Data qoq'!$A:$AT,MATCH($C$1,'Data qoq'!$A$1:$AT$1,),)</f>
        <v>1.0679619499999999</v>
      </c>
      <c r="D50" s="27">
        <f>VLOOKUP(B50,'Data qoq'!$A:$AT,MATCH($D$1,'Data qoq'!$A$1:$AT$1,),)</f>
        <v>0</v>
      </c>
      <c r="E50" s="27">
        <f>VLOOKUP(B50,'Data qoq'!$A:$AT,MATCH($E$1,'Data qoq'!$A$1:$AT$1,),)</f>
        <v>0.45238400000000001</v>
      </c>
      <c r="F50" s="27">
        <f>VLOOKUP(B50,'Data qoq'!$A:$AT,MATCH($F$1,'Data qoq'!$A$1:$AT$1,),)</f>
        <v>1.2091748840000001</v>
      </c>
      <c r="G50" s="27">
        <f>VLOOKUP(B50,'Data qoq'!$A:$AT,MATCH($G$1,'Data qoq'!$A$1:$AT$1,),)</f>
        <v>0.73596276800000004</v>
      </c>
      <c r="H50" s="27">
        <f>VLOOKUP(B50,'Data qoq'!$A:$AT,MATCH($H$1,'Data qoq'!$A$1:$AT$1,),)</f>
        <v>0.69175702299999997</v>
      </c>
      <c r="I50" s="27">
        <f>VLOOKUP(B50,'Data qoq'!$A:$AT,MATCH($I$1,'Data qoq'!$A$1:$AT$1,),)</f>
        <v>0.34246953699999999</v>
      </c>
      <c r="J50" s="27">
        <f>VLOOKUP(B50,'Data qoq'!$A:$AT,MATCH($J$1,'Data qoq'!$A$1:$AT$1,),)</f>
        <v>0.292177258</v>
      </c>
      <c r="K50" s="27">
        <f>VLOOKUP(B50,'Data qoq'!$A:$AT,MATCH($K$1,'Data qoq'!$A$1:$AT$1,),)</f>
        <v>-2.0400669E-2</v>
      </c>
      <c r="L50" s="27">
        <f>VLOOKUP(B50,'Data qoq'!$A:$AT,MATCH($L$1,'Data qoq'!$A$1:$AT$1,),)</f>
        <v>0.46479685199999998</v>
      </c>
      <c r="M50" s="27">
        <f>VLOOKUP(B50,'Data qoq'!$A:$AT,MATCH($M$1,'Data qoq'!$A$1:$AT$1,),)</f>
        <v>1.7158085670000001</v>
      </c>
      <c r="N50" s="27">
        <f>VLOOKUP(B50,'Data qoq'!$A:$AT,MATCH($N$1,'Data qoq'!$A$1:$AT$1,),)</f>
        <v>1.0817084560000001</v>
      </c>
      <c r="O50" s="27">
        <f>VLOOKUP(B50,'Data qoq'!$A:$AT,MATCH($C$1,'Data qoq'!$J$1:$AT$1,),)</f>
        <v>0.60232846100000004</v>
      </c>
      <c r="P50" s="27">
        <f>VLOOKUP(B50,'Data qoq'!$A:$AT,MATCH($P$1,'Data qoq'!$A$1:$AT$1,),)</f>
        <v>1.1661570240000001</v>
      </c>
      <c r="Q50" s="27">
        <f>VLOOKUP(B50,'Data qoq'!$A:$AT,MATCH($Q$1,'Data qoq'!$A$1:$AT$1,),)</f>
        <v>0.74635263299999999</v>
      </c>
      <c r="R50" s="27">
        <f>VLOOKUP(B50,'Data qoq'!$A:$AT,MATCH($E$1,'Data qoq'!$A$1:$AT$1,),)</f>
        <v>0.45238400000000001</v>
      </c>
      <c r="S50" s="27">
        <f>VLOOKUP(B50,'Data qoq'!$A:$AT,MATCH($S$1,'Data qoq'!$A$1:$AT$1,),)</f>
        <v>0.74686754499999997</v>
      </c>
      <c r="T50" s="27">
        <f>VLOOKUP(B50,'Data qoq'!$A:$AT,MATCH($T$1,'Data qoq'!$A$1:$AT$1,),)</f>
        <v>2.5385634659999998</v>
      </c>
      <c r="U50" s="27">
        <f>VLOOKUP(B50,'Data qoq'!$A:$AT,MATCH($U$1,'Data qoq'!$A$1:$AT$1,),)</f>
        <v>0.128217041</v>
      </c>
      <c r="V50" s="27">
        <f>VLOOKUP(B50,'Data qoq'!$A:$AT,MATCH($V$1,'Data qoq'!$A$1:$AT$1,),)</f>
        <v>-1.18231398</v>
      </c>
      <c r="W50" s="27">
        <f>VLOOKUP(B50,'Data qoq'!$A:$AT,MATCH($W$1,'Data qoq'!$A$1:$AT$1,),)</f>
        <v>1.9523571850000001</v>
      </c>
      <c r="X50" s="27">
        <f>VLOOKUP(B50,'Data qoq'!$A:$AT,MATCH($X$1,'Data qoq'!$A$1:$AT$1,),)</f>
        <v>9.6491573999999997E-2</v>
      </c>
      <c r="Y50" s="27">
        <f>VLOOKUP(B50,'Data qoq'!$A:$AT,MATCH($Y$1,'Data qoq'!$A$1:$AT$1,),)</f>
        <v>2.3966944579999998</v>
      </c>
      <c r="Z50" s="27">
        <f>VLOOKUP(B50,'Data qoq'!$A:$AU,MATCH($Z$1,'Data qoq'!$A$1:$AU$1,),)</f>
        <v>1.88827776</v>
      </c>
      <c r="AA50" s="27">
        <f>VLOOKUP(B50,'Data qoq'!$A:$AU,MATCH($AA$1,'Data qoq'!$A$1:$AU$1,),)</f>
        <v>1.2448338329999999</v>
      </c>
      <c r="AC50" s="28" t="str">
        <f t="shared" si="7"/>
        <v>2009-Q4</v>
      </c>
      <c r="AD50" s="29">
        <f t="shared" si="9"/>
        <v>0.33199918199999989</v>
      </c>
      <c r="AE50" s="29">
        <f t="shared" si="8"/>
        <v>0.33199918199999989</v>
      </c>
    </row>
    <row r="51" spans="2:31" hidden="1" x14ac:dyDescent="0.2">
      <c r="B51" s="26" t="s">
        <v>300</v>
      </c>
      <c r="C51" s="27">
        <f>VLOOKUP(B51,'Data qoq'!$A:$AT,MATCH($C$1,'Data qoq'!$A$1:$AT$1,),)</f>
        <v>0.50005348100000002</v>
      </c>
      <c r="D51" s="27">
        <f>VLOOKUP(B51,'Data qoq'!$A:$AT,MATCH($D$1,'Data qoq'!$A$1:$AT$1,),)</f>
        <v>0</v>
      </c>
      <c r="E51" s="27">
        <f>VLOOKUP(B51,'Data qoq'!$A:$AT,MATCH($E$1,'Data qoq'!$A$1:$AT$1,),)</f>
        <v>0.41639500000000002</v>
      </c>
      <c r="F51" s="27">
        <f>VLOOKUP(B51,'Data qoq'!$A:$AT,MATCH($F$1,'Data qoq'!$A$1:$AT$1,),)</f>
        <v>1.0489308740000001</v>
      </c>
      <c r="G51" s="27">
        <f>VLOOKUP(B51,'Data qoq'!$A:$AT,MATCH($G$1,'Data qoq'!$A$1:$AT$1,),)</f>
        <v>0.80651542499999995</v>
      </c>
      <c r="H51" s="27">
        <f>VLOOKUP(B51,'Data qoq'!$A:$AT,MATCH($H$1,'Data qoq'!$A$1:$AT$1,),)</f>
        <v>0.36686046700000002</v>
      </c>
      <c r="I51" s="27">
        <f>VLOOKUP(B51,'Data qoq'!$A:$AT,MATCH($I$1,'Data qoq'!$A$1:$AT$1,),)</f>
        <v>0.64142509599999997</v>
      </c>
      <c r="J51" s="27">
        <f>VLOOKUP(B51,'Data qoq'!$A:$AT,MATCH($J$1,'Data qoq'!$A$1:$AT$1,),)</f>
        <v>0.35149509699999998</v>
      </c>
      <c r="K51" s="27">
        <f>VLOOKUP(B51,'Data qoq'!$A:$AT,MATCH($K$1,'Data qoq'!$A$1:$AT$1,),)</f>
        <v>-2.8195768E-2</v>
      </c>
      <c r="L51" s="27">
        <f>VLOOKUP(B51,'Data qoq'!$A:$AT,MATCH($L$1,'Data qoq'!$A$1:$AT$1,),)</f>
        <v>2.6720928169999998</v>
      </c>
      <c r="M51" s="27">
        <f>VLOOKUP(B51,'Data qoq'!$A:$AT,MATCH($M$1,'Data qoq'!$A$1:$AT$1,),)</f>
        <v>1.045357826</v>
      </c>
      <c r="N51" s="27">
        <f>VLOOKUP(B51,'Data qoq'!$A:$AT,MATCH($N$1,'Data qoq'!$A$1:$AT$1,),)</f>
        <v>2.138462021</v>
      </c>
      <c r="O51" s="27">
        <f>VLOOKUP(B51,'Data qoq'!$A:$AT,MATCH($C$1,'Data qoq'!$J$1:$AT$1,),)</f>
        <v>-0.18847002199999999</v>
      </c>
      <c r="P51" s="27">
        <f>VLOOKUP(B51,'Data qoq'!$A:$AT,MATCH($P$1,'Data qoq'!$A$1:$AT$1,),)</f>
        <v>1.206341487</v>
      </c>
      <c r="Q51" s="27">
        <f>VLOOKUP(B51,'Data qoq'!$A:$AT,MATCH($Q$1,'Data qoq'!$A$1:$AT$1,),)</f>
        <v>0.50054938299999996</v>
      </c>
      <c r="R51" s="27">
        <f>VLOOKUP(B51,'Data qoq'!$A:$AT,MATCH($E$1,'Data qoq'!$A$1:$AT$1,),)</f>
        <v>0.41639500000000002</v>
      </c>
      <c r="S51" s="27">
        <f>VLOOKUP(B51,'Data qoq'!$A:$AT,MATCH($S$1,'Data qoq'!$A$1:$AT$1,),)</f>
        <v>1.9590767389999999</v>
      </c>
      <c r="T51" s="27">
        <f>VLOOKUP(B51,'Data qoq'!$A:$AT,MATCH($T$1,'Data qoq'!$A$1:$AT$1,),)</f>
        <v>2.2858084710000002</v>
      </c>
      <c r="U51" s="27">
        <f>VLOOKUP(B51,'Data qoq'!$A:$AT,MATCH($U$1,'Data qoq'!$A$1:$AT$1,),)</f>
        <v>-5.7774323680000004</v>
      </c>
      <c r="V51" s="27">
        <f>VLOOKUP(B51,'Data qoq'!$A:$AT,MATCH($V$1,'Data qoq'!$A$1:$AT$1,),)</f>
        <v>2.9171060849999999</v>
      </c>
      <c r="W51" s="27">
        <f>VLOOKUP(B51,'Data qoq'!$A:$AT,MATCH($W$1,'Data qoq'!$A$1:$AT$1,),)</f>
        <v>-0.29499498200000002</v>
      </c>
      <c r="X51" s="27">
        <f>VLOOKUP(B51,'Data qoq'!$A:$AT,MATCH($X$1,'Data qoq'!$A$1:$AT$1,),)</f>
        <v>0.69997078199999996</v>
      </c>
      <c r="Y51" s="27">
        <f>VLOOKUP(B51,'Data qoq'!$A:$AT,MATCH($Y$1,'Data qoq'!$A$1:$AT$1,),)</f>
        <v>-0.42273933899999999</v>
      </c>
      <c r="Z51" s="27">
        <f>VLOOKUP(B51,'Data qoq'!$A:$AU,MATCH($Z$1,'Data qoq'!$A$1:$AU$1,),)</f>
        <v>3.0309790990000001</v>
      </c>
      <c r="AA51" s="27">
        <f>VLOOKUP(B51,'Data qoq'!$A:$AU,MATCH($AA$1,'Data qoq'!$A$1:$AU$1,),)</f>
        <v>0.31692231300000001</v>
      </c>
      <c r="AC51" s="28" t="str">
        <f t="shared" si="7"/>
        <v>2010-Q1</v>
      </c>
      <c r="AD51" s="29">
        <f t="shared" si="9"/>
        <v>-0.30646194399999993</v>
      </c>
      <c r="AE51" s="29">
        <f t="shared" si="8"/>
        <v>-0.30646194399999993</v>
      </c>
    </row>
    <row r="52" spans="2:31" hidden="1" x14ac:dyDescent="0.2">
      <c r="B52" s="26" t="s">
        <v>301</v>
      </c>
      <c r="C52" s="27">
        <f>VLOOKUP(B52,'Data qoq'!$A:$AT,MATCH($C$1,'Data qoq'!$A$1:$AT$1,),)</f>
        <v>0.96770463900000003</v>
      </c>
      <c r="D52" s="27">
        <f>VLOOKUP(B52,'Data qoq'!$A:$AT,MATCH($D$1,'Data qoq'!$A$1:$AT$1,),)</f>
        <v>0</v>
      </c>
      <c r="E52" s="27">
        <f>VLOOKUP(B52,'Data qoq'!$A:$AT,MATCH($E$1,'Data qoq'!$A$1:$AT$1,),)</f>
        <v>0.96942600000000001</v>
      </c>
      <c r="F52" s="27">
        <f>VLOOKUP(B52,'Data qoq'!$A:$AT,MATCH($F$1,'Data qoq'!$A$1:$AT$1,),)</f>
        <v>1.217462687</v>
      </c>
      <c r="G52" s="27">
        <f>VLOOKUP(B52,'Data qoq'!$A:$AT,MATCH($G$1,'Data qoq'!$A$1:$AT$1,),)</f>
        <v>2.2410465359999998</v>
      </c>
      <c r="H52" s="27">
        <f>VLOOKUP(B52,'Data qoq'!$A:$AT,MATCH($H$1,'Data qoq'!$A$1:$AT$1,),)</f>
        <v>0.50711188699999998</v>
      </c>
      <c r="I52" s="27">
        <f>VLOOKUP(B52,'Data qoq'!$A:$AT,MATCH($I$1,'Data qoq'!$A$1:$AT$1,),)</f>
        <v>1.0298474150000001</v>
      </c>
      <c r="J52" s="27">
        <f>VLOOKUP(B52,'Data qoq'!$A:$AT,MATCH($J$1,'Data qoq'!$A$1:$AT$1,),)</f>
        <v>0.74878237000000003</v>
      </c>
      <c r="K52" s="27">
        <f>VLOOKUP(B52,'Data qoq'!$A:$AT,MATCH($K$1,'Data qoq'!$A$1:$AT$1,),)</f>
        <v>0.14992503700000001</v>
      </c>
      <c r="L52" s="27">
        <f>VLOOKUP(B52,'Data qoq'!$A:$AT,MATCH($L$1,'Data qoq'!$A$1:$AT$1,),)</f>
        <v>2.0202422740000001</v>
      </c>
      <c r="M52" s="27">
        <f>VLOOKUP(B52,'Data qoq'!$A:$AT,MATCH($M$1,'Data qoq'!$A$1:$AT$1,),)</f>
        <v>1.0988013919999999</v>
      </c>
      <c r="N52" s="27">
        <f>VLOOKUP(B52,'Data qoq'!$A:$AT,MATCH($N$1,'Data qoq'!$A$1:$AT$1,),)</f>
        <v>0.95009906200000005</v>
      </c>
      <c r="O52" s="27">
        <f>VLOOKUP(B52,'Data qoq'!$A:$AT,MATCH($C$1,'Data qoq'!$J$1:$AT$1,),)</f>
        <v>0.43866366299999998</v>
      </c>
      <c r="P52" s="27">
        <f>VLOOKUP(B52,'Data qoq'!$A:$AT,MATCH($P$1,'Data qoq'!$A$1:$AT$1,),)</f>
        <v>0.523260909</v>
      </c>
      <c r="Q52" s="27">
        <f>VLOOKUP(B52,'Data qoq'!$A:$AT,MATCH($Q$1,'Data qoq'!$A$1:$AT$1,),)</f>
        <v>0.52622872899999995</v>
      </c>
      <c r="R52" s="27">
        <f>VLOOKUP(B52,'Data qoq'!$A:$AT,MATCH($E$1,'Data qoq'!$A$1:$AT$1,),)</f>
        <v>0.96942600000000001</v>
      </c>
      <c r="S52" s="27">
        <f>VLOOKUP(B52,'Data qoq'!$A:$AT,MATCH($S$1,'Data qoq'!$A$1:$AT$1,),)</f>
        <v>1.899801372</v>
      </c>
      <c r="T52" s="27">
        <f>VLOOKUP(B52,'Data qoq'!$A:$AT,MATCH($T$1,'Data qoq'!$A$1:$AT$1,),)</f>
        <v>0.96937898499999997</v>
      </c>
      <c r="U52" s="27">
        <f>VLOOKUP(B52,'Data qoq'!$A:$AT,MATCH($U$1,'Data qoq'!$A$1:$AT$1,),)</f>
        <v>-3.32727342</v>
      </c>
      <c r="V52" s="27">
        <f>VLOOKUP(B52,'Data qoq'!$A:$AT,MATCH($V$1,'Data qoq'!$A$1:$AT$1,),)</f>
        <v>-9.2085236000000001E-2</v>
      </c>
      <c r="W52" s="27">
        <f>VLOOKUP(B52,'Data qoq'!$A:$AT,MATCH($W$1,'Data qoq'!$A$1:$AT$1,),)</f>
        <v>3.8007093269999999</v>
      </c>
      <c r="X52" s="27">
        <f>VLOOKUP(B52,'Data qoq'!$A:$AT,MATCH($X$1,'Data qoq'!$A$1:$AT$1,),)</f>
        <v>1.123545104</v>
      </c>
      <c r="Y52" s="27">
        <f>VLOOKUP(B52,'Data qoq'!$A:$AT,MATCH($Y$1,'Data qoq'!$A$1:$AT$1,),)</f>
        <v>1.5260695339999999</v>
      </c>
      <c r="Z52" s="27">
        <f>VLOOKUP(B52,'Data qoq'!$A:$AU,MATCH($Z$1,'Data qoq'!$A$1:$AU$1,),)</f>
        <v>4.5331810509999997</v>
      </c>
      <c r="AA52" s="27">
        <f>VLOOKUP(B52,'Data qoq'!$A:$AU,MATCH($AA$1,'Data qoq'!$A$1:$AU$1,),)</f>
        <v>0.72093674799999996</v>
      </c>
      <c r="AC52" s="28" t="str">
        <f t="shared" si="7"/>
        <v>2010-Q2</v>
      </c>
      <c r="AD52" s="29">
        <f t="shared" si="9"/>
        <v>-1.2733418969999999</v>
      </c>
      <c r="AE52" s="29">
        <f t="shared" si="8"/>
        <v>-1.2733418969999999</v>
      </c>
    </row>
    <row r="53" spans="2:31" hidden="1" x14ac:dyDescent="0.2">
      <c r="B53" s="26" t="s">
        <v>302</v>
      </c>
      <c r="C53" s="27">
        <f>VLOOKUP(B53,'Data qoq'!$A:$AT,MATCH($C$1,'Data qoq'!$A$1:$AT$1,),)</f>
        <v>0.77314415000000003</v>
      </c>
      <c r="D53" s="27">
        <f>VLOOKUP(B53,'Data qoq'!$A:$AT,MATCH($D$1,'Data qoq'!$A$1:$AT$1,),)</f>
        <v>0</v>
      </c>
      <c r="E53" s="27">
        <f>VLOOKUP(B53,'Data qoq'!$A:$AT,MATCH($E$1,'Data qoq'!$A$1:$AT$1,),)</f>
        <v>0.43879899999999999</v>
      </c>
      <c r="F53" s="27">
        <f>VLOOKUP(B53,'Data qoq'!$A:$AT,MATCH($F$1,'Data qoq'!$A$1:$AT$1,),)</f>
        <v>1.8226659949999999</v>
      </c>
      <c r="G53" s="27">
        <f>VLOOKUP(B53,'Data qoq'!$A:$AT,MATCH($G$1,'Data qoq'!$A$1:$AT$1,),)</f>
        <v>0.83969932899999999</v>
      </c>
      <c r="H53" s="27">
        <f>VLOOKUP(B53,'Data qoq'!$A:$AT,MATCH($H$1,'Data qoq'!$A$1:$AT$1,),)</f>
        <v>0.64873910300000004</v>
      </c>
      <c r="I53" s="27">
        <f>VLOOKUP(B53,'Data qoq'!$A:$AT,MATCH($I$1,'Data qoq'!$A$1:$AT$1,),)</f>
        <v>0.72959189199999996</v>
      </c>
      <c r="J53" s="27">
        <f>VLOOKUP(B53,'Data qoq'!$A:$AT,MATCH($J$1,'Data qoq'!$A$1:$AT$1,),)</f>
        <v>0.44389743500000001</v>
      </c>
      <c r="K53" s="27">
        <f>VLOOKUP(B53,'Data qoq'!$A:$AT,MATCH($K$1,'Data qoq'!$A$1:$AT$1,),)</f>
        <v>-5.1135353000000001E-2</v>
      </c>
      <c r="L53" s="27">
        <f>VLOOKUP(B53,'Data qoq'!$A:$AT,MATCH($L$1,'Data qoq'!$A$1:$AT$1,),)</f>
        <v>1.220248813</v>
      </c>
      <c r="M53" s="27">
        <f>VLOOKUP(B53,'Data qoq'!$A:$AT,MATCH($M$1,'Data qoq'!$A$1:$AT$1,),)</f>
        <v>0.90955951499999999</v>
      </c>
      <c r="N53" s="27">
        <f>VLOOKUP(B53,'Data qoq'!$A:$AT,MATCH($N$1,'Data qoq'!$A$1:$AT$1,),)</f>
        <v>0.52351252500000001</v>
      </c>
      <c r="O53" s="27">
        <f>VLOOKUP(B53,'Data qoq'!$A:$AT,MATCH($C$1,'Data qoq'!$J$1:$AT$1,),)</f>
        <v>0.44162399299999999</v>
      </c>
      <c r="P53" s="27">
        <f>VLOOKUP(B53,'Data qoq'!$A:$AT,MATCH($P$1,'Data qoq'!$A$1:$AT$1,),)</f>
        <v>0.70869492199999995</v>
      </c>
      <c r="Q53" s="27">
        <f>VLOOKUP(B53,'Data qoq'!$A:$AT,MATCH($Q$1,'Data qoq'!$A$1:$AT$1,),)</f>
        <v>0.67876793300000005</v>
      </c>
      <c r="R53" s="27">
        <f>VLOOKUP(B53,'Data qoq'!$A:$AT,MATCH($E$1,'Data qoq'!$A$1:$AT$1,),)</f>
        <v>0.43879899999999999</v>
      </c>
      <c r="S53" s="27">
        <f>VLOOKUP(B53,'Data qoq'!$A:$AT,MATCH($S$1,'Data qoq'!$A$1:$AT$1,),)</f>
        <v>1.1552150800000001</v>
      </c>
      <c r="T53" s="27">
        <f>VLOOKUP(B53,'Data qoq'!$A:$AT,MATCH($T$1,'Data qoq'!$A$1:$AT$1,),)</f>
        <v>1.015484402</v>
      </c>
      <c r="U53" s="27">
        <f>VLOOKUP(B53,'Data qoq'!$A:$AT,MATCH($U$1,'Data qoq'!$A$1:$AT$1,),)</f>
        <v>-3.1617154460000001</v>
      </c>
      <c r="V53" s="27">
        <f>VLOOKUP(B53,'Data qoq'!$A:$AT,MATCH($V$1,'Data qoq'!$A$1:$AT$1,),)</f>
        <v>0.387170087</v>
      </c>
      <c r="W53" s="27">
        <f>VLOOKUP(B53,'Data qoq'!$A:$AT,MATCH($W$1,'Data qoq'!$A$1:$AT$1,),)</f>
        <v>2.7707017839999999</v>
      </c>
      <c r="X53" s="27">
        <f>VLOOKUP(B53,'Data qoq'!$A:$AT,MATCH($X$1,'Data qoq'!$A$1:$AT$1,),)</f>
        <v>0.83801545399999999</v>
      </c>
      <c r="Y53" s="27">
        <f>VLOOKUP(B53,'Data qoq'!$A:$AT,MATCH($Y$1,'Data qoq'!$A$1:$AT$1,),)</f>
        <v>1.3189086860000001</v>
      </c>
      <c r="Z53" s="27">
        <f>VLOOKUP(B53,'Data qoq'!$A:$AU,MATCH($Z$1,'Data qoq'!$A$1:$AU$1,),)</f>
        <v>0.46685105500000001</v>
      </c>
      <c r="AA53" s="27">
        <f>VLOOKUP(B53,'Data qoq'!$A:$AU,MATCH($AA$1,'Data qoq'!$A$1:$AU$1,),)</f>
        <v>-0.23655885099999999</v>
      </c>
      <c r="AC53" s="28" t="str">
        <f t="shared" si="7"/>
        <v>2010-Q3</v>
      </c>
      <c r="AD53" s="29">
        <f t="shared" si="9"/>
        <v>-6.6555178999999964E-2</v>
      </c>
      <c r="AE53" s="29">
        <f t="shared" si="8"/>
        <v>-6.6555178999999964E-2</v>
      </c>
    </row>
    <row r="54" spans="2:31" hidden="1" x14ac:dyDescent="0.2">
      <c r="B54" s="26" t="s">
        <v>303</v>
      </c>
      <c r="C54" s="27">
        <f>VLOOKUP(B54,'Data qoq'!$A:$AT,MATCH($C$1,'Data qoq'!$A$1:$AT$1,),)</f>
        <v>0.51959515899999997</v>
      </c>
      <c r="D54" s="27">
        <f>VLOOKUP(B54,'Data qoq'!$A:$AT,MATCH($D$1,'Data qoq'!$A$1:$AT$1,),)</f>
        <v>0</v>
      </c>
      <c r="E54" s="27">
        <f>VLOOKUP(B54,'Data qoq'!$A:$AT,MATCH($E$1,'Data qoq'!$A$1:$AT$1,),)</f>
        <v>0.63650499999999999</v>
      </c>
      <c r="F54" s="27">
        <f>VLOOKUP(B54,'Data qoq'!$A:$AT,MATCH($F$1,'Data qoq'!$A$1:$AT$1,),)</f>
        <v>-0.83693219600000002</v>
      </c>
      <c r="G54" s="27">
        <f>VLOOKUP(B54,'Data qoq'!$A:$AT,MATCH($G$1,'Data qoq'!$A$1:$AT$1,),)</f>
        <v>0.811076295</v>
      </c>
      <c r="H54" s="27">
        <f>VLOOKUP(B54,'Data qoq'!$A:$AT,MATCH($H$1,'Data qoq'!$A$1:$AT$1,),)</f>
        <v>0.70912936400000004</v>
      </c>
      <c r="I54" s="27">
        <f>VLOOKUP(B54,'Data qoq'!$A:$AT,MATCH($I$1,'Data qoq'!$A$1:$AT$1,),)</f>
        <v>3.3538722E-2</v>
      </c>
      <c r="J54" s="27">
        <f>VLOOKUP(B54,'Data qoq'!$A:$AT,MATCH($J$1,'Data qoq'!$A$1:$AT$1,),)</f>
        <v>0.57118433800000001</v>
      </c>
      <c r="K54" s="27">
        <f>VLOOKUP(B54,'Data qoq'!$A:$AT,MATCH($K$1,'Data qoq'!$A$1:$AT$1,),)</f>
        <v>6.7103146000000002E-2</v>
      </c>
      <c r="L54" s="27">
        <f>VLOOKUP(B54,'Data qoq'!$A:$AT,MATCH($L$1,'Data qoq'!$A$1:$AT$1,),)</f>
        <v>1.6557326130000001</v>
      </c>
      <c r="M54" s="27">
        <f>VLOOKUP(B54,'Data qoq'!$A:$AT,MATCH($M$1,'Data qoq'!$A$1:$AT$1,),)</f>
        <v>0.80837059200000005</v>
      </c>
      <c r="N54" s="27">
        <f>VLOOKUP(B54,'Data qoq'!$A:$AT,MATCH($N$1,'Data qoq'!$A$1:$AT$1,),)</f>
        <v>1.25698003</v>
      </c>
      <c r="O54" s="27">
        <f>VLOOKUP(B54,'Data qoq'!$A:$AT,MATCH($C$1,'Data qoq'!$J$1:$AT$1,),)</f>
        <v>1.1273414900000001</v>
      </c>
      <c r="P54" s="27">
        <f>VLOOKUP(B54,'Data qoq'!$A:$AT,MATCH($P$1,'Data qoq'!$A$1:$AT$1,),)</f>
        <v>1.1175051540000001</v>
      </c>
      <c r="Q54" s="27">
        <f>VLOOKUP(B54,'Data qoq'!$A:$AT,MATCH($Q$1,'Data qoq'!$A$1:$AT$1,),)</f>
        <v>1.028397773</v>
      </c>
      <c r="R54" s="27">
        <f>VLOOKUP(B54,'Data qoq'!$A:$AT,MATCH($E$1,'Data qoq'!$A$1:$AT$1,),)</f>
        <v>0.63650499999999999</v>
      </c>
      <c r="S54" s="27">
        <f>VLOOKUP(B54,'Data qoq'!$A:$AT,MATCH($S$1,'Data qoq'!$A$1:$AT$1,),)</f>
        <v>1.2193187110000001</v>
      </c>
      <c r="T54" s="27">
        <f>VLOOKUP(B54,'Data qoq'!$A:$AT,MATCH($T$1,'Data qoq'!$A$1:$AT$1,),)</f>
        <v>1.3645668900000001</v>
      </c>
      <c r="U54" s="27">
        <f>VLOOKUP(B54,'Data qoq'!$A:$AT,MATCH($U$1,'Data qoq'!$A$1:$AT$1,),)</f>
        <v>-1.207721888</v>
      </c>
      <c r="V54" s="27">
        <f>VLOOKUP(B54,'Data qoq'!$A:$AT,MATCH($V$1,'Data qoq'!$A$1:$AT$1,),)</f>
        <v>-7.3184680000000002E-2</v>
      </c>
      <c r="W54" s="27">
        <f>VLOOKUP(B54,'Data qoq'!$A:$AT,MATCH($W$1,'Data qoq'!$A$1:$AT$1,),)</f>
        <v>3.0231894029999999</v>
      </c>
      <c r="X54" s="27">
        <f>VLOOKUP(B54,'Data qoq'!$A:$AT,MATCH($X$1,'Data qoq'!$A$1:$AT$1,),)</f>
        <v>0.37569987399999999</v>
      </c>
      <c r="Y54" s="27">
        <f>VLOOKUP(B54,'Data qoq'!$A:$AT,MATCH($Y$1,'Data qoq'!$A$1:$AT$1,),)</f>
        <v>0.97765783799999995</v>
      </c>
      <c r="Z54" s="27">
        <f>VLOOKUP(B54,'Data qoq'!$A:$AU,MATCH($Z$1,'Data qoq'!$A$1:$AU$1,),)</f>
        <v>1.374888085</v>
      </c>
      <c r="AA54" s="27">
        <f>VLOOKUP(B54,'Data qoq'!$A:$AU,MATCH($AA$1,'Data qoq'!$A$1:$AU$1,),)</f>
        <v>-0.51325874699999996</v>
      </c>
      <c r="AC54" s="28" t="str">
        <f t="shared" si="7"/>
        <v>2010-Q4</v>
      </c>
      <c r="AD54" s="29">
        <f t="shared" si="9"/>
        <v>-0.29148113600000003</v>
      </c>
      <c r="AE54" s="29">
        <f t="shared" si="8"/>
        <v>-0.29148113600000003</v>
      </c>
    </row>
    <row r="55" spans="2:31" hidden="1" x14ac:dyDescent="0.2">
      <c r="B55" s="26" t="s">
        <v>304</v>
      </c>
      <c r="C55" s="27">
        <f>VLOOKUP(B55,'Data qoq'!$A:$AT,MATCH($C$1,'Data qoq'!$A$1:$AT$1,),)</f>
        <v>-0.24091606800000001</v>
      </c>
      <c r="D55" s="27">
        <f>VLOOKUP(B55,'Data qoq'!$A:$AT,MATCH($D$1,'Data qoq'!$A$1:$AT$1,),)</f>
        <v>2.5</v>
      </c>
      <c r="E55" s="27">
        <f>VLOOKUP(B55,'Data qoq'!$A:$AT,MATCH($E$1,'Data qoq'!$A$1:$AT$1,),)</f>
        <v>0.83768799999999999</v>
      </c>
      <c r="F55" s="27">
        <f>VLOOKUP(B55,'Data qoq'!$A:$AT,MATCH($F$1,'Data qoq'!$A$1:$AT$1,),)</f>
        <v>-1.0554912590000001</v>
      </c>
      <c r="G55" s="27">
        <f>VLOOKUP(B55,'Data qoq'!$A:$AT,MATCH($G$1,'Data qoq'!$A$1:$AT$1,),)</f>
        <v>1.9310182810000001</v>
      </c>
      <c r="H55" s="27">
        <f>VLOOKUP(B55,'Data qoq'!$A:$AT,MATCH($H$1,'Data qoq'!$A$1:$AT$1,),)</f>
        <v>0.99247104200000003</v>
      </c>
      <c r="I55" s="27">
        <f>VLOOKUP(B55,'Data qoq'!$A:$AT,MATCH($I$1,'Data qoq'!$A$1:$AT$1,),)</f>
        <v>0.36106514200000001</v>
      </c>
      <c r="J55" s="27">
        <f>VLOOKUP(B55,'Data qoq'!$A:$AT,MATCH($J$1,'Data qoq'!$A$1:$AT$1,),)</f>
        <v>0.37956202999999999</v>
      </c>
      <c r="K55" s="27">
        <f>VLOOKUP(B55,'Data qoq'!$A:$AT,MATCH($K$1,'Data qoq'!$A$1:$AT$1,),)</f>
        <v>-0.15597502899999999</v>
      </c>
      <c r="L55" s="27">
        <f>VLOOKUP(B55,'Data qoq'!$A:$AT,MATCH($L$1,'Data qoq'!$A$1:$AT$1,),)</f>
        <v>0.34388220200000003</v>
      </c>
      <c r="M55" s="27">
        <f>VLOOKUP(B55,'Data qoq'!$A:$AT,MATCH($M$1,'Data qoq'!$A$1:$AT$1,),)</f>
        <v>0.76221265500000002</v>
      </c>
      <c r="N55" s="27">
        <f>VLOOKUP(B55,'Data qoq'!$A:$AT,MATCH($N$1,'Data qoq'!$A$1:$AT$1,),)</f>
        <v>1.067089035</v>
      </c>
      <c r="O55" s="27">
        <f>VLOOKUP(B55,'Data qoq'!$A:$AT,MATCH($C$1,'Data qoq'!$J$1:$AT$1,),)</f>
        <v>0.57785964400000001</v>
      </c>
      <c r="P55" s="27">
        <f>VLOOKUP(B55,'Data qoq'!$A:$AT,MATCH($P$1,'Data qoq'!$A$1:$AT$1,),)</f>
        <v>0.75534704399999997</v>
      </c>
      <c r="Q55" s="27">
        <f>VLOOKUP(B55,'Data qoq'!$A:$AT,MATCH($Q$1,'Data qoq'!$A$1:$AT$1,),)</f>
        <v>-0.266931576</v>
      </c>
      <c r="R55" s="27">
        <f>VLOOKUP(B55,'Data qoq'!$A:$AT,MATCH($E$1,'Data qoq'!$A$1:$AT$1,),)</f>
        <v>0.83768799999999999</v>
      </c>
      <c r="S55" s="27">
        <f>VLOOKUP(B55,'Data qoq'!$A:$AT,MATCH($S$1,'Data qoq'!$A$1:$AT$1,),)</f>
        <v>0.933130719</v>
      </c>
      <c r="T55" s="27">
        <f>VLOOKUP(B55,'Data qoq'!$A:$AT,MATCH($T$1,'Data qoq'!$A$1:$AT$1,),)</f>
        <v>1.4620784600000001</v>
      </c>
      <c r="U55" s="27">
        <f>VLOOKUP(B55,'Data qoq'!$A:$AT,MATCH($U$1,'Data qoq'!$A$1:$AT$1,),)</f>
        <v>-3.5968093649999999</v>
      </c>
      <c r="V55" s="27">
        <f>VLOOKUP(B55,'Data qoq'!$A:$AT,MATCH($V$1,'Data qoq'!$A$1:$AT$1,),)</f>
        <v>0.56790918000000001</v>
      </c>
      <c r="W55" s="27">
        <f>VLOOKUP(B55,'Data qoq'!$A:$AT,MATCH($W$1,'Data qoq'!$A$1:$AT$1,),)</f>
        <v>2.2538581770000001</v>
      </c>
      <c r="X55" s="27">
        <f>VLOOKUP(B55,'Data qoq'!$A:$AT,MATCH($X$1,'Data qoq'!$A$1:$AT$1,),)</f>
        <v>0.59780682900000004</v>
      </c>
      <c r="Y55" s="27">
        <f>VLOOKUP(B55,'Data qoq'!$A:$AT,MATCH($Y$1,'Data qoq'!$A$1:$AT$1,),)</f>
        <v>1.127451005</v>
      </c>
      <c r="Z55" s="27">
        <f>VLOOKUP(B55,'Data qoq'!$A:$AU,MATCH($Z$1,'Data qoq'!$A$1:$AU$1,),)</f>
        <v>2.3887166880000001</v>
      </c>
      <c r="AA55" s="27">
        <f>VLOOKUP(B55,'Data qoq'!$A:$AU,MATCH($AA$1,'Data qoq'!$A$1:$AU$1,),)</f>
        <v>1.0874168790000001</v>
      </c>
      <c r="AC55" s="28" t="str">
        <f t="shared" si="7"/>
        <v>2011-Q1</v>
      </c>
      <c r="AD55" s="29">
        <f t="shared" si="9"/>
        <v>-2.1719343490000003</v>
      </c>
      <c r="AE55" s="29">
        <f t="shared" si="8"/>
        <v>-2.1719343490000003</v>
      </c>
    </row>
    <row r="56" spans="2:31" hidden="1" x14ac:dyDescent="0.2">
      <c r="B56" s="26" t="s">
        <v>305</v>
      </c>
      <c r="C56" s="27">
        <f>VLOOKUP(B56,'Data qoq'!$A:$AT,MATCH($C$1,'Data qoq'!$A$1:$AT$1,),)</f>
        <v>0.67805075100000001</v>
      </c>
      <c r="D56" s="27">
        <f>VLOOKUP(B56,'Data qoq'!$A:$AT,MATCH($D$1,'Data qoq'!$A$1:$AT$1,),)</f>
        <v>2.2999999999999998</v>
      </c>
      <c r="E56" s="27">
        <f>VLOOKUP(B56,'Data qoq'!$A:$AT,MATCH($E$1,'Data qoq'!$A$1:$AT$1,),)</f>
        <v>7.1980000000000004E-3</v>
      </c>
      <c r="F56" s="27">
        <f>VLOOKUP(B56,'Data qoq'!$A:$AT,MATCH($F$1,'Data qoq'!$A$1:$AT$1,),)</f>
        <v>-0.85248764499999996</v>
      </c>
      <c r="G56" s="27">
        <f>VLOOKUP(B56,'Data qoq'!$A:$AT,MATCH($G$1,'Data qoq'!$A$1:$AT$1,),)</f>
        <v>8.4194172999999997E-2</v>
      </c>
      <c r="H56" s="27">
        <f>VLOOKUP(B56,'Data qoq'!$A:$AT,MATCH($H$1,'Data qoq'!$A$1:$AT$1,),)</f>
        <v>2.8892285E-2</v>
      </c>
      <c r="I56" s="27">
        <f>VLOOKUP(B56,'Data qoq'!$A:$AT,MATCH($I$1,'Data qoq'!$A$1:$AT$1,),)</f>
        <v>8.5658607999999997E-2</v>
      </c>
      <c r="J56" s="27">
        <f>VLOOKUP(B56,'Data qoq'!$A:$AT,MATCH($J$1,'Data qoq'!$A$1:$AT$1,),)</f>
        <v>0.113477307</v>
      </c>
      <c r="K56" s="27">
        <f>VLOOKUP(B56,'Data qoq'!$A:$AT,MATCH($K$1,'Data qoq'!$A$1:$AT$1,),)</f>
        <v>-0.31689017200000003</v>
      </c>
      <c r="L56" s="27">
        <f>VLOOKUP(B56,'Data qoq'!$A:$AT,MATCH($L$1,'Data qoq'!$A$1:$AT$1,),)</f>
        <v>0.31022344000000002</v>
      </c>
      <c r="M56" s="27">
        <f>VLOOKUP(B56,'Data qoq'!$A:$AT,MATCH($M$1,'Data qoq'!$A$1:$AT$1,),)</f>
        <v>0.52111697800000001</v>
      </c>
      <c r="N56" s="27">
        <f>VLOOKUP(B56,'Data qoq'!$A:$AT,MATCH($N$1,'Data qoq'!$A$1:$AT$1,),)</f>
        <v>1.0166108920000001</v>
      </c>
      <c r="O56" s="27">
        <f>VLOOKUP(B56,'Data qoq'!$A:$AT,MATCH($C$1,'Data qoq'!$J$1:$AT$1,),)</f>
        <v>-8.9510834999999997E-2</v>
      </c>
      <c r="P56" s="27">
        <f>VLOOKUP(B56,'Data qoq'!$A:$AT,MATCH($P$1,'Data qoq'!$A$1:$AT$1,),)</f>
        <v>0.19480650999999999</v>
      </c>
      <c r="Q56" s="27">
        <f>VLOOKUP(B56,'Data qoq'!$A:$AT,MATCH($Q$1,'Data qoq'!$A$1:$AT$1,),)</f>
        <v>1.1803290319999999</v>
      </c>
      <c r="R56" s="27">
        <f>VLOOKUP(B56,'Data qoq'!$A:$AT,MATCH($E$1,'Data qoq'!$A$1:$AT$1,),)</f>
        <v>7.1980000000000004E-3</v>
      </c>
      <c r="S56" s="27">
        <f>VLOOKUP(B56,'Data qoq'!$A:$AT,MATCH($S$1,'Data qoq'!$A$1:$AT$1,),)</f>
        <v>0.49079106099999997</v>
      </c>
      <c r="T56" s="27">
        <f>VLOOKUP(B56,'Data qoq'!$A:$AT,MATCH($T$1,'Data qoq'!$A$1:$AT$1,),)</f>
        <v>0.94349560300000002</v>
      </c>
      <c r="U56" s="27">
        <f>VLOOKUP(B56,'Data qoq'!$A:$AT,MATCH($U$1,'Data qoq'!$A$1:$AT$1,),)</f>
        <v>-2.0598755670000002</v>
      </c>
      <c r="V56" s="27">
        <f>VLOOKUP(B56,'Data qoq'!$A:$AT,MATCH($V$1,'Data qoq'!$A$1:$AT$1,),)</f>
        <v>1.361979904</v>
      </c>
      <c r="W56" s="27">
        <f>VLOOKUP(B56,'Data qoq'!$A:$AT,MATCH($W$1,'Data qoq'!$A$1:$AT$1,),)</f>
        <v>2.7476908170000001</v>
      </c>
      <c r="X56" s="27">
        <f>VLOOKUP(B56,'Data qoq'!$A:$AT,MATCH($X$1,'Data qoq'!$A$1:$AT$1,),)</f>
        <v>0.26102327400000003</v>
      </c>
      <c r="Y56" s="27">
        <f>VLOOKUP(B56,'Data qoq'!$A:$AT,MATCH($Y$1,'Data qoq'!$A$1:$AT$1,),)</f>
        <v>1.335057816</v>
      </c>
      <c r="Z56" s="27">
        <f>VLOOKUP(B56,'Data qoq'!$A:$AU,MATCH($Z$1,'Data qoq'!$A$1:$AU$1,),)</f>
        <v>0.97230518399999999</v>
      </c>
      <c r="AA56" s="27">
        <f>VLOOKUP(B56,'Data qoq'!$A:$AU,MATCH($AA$1,'Data qoq'!$A$1:$AU$1,),)</f>
        <v>0.49243511899999998</v>
      </c>
      <c r="AC56" s="28" t="str">
        <f t="shared" si="7"/>
        <v>2011-Q2</v>
      </c>
      <c r="AD56" s="29">
        <f t="shared" si="9"/>
        <v>0.59385657800000002</v>
      </c>
      <c r="AE56" s="29">
        <f t="shared" si="8"/>
        <v>0.59385657800000002</v>
      </c>
    </row>
    <row r="57" spans="2:31" hidden="1" x14ac:dyDescent="0.2">
      <c r="B57" s="26" t="s">
        <v>306</v>
      </c>
      <c r="C57" s="27">
        <f>VLOOKUP(B57,'Data qoq'!$A:$AT,MATCH($C$1,'Data qoq'!$A$1:$AT$1,),)</f>
        <v>-3.8767163E-2</v>
      </c>
      <c r="D57" s="27">
        <f>VLOOKUP(B57,'Data qoq'!$A:$AT,MATCH($D$1,'Data qoq'!$A$1:$AT$1,),)</f>
        <v>1.9</v>
      </c>
      <c r="E57" s="27">
        <f>VLOOKUP(B57,'Data qoq'!$A:$AT,MATCH($E$1,'Data qoq'!$A$1:$AT$1,),)</f>
        <v>0.13039899999999999</v>
      </c>
      <c r="F57" s="27">
        <f>VLOOKUP(B57,'Data qoq'!$A:$AT,MATCH($F$1,'Data qoq'!$A$1:$AT$1,),)</f>
        <v>2.4373071249999998</v>
      </c>
      <c r="G57" s="27">
        <f>VLOOKUP(B57,'Data qoq'!$A:$AT,MATCH($G$1,'Data qoq'!$A$1:$AT$1,),)</f>
        <v>0.89379265900000004</v>
      </c>
      <c r="H57" s="27">
        <f>VLOOKUP(B57,'Data qoq'!$A:$AT,MATCH($H$1,'Data qoq'!$A$1:$AT$1,),)</f>
        <v>0.36617994700000001</v>
      </c>
      <c r="I57" s="27">
        <f>VLOOKUP(B57,'Data qoq'!$A:$AT,MATCH($I$1,'Data qoq'!$A$1:$AT$1,),)</f>
        <v>0.33635021500000001</v>
      </c>
      <c r="J57" s="27">
        <f>VLOOKUP(B57,'Data qoq'!$A:$AT,MATCH($J$1,'Data qoq'!$A$1:$AT$1,),)</f>
        <v>-0.470836535</v>
      </c>
      <c r="K57" s="27">
        <f>VLOOKUP(B57,'Data qoq'!$A:$AT,MATCH($K$1,'Data qoq'!$A$1:$AT$1,),)</f>
        <v>-0.64807921400000001</v>
      </c>
      <c r="L57" s="27">
        <f>VLOOKUP(B57,'Data qoq'!$A:$AT,MATCH($L$1,'Data qoq'!$A$1:$AT$1,),)</f>
        <v>1.280290535</v>
      </c>
      <c r="M57" s="27">
        <f>VLOOKUP(B57,'Data qoq'!$A:$AT,MATCH($M$1,'Data qoq'!$A$1:$AT$1,),)</f>
        <v>1.918052235</v>
      </c>
      <c r="N57" s="27">
        <f>VLOOKUP(B57,'Data qoq'!$A:$AT,MATCH($N$1,'Data qoq'!$A$1:$AT$1,),)</f>
        <v>1.210094209</v>
      </c>
      <c r="O57" s="27">
        <f>VLOOKUP(B57,'Data qoq'!$A:$AT,MATCH($C$1,'Data qoq'!$J$1:$AT$1,),)</f>
        <v>4.7358799999999999E-4</v>
      </c>
      <c r="P57" s="27">
        <f>VLOOKUP(B57,'Data qoq'!$A:$AT,MATCH($P$1,'Data qoq'!$A$1:$AT$1,),)</f>
        <v>1.3796395619999999</v>
      </c>
      <c r="Q57" s="27">
        <f>VLOOKUP(B57,'Data qoq'!$A:$AT,MATCH($Q$1,'Data qoq'!$A$1:$AT$1,),)</f>
        <v>1.338400032</v>
      </c>
      <c r="R57" s="27">
        <f>VLOOKUP(B57,'Data qoq'!$A:$AT,MATCH($E$1,'Data qoq'!$A$1:$AT$1,),)</f>
        <v>0.13039899999999999</v>
      </c>
      <c r="S57" s="27">
        <f>VLOOKUP(B57,'Data qoq'!$A:$AT,MATCH($S$1,'Data qoq'!$A$1:$AT$1,),)</f>
        <v>0.52632363800000004</v>
      </c>
      <c r="T57" s="27">
        <f>VLOOKUP(B57,'Data qoq'!$A:$AT,MATCH($T$1,'Data qoq'!$A$1:$AT$1,),)</f>
        <v>-0.20888242000000001</v>
      </c>
      <c r="U57" s="27">
        <f>VLOOKUP(B57,'Data qoq'!$A:$AT,MATCH($U$1,'Data qoq'!$A$1:$AT$1,),)</f>
        <v>-1.9618114600000001</v>
      </c>
      <c r="V57" s="27">
        <f>VLOOKUP(B57,'Data qoq'!$A:$AT,MATCH($V$1,'Data qoq'!$A$1:$AT$1,),)</f>
        <v>-1.9938893360000001</v>
      </c>
      <c r="W57" s="27">
        <f>VLOOKUP(B57,'Data qoq'!$A:$AT,MATCH($W$1,'Data qoq'!$A$1:$AT$1,),)</f>
        <v>2.6588431219999999</v>
      </c>
      <c r="X57" s="27">
        <f>VLOOKUP(B57,'Data qoq'!$A:$AT,MATCH($X$1,'Data qoq'!$A$1:$AT$1,),)</f>
        <v>-8.1080056999999997E-2</v>
      </c>
      <c r="Y57" s="27">
        <f>VLOOKUP(B57,'Data qoq'!$A:$AT,MATCH($Y$1,'Data qoq'!$A$1:$AT$1,),)</f>
        <v>1.2889032949999999</v>
      </c>
      <c r="Z57" s="27">
        <f>VLOOKUP(B57,'Data qoq'!$A:$AU,MATCH($Z$1,'Data qoq'!$A$1:$AU$1,),)</f>
        <v>0.76072387200000002</v>
      </c>
      <c r="AA57" s="27">
        <f>VLOOKUP(B57,'Data qoq'!$A:$AU,MATCH($AA$1,'Data qoq'!$A$1:$AU$1,),)</f>
        <v>1.073224511</v>
      </c>
      <c r="AC57" s="28" t="str">
        <f t="shared" si="7"/>
        <v>2011-Q3</v>
      </c>
      <c r="AD57" s="29">
        <f t="shared" si="9"/>
        <v>-0.93255982200000009</v>
      </c>
      <c r="AE57" s="29">
        <f t="shared" si="8"/>
        <v>-0.93255982200000009</v>
      </c>
    </row>
    <row r="58" spans="2:31" hidden="1" x14ac:dyDescent="0.2">
      <c r="B58" s="26" t="s">
        <v>307</v>
      </c>
      <c r="C58" s="27">
        <f>VLOOKUP(B58,'Data qoq'!$A:$AT,MATCH($C$1,'Data qoq'!$A$1:$AT$1,),)</f>
        <v>1.121678183</v>
      </c>
      <c r="D58" s="27">
        <f>VLOOKUP(B58,'Data qoq'!$A:$AT,MATCH($D$1,'Data qoq'!$A$1:$AT$1,),)</f>
        <v>1.5</v>
      </c>
      <c r="E58" s="27">
        <f>VLOOKUP(B58,'Data qoq'!$A:$AT,MATCH($E$1,'Data qoq'!$A$1:$AT$1,),)</f>
        <v>-0.38142700000000002</v>
      </c>
      <c r="F58" s="27">
        <f>VLOOKUP(B58,'Data qoq'!$A:$AT,MATCH($F$1,'Data qoq'!$A$1:$AT$1,),)</f>
        <v>-0.15931716800000001</v>
      </c>
      <c r="G58" s="27">
        <f>VLOOKUP(B58,'Data qoq'!$A:$AT,MATCH($G$1,'Data qoq'!$A$1:$AT$1,),)</f>
        <v>-0.312652447</v>
      </c>
      <c r="H58" s="27">
        <f>VLOOKUP(B58,'Data qoq'!$A:$AT,MATCH($H$1,'Data qoq'!$A$1:$AT$1,),)</f>
        <v>0.17058869199999999</v>
      </c>
      <c r="I58" s="27">
        <f>VLOOKUP(B58,'Data qoq'!$A:$AT,MATCH($I$1,'Data qoq'!$A$1:$AT$1,),)</f>
        <v>0.130933036</v>
      </c>
      <c r="J58" s="27">
        <f>VLOOKUP(B58,'Data qoq'!$A:$AT,MATCH($J$1,'Data qoq'!$A$1:$AT$1,),)</f>
        <v>-0.88444496500000003</v>
      </c>
      <c r="K58" s="27">
        <f>VLOOKUP(B58,'Data qoq'!$A:$AT,MATCH($K$1,'Data qoq'!$A$1:$AT$1,),)</f>
        <v>-0.648559942</v>
      </c>
      <c r="L58" s="27">
        <f>VLOOKUP(B58,'Data qoq'!$A:$AT,MATCH($L$1,'Data qoq'!$A$1:$AT$1,),)</f>
        <v>-1.3300454580000001</v>
      </c>
      <c r="M58" s="27">
        <f>VLOOKUP(B58,'Data qoq'!$A:$AT,MATCH($M$1,'Data qoq'!$A$1:$AT$1,),)</f>
        <v>0.69829966200000004</v>
      </c>
      <c r="N58" s="27">
        <f>VLOOKUP(B58,'Data qoq'!$A:$AT,MATCH($N$1,'Data qoq'!$A$1:$AT$1,),)</f>
        <v>1.232644265</v>
      </c>
      <c r="O58" s="27">
        <f>VLOOKUP(B58,'Data qoq'!$A:$AT,MATCH($C$1,'Data qoq'!$J$1:$AT$1,),)</f>
        <v>-0.60298726899999999</v>
      </c>
      <c r="P58" s="27">
        <f>VLOOKUP(B58,'Data qoq'!$A:$AT,MATCH($P$1,'Data qoq'!$A$1:$AT$1,),)</f>
        <v>0.78751324</v>
      </c>
      <c r="Q58" s="27">
        <f>VLOOKUP(B58,'Data qoq'!$A:$AT,MATCH($Q$1,'Data qoq'!$A$1:$AT$1,),)</f>
        <v>1.152388698</v>
      </c>
      <c r="R58" s="27">
        <f>VLOOKUP(B58,'Data qoq'!$A:$AT,MATCH($E$1,'Data qoq'!$A$1:$AT$1,),)</f>
        <v>-0.38142700000000002</v>
      </c>
      <c r="S58" s="27">
        <f>VLOOKUP(B58,'Data qoq'!$A:$AT,MATCH($S$1,'Data qoq'!$A$1:$AT$1,),)</f>
        <v>0.47229806800000002</v>
      </c>
      <c r="T58" s="27">
        <f>VLOOKUP(B58,'Data qoq'!$A:$AT,MATCH($T$1,'Data qoq'!$A$1:$AT$1,),)</f>
        <v>0.84932239300000001</v>
      </c>
      <c r="U58" s="27">
        <f>VLOOKUP(B58,'Data qoq'!$A:$AT,MATCH($U$1,'Data qoq'!$A$1:$AT$1,),)</f>
        <v>-4.0483122590000002</v>
      </c>
      <c r="V58" s="27">
        <f>VLOOKUP(B58,'Data qoq'!$A:$AT,MATCH($V$1,'Data qoq'!$A$1:$AT$1,),)</f>
        <v>0.852546943</v>
      </c>
      <c r="W58" s="27">
        <f>VLOOKUP(B58,'Data qoq'!$A:$AT,MATCH($W$1,'Data qoq'!$A$1:$AT$1,),)</f>
        <v>1.357311969</v>
      </c>
      <c r="X58" s="27">
        <f>VLOOKUP(B58,'Data qoq'!$A:$AT,MATCH($X$1,'Data qoq'!$A$1:$AT$1,),)</f>
        <v>8.3829122000000006E-2</v>
      </c>
      <c r="Y58" s="27">
        <f>VLOOKUP(B58,'Data qoq'!$A:$AT,MATCH($Y$1,'Data qoq'!$A$1:$AT$1,),)</f>
        <v>0.63386428500000003</v>
      </c>
      <c r="Z58" s="27">
        <f>VLOOKUP(B58,'Data qoq'!$A:$AU,MATCH($Z$1,'Data qoq'!$A$1:$AU$1,),)</f>
        <v>9.8930445000000006E-2</v>
      </c>
      <c r="AA58" s="27">
        <f>VLOOKUP(B58,'Data qoq'!$A:$AU,MATCH($AA$1,'Data qoq'!$A$1:$AU$1,),)</f>
        <v>0.56173321799999998</v>
      </c>
      <c r="AC58" s="28" t="str">
        <f t="shared" si="7"/>
        <v>2011-Q4</v>
      </c>
      <c r="AD58" s="29">
        <f t="shared" si="9"/>
        <v>1.4343306300000001</v>
      </c>
      <c r="AE58" s="29">
        <f t="shared" si="8"/>
        <v>1.4343306300000001</v>
      </c>
    </row>
    <row r="59" spans="2:31" hidden="1" x14ac:dyDescent="0.2">
      <c r="B59" s="26" t="s">
        <v>308</v>
      </c>
      <c r="C59" s="27">
        <f>VLOOKUP(B59,'Data qoq'!$A:$AT,MATCH($C$1,'Data qoq'!$A$1:$AT$1,),)</f>
        <v>0.81792284500000001</v>
      </c>
      <c r="D59" s="27">
        <f>VLOOKUP(B59,'Data qoq'!$A:$AT,MATCH($D$1,'Data qoq'!$A$1:$AT$1,),)</f>
        <v>1.9</v>
      </c>
      <c r="E59" s="27">
        <f>VLOOKUP(B59,'Data qoq'!$A:$AT,MATCH($E$1,'Data qoq'!$A$1:$AT$1,),)</f>
        <v>-0.250338</v>
      </c>
      <c r="F59" s="27">
        <f>VLOOKUP(B59,'Data qoq'!$A:$AT,MATCH($F$1,'Data qoq'!$A$1:$AT$1,),)</f>
        <v>1.3988497040000001</v>
      </c>
      <c r="G59" s="27">
        <f>VLOOKUP(B59,'Data qoq'!$A:$AT,MATCH($G$1,'Data qoq'!$A$1:$AT$1,),)</f>
        <v>0.21171714999999999</v>
      </c>
      <c r="H59" s="27">
        <f>VLOOKUP(B59,'Data qoq'!$A:$AT,MATCH($H$1,'Data qoq'!$A$1:$AT$1,),)</f>
        <v>9.6962227999999998E-2</v>
      </c>
      <c r="I59" s="27">
        <f>VLOOKUP(B59,'Data qoq'!$A:$AT,MATCH($I$1,'Data qoq'!$A$1:$AT$1,),)</f>
        <v>0.692782118</v>
      </c>
      <c r="J59" s="27">
        <f>VLOOKUP(B59,'Data qoq'!$A:$AT,MATCH($J$1,'Data qoq'!$A$1:$AT$1,),)</f>
        <v>-1.178549294</v>
      </c>
      <c r="K59" s="27">
        <f>VLOOKUP(B59,'Data qoq'!$A:$AT,MATCH($K$1,'Data qoq'!$A$1:$AT$1,),)</f>
        <v>-0.93714173700000003</v>
      </c>
      <c r="L59" s="27">
        <f>VLOOKUP(B59,'Data qoq'!$A:$AT,MATCH($L$1,'Data qoq'!$A$1:$AT$1,),)</f>
        <v>0.12942171699999999</v>
      </c>
      <c r="M59" s="27">
        <f>VLOOKUP(B59,'Data qoq'!$A:$AT,MATCH($M$1,'Data qoq'!$A$1:$AT$1,),)</f>
        <v>0.65745846799999996</v>
      </c>
      <c r="N59" s="27">
        <f>VLOOKUP(B59,'Data qoq'!$A:$AT,MATCH($N$1,'Data qoq'!$A$1:$AT$1,),)</f>
        <v>1.5122627790000001</v>
      </c>
      <c r="O59" s="27">
        <f>VLOOKUP(B59,'Data qoq'!$A:$AT,MATCH($C$1,'Data qoq'!$J$1:$AT$1,),)</f>
        <v>-0.209129697</v>
      </c>
      <c r="P59" s="27">
        <f>VLOOKUP(B59,'Data qoq'!$A:$AT,MATCH($P$1,'Data qoq'!$A$1:$AT$1,),)</f>
        <v>6.4087343000000005E-2</v>
      </c>
      <c r="Q59" s="27">
        <f>VLOOKUP(B59,'Data qoq'!$A:$AT,MATCH($Q$1,'Data qoq'!$A$1:$AT$1,),)</f>
        <v>0.926168035</v>
      </c>
      <c r="R59" s="27">
        <f>VLOOKUP(B59,'Data qoq'!$A:$AT,MATCH($E$1,'Data qoq'!$A$1:$AT$1,),)</f>
        <v>-0.250338</v>
      </c>
      <c r="S59" s="27">
        <f>VLOOKUP(B59,'Data qoq'!$A:$AT,MATCH($S$1,'Data qoq'!$A$1:$AT$1,),)</f>
        <v>0.86566595300000004</v>
      </c>
      <c r="T59" s="27">
        <f>VLOOKUP(B59,'Data qoq'!$A:$AT,MATCH($T$1,'Data qoq'!$A$1:$AT$1,),)</f>
        <v>-1.3025220870000001</v>
      </c>
      <c r="U59" s="27">
        <f>VLOOKUP(B59,'Data qoq'!$A:$AT,MATCH($U$1,'Data qoq'!$A$1:$AT$1,),)</f>
        <v>-0.72443650299999995</v>
      </c>
      <c r="V59" s="27">
        <f>VLOOKUP(B59,'Data qoq'!$A:$AT,MATCH($V$1,'Data qoq'!$A$1:$AT$1,),)</f>
        <v>-0.99874443899999998</v>
      </c>
      <c r="W59" s="27">
        <f>VLOOKUP(B59,'Data qoq'!$A:$AT,MATCH($W$1,'Data qoq'!$A$1:$AT$1,),)</f>
        <v>-0.88977375700000005</v>
      </c>
      <c r="X59" s="27">
        <f>VLOOKUP(B59,'Data qoq'!$A:$AT,MATCH($X$1,'Data qoq'!$A$1:$AT$1,),)</f>
        <v>-0.23528302400000001</v>
      </c>
      <c r="Y59" s="27">
        <f>VLOOKUP(B59,'Data qoq'!$A:$AT,MATCH($Y$1,'Data qoq'!$A$1:$AT$1,),)</f>
        <v>6.7737774000000001E-2</v>
      </c>
      <c r="Z59" s="27">
        <f>VLOOKUP(B59,'Data qoq'!$A:$AU,MATCH($Z$1,'Data qoq'!$A$1:$AU$1,),)</f>
        <v>-1.0880453910000001</v>
      </c>
      <c r="AA59" s="27">
        <f>VLOOKUP(B59,'Data qoq'!$A:$AU,MATCH($AA$1,'Data qoq'!$A$1:$AU$1,),)</f>
        <v>0.57054854700000002</v>
      </c>
      <c r="AC59" s="28" t="str">
        <f t="shared" si="7"/>
        <v>2012-Q1</v>
      </c>
      <c r="AD59" s="29">
        <f t="shared" si="9"/>
        <v>0.60620569499999999</v>
      </c>
      <c r="AE59" s="29">
        <f t="shared" si="8"/>
        <v>0.60620569499999999</v>
      </c>
    </row>
    <row r="60" spans="2:31" hidden="1" x14ac:dyDescent="0.2">
      <c r="B60" s="26" t="s">
        <v>309</v>
      </c>
      <c r="C60" s="27">
        <f>VLOOKUP(B60,'Data qoq'!$A:$AT,MATCH($C$1,'Data qoq'!$A$1:$AT$1,),)</f>
        <v>0.45585998700000002</v>
      </c>
      <c r="D60" s="27">
        <f>VLOOKUP(B60,'Data qoq'!$A:$AT,MATCH($D$1,'Data qoq'!$A$1:$AT$1,),)</f>
        <v>2.1</v>
      </c>
      <c r="E60" s="27">
        <f>VLOOKUP(B60,'Data qoq'!$A:$AT,MATCH($E$1,'Data qoq'!$A$1:$AT$1,),)</f>
        <v>-0.25517299999999998</v>
      </c>
      <c r="F60" s="27">
        <f>VLOOKUP(B60,'Data qoq'!$A:$AT,MATCH($F$1,'Data qoq'!$A$1:$AT$1,),)</f>
        <v>-0.914024379</v>
      </c>
      <c r="G60" s="27">
        <f>VLOOKUP(B60,'Data qoq'!$A:$AT,MATCH($G$1,'Data qoq'!$A$1:$AT$1,),)</f>
        <v>0.18778914499999999</v>
      </c>
      <c r="H60" s="27">
        <f>VLOOKUP(B60,'Data qoq'!$A:$AT,MATCH($H$1,'Data qoq'!$A$1:$AT$1,),)</f>
        <v>-0.161447171</v>
      </c>
      <c r="I60" s="27">
        <f>VLOOKUP(B60,'Data qoq'!$A:$AT,MATCH($I$1,'Data qoq'!$A$1:$AT$1,),)</f>
        <v>-0.146993818</v>
      </c>
      <c r="J60" s="27">
        <f>VLOOKUP(B60,'Data qoq'!$A:$AT,MATCH($J$1,'Data qoq'!$A$1:$AT$1,),)</f>
        <v>-0.71350862199999998</v>
      </c>
      <c r="K60" s="27">
        <f>VLOOKUP(B60,'Data qoq'!$A:$AT,MATCH($K$1,'Data qoq'!$A$1:$AT$1,),)</f>
        <v>-0.96123464400000003</v>
      </c>
      <c r="L60" s="27">
        <f>VLOOKUP(B60,'Data qoq'!$A:$AT,MATCH($L$1,'Data qoq'!$A$1:$AT$1,),)</f>
        <v>0.16271717499999999</v>
      </c>
      <c r="M60" s="27">
        <f>VLOOKUP(B60,'Data qoq'!$A:$AT,MATCH($M$1,'Data qoq'!$A$1:$AT$1,),)</f>
        <v>0.82570109599999997</v>
      </c>
      <c r="N60" s="27">
        <f>VLOOKUP(B60,'Data qoq'!$A:$AT,MATCH($N$1,'Data qoq'!$A$1:$AT$1,),)</f>
        <v>0.403925378</v>
      </c>
      <c r="O60" s="27">
        <f>VLOOKUP(B60,'Data qoq'!$A:$AT,MATCH($C$1,'Data qoq'!$J$1:$AT$1,),)</f>
        <v>5.1637012000000003E-2</v>
      </c>
      <c r="P60" s="27">
        <f>VLOOKUP(B60,'Data qoq'!$A:$AT,MATCH($P$1,'Data qoq'!$A$1:$AT$1,),)</f>
        <v>0.32616373700000001</v>
      </c>
      <c r="Q60" s="27">
        <f>VLOOKUP(B60,'Data qoq'!$A:$AT,MATCH($Q$1,'Data qoq'!$A$1:$AT$1,),)</f>
        <v>0.75520032500000001</v>
      </c>
      <c r="R60" s="27">
        <f>VLOOKUP(B60,'Data qoq'!$A:$AT,MATCH($E$1,'Data qoq'!$A$1:$AT$1,),)</f>
        <v>-0.25517299999999998</v>
      </c>
      <c r="S60" s="27">
        <f>VLOOKUP(B60,'Data qoq'!$A:$AT,MATCH($S$1,'Data qoq'!$A$1:$AT$1,),)</f>
        <v>0.56597461800000004</v>
      </c>
      <c r="T60" s="27">
        <f>VLOOKUP(B60,'Data qoq'!$A:$AT,MATCH($T$1,'Data qoq'!$A$1:$AT$1,),)</f>
        <v>1.7047362939999999</v>
      </c>
      <c r="U60" s="27">
        <f>VLOOKUP(B60,'Data qoq'!$A:$AT,MATCH($U$1,'Data qoq'!$A$1:$AT$1,),)</f>
        <v>-1.6974590469999999</v>
      </c>
      <c r="V60" s="27">
        <f>VLOOKUP(B60,'Data qoq'!$A:$AT,MATCH($V$1,'Data qoq'!$A$1:$AT$1,),)</f>
        <v>2.0897422240000001</v>
      </c>
      <c r="W60" s="27">
        <f>VLOOKUP(B60,'Data qoq'!$A:$AT,MATCH($W$1,'Data qoq'!$A$1:$AT$1,),)</f>
        <v>1.727526866</v>
      </c>
      <c r="X60" s="27">
        <f>VLOOKUP(B60,'Data qoq'!$A:$AT,MATCH($X$1,'Data qoq'!$A$1:$AT$1,),)</f>
        <v>-0.46222377100000001</v>
      </c>
      <c r="Y60" s="27">
        <f>VLOOKUP(B60,'Data qoq'!$A:$AT,MATCH($Y$1,'Data qoq'!$A$1:$AT$1,),)</f>
        <v>-0.24515648500000001</v>
      </c>
      <c r="Z60" s="27">
        <f>VLOOKUP(B60,'Data qoq'!$A:$AU,MATCH($Z$1,'Data qoq'!$A$1:$AU$1,),)</f>
        <v>-3.4283747349999998</v>
      </c>
      <c r="AA60" s="27">
        <f>VLOOKUP(B60,'Data qoq'!$A:$AU,MATCH($AA$1,'Data qoq'!$A$1:$AU$1,),)</f>
        <v>0.34558434700000001</v>
      </c>
      <c r="AC60" s="28" t="str">
        <f t="shared" si="7"/>
        <v>2012-Q2</v>
      </c>
      <c r="AD60" s="29">
        <f t="shared" si="9"/>
        <v>0.26807084200000003</v>
      </c>
      <c r="AE60" s="29">
        <f t="shared" si="8"/>
        <v>0.26807084200000003</v>
      </c>
    </row>
    <row r="61" spans="2:31" hidden="1" x14ac:dyDescent="0.2">
      <c r="B61" s="26" t="s">
        <v>310</v>
      </c>
      <c r="C61" s="27">
        <f>VLOOKUP(B61,'Data qoq'!$A:$AT,MATCH($C$1,'Data qoq'!$A$1:$AT$1,),)</f>
        <v>0.17488297799999999</v>
      </c>
      <c r="D61" s="27">
        <f>VLOOKUP(B61,'Data qoq'!$A:$AT,MATCH($D$1,'Data qoq'!$A$1:$AT$1,),)</f>
        <v>1.9</v>
      </c>
      <c r="E61" s="27">
        <f>VLOOKUP(B61,'Data qoq'!$A:$AT,MATCH($E$1,'Data qoq'!$A$1:$AT$1,),)</f>
        <v>-0.13004499999999999</v>
      </c>
      <c r="F61" s="27">
        <f>VLOOKUP(B61,'Data qoq'!$A:$AT,MATCH($F$1,'Data qoq'!$A$1:$AT$1,),)</f>
        <v>-0.370654757</v>
      </c>
      <c r="G61" s="27">
        <f>VLOOKUP(B61,'Data qoq'!$A:$AT,MATCH($G$1,'Data qoq'!$A$1:$AT$1,),)</f>
        <v>0.29157197200000001</v>
      </c>
      <c r="H61" s="27">
        <f>VLOOKUP(B61,'Data qoq'!$A:$AT,MATCH($H$1,'Data qoq'!$A$1:$AT$1,),)</f>
        <v>0.195941218</v>
      </c>
      <c r="I61" s="27">
        <f>VLOOKUP(B61,'Data qoq'!$A:$AT,MATCH($I$1,'Data qoq'!$A$1:$AT$1,),)</f>
        <v>1.2189852450000001</v>
      </c>
      <c r="J61" s="27">
        <f>VLOOKUP(B61,'Data qoq'!$A:$AT,MATCH($J$1,'Data qoq'!$A$1:$AT$1,),)</f>
        <v>-0.54127134399999999</v>
      </c>
      <c r="K61" s="27">
        <f>VLOOKUP(B61,'Data qoq'!$A:$AT,MATCH($K$1,'Data qoq'!$A$1:$AT$1,),)</f>
        <v>-0.50969026500000003</v>
      </c>
      <c r="L61" s="27">
        <f>VLOOKUP(B61,'Data qoq'!$A:$AT,MATCH($L$1,'Data qoq'!$A$1:$AT$1,),)</f>
        <v>-0.150245928</v>
      </c>
      <c r="M61" s="27">
        <f>VLOOKUP(B61,'Data qoq'!$A:$AT,MATCH($M$1,'Data qoq'!$A$1:$AT$1,),)</f>
        <v>0.60375866899999997</v>
      </c>
      <c r="N61" s="27">
        <f>VLOOKUP(B61,'Data qoq'!$A:$AT,MATCH($N$1,'Data qoq'!$A$1:$AT$1,),)</f>
        <v>0.51581707799999998</v>
      </c>
      <c r="O61" s="27">
        <f>VLOOKUP(B61,'Data qoq'!$A:$AT,MATCH($C$1,'Data qoq'!$J$1:$AT$1,),)</f>
        <v>-0.42865471599999999</v>
      </c>
      <c r="P61" s="27">
        <f>VLOOKUP(B61,'Data qoq'!$A:$AT,MATCH($P$1,'Data qoq'!$A$1:$AT$1,),)</f>
        <v>0.136217106</v>
      </c>
      <c r="Q61" s="27">
        <f>VLOOKUP(B61,'Data qoq'!$A:$AT,MATCH($Q$1,'Data qoq'!$A$1:$AT$1,),)</f>
        <v>0.59477749300000005</v>
      </c>
      <c r="R61" s="27">
        <f>VLOOKUP(B61,'Data qoq'!$A:$AT,MATCH($E$1,'Data qoq'!$A$1:$AT$1,),)</f>
        <v>-0.13004499999999999</v>
      </c>
      <c r="S61" s="27">
        <f>VLOOKUP(B61,'Data qoq'!$A:$AT,MATCH($S$1,'Data qoq'!$A$1:$AT$1,),)</f>
        <v>0.45177694000000002</v>
      </c>
      <c r="T61" s="27">
        <f>VLOOKUP(B61,'Data qoq'!$A:$AT,MATCH($T$1,'Data qoq'!$A$1:$AT$1,),)</f>
        <v>1.76155332</v>
      </c>
      <c r="U61" s="27">
        <f>VLOOKUP(B61,'Data qoq'!$A:$AT,MATCH($U$1,'Data qoq'!$A$1:$AT$1,),)</f>
        <v>-1.402713469</v>
      </c>
      <c r="V61" s="27">
        <f>VLOOKUP(B61,'Data qoq'!$A:$AT,MATCH($V$1,'Data qoq'!$A$1:$AT$1,),)</f>
        <v>-2.2605503979999999</v>
      </c>
      <c r="W61" s="27">
        <f>VLOOKUP(B61,'Data qoq'!$A:$AT,MATCH($W$1,'Data qoq'!$A$1:$AT$1,),)</f>
        <v>1.7647938809999999</v>
      </c>
      <c r="X61" s="27">
        <f>VLOOKUP(B61,'Data qoq'!$A:$AT,MATCH($X$1,'Data qoq'!$A$1:$AT$1,),)</f>
        <v>-0.306104494</v>
      </c>
      <c r="Y61" s="27">
        <f>VLOOKUP(B61,'Data qoq'!$A:$AT,MATCH($Y$1,'Data qoq'!$A$1:$AT$1,),)</f>
        <v>0.43944236399999997</v>
      </c>
      <c r="Z61" s="27">
        <f>VLOOKUP(B61,'Data qoq'!$A:$AU,MATCH($Z$1,'Data qoq'!$A$1:$AU$1,),)</f>
        <v>3.1397639210000001</v>
      </c>
      <c r="AA61" s="27">
        <f>VLOOKUP(B61,'Data qoq'!$A:$AU,MATCH($AA$1,'Data qoq'!$A$1:$AU$1,),)</f>
        <v>0.248395804</v>
      </c>
      <c r="AC61" s="28" t="str">
        <f t="shared" si="7"/>
        <v>2012-Q3</v>
      </c>
      <c r="AD61" s="29">
        <f t="shared" si="9"/>
        <v>-0.11668899400000002</v>
      </c>
      <c r="AE61" s="29">
        <f t="shared" si="8"/>
        <v>-0.11668899400000002</v>
      </c>
    </row>
    <row r="62" spans="2:31" hidden="1" x14ac:dyDescent="0.2">
      <c r="B62" s="26" t="s">
        <v>311</v>
      </c>
      <c r="C62" s="27">
        <f>VLOOKUP(B62,'Data qoq'!$A:$AT,MATCH($C$1,'Data qoq'!$A$1:$AT$1,),)</f>
        <v>0.109838067</v>
      </c>
      <c r="D62" s="27">
        <f>VLOOKUP(B62,'Data qoq'!$A:$AT,MATCH($D$1,'Data qoq'!$A$1:$AT$1,),)</f>
        <v>1.9</v>
      </c>
      <c r="E62" s="27">
        <f>VLOOKUP(B62,'Data qoq'!$A:$AT,MATCH($E$1,'Data qoq'!$A$1:$AT$1,),)</f>
        <v>-0.40759200000000001</v>
      </c>
      <c r="F62" s="27">
        <f>VLOOKUP(B62,'Data qoq'!$A:$AT,MATCH($F$1,'Data qoq'!$A$1:$AT$1,),)</f>
        <v>-8.3660580999999998E-2</v>
      </c>
      <c r="G62" s="27">
        <f>VLOOKUP(B62,'Data qoq'!$A:$AT,MATCH($G$1,'Data qoq'!$A$1:$AT$1,),)</f>
        <v>-0.44647446200000002</v>
      </c>
      <c r="H62" s="27">
        <f>VLOOKUP(B62,'Data qoq'!$A:$AT,MATCH($H$1,'Data qoq'!$A$1:$AT$1,),)</f>
        <v>-7.2862358000000002E-2</v>
      </c>
      <c r="I62" s="27">
        <f>VLOOKUP(B62,'Data qoq'!$A:$AT,MATCH($I$1,'Data qoq'!$A$1:$AT$1,),)</f>
        <v>-0.21658655399999999</v>
      </c>
      <c r="J62" s="27">
        <f>VLOOKUP(B62,'Data qoq'!$A:$AT,MATCH($J$1,'Data qoq'!$A$1:$AT$1,),)</f>
        <v>-0.76501461900000001</v>
      </c>
      <c r="K62" s="27">
        <f>VLOOKUP(B62,'Data qoq'!$A:$AT,MATCH($K$1,'Data qoq'!$A$1:$AT$1,),)</f>
        <v>-0.76265685900000002</v>
      </c>
      <c r="L62" s="27">
        <f>VLOOKUP(B62,'Data qoq'!$A:$AT,MATCH($L$1,'Data qoq'!$A$1:$AT$1,),)</f>
        <v>-0.62845272100000005</v>
      </c>
      <c r="M62" s="27">
        <f>VLOOKUP(B62,'Data qoq'!$A:$AT,MATCH($M$1,'Data qoq'!$A$1:$AT$1,),)</f>
        <v>0.84259984600000004</v>
      </c>
      <c r="N62" s="27">
        <f>VLOOKUP(B62,'Data qoq'!$A:$AT,MATCH($N$1,'Data qoq'!$A$1:$AT$1,),)</f>
        <v>6.7202082999999996E-2</v>
      </c>
      <c r="O62" s="27">
        <f>VLOOKUP(B62,'Data qoq'!$A:$AT,MATCH($C$1,'Data qoq'!$J$1:$AT$1,),)</f>
        <v>-0.70003889200000002</v>
      </c>
      <c r="P62" s="27">
        <f>VLOOKUP(B62,'Data qoq'!$A:$AT,MATCH($P$1,'Data qoq'!$A$1:$AT$1,),)</f>
        <v>0.20678147</v>
      </c>
      <c r="Q62" s="27">
        <f>VLOOKUP(B62,'Data qoq'!$A:$AT,MATCH($Q$1,'Data qoq'!$A$1:$AT$1,),)</f>
        <v>0.530104134</v>
      </c>
      <c r="R62" s="27">
        <f>VLOOKUP(B62,'Data qoq'!$A:$AT,MATCH($E$1,'Data qoq'!$A$1:$AT$1,),)</f>
        <v>-0.40759200000000001</v>
      </c>
      <c r="S62" s="27">
        <f>VLOOKUP(B62,'Data qoq'!$A:$AT,MATCH($S$1,'Data qoq'!$A$1:$AT$1,),)</f>
        <v>0.50224872499999995</v>
      </c>
      <c r="T62" s="27">
        <f>VLOOKUP(B62,'Data qoq'!$A:$AT,MATCH($T$1,'Data qoq'!$A$1:$AT$1,),)</f>
        <v>-3.5533143000000003E-2</v>
      </c>
      <c r="U62" s="27">
        <f>VLOOKUP(B62,'Data qoq'!$A:$AT,MATCH($U$1,'Data qoq'!$A$1:$AT$1,),)</f>
        <v>-0.56854787799999995</v>
      </c>
      <c r="V62" s="27">
        <f>VLOOKUP(B62,'Data qoq'!$A:$AT,MATCH($V$1,'Data qoq'!$A$1:$AT$1,),)</f>
        <v>1.93695354</v>
      </c>
      <c r="W62" s="27">
        <f>VLOOKUP(B62,'Data qoq'!$A:$AT,MATCH($W$1,'Data qoq'!$A$1:$AT$1,),)</f>
        <v>1.602891829</v>
      </c>
      <c r="X62" s="27">
        <f>VLOOKUP(B62,'Data qoq'!$A:$AT,MATCH($X$1,'Data qoq'!$A$1:$AT$1,),)</f>
        <v>-0.235886278</v>
      </c>
      <c r="Y62" s="27">
        <f>VLOOKUP(B62,'Data qoq'!$A:$AT,MATCH($Y$1,'Data qoq'!$A$1:$AT$1,),)</f>
        <v>-0.52653950800000004</v>
      </c>
      <c r="Z62" s="27">
        <f>VLOOKUP(B62,'Data qoq'!$A:$AU,MATCH($Z$1,'Data qoq'!$A$1:$AU$1,),)</f>
        <v>1.7154769240000001</v>
      </c>
      <c r="AA62" s="27">
        <f>VLOOKUP(B62,'Data qoq'!$A:$AU,MATCH($AA$1,'Data qoq'!$A$1:$AU$1,),)</f>
        <v>1.5804091760000001</v>
      </c>
      <c r="AC62" s="28" t="str">
        <f t="shared" si="7"/>
        <v>2012-Q4</v>
      </c>
      <c r="AD62" s="29">
        <f t="shared" si="9"/>
        <v>0.55631252900000006</v>
      </c>
      <c r="AE62" s="29">
        <f t="shared" si="8"/>
        <v>0.55631252900000006</v>
      </c>
    </row>
    <row r="63" spans="2:31" hidden="1" x14ac:dyDescent="0.2">
      <c r="B63" s="26" t="s">
        <v>312</v>
      </c>
      <c r="C63" s="27">
        <f>VLOOKUP(B63,'Data qoq'!$A:$AT,MATCH($C$1,'Data qoq'!$A$1:$AT$1,),)</f>
        <v>0.86778954799999997</v>
      </c>
      <c r="D63" s="27">
        <f>VLOOKUP(B63,'Data qoq'!$A:$AT,MATCH($D$1,'Data qoq'!$A$1:$AT$1,),)</f>
        <v>1.8</v>
      </c>
      <c r="E63" s="27">
        <f>VLOOKUP(B63,'Data qoq'!$A:$AT,MATCH($E$1,'Data qoq'!$A$1:$AT$1,),)</f>
        <v>-0.38519300000000001</v>
      </c>
      <c r="F63" s="27">
        <f>VLOOKUP(B63,'Data qoq'!$A:$AT,MATCH($F$1,'Data qoq'!$A$1:$AT$1,),)</f>
        <v>1.3939132329999999</v>
      </c>
      <c r="G63" s="27">
        <f>VLOOKUP(B63,'Data qoq'!$A:$AT,MATCH($G$1,'Data qoq'!$A$1:$AT$1,),)</f>
        <v>-0.46675698900000001</v>
      </c>
      <c r="H63" s="27">
        <f>VLOOKUP(B63,'Data qoq'!$A:$AT,MATCH($H$1,'Data qoq'!$A$1:$AT$1,),)</f>
        <v>-7.1782080000000002E-3</v>
      </c>
      <c r="I63" s="27">
        <f>VLOOKUP(B63,'Data qoq'!$A:$AT,MATCH($I$1,'Data qoq'!$A$1:$AT$1,),)</f>
        <v>0.52911495399999997</v>
      </c>
      <c r="J63" s="27">
        <f>VLOOKUP(B63,'Data qoq'!$A:$AT,MATCH($J$1,'Data qoq'!$A$1:$AT$1,),)</f>
        <v>-0.904199529</v>
      </c>
      <c r="K63" s="27">
        <f>VLOOKUP(B63,'Data qoq'!$A:$AT,MATCH($K$1,'Data qoq'!$A$1:$AT$1,),)</f>
        <v>-0.31963185900000002</v>
      </c>
      <c r="L63" s="27">
        <f>VLOOKUP(B63,'Data qoq'!$A:$AT,MATCH($L$1,'Data qoq'!$A$1:$AT$1,),)</f>
        <v>1.321834881</v>
      </c>
      <c r="M63" s="27">
        <f>VLOOKUP(B63,'Data qoq'!$A:$AT,MATCH($M$1,'Data qoq'!$A$1:$AT$1,),)</f>
        <v>0.26227172199999998</v>
      </c>
      <c r="N63" s="27">
        <f>VLOOKUP(B63,'Data qoq'!$A:$AT,MATCH($N$1,'Data qoq'!$A$1:$AT$1,),)</f>
        <v>0.74064461699999995</v>
      </c>
      <c r="O63" s="27">
        <f>VLOOKUP(B63,'Data qoq'!$A:$AT,MATCH($C$1,'Data qoq'!$J$1:$AT$1,),)</f>
        <v>0.32313016999999999</v>
      </c>
      <c r="P63" s="27">
        <f>VLOOKUP(B63,'Data qoq'!$A:$AT,MATCH($P$1,'Data qoq'!$A$1:$AT$1,),)</f>
        <v>0.89700485500000005</v>
      </c>
      <c r="Q63" s="27">
        <f>VLOOKUP(B63,'Data qoq'!$A:$AT,MATCH($Q$1,'Data qoq'!$A$1:$AT$1,),)</f>
        <v>0.29585377000000002</v>
      </c>
      <c r="R63" s="27">
        <f>VLOOKUP(B63,'Data qoq'!$A:$AT,MATCH($E$1,'Data qoq'!$A$1:$AT$1,),)</f>
        <v>-0.38519300000000001</v>
      </c>
      <c r="S63" s="27">
        <f>VLOOKUP(B63,'Data qoq'!$A:$AT,MATCH($S$1,'Data qoq'!$A$1:$AT$1,),)</f>
        <v>0.86312085000000005</v>
      </c>
      <c r="T63" s="27">
        <f>VLOOKUP(B63,'Data qoq'!$A:$AT,MATCH($T$1,'Data qoq'!$A$1:$AT$1,),)</f>
        <v>0.451898415</v>
      </c>
      <c r="U63" s="27">
        <f>VLOOKUP(B63,'Data qoq'!$A:$AT,MATCH($U$1,'Data qoq'!$A$1:$AT$1,),)</f>
        <v>-1.176640634</v>
      </c>
      <c r="V63" s="27">
        <f>VLOOKUP(B63,'Data qoq'!$A:$AT,MATCH($V$1,'Data qoq'!$A$1:$AT$1,),)</f>
        <v>-2.3907323069999999</v>
      </c>
      <c r="W63" s="27">
        <f>VLOOKUP(B63,'Data qoq'!$A:$AT,MATCH($W$1,'Data qoq'!$A$1:$AT$1,),)</f>
        <v>2.9298856400000002</v>
      </c>
      <c r="X63" s="27">
        <f>VLOOKUP(B63,'Data qoq'!$A:$AT,MATCH($X$1,'Data qoq'!$A$1:$AT$1,),)</f>
        <v>-0.36177993899999999</v>
      </c>
      <c r="Y63" s="27">
        <f>VLOOKUP(B63,'Data qoq'!$A:$AT,MATCH($Y$1,'Data qoq'!$A$1:$AT$1,),)</f>
        <v>7.2602238999999999E-2</v>
      </c>
      <c r="Z63" s="27">
        <f>VLOOKUP(B63,'Data qoq'!$A:$AU,MATCH($Z$1,'Data qoq'!$A$1:$AU$1,),)</f>
        <v>-3.4304701999999999E-2</v>
      </c>
      <c r="AA63" s="27">
        <f>VLOOKUP(B63,'Data qoq'!$A:$AU,MATCH($AA$1,'Data qoq'!$A$1:$AU$1,),)</f>
        <v>-0.32117589699999999</v>
      </c>
      <c r="AC63" s="28" t="str">
        <f t="shared" si="7"/>
        <v>2013-Q1</v>
      </c>
      <c r="AD63" s="29">
        <f t="shared" si="9"/>
        <v>1.334546537</v>
      </c>
      <c r="AE63" s="29">
        <f t="shared" si="8"/>
        <v>1.334546537</v>
      </c>
    </row>
    <row r="64" spans="2:31" hidden="1" x14ac:dyDescent="0.2">
      <c r="B64" s="26" t="s">
        <v>313</v>
      </c>
      <c r="C64" s="27">
        <f>VLOOKUP(B64,'Data qoq'!$A:$AT,MATCH($C$1,'Data qoq'!$A$1:$AT$1,),)</f>
        <v>0.13938522</v>
      </c>
      <c r="D64" s="27">
        <f>VLOOKUP(B64,'Data qoq'!$A:$AT,MATCH($D$1,'Data qoq'!$A$1:$AT$1,),)</f>
        <v>1.8</v>
      </c>
      <c r="E64" s="27">
        <f>VLOOKUP(B64,'Data qoq'!$A:$AT,MATCH($E$1,'Data qoq'!$A$1:$AT$1,),)</f>
        <v>0.53985799999999995</v>
      </c>
      <c r="F64" s="27">
        <f>VLOOKUP(B64,'Data qoq'!$A:$AT,MATCH($F$1,'Data qoq'!$A$1:$AT$1,),)</f>
        <v>0.88744308800000005</v>
      </c>
      <c r="G64" s="27">
        <f>VLOOKUP(B64,'Data qoq'!$A:$AT,MATCH($G$1,'Data qoq'!$A$1:$AT$1,),)</f>
        <v>1.068846451</v>
      </c>
      <c r="H64" s="27">
        <f>VLOOKUP(B64,'Data qoq'!$A:$AT,MATCH($H$1,'Data qoq'!$A$1:$AT$1,),)</f>
        <v>0.65458625999999998</v>
      </c>
      <c r="I64" s="27">
        <f>VLOOKUP(B64,'Data qoq'!$A:$AT,MATCH($I$1,'Data qoq'!$A$1:$AT$1,),)</f>
        <v>0.80399368299999996</v>
      </c>
      <c r="J64" s="27">
        <f>VLOOKUP(B64,'Data qoq'!$A:$AT,MATCH($J$1,'Data qoq'!$A$1:$AT$1,),)</f>
        <v>-1.145437E-3</v>
      </c>
      <c r="K64" s="27">
        <f>VLOOKUP(B64,'Data qoq'!$A:$AT,MATCH($K$1,'Data qoq'!$A$1:$AT$1,),)</f>
        <v>-8.7487355000000003E-2</v>
      </c>
      <c r="L64" s="27">
        <f>VLOOKUP(B64,'Data qoq'!$A:$AT,MATCH($L$1,'Data qoq'!$A$1:$AT$1,),)</f>
        <v>-0.10827460899999999</v>
      </c>
      <c r="M64" s="27">
        <f>VLOOKUP(B64,'Data qoq'!$A:$AT,MATCH($M$1,'Data qoq'!$A$1:$AT$1,),)</f>
        <v>-0.60089846999999996</v>
      </c>
      <c r="N64" s="27">
        <f>VLOOKUP(B64,'Data qoq'!$A:$AT,MATCH($N$1,'Data qoq'!$A$1:$AT$1,),)</f>
        <v>0.340534385</v>
      </c>
      <c r="O64" s="27">
        <f>VLOOKUP(B64,'Data qoq'!$A:$AT,MATCH($C$1,'Data qoq'!$J$1:$AT$1,),)</f>
        <v>-0.18116626799999999</v>
      </c>
      <c r="P64" s="27">
        <f>VLOOKUP(B64,'Data qoq'!$A:$AT,MATCH($P$1,'Data qoq'!$A$1:$AT$1,),)</f>
        <v>0.58035719100000005</v>
      </c>
      <c r="Q64" s="27">
        <f>VLOOKUP(B64,'Data qoq'!$A:$AT,MATCH($Q$1,'Data qoq'!$A$1:$AT$1,),)</f>
        <v>0.43145422100000003</v>
      </c>
      <c r="R64" s="27">
        <f>VLOOKUP(B64,'Data qoq'!$A:$AT,MATCH($E$1,'Data qoq'!$A$1:$AT$1,),)</f>
        <v>0.53985799999999995</v>
      </c>
      <c r="S64" s="27">
        <f>VLOOKUP(B64,'Data qoq'!$A:$AT,MATCH($S$1,'Data qoq'!$A$1:$AT$1,),)</f>
        <v>1.165850338</v>
      </c>
      <c r="T64" s="27">
        <f>VLOOKUP(B64,'Data qoq'!$A:$AT,MATCH($T$1,'Data qoq'!$A$1:$AT$1,),)</f>
        <v>1.69626005</v>
      </c>
      <c r="U64" s="27">
        <f>VLOOKUP(B64,'Data qoq'!$A:$AT,MATCH($U$1,'Data qoq'!$A$1:$AT$1,),)</f>
        <v>0.12750734699999999</v>
      </c>
      <c r="V64" s="27">
        <f>VLOOKUP(B64,'Data qoq'!$A:$AT,MATCH($V$1,'Data qoq'!$A$1:$AT$1,),)</f>
        <v>3.0365588830000001</v>
      </c>
      <c r="W64" s="27">
        <f>VLOOKUP(B64,'Data qoq'!$A:$AT,MATCH($W$1,'Data qoq'!$A$1:$AT$1,),)</f>
        <v>2.9357761130000002</v>
      </c>
      <c r="X64" s="27">
        <f>VLOOKUP(B64,'Data qoq'!$A:$AT,MATCH($X$1,'Data qoq'!$A$1:$AT$1,),)</f>
        <v>0.360650994</v>
      </c>
      <c r="Y64" s="27">
        <f>VLOOKUP(B64,'Data qoq'!$A:$AT,MATCH($Y$1,'Data qoq'!$A$1:$AT$1,),)</f>
        <v>1.076289313</v>
      </c>
      <c r="Z64" s="27">
        <f>VLOOKUP(B64,'Data qoq'!$A:$AU,MATCH($Z$1,'Data qoq'!$A$1:$AU$1,),)</f>
        <v>0.55113596099999995</v>
      </c>
      <c r="AA64" s="27">
        <f>VLOOKUP(B64,'Data qoq'!$A:$AU,MATCH($AA$1,'Data qoq'!$A$1:$AU$1,),)</f>
        <v>1.169165292</v>
      </c>
      <c r="AC64" s="28" t="str">
        <f t="shared" si="7"/>
        <v>2013-Q2</v>
      </c>
      <c r="AD64" s="29">
        <f t="shared" si="9"/>
        <v>-0.929461231</v>
      </c>
      <c r="AE64" s="29">
        <f t="shared" si="8"/>
        <v>-0.929461231</v>
      </c>
    </row>
    <row r="65" spans="2:31" hidden="1" x14ac:dyDescent="0.2">
      <c r="B65" s="26" t="s">
        <v>314</v>
      </c>
      <c r="C65" s="27">
        <f>VLOOKUP(B65,'Data qoq'!$A:$AT,MATCH($C$1,'Data qoq'!$A$1:$AT$1,),)</f>
        <v>0.79165341099999997</v>
      </c>
      <c r="D65" s="27">
        <f>VLOOKUP(B65,'Data qoq'!$A:$AT,MATCH($D$1,'Data qoq'!$A$1:$AT$1,),)</f>
        <v>2.2000000000000002</v>
      </c>
      <c r="E65" s="27">
        <f>VLOOKUP(B65,'Data qoq'!$A:$AT,MATCH($E$1,'Data qoq'!$A$1:$AT$1,),)</f>
        <v>0.30561300000000002</v>
      </c>
      <c r="F65" s="27">
        <f>VLOOKUP(B65,'Data qoq'!$A:$AT,MATCH($F$1,'Data qoq'!$A$1:$AT$1,),)</f>
        <v>0.966932923</v>
      </c>
      <c r="G65" s="27">
        <f>VLOOKUP(B65,'Data qoq'!$A:$AT,MATCH($G$1,'Data qoq'!$A$1:$AT$1,),)</f>
        <v>0.58060600600000001</v>
      </c>
      <c r="H65" s="27">
        <f>VLOOKUP(B65,'Data qoq'!$A:$AT,MATCH($H$1,'Data qoq'!$A$1:$AT$1,),)</f>
        <v>1.4827132999999999E-2</v>
      </c>
      <c r="I65" s="27">
        <f>VLOOKUP(B65,'Data qoq'!$A:$AT,MATCH($I$1,'Data qoq'!$A$1:$AT$1,),)</f>
        <v>0.93478832199999995</v>
      </c>
      <c r="J65" s="27">
        <f>VLOOKUP(B65,'Data qoq'!$A:$AT,MATCH($J$1,'Data qoq'!$A$1:$AT$1,),)</f>
        <v>0.21039717399999999</v>
      </c>
      <c r="K65" s="27">
        <f>VLOOKUP(B65,'Data qoq'!$A:$AT,MATCH($K$1,'Data qoq'!$A$1:$AT$1,),)</f>
        <v>-5.4727476999999997E-2</v>
      </c>
      <c r="L65" s="27">
        <f>VLOOKUP(B65,'Data qoq'!$A:$AT,MATCH($L$1,'Data qoq'!$A$1:$AT$1,),)</f>
        <v>0.45669028</v>
      </c>
      <c r="M65" s="27">
        <f>VLOOKUP(B65,'Data qoq'!$A:$AT,MATCH($M$1,'Data qoq'!$A$1:$AT$1,),)</f>
        <v>0.95152773000000002</v>
      </c>
      <c r="N65" s="27">
        <f>VLOOKUP(B65,'Data qoq'!$A:$AT,MATCH($N$1,'Data qoq'!$A$1:$AT$1,),)</f>
        <v>4.0524088E-2</v>
      </c>
      <c r="O65" s="27">
        <f>VLOOKUP(B65,'Data qoq'!$A:$AT,MATCH($C$1,'Data qoq'!$J$1:$AT$1,),)</f>
        <v>0.60299548999999997</v>
      </c>
      <c r="P65" s="27">
        <f>VLOOKUP(B65,'Data qoq'!$A:$AT,MATCH($P$1,'Data qoq'!$A$1:$AT$1,),)</f>
        <v>0.81497340200000001</v>
      </c>
      <c r="Q65" s="27">
        <f>VLOOKUP(B65,'Data qoq'!$A:$AT,MATCH($Q$1,'Data qoq'!$A$1:$AT$1,),)</f>
        <v>0.81437758599999999</v>
      </c>
      <c r="R65" s="27">
        <f>VLOOKUP(B65,'Data qoq'!$A:$AT,MATCH($E$1,'Data qoq'!$A$1:$AT$1,),)</f>
        <v>0.30561300000000002</v>
      </c>
      <c r="S65" s="27">
        <f>VLOOKUP(B65,'Data qoq'!$A:$AT,MATCH($S$1,'Data qoq'!$A$1:$AT$1,),)</f>
        <v>0.89904854700000003</v>
      </c>
      <c r="T65" s="27">
        <f>VLOOKUP(B65,'Data qoq'!$A:$AT,MATCH($T$1,'Data qoq'!$A$1:$AT$1,),)</f>
        <v>0.309453282</v>
      </c>
      <c r="U65" s="27">
        <f>VLOOKUP(B65,'Data qoq'!$A:$AT,MATCH($U$1,'Data qoq'!$A$1:$AT$1,),)</f>
        <v>-7.6074418000000005E-2</v>
      </c>
      <c r="V65" s="27">
        <f>VLOOKUP(B65,'Data qoq'!$A:$AT,MATCH($V$1,'Data qoq'!$A$1:$AT$1,),)</f>
        <v>1.4251797230000001</v>
      </c>
      <c r="W65" s="27">
        <f>VLOOKUP(B65,'Data qoq'!$A:$AT,MATCH($W$1,'Data qoq'!$A$1:$AT$1,),)</f>
        <v>1.4659761549999999</v>
      </c>
      <c r="X65" s="27">
        <f>VLOOKUP(B65,'Data qoq'!$A:$AT,MATCH($X$1,'Data qoq'!$A$1:$AT$1,),)</f>
        <v>0.35242810299999999</v>
      </c>
      <c r="Y65" s="27">
        <f>VLOOKUP(B65,'Data qoq'!$A:$AT,MATCH($Y$1,'Data qoq'!$A$1:$AT$1,),)</f>
        <v>0.75869672899999996</v>
      </c>
      <c r="Z65" s="27">
        <f>VLOOKUP(B65,'Data qoq'!$A:$AU,MATCH($Z$1,'Data qoq'!$A$1:$AU$1,),)</f>
        <v>0.62904878900000005</v>
      </c>
      <c r="AA65" s="27">
        <f>VLOOKUP(B65,'Data qoq'!$A:$AU,MATCH($AA$1,'Data qoq'!$A$1:$AU$1,),)</f>
        <v>0.56122781899999996</v>
      </c>
      <c r="AC65" s="28" t="str">
        <f t="shared" si="7"/>
        <v>2013-Q3</v>
      </c>
      <c r="AD65" s="29">
        <f t="shared" si="9"/>
        <v>0.21104740499999997</v>
      </c>
      <c r="AE65" s="29">
        <f t="shared" si="8"/>
        <v>0.21104740499999997</v>
      </c>
    </row>
    <row r="66" spans="2:31" hidden="1" x14ac:dyDescent="0.2">
      <c r="B66" s="26" t="s">
        <v>315</v>
      </c>
      <c r="C66" s="27">
        <f>VLOOKUP(B66,'Data qoq'!$A:$AT,MATCH($C$1,'Data qoq'!$A$1:$AT$1,),)</f>
        <v>0.71117100200000005</v>
      </c>
      <c r="D66" s="27">
        <f>VLOOKUP(B66,'Data qoq'!$A:$AT,MATCH($D$1,'Data qoq'!$A$1:$AT$1,),)</f>
        <v>1.6</v>
      </c>
      <c r="E66" s="27">
        <f>VLOOKUP(B66,'Data qoq'!$A:$AT,MATCH($E$1,'Data qoq'!$A$1:$AT$1,),)</f>
        <v>0.28534700000000002</v>
      </c>
      <c r="F66" s="27">
        <f>VLOOKUP(B66,'Data qoq'!$A:$AT,MATCH($F$1,'Data qoq'!$A$1:$AT$1,),)</f>
        <v>-0.117114648</v>
      </c>
      <c r="G66" s="27">
        <f>VLOOKUP(B66,'Data qoq'!$A:$AT,MATCH($G$1,'Data qoq'!$A$1:$AT$1,),)</f>
        <v>0.29894409</v>
      </c>
      <c r="H66" s="27">
        <f>VLOOKUP(B66,'Data qoq'!$A:$AT,MATCH($H$1,'Data qoq'!$A$1:$AT$1,),)</f>
        <v>0.47927699400000001</v>
      </c>
      <c r="I66" s="27">
        <f>VLOOKUP(B66,'Data qoq'!$A:$AT,MATCH($I$1,'Data qoq'!$A$1:$AT$1,),)</f>
        <v>0.64195617199999999</v>
      </c>
      <c r="J66" s="27">
        <f>VLOOKUP(B66,'Data qoq'!$A:$AT,MATCH($J$1,'Data qoq'!$A$1:$AT$1,),)</f>
        <v>-0.190207511</v>
      </c>
      <c r="K66" s="27">
        <f>VLOOKUP(B66,'Data qoq'!$A:$AT,MATCH($K$1,'Data qoq'!$A$1:$AT$1,),)</f>
        <v>0.16661908</v>
      </c>
      <c r="L66" s="27">
        <f>VLOOKUP(B66,'Data qoq'!$A:$AT,MATCH($L$1,'Data qoq'!$A$1:$AT$1,),)</f>
        <v>0.76448314799999995</v>
      </c>
      <c r="M66" s="27">
        <f>VLOOKUP(B66,'Data qoq'!$A:$AT,MATCH($M$1,'Data qoq'!$A$1:$AT$1,),)</f>
        <v>0.58337855599999999</v>
      </c>
      <c r="N66" s="27">
        <f>VLOOKUP(B66,'Data qoq'!$A:$AT,MATCH($N$1,'Data qoq'!$A$1:$AT$1,),)</f>
        <v>0.577422247</v>
      </c>
      <c r="O66" s="27">
        <f>VLOOKUP(B66,'Data qoq'!$A:$AT,MATCH($C$1,'Data qoq'!$J$1:$AT$1,),)</f>
        <v>0.63501236500000002</v>
      </c>
      <c r="P66" s="27">
        <f>VLOOKUP(B66,'Data qoq'!$A:$AT,MATCH($P$1,'Data qoq'!$A$1:$AT$1,),)</f>
        <v>1.050559545</v>
      </c>
      <c r="Q66" s="27">
        <f>VLOOKUP(B66,'Data qoq'!$A:$AT,MATCH($Q$1,'Data qoq'!$A$1:$AT$1,),)</f>
        <v>0.82511571699999997</v>
      </c>
      <c r="R66" s="27">
        <f>VLOOKUP(B66,'Data qoq'!$A:$AT,MATCH($E$1,'Data qoq'!$A$1:$AT$1,),)</f>
        <v>0.28534700000000002</v>
      </c>
      <c r="S66" s="27">
        <f>VLOOKUP(B66,'Data qoq'!$A:$AT,MATCH($S$1,'Data qoq'!$A$1:$AT$1,),)</f>
        <v>0.77583265899999998</v>
      </c>
      <c r="T66" s="27">
        <f>VLOOKUP(B66,'Data qoq'!$A:$AT,MATCH($T$1,'Data qoq'!$A$1:$AT$1,),)</f>
        <v>0.115453844</v>
      </c>
      <c r="U66" s="27">
        <f>VLOOKUP(B66,'Data qoq'!$A:$AT,MATCH($U$1,'Data qoq'!$A$1:$AT$1,),)</f>
        <v>0.41135451499999998</v>
      </c>
      <c r="V66" s="27">
        <f>VLOOKUP(B66,'Data qoq'!$A:$AT,MATCH($V$1,'Data qoq'!$A$1:$AT$1,),)</f>
        <v>0.85989386099999998</v>
      </c>
      <c r="W66" s="27">
        <f>VLOOKUP(B66,'Data qoq'!$A:$AT,MATCH($W$1,'Data qoq'!$A$1:$AT$1,),)</f>
        <v>0.19382951800000001</v>
      </c>
      <c r="X66" s="27">
        <f>VLOOKUP(B66,'Data qoq'!$A:$AT,MATCH($X$1,'Data qoq'!$A$1:$AT$1,),)</f>
        <v>1.2759451829999999</v>
      </c>
      <c r="Y66" s="27">
        <f>VLOOKUP(B66,'Data qoq'!$A:$AT,MATCH($Y$1,'Data qoq'!$A$1:$AT$1,),)</f>
        <v>0.26344673600000001</v>
      </c>
      <c r="Z66" s="27">
        <f>VLOOKUP(B66,'Data qoq'!$A:$AU,MATCH($Z$1,'Data qoq'!$A$1:$AU$1,),)</f>
        <v>-0.99314948999999997</v>
      </c>
      <c r="AA66" s="27">
        <f>VLOOKUP(B66,'Data qoq'!$A:$AU,MATCH($AA$1,'Data qoq'!$A$1:$AU$1,),)</f>
        <v>0.25853180100000001</v>
      </c>
      <c r="AC66" s="28" t="str">
        <f t="shared" si="7"/>
        <v>2013-Q4</v>
      </c>
      <c r="AD66" s="29">
        <f t="shared" si="9"/>
        <v>0.41222691200000006</v>
      </c>
      <c r="AE66" s="29">
        <f t="shared" si="8"/>
        <v>0.41222691200000006</v>
      </c>
    </row>
    <row r="67" spans="2:31" hidden="1" x14ac:dyDescent="0.2">
      <c r="B67" s="26" t="s">
        <v>316</v>
      </c>
      <c r="C67" s="27">
        <f>VLOOKUP(B67,'Data qoq'!$A:$AT,MATCH($C$1,'Data qoq'!$A$1:$AT$1,),)</f>
        <v>-0.35010973699999998</v>
      </c>
      <c r="D67" s="27">
        <f>VLOOKUP(B67,'Data qoq'!$A:$AT,MATCH($D$1,'Data qoq'!$A$1:$AT$1,),)</f>
        <v>1.8</v>
      </c>
      <c r="E67" s="27">
        <f>VLOOKUP(B67,'Data qoq'!$A:$AT,MATCH($E$1,'Data qoq'!$A$1:$AT$1,),)</f>
        <v>0.39911999999999997</v>
      </c>
      <c r="F67" s="27">
        <f>VLOOKUP(B67,'Data qoq'!$A:$AT,MATCH($F$1,'Data qoq'!$A$1:$AT$1,),)</f>
        <v>0.82915100200000003</v>
      </c>
      <c r="G67" s="27">
        <f>VLOOKUP(B67,'Data qoq'!$A:$AT,MATCH($G$1,'Data qoq'!$A$1:$AT$1,),)</f>
        <v>0.93519777199999998</v>
      </c>
      <c r="H67" s="27">
        <f>VLOOKUP(B67,'Data qoq'!$A:$AT,MATCH($H$1,'Data qoq'!$A$1:$AT$1,),)</f>
        <v>7.3584341999999997E-2</v>
      </c>
      <c r="I67" s="27">
        <f>VLOOKUP(B67,'Data qoq'!$A:$AT,MATCH($I$1,'Data qoq'!$A$1:$AT$1,),)</f>
        <v>0.76804133200000002</v>
      </c>
      <c r="J67" s="27">
        <f>VLOOKUP(B67,'Data qoq'!$A:$AT,MATCH($J$1,'Data qoq'!$A$1:$AT$1,),)</f>
        <v>8.4454108999999999E-2</v>
      </c>
      <c r="K67" s="27">
        <f>VLOOKUP(B67,'Data qoq'!$A:$AT,MATCH($K$1,'Data qoq'!$A$1:$AT$1,),)</f>
        <v>0.367436031</v>
      </c>
      <c r="L67" s="27">
        <f>VLOOKUP(B67,'Data qoq'!$A:$AT,MATCH($L$1,'Data qoq'!$A$1:$AT$1,),)</f>
        <v>0.769427317</v>
      </c>
      <c r="M67" s="27">
        <f>VLOOKUP(B67,'Data qoq'!$A:$AT,MATCH($M$1,'Data qoq'!$A$1:$AT$1,),)</f>
        <v>0.68866612900000002</v>
      </c>
      <c r="N67" s="27">
        <f>VLOOKUP(B67,'Data qoq'!$A:$AT,MATCH($N$1,'Data qoq'!$A$1:$AT$1,),)</f>
        <v>-7.2306979999999998E-3</v>
      </c>
      <c r="O67" s="27">
        <f>VLOOKUP(B67,'Data qoq'!$A:$AT,MATCH($C$1,'Data qoq'!$J$1:$AT$1,),)</f>
        <v>-9.4722217999999997E-2</v>
      </c>
      <c r="P67" s="27">
        <f>VLOOKUP(B67,'Data qoq'!$A:$AT,MATCH($P$1,'Data qoq'!$A$1:$AT$1,),)</f>
        <v>0.163447761</v>
      </c>
      <c r="Q67" s="27">
        <f>VLOOKUP(B67,'Data qoq'!$A:$AT,MATCH($Q$1,'Data qoq'!$A$1:$AT$1,),)</f>
        <v>0.67725015099999997</v>
      </c>
      <c r="R67" s="27">
        <f>VLOOKUP(B67,'Data qoq'!$A:$AT,MATCH($E$1,'Data qoq'!$A$1:$AT$1,),)</f>
        <v>0.39911999999999997</v>
      </c>
      <c r="S67" s="27">
        <f>VLOOKUP(B67,'Data qoq'!$A:$AT,MATCH($S$1,'Data qoq'!$A$1:$AT$1,),)</f>
        <v>0.93068836200000005</v>
      </c>
      <c r="T67" s="27">
        <f>VLOOKUP(B67,'Data qoq'!$A:$AT,MATCH($T$1,'Data qoq'!$A$1:$AT$1,),)</f>
        <v>0.91981693399999997</v>
      </c>
      <c r="U67" s="27">
        <f>VLOOKUP(B67,'Data qoq'!$A:$AT,MATCH($U$1,'Data qoq'!$A$1:$AT$1,),)</f>
        <v>0.51111501999999998</v>
      </c>
      <c r="V67" s="27">
        <f>VLOOKUP(B67,'Data qoq'!$A:$AT,MATCH($V$1,'Data qoq'!$A$1:$AT$1,),)</f>
        <v>2.7038955630000001</v>
      </c>
      <c r="W67" s="27">
        <f>VLOOKUP(B67,'Data qoq'!$A:$AT,MATCH($W$1,'Data qoq'!$A$1:$AT$1,),)</f>
        <v>2.901075638</v>
      </c>
      <c r="X67" s="27">
        <f>VLOOKUP(B67,'Data qoq'!$A:$AT,MATCH($X$1,'Data qoq'!$A$1:$AT$1,),)</f>
        <v>-0.59157428000000001</v>
      </c>
      <c r="Y67" s="27">
        <f>VLOOKUP(B67,'Data qoq'!$A:$AT,MATCH($Y$1,'Data qoq'!$A$1:$AT$1,),)</f>
        <v>1.0325908210000001</v>
      </c>
      <c r="Z67" s="27">
        <f>VLOOKUP(B67,'Data qoq'!$A:$AU,MATCH($Z$1,'Data qoq'!$A$1:$AU$1,),)</f>
        <v>-1.5064902010000001</v>
      </c>
      <c r="AA67" s="27">
        <f>VLOOKUP(B67,'Data qoq'!$A:$AU,MATCH($AA$1,'Data qoq'!$A$1:$AU$1,),)</f>
        <v>1.4661394160000001</v>
      </c>
      <c r="AC67" s="28" t="str">
        <f t="shared" si="7"/>
        <v>2014-Q1</v>
      </c>
      <c r="AD67" s="29">
        <f t="shared" si="9"/>
        <v>-1.2853075089999999</v>
      </c>
      <c r="AE67" s="29">
        <f t="shared" si="8"/>
        <v>-1.2853075089999999</v>
      </c>
    </row>
    <row r="68" spans="2:31" hidden="1" x14ac:dyDescent="0.2">
      <c r="B68" s="26" t="s">
        <v>317</v>
      </c>
      <c r="C68" s="27">
        <f>VLOOKUP(B68,'Data qoq'!$A:$AT,MATCH($C$1,'Data qoq'!$A$1:$AT$1,),)</f>
        <v>1.2841289069999999</v>
      </c>
      <c r="D68" s="27">
        <f>VLOOKUP(B68,'Data qoq'!$A:$AT,MATCH($D$1,'Data qoq'!$A$1:$AT$1,),)</f>
        <v>1.8</v>
      </c>
      <c r="E68" s="27">
        <f>VLOOKUP(B68,'Data qoq'!$A:$AT,MATCH($E$1,'Data qoq'!$A$1:$AT$1,),)</f>
        <v>0.23510400000000001</v>
      </c>
      <c r="F68" s="27">
        <f>VLOOKUP(B68,'Data qoq'!$A:$AT,MATCH($F$1,'Data qoq'!$A$1:$AT$1,),)</f>
        <v>-1.8458141720000001</v>
      </c>
      <c r="G68" s="27">
        <f>VLOOKUP(B68,'Data qoq'!$A:$AT,MATCH($G$1,'Data qoq'!$A$1:$AT$1,),)</f>
        <v>0</v>
      </c>
      <c r="H68" s="27">
        <f>VLOOKUP(B68,'Data qoq'!$A:$AT,MATCH($H$1,'Data qoq'!$A$1:$AT$1,),)</f>
        <v>0.1255986</v>
      </c>
      <c r="I68" s="27">
        <f>VLOOKUP(B68,'Data qoq'!$A:$AT,MATCH($I$1,'Data qoq'!$A$1:$AT$1,),)</f>
        <v>0.65099296600000001</v>
      </c>
      <c r="J68" s="27">
        <f>VLOOKUP(B68,'Data qoq'!$A:$AT,MATCH($J$1,'Data qoq'!$A$1:$AT$1,),)</f>
        <v>1.3219817E-2</v>
      </c>
      <c r="K68" s="27">
        <f>VLOOKUP(B68,'Data qoq'!$A:$AT,MATCH($K$1,'Data qoq'!$A$1:$AT$1,),)</f>
        <v>0.46335200700000001</v>
      </c>
      <c r="L68" s="27">
        <f>VLOOKUP(B68,'Data qoq'!$A:$AT,MATCH($L$1,'Data qoq'!$A$1:$AT$1,),)</f>
        <v>0.83039228600000003</v>
      </c>
      <c r="M68" s="27">
        <f>VLOOKUP(B68,'Data qoq'!$A:$AT,MATCH($M$1,'Data qoq'!$A$1:$AT$1,),)</f>
        <v>1.239802646</v>
      </c>
      <c r="N68" s="27">
        <f>VLOOKUP(B68,'Data qoq'!$A:$AT,MATCH($N$1,'Data qoq'!$A$1:$AT$1,),)</f>
        <v>0.48178079000000001</v>
      </c>
      <c r="O68" s="27">
        <f>VLOOKUP(B68,'Data qoq'!$A:$AT,MATCH($C$1,'Data qoq'!$J$1:$AT$1,),)</f>
        <v>0.58525191899999995</v>
      </c>
      <c r="P68" s="27">
        <f>VLOOKUP(B68,'Data qoq'!$A:$AT,MATCH($P$1,'Data qoq'!$A$1:$AT$1,),)</f>
        <v>0.913329104</v>
      </c>
      <c r="Q68" s="27">
        <f>VLOOKUP(B68,'Data qoq'!$A:$AT,MATCH($Q$1,'Data qoq'!$A$1:$AT$1,),)</f>
        <v>0.52976407299999995</v>
      </c>
      <c r="R68" s="27">
        <f>VLOOKUP(B68,'Data qoq'!$A:$AT,MATCH($E$1,'Data qoq'!$A$1:$AT$1,),)</f>
        <v>0.23510400000000001</v>
      </c>
      <c r="S68" s="27">
        <f>VLOOKUP(B68,'Data qoq'!$A:$AT,MATCH($S$1,'Data qoq'!$A$1:$AT$1,),)</f>
        <v>0.84974263400000005</v>
      </c>
      <c r="T68" s="27">
        <f>VLOOKUP(B68,'Data qoq'!$A:$AT,MATCH($T$1,'Data qoq'!$A$1:$AT$1,),)</f>
        <v>-1.5418673439999999</v>
      </c>
      <c r="U68" s="27">
        <f>VLOOKUP(B68,'Data qoq'!$A:$AT,MATCH($U$1,'Data qoq'!$A$1:$AT$1,),)</f>
        <v>-0.280985708</v>
      </c>
      <c r="V68" s="27">
        <f>VLOOKUP(B68,'Data qoq'!$A:$AT,MATCH($V$1,'Data qoq'!$A$1:$AT$1,),)</f>
        <v>4.2902459540000004</v>
      </c>
      <c r="W68" s="27">
        <f>VLOOKUP(B68,'Data qoq'!$A:$AT,MATCH($W$1,'Data qoq'!$A$1:$AT$1,),)</f>
        <v>-1.62240622</v>
      </c>
      <c r="X68" s="27">
        <f>VLOOKUP(B68,'Data qoq'!$A:$AT,MATCH($X$1,'Data qoq'!$A$1:$AT$1,),)</f>
        <v>1.0075751120000001</v>
      </c>
      <c r="Y68" s="27">
        <f>VLOOKUP(B68,'Data qoq'!$A:$AT,MATCH($Y$1,'Data qoq'!$A$1:$AT$1,),)</f>
        <v>1.136289119</v>
      </c>
      <c r="Z68" s="27">
        <f>VLOOKUP(B68,'Data qoq'!$A:$AU,MATCH($Z$1,'Data qoq'!$A$1:$AU$1,),)</f>
        <v>-0.58772028899999995</v>
      </c>
      <c r="AA68" s="27">
        <f>VLOOKUP(B68,'Data qoq'!$A:$AU,MATCH($AA$1,'Data qoq'!$A$1:$AU$1,),)</f>
        <v>0.55187943900000003</v>
      </c>
      <c r="AC68" s="28" t="str">
        <f t="shared" si="7"/>
        <v>2014-Q2</v>
      </c>
      <c r="AD68" s="29">
        <f t="shared" si="9"/>
        <v>1.2841289069999999</v>
      </c>
      <c r="AE68" s="29">
        <f t="shared" si="8"/>
        <v>1.2841289069999999</v>
      </c>
    </row>
    <row r="69" spans="2:31" hidden="1" x14ac:dyDescent="0.2">
      <c r="B69" s="26" t="s">
        <v>318</v>
      </c>
      <c r="C69" s="27">
        <f>VLOOKUP(B69,'Data qoq'!$A:$AT,MATCH($C$1,'Data qoq'!$A$1:$AT$1,),)</f>
        <v>1.1649616439999999</v>
      </c>
      <c r="D69" s="27">
        <f>VLOOKUP(B69,'Data qoq'!$A:$AT,MATCH($D$1,'Data qoq'!$A$1:$AT$1,),)</f>
        <v>1.8</v>
      </c>
      <c r="E69" s="27">
        <f>VLOOKUP(B69,'Data qoq'!$A:$AT,MATCH($E$1,'Data qoq'!$A$1:$AT$1,),)</f>
        <v>0.44042799999999999</v>
      </c>
      <c r="F69" s="27">
        <f>VLOOKUP(B69,'Data qoq'!$A:$AT,MATCH($F$1,'Data qoq'!$A$1:$AT$1,),)</f>
        <v>0.10143020799999999</v>
      </c>
      <c r="G69" s="27">
        <f>VLOOKUP(B69,'Data qoq'!$A:$AT,MATCH($G$1,'Data qoq'!$A$1:$AT$1,),)</f>
        <v>0.53965720100000003</v>
      </c>
      <c r="H69" s="27">
        <f>VLOOKUP(B69,'Data qoq'!$A:$AT,MATCH($H$1,'Data qoq'!$A$1:$AT$1,),)</f>
        <v>0.50977899599999998</v>
      </c>
      <c r="I69" s="27">
        <f>VLOOKUP(B69,'Data qoq'!$A:$AT,MATCH($I$1,'Data qoq'!$A$1:$AT$1,),)</f>
        <v>0.56422730600000004</v>
      </c>
      <c r="J69" s="27">
        <f>VLOOKUP(B69,'Data qoq'!$A:$AT,MATCH($J$1,'Data qoq'!$A$1:$AT$1,),)</f>
        <v>0.13371427999999999</v>
      </c>
      <c r="K69" s="27">
        <f>VLOOKUP(B69,'Data qoq'!$A:$AT,MATCH($K$1,'Data qoq'!$A$1:$AT$1,),)</f>
        <v>0.74003508500000004</v>
      </c>
      <c r="L69" s="27">
        <f>VLOOKUP(B69,'Data qoq'!$A:$AT,MATCH($L$1,'Data qoq'!$A$1:$AT$1,),)</f>
        <v>0.71434474299999995</v>
      </c>
      <c r="M69" s="27">
        <f>VLOOKUP(B69,'Data qoq'!$A:$AT,MATCH($M$1,'Data qoq'!$A$1:$AT$1,),)</f>
        <v>0.35505460799999999</v>
      </c>
      <c r="N69" s="27">
        <f>VLOOKUP(B69,'Data qoq'!$A:$AT,MATCH($N$1,'Data qoq'!$A$1:$AT$1,),)</f>
        <v>-0.31806822099999998</v>
      </c>
      <c r="O69" s="27">
        <f>VLOOKUP(B69,'Data qoq'!$A:$AT,MATCH($C$1,'Data qoq'!$J$1:$AT$1,),)</f>
        <v>0.249815431</v>
      </c>
      <c r="P69" s="27">
        <f>VLOOKUP(B69,'Data qoq'!$A:$AT,MATCH($P$1,'Data qoq'!$A$1:$AT$1,),)</f>
        <v>0.95905130800000005</v>
      </c>
      <c r="Q69" s="27">
        <f>VLOOKUP(B69,'Data qoq'!$A:$AT,MATCH($Q$1,'Data qoq'!$A$1:$AT$1,),)</f>
        <v>0.50289399099999998</v>
      </c>
      <c r="R69" s="27">
        <f>VLOOKUP(B69,'Data qoq'!$A:$AT,MATCH($E$1,'Data qoq'!$A$1:$AT$1,),)</f>
        <v>0.44042799999999999</v>
      </c>
      <c r="S69" s="27">
        <f>VLOOKUP(B69,'Data qoq'!$A:$AT,MATCH($S$1,'Data qoq'!$A$1:$AT$1,),)</f>
        <v>0.34353096500000002</v>
      </c>
      <c r="T69" s="27">
        <f>VLOOKUP(B69,'Data qoq'!$A:$AT,MATCH($T$1,'Data qoq'!$A$1:$AT$1,),)</f>
        <v>-2.4833983E-2</v>
      </c>
      <c r="U69" s="27">
        <f>VLOOKUP(B69,'Data qoq'!$A:$AT,MATCH($U$1,'Data qoq'!$A$1:$AT$1,),)</f>
        <v>0.76256776100000001</v>
      </c>
      <c r="V69" s="27">
        <f>VLOOKUP(B69,'Data qoq'!$A:$AT,MATCH($V$1,'Data qoq'!$A$1:$AT$1,),)</f>
        <v>-0.31144669200000002</v>
      </c>
      <c r="W69" s="27">
        <f>VLOOKUP(B69,'Data qoq'!$A:$AT,MATCH($W$1,'Data qoq'!$A$1:$AT$1,),)</f>
        <v>2.4581843989999999</v>
      </c>
      <c r="X69" s="27">
        <f>VLOOKUP(B69,'Data qoq'!$A:$AT,MATCH($X$1,'Data qoq'!$A$1:$AT$1,),)</f>
        <v>1.085489897</v>
      </c>
      <c r="Y69" s="27">
        <f>VLOOKUP(B69,'Data qoq'!$A:$AT,MATCH($Y$1,'Data qoq'!$A$1:$AT$1,),)</f>
        <v>0.83971959900000004</v>
      </c>
      <c r="Z69" s="27">
        <f>VLOOKUP(B69,'Data qoq'!$A:$AU,MATCH($Z$1,'Data qoq'!$A$1:$AU$1,),)</f>
        <v>-0.82013561099999999</v>
      </c>
      <c r="AA69" s="27">
        <f>VLOOKUP(B69,'Data qoq'!$A:$AU,MATCH($AA$1,'Data qoq'!$A$1:$AU$1,),)</f>
        <v>1.2702156760000001</v>
      </c>
      <c r="AC69" s="28" t="str">
        <f t="shared" si="7"/>
        <v>2014-Q3</v>
      </c>
      <c r="AD69" s="29">
        <f t="shared" si="9"/>
        <v>0.62530444299999988</v>
      </c>
      <c r="AE69" s="29">
        <f t="shared" si="8"/>
        <v>0.62530444299999988</v>
      </c>
    </row>
    <row r="70" spans="2:31" hidden="1" x14ac:dyDescent="0.2">
      <c r="B70" s="26" t="s">
        <v>319</v>
      </c>
      <c r="C70" s="27">
        <f>VLOOKUP(B70,'Data qoq'!$A:$AT,MATCH($C$1,'Data qoq'!$A$1:$AT$1,),)</f>
        <v>0.44899340199999999</v>
      </c>
      <c r="D70" s="27">
        <f>VLOOKUP(B70,'Data qoq'!$A:$AT,MATCH($D$1,'Data qoq'!$A$1:$AT$1,),)</f>
        <v>1.7</v>
      </c>
      <c r="E70" s="27">
        <f>VLOOKUP(B70,'Data qoq'!$A:$AT,MATCH($E$1,'Data qoq'!$A$1:$AT$1,),)</f>
        <v>0.427261</v>
      </c>
      <c r="F70" s="27">
        <f>VLOOKUP(B70,'Data qoq'!$A:$AT,MATCH($F$1,'Data qoq'!$A$1:$AT$1,),)</f>
        <v>0.49033137399999999</v>
      </c>
      <c r="G70" s="27">
        <f>VLOOKUP(B70,'Data qoq'!$A:$AT,MATCH($G$1,'Data qoq'!$A$1:$AT$1,),)</f>
        <v>0.81021354599999995</v>
      </c>
      <c r="H70" s="27">
        <f>VLOOKUP(B70,'Data qoq'!$A:$AT,MATCH($H$1,'Data qoq'!$A$1:$AT$1,),)</f>
        <v>7.7145326E-2</v>
      </c>
      <c r="I70" s="27">
        <f>VLOOKUP(B70,'Data qoq'!$A:$AT,MATCH($I$1,'Data qoq'!$A$1:$AT$1,),)</f>
        <v>0.58542957500000004</v>
      </c>
      <c r="J70" s="27">
        <f>VLOOKUP(B70,'Data qoq'!$A:$AT,MATCH($J$1,'Data qoq'!$A$1:$AT$1,),)</f>
        <v>-0.21470735699999999</v>
      </c>
      <c r="K70" s="27">
        <f>VLOOKUP(B70,'Data qoq'!$A:$AT,MATCH($K$1,'Data qoq'!$A$1:$AT$1,),)</f>
        <v>0.85837734799999998</v>
      </c>
      <c r="L70" s="27">
        <f>VLOOKUP(B70,'Data qoq'!$A:$AT,MATCH($L$1,'Data qoq'!$A$1:$AT$1,),)</f>
        <v>0.80880108299999998</v>
      </c>
      <c r="M70" s="27">
        <f>VLOOKUP(B70,'Data qoq'!$A:$AT,MATCH($M$1,'Data qoq'!$A$1:$AT$1,),)</f>
        <v>1.0758637069999999</v>
      </c>
      <c r="N70" s="27">
        <f>VLOOKUP(B70,'Data qoq'!$A:$AT,MATCH($N$1,'Data qoq'!$A$1:$AT$1,),)</f>
        <v>-0.235634331</v>
      </c>
      <c r="O70" s="27">
        <f>VLOOKUP(B70,'Data qoq'!$A:$AT,MATCH($C$1,'Data qoq'!$J$1:$AT$1,),)</f>
        <v>0.89585285000000003</v>
      </c>
      <c r="P70" s="27">
        <f>VLOOKUP(B70,'Data qoq'!$A:$AT,MATCH($P$1,'Data qoq'!$A$1:$AT$1,),)</f>
        <v>0.69197566799999999</v>
      </c>
      <c r="Q70" s="27">
        <f>VLOOKUP(B70,'Data qoq'!$A:$AT,MATCH($Q$1,'Data qoq'!$A$1:$AT$1,),)</f>
        <v>0.35868382199999999</v>
      </c>
      <c r="R70" s="27">
        <f>VLOOKUP(B70,'Data qoq'!$A:$AT,MATCH($E$1,'Data qoq'!$A$1:$AT$1,),)</f>
        <v>0.427261</v>
      </c>
      <c r="S70" s="27">
        <f>VLOOKUP(B70,'Data qoq'!$A:$AT,MATCH($S$1,'Data qoq'!$A$1:$AT$1,),)</f>
        <v>0.42744270699999998</v>
      </c>
      <c r="T70" s="27">
        <f>VLOOKUP(B70,'Data qoq'!$A:$AT,MATCH($T$1,'Data qoq'!$A$1:$AT$1,),)</f>
        <v>0.49986798599999999</v>
      </c>
      <c r="U70" s="27">
        <f>VLOOKUP(B70,'Data qoq'!$A:$AT,MATCH($U$1,'Data qoq'!$A$1:$AT$1,),)</f>
        <v>-0.94663776399999999</v>
      </c>
      <c r="V70" s="27">
        <f>VLOOKUP(B70,'Data qoq'!$A:$AT,MATCH($V$1,'Data qoq'!$A$1:$AT$1,),)</f>
        <v>1.5172192259999999</v>
      </c>
      <c r="W70" s="27">
        <f>VLOOKUP(B70,'Data qoq'!$A:$AT,MATCH($W$1,'Data qoq'!$A$1:$AT$1,),)</f>
        <v>1.3475593850000001</v>
      </c>
      <c r="X70" s="27">
        <f>VLOOKUP(B70,'Data qoq'!$A:$AT,MATCH($X$1,'Data qoq'!$A$1:$AT$1,),)</f>
        <v>1.2736460700000001</v>
      </c>
      <c r="Y70" s="27">
        <f>VLOOKUP(B70,'Data qoq'!$A:$AT,MATCH($Y$1,'Data qoq'!$A$1:$AT$1,),)</f>
        <v>0.65181464300000003</v>
      </c>
      <c r="Z70" s="27">
        <f>VLOOKUP(B70,'Data qoq'!$A:$AU,MATCH($Z$1,'Data qoq'!$A$1:$AU$1,),)</f>
        <v>0.49892276699999999</v>
      </c>
      <c r="AA70" s="27">
        <f>VLOOKUP(B70,'Data qoq'!$A:$AU,MATCH($AA$1,'Data qoq'!$A$1:$AU$1,),)</f>
        <v>1.579920376</v>
      </c>
      <c r="AC70" s="28" t="str">
        <f t="shared" si="7"/>
        <v>2014-Q4</v>
      </c>
      <c r="AD70" s="29">
        <f t="shared" si="9"/>
        <v>-0.36122014399999997</v>
      </c>
      <c r="AE70" s="29">
        <f t="shared" si="8"/>
        <v>-0.36122014399999997</v>
      </c>
    </row>
    <row r="71" spans="2:31" x14ac:dyDescent="0.2">
      <c r="B71" s="26" t="s">
        <v>320</v>
      </c>
      <c r="C71" s="27">
        <f>VLOOKUP(B71,'Data qoq'!$A:$AT,MATCH($C$1,'Data qoq'!$A$1:$AT$1,),)</f>
        <v>0.81331362600000001</v>
      </c>
      <c r="D71" s="27">
        <f>VLOOKUP(B71,'Data qoq'!$A:$AT,MATCH($D$1,'Data qoq'!$A$1:$AT$1,),)</f>
        <v>1.9</v>
      </c>
      <c r="E71" s="27">
        <f>VLOOKUP(B71,'Data qoq'!$A:$AT,MATCH($E$1,'Data qoq'!$A$1:$AT$1,),)</f>
        <v>0.64798199999999995</v>
      </c>
      <c r="F71" s="27">
        <f>VLOOKUP(B71,'Data qoq'!$A:$AT,MATCH($F$1,'Data qoq'!$A$1:$AT$1,),)</f>
        <v>1.548952275</v>
      </c>
      <c r="G71" s="27">
        <f>VLOOKUP(B71,'Data qoq'!$A:$AT,MATCH($G$1,'Data qoq'!$A$1:$AT$1,),)</f>
        <v>-0.52742190799999999</v>
      </c>
      <c r="H71" s="27">
        <f>VLOOKUP(B71,'Data qoq'!$A:$AT,MATCH($H$1,'Data qoq'!$A$1:$AT$1,),)</f>
        <v>0.46529468699999998</v>
      </c>
      <c r="I71" s="27">
        <f>VLOOKUP(B71,'Data qoq'!$A:$AT,MATCH($I$1,'Data qoq'!$A$1:$AT$1,),)</f>
        <v>0.54111587000000005</v>
      </c>
      <c r="J71" s="27">
        <f>VLOOKUP(B71,'Data qoq'!$A:$AT,MATCH($J$1,'Data qoq'!$A$1:$AT$1,),)</f>
        <v>0.21495007899999999</v>
      </c>
      <c r="K71" s="27">
        <f>VLOOKUP(B71,'Data qoq'!$A:$AT,MATCH($K$1,'Data qoq'!$A$1:$AT$1,),)</f>
        <v>1.1475940920000001</v>
      </c>
      <c r="L71" s="27">
        <f>VLOOKUP(B71,'Data qoq'!$A:$AT,MATCH($L$1,'Data qoq'!$A$1:$AT$1,),)</f>
        <v>1.3786427649999999</v>
      </c>
      <c r="M71" s="27">
        <f>VLOOKUP(B71,'Data qoq'!$A:$AT,MATCH($M$1,'Data qoq'!$A$1:$AT$1,),)</f>
        <v>0.54650601200000004</v>
      </c>
      <c r="N71" s="27">
        <f>VLOOKUP(B71,'Data qoq'!$A:$AT,MATCH($N$1,'Data qoq'!$A$1:$AT$1,),)</f>
        <v>-1.0177602530000001</v>
      </c>
      <c r="O71" s="27">
        <f>VLOOKUP(B71,'Data qoq'!$A:$AT,MATCH($O$1,'Data qoq'!$J$1:$AT$1,),)</f>
        <v>1.6999392069999999</v>
      </c>
      <c r="P71" s="27">
        <f>VLOOKUP(B71,'Data qoq'!$A:$AT,MATCH($P$1,'Data qoq'!$A$1:$AT$1,),)</f>
        <v>-0.54951940799999999</v>
      </c>
      <c r="Q71" s="27">
        <f>VLOOKUP(B71,'Data qoq'!$A:$AT,MATCH($Q$1,'Data qoq'!$A$1:$AT$1,),)</f>
        <v>0.83848481600000002</v>
      </c>
      <c r="R71" s="27">
        <f>VLOOKUP(B71,'Data qoq'!$A:$AT,MATCH($R$1,'Data qoq'!$A$1:$AT$1,),)</f>
        <v>-0.147906697</v>
      </c>
      <c r="S71" s="27">
        <f>VLOOKUP(B71,'Data qoq'!$A:$AT,MATCH($S$1,'Data qoq'!$A$1:$AT$1,),)</f>
        <v>0.83787297199999999</v>
      </c>
      <c r="T71" s="27">
        <f>VLOOKUP(B71,'Data qoq'!$A:$AT,MATCH($T$1,'Data qoq'!$A$1:$AT$1,),)</f>
        <v>-0.64391525999999999</v>
      </c>
      <c r="U71" s="27">
        <f>VLOOKUP(B71,'Data qoq'!$A:$AT,MATCH($U$1,'Data qoq'!$A$1:$AT$1,),)</f>
        <v>0.35172937300000001</v>
      </c>
      <c r="V71" s="27">
        <f>VLOOKUP(B71,'Data qoq'!$A:$AT,MATCH($V$1,'Data qoq'!$A$1:$AT$1,),)</f>
        <v>22.604269552000002</v>
      </c>
      <c r="W71" s="27">
        <f>VLOOKUP(B71,'Data qoq'!$A:$AT,MATCH($W$1,'Data qoq'!$A$1:$AT$1,),)</f>
        <v>1.890749754</v>
      </c>
      <c r="X71" s="27">
        <f>VLOOKUP(B71,'Data qoq'!$A:$AT,MATCH($X$1,'Data qoq'!$A$1:$AT$1,),)</f>
        <v>1.81529995</v>
      </c>
      <c r="Y71" s="27">
        <f>VLOOKUP(B71,'Data qoq'!$A:$AT,MATCH($Y$1,'Data qoq'!$A$1:$AT$1,),)</f>
        <v>1.41864725</v>
      </c>
      <c r="Z71" s="27">
        <f>VLOOKUP(B71,'Data qoq'!$A:$AU,MATCH($Z$1,'Data qoq'!$A$1:$AU$1,),)</f>
        <v>1.462516779</v>
      </c>
      <c r="AA71" s="27">
        <f>VLOOKUP(B71,'Data qoq'!$A:$AU,MATCH($AA$1,'Data qoq'!$A$1:$AU$1,),)</f>
        <v>0.33463493900000002</v>
      </c>
      <c r="AC71" s="28" t="str">
        <f t="shared" si="7"/>
        <v>2015-Q1</v>
      </c>
      <c r="AD71" s="29">
        <f t="shared" si="9"/>
        <v>1.340735534</v>
      </c>
      <c r="AE71" s="29">
        <f t="shared" si="8"/>
        <v>1.340735534</v>
      </c>
    </row>
    <row r="72" spans="2:31" x14ac:dyDescent="0.2">
      <c r="B72" s="26" t="s">
        <v>321</v>
      </c>
      <c r="C72" s="27">
        <f>VLOOKUP(B72,'Data qoq'!$A:$AT,MATCH($C$1,'Data qoq'!$A$1:$AT$1,),)</f>
        <v>0.58000143199999998</v>
      </c>
      <c r="D72" s="27">
        <f>VLOOKUP(B72,'Data qoq'!$A:$AT,MATCH($D$1,'Data qoq'!$A$1:$AT$1,),)</f>
        <v>1.8</v>
      </c>
      <c r="E72" s="27">
        <f>VLOOKUP(B72,'Data qoq'!$A:$AT,MATCH($E$1,'Data qoq'!$A$1:$AT$1,),)</f>
        <v>0.44514199999999998</v>
      </c>
      <c r="F72" s="27">
        <f>VLOOKUP(B72,'Data qoq'!$A:$AT,MATCH($F$1,'Data qoq'!$A$1:$AT$1,),)</f>
        <v>8.8785116999999997E-2</v>
      </c>
      <c r="G72" s="27">
        <f>VLOOKUP(B72,'Data qoq'!$A:$AT,MATCH($G$1,'Data qoq'!$A$1:$AT$1,),)</f>
        <v>0.70693694699999998</v>
      </c>
      <c r="H72" s="27">
        <f>VLOOKUP(B72,'Data qoq'!$A:$AT,MATCH($H$1,'Data qoq'!$A$1:$AT$1,),)</f>
        <v>2.2686653000000001E-2</v>
      </c>
      <c r="I72" s="27">
        <f>VLOOKUP(B72,'Data qoq'!$A:$AT,MATCH($I$1,'Data qoq'!$A$1:$AT$1,),)</f>
        <v>0.74676979099999996</v>
      </c>
      <c r="J72" s="27">
        <f>VLOOKUP(B72,'Data qoq'!$A:$AT,MATCH($J$1,'Data qoq'!$A$1:$AT$1,),)</f>
        <v>0.38220521400000002</v>
      </c>
      <c r="K72" s="27">
        <f>VLOOKUP(B72,'Data qoq'!$A:$AT,MATCH($K$1,'Data qoq'!$A$1:$AT$1,),)</f>
        <v>1.072777012</v>
      </c>
      <c r="L72" s="27">
        <f>VLOOKUP(B72,'Data qoq'!$A:$AT,MATCH($L$1,'Data qoq'!$A$1:$AT$1,),)</f>
        <v>0.97615090800000004</v>
      </c>
      <c r="M72" s="27">
        <f>VLOOKUP(B72,'Data qoq'!$A:$AT,MATCH($M$1,'Data qoq'!$A$1:$AT$1,),)</f>
        <v>1.1634377979999999</v>
      </c>
      <c r="N72" s="27">
        <f>VLOOKUP(B72,'Data qoq'!$A:$AT,MATCH($N$1,'Data qoq'!$A$1:$AT$1,),)</f>
        <v>-0.67014953200000005</v>
      </c>
      <c r="O72" s="27">
        <f>VLOOKUP(B72,'Data qoq'!$A:$AT,MATCH($O$1,'Data qoq'!$J$1:$AT$1,),)</f>
        <v>1.1811180649999999</v>
      </c>
      <c r="P72" s="27">
        <f>VLOOKUP(B72,'Data qoq'!$A:$AT,MATCH($P$1,'Data qoq'!$A$1:$AT$1,),)</f>
        <v>-0.27217208300000001</v>
      </c>
      <c r="Q72" s="27">
        <f>VLOOKUP(B72,'Data qoq'!$A:$AT,MATCH($Q$1,'Data qoq'!$A$1:$AT$1,),)</f>
        <v>0.17360758800000001</v>
      </c>
      <c r="R72" s="27">
        <f>VLOOKUP(B72,'Data qoq'!$A:$AT,MATCH($R$1,'Data qoq'!$A$1:$AT$1,),)</f>
        <v>0.70856637200000006</v>
      </c>
      <c r="S72" s="27">
        <f>VLOOKUP(B72,'Data qoq'!$A:$AT,MATCH($S$1,'Data qoq'!$A$1:$AT$1,),)</f>
        <v>0.41966879299999998</v>
      </c>
      <c r="T72" s="27">
        <f>VLOOKUP(B72,'Data qoq'!$A:$AT,MATCH($T$1,'Data qoq'!$A$1:$AT$1,),)</f>
        <v>-2.6160085909999999</v>
      </c>
      <c r="U72" s="27">
        <f>VLOOKUP(B72,'Data qoq'!$A:$AT,MATCH($U$1,'Data qoq'!$A$1:$AT$1,),)</f>
        <v>-0.140479463</v>
      </c>
      <c r="V72" s="27">
        <f>VLOOKUP(B72,'Data qoq'!$A:$AT,MATCH($V$1,'Data qoq'!$A$1:$AT$1,),)</f>
        <v>-1.9815901140000001</v>
      </c>
      <c r="W72" s="27">
        <f>VLOOKUP(B72,'Data qoq'!$A:$AT,MATCH($W$1,'Data qoq'!$A$1:$AT$1,),)</f>
        <v>1.5237694049999999</v>
      </c>
      <c r="X72" s="27">
        <f>VLOOKUP(B72,'Data qoq'!$A:$AT,MATCH($X$1,'Data qoq'!$A$1:$AT$1,),)</f>
        <v>1.4529242849999999</v>
      </c>
      <c r="Y72" s="27">
        <f>VLOOKUP(B72,'Data qoq'!$A:$AT,MATCH($Y$1,'Data qoq'!$A$1:$AT$1,),)</f>
        <v>0.78094839000000005</v>
      </c>
      <c r="Z72" s="27">
        <f>VLOOKUP(B72,'Data qoq'!$A:$AU,MATCH($Z$1,'Data qoq'!$A$1:$AU$1,),)</f>
        <v>2.352208911</v>
      </c>
      <c r="AA72" s="27">
        <f>VLOOKUP(B72,'Data qoq'!$A:$AU,MATCH($AA$1,'Data qoq'!$A$1:$AU$1,),)</f>
        <v>0.67785295599999995</v>
      </c>
      <c r="AC72" s="28" t="str">
        <f t="shared" si="7"/>
        <v>2015-Q2</v>
      </c>
      <c r="AD72" s="29">
        <f t="shared" si="9"/>
        <v>-0.126935515</v>
      </c>
      <c r="AE72" s="29">
        <f t="shared" si="8"/>
        <v>-0.126935515</v>
      </c>
    </row>
    <row r="73" spans="2:31" x14ac:dyDescent="0.2">
      <c r="B73" s="26" t="s">
        <v>322</v>
      </c>
      <c r="C73" s="27">
        <f>VLOOKUP(B73,'Data qoq'!$A:$AT,MATCH($C$1,'Data qoq'!$A$1:$AT$1,),)</f>
        <v>0.323372673</v>
      </c>
      <c r="D73" s="27">
        <f>VLOOKUP(B73,'Data qoq'!$A:$AT,MATCH($D$1,'Data qoq'!$A$1:$AT$1,),)</f>
        <v>1.7</v>
      </c>
      <c r="E73" s="27">
        <f>VLOOKUP(B73,'Data qoq'!$A:$AT,MATCH($E$1,'Data qoq'!$A$1:$AT$1,),)</f>
        <v>0.43703599999999998</v>
      </c>
      <c r="F73" s="27">
        <f>VLOOKUP(B73,'Data qoq'!$A:$AT,MATCH($F$1,'Data qoq'!$A$1:$AT$1,),)</f>
        <v>0.109335745</v>
      </c>
      <c r="G73" s="27">
        <f>VLOOKUP(B73,'Data qoq'!$A:$AT,MATCH($G$1,'Data qoq'!$A$1:$AT$1,),)</f>
        <v>0.501395916</v>
      </c>
      <c r="H73" s="27">
        <f>VLOOKUP(B73,'Data qoq'!$A:$AT,MATCH($H$1,'Data qoq'!$A$1:$AT$1,),)</f>
        <v>0.35534361599999997</v>
      </c>
      <c r="I73" s="27">
        <f>VLOOKUP(B73,'Data qoq'!$A:$AT,MATCH($I$1,'Data qoq'!$A$1:$AT$1,),)</f>
        <v>0.38718278</v>
      </c>
      <c r="J73" s="27">
        <f>VLOOKUP(B73,'Data qoq'!$A:$AT,MATCH($J$1,'Data qoq'!$A$1:$AT$1,),)</f>
        <v>0.22837248399999999</v>
      </c>
      <c r="K73" s="27">
        <f>VLOOKUP(B73,'Data qoq'!$A:$AT,MATCH($K$1,'Data qoq'!$A$1:$AT$1,),)</f>
        <v>0.91002971300000002</v>
      </c>
      <c r="L73" s="27">
        <f>VLOOKUP(B73,'Data qoq'!$A:$AT,MATCH($L$1,'Data qoq'!$A$1:$AT$1,),)</f>
        <v>1.402919893</v>
      </c>
      <c r="M73" s="27">
        <f>VLOOKUP(B73,'Data qoq'!$A:$AT,MATCH($M$1,'Data qoq'!$A$1:$AT$1,),)</f>
        <v>1.2530257339999999</v>
      </c>
      <c r="N73" s="27">
        <f>VLOOKUP(B73,'Data qoq'!$A:$AT,MATCH($N$1,'Data qoq'!$A$1:$AT$1,),)</f>
        <v>0.19352244399999999</v>
      </c>
      <c r="O73" s="27">
        <f>VLOOKUP(B73,'Data qoq'!$A:$AT,MATCH($O$1,'Data qoq'!$J$1:$AT$1,),)</f>
        <v>1.1247728159999999</v>
      </c>
      <c r="P73" s="27">
        <f>VLOOKUP(B73,'Data qoq'!$A:$AT,MATCH($P$1,'Data qoq'!$A$1:$AT$1,),)</f>
        <v>0.35370182900000002</v>
      </c>
      <c r="Q73" s="27">
        <f>VLOOKUP(B73,'Data qoq'!$A:$AT,MATCH($Q$1,'Data qoq'!$A$1:$AT$1,),)</f>
        <v>1.082829356</v>
      </c>
      <c r="R73" s="27">
        <f>VLOOKUP(B73,'Data qoq'!$A:$AT,MATCH($R$1,'Data qoq'!$A$1:$AT$1,),)</f>
        <v>0.62397201700000005</v>
      </c>
      <c r="S73" s="27">
        <f>VLOOKUP(B73,'Data qoq'!$A:$AT,MATCH($S$1,'Data qoq'!$A$1:$AT$1,),)</f>
        <v>1.513074861</v>
      </c>
      <c r="T73" s="27">
        <f>VLOOKUP(B73,'Data qoq'!$A:$AT,MATCH($T$1,'Data qoq'!$A$1:$AT$1,),)</f>
        <v>-1.504456579</v>
      </c>
      <c r="U73" s="27">
        <f>VLOOKUP(B73,'Data qoq'!$A:$AT,MATCH($U$1,'Data qoq'!$A$1:$AT$1,),)</f>
        <v>-1.6024228540000001</v>
      </c>
      <c r="V73" s="27">
        <f>VLOOKUP(B73,'Data qoq'!$A:$AT,MATCH($V$1,'Data qoq'!$A$1:$AT$1,),)</f>
        <v>2.2840738100000002</v>
      </c>
      <c r="W73" s="27">
        <f>VLOOKUP(B73,'Data qoq'!$A:$AT,MATCH($W$1,'Data qoq'!$A$1:$AT$1,),)</f>
        <v>1.401513902</v>
      </c>
      <c r="X73" s="27">
        <f>VLOOKUP(B73,'Data qoq'!$A:$AT,MATCH($X$1,'Data qoq'!$A$1:$AT$1,),)</f>
        <v>1.0965971830000001</v>
      </c>
      <c r="Y73" s="27">
        <f>VLOOKUP(B73,'Data qoq'!$A:$AT,MATCH($Y$1,'Data qoq'!$A$1:$AT$1,),)</f>
        <v>1.2739392860000001</v>
      </c>
      <c r="Z73" s="27">
        <f>VLOOKUP(B73,'Data qoq'!$A:$AU,MATCH($Z$1,'Data qoq'!$A$1:$AU$1,),)</f>
        <v>-7.3229084999999999E-2</v>
      </c>
      <c r="AA73" s="27">
        <f>VLOOKUP(B73,'Data qoq'!$A:$AU,MATCH($AA$1,'Data qoq'!$A$1:$AU$1,),)</f>
        <v>1.0679662759999999</v>
      </c>
      <c r="AC73" s="28" t="str">
        <f t="shared" si="7"/>
        <v>2015-Q3</v>
      </c>
      <c r="AD73" s="29">
        <f t="shared" si="9"/>
        <v>-0.178023243</v>
      </c>
      <c r="AE73" s="29">
        <f t="shared" si="8"/>
        <v>-0.178023243</v>
      </c>
    </row>
    <row r="74" spans="2:31" x14ac:dyDescent="0.2">
      <c r="B74" s="26" t="s">
        <v>323</v>
      </c>
      <c r="C74" s="27">
        <f>VLOOKUP(B74,'Data qoq'!$A:$AT,MATCH($C$1,'Data qoq'!$A$1:$AT$1,),)</f>
        <v>0.14623434699999999</v>
      </c>
      <c r="D74" s="27">
        <f>VLOOKUP(B74,'Data qoq'!$A:$AT,MATCH($D$1,'Data qoq'!$A$1:$AT$1,),)</f>
        <v>1.6</v>
      </c>
      <c r="E74" s="27">
        <f>VLOOKUP(B74,'Data qoq'!$A:$AT,MATCH($E$1,'Data qoq'!$A$1:$AT$1,),)</f>
        <v>0.47174500000000003</v>
      </c>
      <c r="F74" s="27">
        <f>VLOOKUP(B74,'Data qoq'!$A:$AT,MATCH($F$1,'Data qoq'!$A$1:$AT$1,),)</f>
        <v>-9.3250660999999999E-2</v>
      </c>
      <c r="G74" s="27">
        <f>VLOOKUP(B74,'Data qoq'!$A:$AT,MATCH($G$1,'Data qoq'!$A$1:$AT$1,),)</f>
        <v>0.42905977699999998</v>
      </c>
      <c r="H74" s="27">
        <f>VLOOKUP(B74,'Data qoq'!$A:$AT,MATCH($H$1,'Data qoq'!$A$1:$AT$1,),)</f>
        <v>0.139098414</v>
      </c>
      <c r="I74" s="27">
        <f>VLOOKUP(B74,'Data qoq'!$A:$AT,MATCH($I$1,'Data qoq'!$A$1:$AT$1,),)</f>
        <v>0.65616029099999995</v>
      </c>
      <c r="J74" s="27">
        <f>VLOOKUP(B74,'Data qoq'!$A:$AT,MATCH($J$1,'Data qoq'!$A$1:$AT$1,),)</f>
        <v>0.53568205499999999</v>
      </c>
      <c r="K74" s="27">
        <f>VLOOKUP(B74,'Data qoq'!$A:$AT,MATCH($K$1,'Data qoq'!$A$1:$AT$1,),)</f>
        <v>0.96906241500000001</v>
      </c>
      <c r="L74" s="27">
        <f>VLOOKUP(B74,'Data qoq'!$A:$AT,MATCH($L$1,'Data qoq'!$A$1:$AT$1,),)</f>
        <v>0.74584268200000003</v>
      </c>
      <c r="M74" s="27">
        <f>VLOOKUP(B74,'Data qoq'!$A:$AT,MATCH($M$1,'Data qoq'!$A$1:$AT$1,),)</f>
        <v>-0.26103737999999999</v>
      </c>
      <c r="N74" s="27">
        <f>VLOOKUP(B74,'Data qoq'!$A:$AT,MATCH($N$1,'Data qoq'!$A$1:$AT$1,),)</f>
        <v>-0.25767536699999999</v>
      </c>
      <c r="O74" s="27">
        <f>VLOOKUP(B74,'Data qoq'!$A:$AT,MATCH($O$1,'Data qoq'!$J$1:$AT$1,),)</f>
        <v>0.73953220799999997</v>
      </c>
      <c r="P74" s="27">
        <f>VLOOKUP(B74,'Data qoq'!$A:$AT,MATCH($P$1,'Data qoq'!$A$1:$AT$1,),)</f>
        <v>7.4877375999999995E-2</v>
      </c>
      <c r="Q74" s="27">
        <f>VLOOKUP(B74,'Data qoq'!$A:$AT,MATCH($Q$1,'Data qoq'!$A$1:$AT$1,),)</f>
        <v>0.56957092899999995</v>
      </c>
      <c r="R74" s="27">
        <f>VLOOKUP(B74,'Data qoq'!$A:$AT,MATCH($R$1,'Data qoq'!$A$1:$AT$1,),)</f>
        <v>0.39272922300000002</v>
      </c>
      <c r="S74" s="27">
        <f>VLOOKUP(B74,'Data qoq'!$A:$AT,MATCH($S$1,'Data qoq'!$A$1:$AT$1,),)</f>
        <v>0.65931548799999995</v>
      </c>
      <c r="T74" s="27">
        <f>VLOOKUP(B74,'Data qoq'!$A:$AT,MATCH($T$1,'Data qoq'!$A$1:$AT$1,),)</f>
        <v>-0.78324414399999998</v>
      </c>
      <c r="U74" s="27">
        <f>VLOOKUP(B74,'Data qoq'!$A:$AT,MATCH($U$1,'Data qoq'!$A$1:$AT$1,),)</f>
        <v>1.1284365519999999</v>
      </c>
      <c r="V74" s="27">
        <f>VLOOKUP(B74,'Data qoq'!$A:$AT,MATCH($V$1,'Data qoq'!$A$1:$AT$1,),)</f>
        <v>2.3341627749999998</v>
      </c>
      <c r="W74" s="27">
        <f>VLOOKUP(B74,'Data qoq'!$A:$AT,MATCH($W$1,'Data qoq'!$A$1:$AT$1,),)</f>
        <v>1.166866867</v>
      </c>
      <c r="X74" s="27">
        <f>VLOOKUP(B74,'Data qoq'!$A:$AT,MATCH($X$1,'Data qoq'!$A$1:$AT$1,),)</f>
        <v>0.64299632500000004</v>
      </c>
      <c r="Y74" s="27">
        <f>VLOOKUP(B74,'Data qoq'!$A:$AT,MATCH($Y$1,'Data qoq'!$A$1:$AT$1,),)</f>
        <v>1.237785117</v>
      </c>
      <c r="Z74" s="27">
        <f>VLOOKUP(B74,'Data qoq'!$A:$AU,MATCH($Z$1,'Data qoq'!$A$1:$AU$1,),)</f>
        <v>-1.120988718</v>
      </c>
      <c r="AA74" s="27">
        <f>VLOOKUP(B74,'Data qoq'!$A:$AU,MATCH($AA$1,'Data qoq'!$A$1:$AU$1,),)</f>
        <v>1.078187341</v>
      </c>
      <c r="AC74" s="28" t="str">
        <f t="shared" si="7"/>
        <v>2015-Q4</v>
      </c>
      <c r="AD74" s="29">
        <f t="shared" si="9"/>
        <v>-0.28282542999999999</v>
      </c>
      <c r="AE74" s="29">
        <f t="shared" si="8"/>
        <v>-0.28282542999999999</v>
      </c>
    </row>
    <row r="75" spans="2:31" x14ac:dyDescent="0.2">
      <c r="B75" s="26" t="s">
        <v>324</v>
      </c>
      <c r="C75" s="27">
        <f>VLOOKUP(B75,'Data qoq'!$A:$AT,MATCH($C$1,'Data qoq'!$A$1:$AT$1,),)</f>
        <v>0.58917986899999997</v>
      </c>
      <c r="D75" s="27">
        <f>VLOOKUP(B75,'Data qoq'!$A:$AT,MATCH($D$1,'Data qoq'!$A$1:$AT$1,),)</f>
        <v>1.6</v>
      </c>
      <c r="E75" s="27">
        <f>VLOOKUP(B75,'Data qoq'!$A:$AT,MATCH($E$1,'Data qoq'!$A$1:$AT$1,),)</f>
        <v>0.53545200000000004</v>
      </c>
      <c r="F75" s="27">
        <f>VLOOKUP(B75,'Data qoq'!$A:$AT,MATCH($F$1,'Data qoq'!$A$1:$AT$1,),)</f>
        <v>0.71676588900000004</v>
      </c>
      <c r="G75" s="27">
        <f>VLOOKUP(B75,'Data qoq'!$A:$AT,MATCH($G$1,'Data qoq'!$A$1:$AT$1,),)</f>
        <v>0.81722940200000005</v>
      </c>
      <c r="H75" s="27">
        <f>VLOOKUP(B75,'Data qoq'!$A:$AT,MATCH($H$1,'Data qoq'!$A$1:$AT$1,),)</f>
        <v>0.61543994599999996</v>
      </c>
      <c r="I75" s="27">
        <f>VLOOKUP(B75,'Data qoq'!$A:$AT,MATCH($I$1,'Data qoq'!$A$1:$AT$1,),)</f>
        <v>0.19905709799999999</v>
      </c>
      <c r="J75" s="27">
        <f>VLOOKUP(B75,'Data qoq'!$A:$AT,MATCH($J$1,'Data qoq'!$A$1:$AT$1,),)</f>
        <v>0.29164931199999999</v>
      </c>
      <c r="K75" s="27">
        <f>VLOOKUP(B75,'Data qoq'!$A:$AT,MATCH($K$1,'Data qoq'!$A$1:$AT$1,),)</f>
        <v>0.67765105400000003</v>
      </c>
      <c r="L75" s="27">
        <f>VLOOKUP(B75,'Data qoq'!$A:$AT,MATCH($L$1,'Data qoq'!$A$1:$AT$1,),)</f>
        <v>-5.3143100999999998E-2</v>
      </c>
      <c r="M75" s="27">
        <f>VLOOKUP(B75,'Data qoq'!$A:$AT,MATCH($M$1,'Data qoq'!$A$1:$AT$1,),)</f>
        <v>0.57989068200000005</v>
      </c>
      <c r="N75" s="27">
        <f>VLOOKUP(B75,'Data qoq'!$A:$AT,MATCH($N$1,'Data qoq'!$A$1:$AT$1,),)</f>
        <v>0.19006200100000001</v>
      </c>
      <c r="O75" s="27">
        <f>VLOOKUP(B75,'Data qoq'!$A:$AT,MATCH($O$1,'Data qoq'!$J$1:$AT$1,),)</f>
        <v>0.14849562299999999</v>
      </c>
      <c r="P75" s="27">
        <f>VLOOKUP(B75,'Data qoq'!$A:$AT,MATCH($P$1,'Data qoq'!$A$1:$AT$1,),)</f>
        <v>0.54850083999999999</v>
      </c>
      <c r="Q75" s="27">
        <f>VLOOKUP(B75,'Data qoq'!$A:$AT,MATCH($Q$1,'Data qoq'!$A$1:$AT$1,),)</f>
        <v>0.83424107999999997</v>
      </c>
      <c r="R75" s="27">
        <f>VLOOKUP(B75,'Data qoq'!$A:$AT,MATCH($R$1,'Data qoq'!$A$1:$AT$1,),)</f>
        <v>0.456421676</v>
      </c>
      <c r="S75" s="27">
        <f>VLOOKUP(B75,'Data qoq'!$A:$AT,MATCH($S$1,'Data qoq'!$A$1:$AT$1,),)</f>
        <v>0.30727754299999999</v>
      </c>
      <c r="T75" s="27">
        <f>VLOOKUP(B75,'Data qoq'!$A:$AT,MATCH($T$1,'Data qoq'!$A$1:$AT$1,),)</f>
        <v>-1.5870664130000001</v>
      </c>
      <c r="U75" s="27">
        <f>VLOOKUP(B75,'Data qoq'!$A:$AT,MATCH($U$1,'Data qoq'!$A$1:$AT$1,),)</f>
        <v>-0.58198619500000004</v>
      </c>
      <c r="V75" s="27">
        <f>VLOOKUP(B75,'Data qoq'!$A:$AT,MATCH($V$1,'Data qoq'!$A$1:$AT$1,),)</f>
        <v>-3.7257686780000001</v>
      </c>
      <c r="W75" s="27">
        <f>VLOOKUP(B75,'Data qoq'!$A:$AT,MATCH($W$1,'Data qoq'!$A$1:$AT$1,),)</f>
        <v>0.36153796799999999</v>
      </c>
      <c r="X75" s="27">
        <f>VLOOKUP(B75,'Data qoq'!$A:$AT,MATCH($X$1,'Data qoq'!$A$1:$AT$1,),)</f>
        <v>0.16334534000000001</v>
      </c>
      <c r="Y75" s="27">
        <f>VLOOKUP(B75,'Data qoq'!$A:$AT,MATCH($Y$1,'Data qoq'!$A$1:$AT$1,),)</f>
        <v>-0.29376580699999999</v>
      </c>
      <c r="Z75" s="27">
        <f>VLOOKUP(B75,'Data qoq'!$A:$AU,MATCH($Z$1,'Data qoq'!$A$1:$AU$1,),)</f>
        <v>-0.92189638699999998</v>
      </c>
      <c r="AA75" s="27">
        <f>VLOOKUP(B75,'Data qoq'!$A:$AU,MATCH($AA$1,'Data qoq'!$A$1:$AU$1,),)</f>
        <v>1.184209244</v>
      </c>
      <c r="AC75" s="28" t="str">
        <f t="shared" si="7"/>
        <v>2016-Q1</v>
      </c>
      <c r="AD75" s="29">
        <f t="shared" ref="AD75:AD83" si="10">(VLOOKUP(AC75,B:Y,MATCH($AE$6,$B$1:$Y$1,),))-(VLOOKUP(AC75,B:Y,MATCH($AE$7,$B$1:$Y$1,),))</f>
        <v>-0.22804953300000008</v>
      </c>
      <c r="AE75" s="29">
        <f t="shared" si="8"/>
        <v>-0.22804953300000008</v>
      </c>
    </row>
    <row r="76" spans="2:31" x14ac:dyDescent="0.2">
      <c r="B76" s="26" t="s">
        <v>325</v>
      </c>
      <c r="C76" s="27">
        <f>VLOOKUP(B76,'Data qoq'!$A:$AT,MATCH($C$1,'Data qoq'!$A$1:$AT$1,),)</f>
        <v>0.30238880699999998</v>
      </c>
      <c r="D76" s="27">
        <f>VLOOKUP(B76,'Data qoq'!$A:$AT,MATCH($D$1,'Data qoq'!$A$1:$AT$1,),)</f>
        <v>1.8</v>
      </c>
      <c r="E76" s="27">
        <f>VLOOKUP(B76,'Data qoq'!$A:$AT,MATCH($E$1,'Data qoq'!$A$1:$AT$1,),)</f>
        <v>0.26972800000000002</v>
      </c>
      <c r="F76" s="27">
        <f>VLOOKUP(B76,'Data qoq'!$A:$AT,MATCH($F$1,'Data qoq'!$A$1:$AT$1,),)</f>
        <v>-0.22765233200000001</v>
      </c>
      <c r="G76" s="27">
        <f>VLOOKUP(B76,'Data qoq'!$A:$AT,MATCH($G$1,'Data qoq'!$A$1:$AT$1,),)</f>
        <v>0.41391166099999999</v>
      </c>
      <c r="H76" s="27">
        <f>VLOOKUP(B76,'Data qoq'!$A:$AT,MATCH($H$1,'Data qoq'!$A$1:$AT$1,),)</f>
        <v>-0.15301004900000001</v>
      </c>
      <c r="I76" s="27">
        <f>VLOOKUP(B76,'Data qoq'!$A:$AT,MATCH($I$1,'Data qoq'!$A$1:$AT$1,),)</f>
        <v>0.452700714</v>
      </c>
      <c r="J76" s="27">
        <f>VLOOKUP(B76,'Data qoq'!$A:$AT,MATCH($J$1,'Data qoq'!$A$1:$AT$1,),)</f>
        <v>0.21124124499999999</v>
      </c>
      <c r="K76" s="27">
        <f>VLOOKUP(B76,'Data qoq'!$A:$AT,MATCH($K$1,'Data qoq'!$A$1:$AT$1,),)</f>
        <v>0.41940912000000002</v>
      </c>
      <c r="L76" s="27">
        <f>VLOOKUP(B76,'Data qoq'!$A:$AT,MATCH($L$1,'Data qoq'!$A$1:$AT$1,),)</f>
        <v>-2.7129951999999999E-2</v>
      </c>
      <c r="M76" s="27">
        <f>VLOOKUP(B76,'Data qoq'!$A:$AT,MATCH($M$1,'Data qoq'!$A$1:$AT$1,),)</f>
        <v>0.39809902899999999</v>
      </c>
      <c r="N76" s="27">
        <f>VLOOKUP(B76,'Data qoq'!$A:$AT,MATCH($N$1,'Data qoq'!$A$1:$AT$1,),)</f>
        <v>5.3808426999999999E-2</v>
      </c>
      <c r="O76" s="27">
        <f>VLOOKUP(B76,'Data qoq'!$A:$AT,MATCH($O$1,'Data qoq'!$J$1:$AT$1,),)</f>
        <v>0.27213154899999997</v>
      </c>
      <c r="P76" s="27">
        <f>VLOOKUP(B76,'Data qoq'!$A:$AT,MATCH($P$1,'Data qoq'!$A$1:$AT$1,),)</f>
        <v>-0.49171172400000002</v>
      </c>
      <c r="Q76" s="27">
        <f>VLOOKUP(B76,'Data qoq'!$A:$AT,MATCH($Q$1,'Data qoq'!$A$1:$AT$1,),)</f>
        <v>0.70613653700000001</v>
      </c>
      <c r="R76" s="27">
        <f>VLOOKUP(B76,'Data qoq'!$A:$AT,MATCH($R$1,'Data qoq'!$A$1:$AT$1,),)</f>
        <v>0.495322963</v>
      </c>
      <c r="S76" s="27">
        <f>VLOOKUP(B76,'Data qoq'!$A:$AT,MATCH($S$1,'Data qoq'!$A$1:$AT$1,),)</f>
        <v>1.146251409</v>
      </c>
      <c r="T76" s="27">
        <f>VLOOKUP(B76,'Data qoq'!$A:$AT,MATCH($T$1,'Data qoq'!$A$1:$AT$1,),)</f>
        <v>0.57468498099999998</v>
      </c>
      <c r="U76" s="27">
        <f>VLOOKUP(B76,'Data qoq'!$A:$AT,MATCH($U$1,'Data qoq'!$A$1:$AT$1,),)</f>
        <v>-0.34934807499999998</v>
      </c>
      <c r="V76" s="27">
        <f>VLOOKUP(B76,'Data qoq'!$A:$AT,MATCH($V$1,'Data qoq'!$A$1:$AT$1,),)</f>
        <v>2.01943246</v>
      </c>
      <c r="W76" s="27">
        <f>VLOOKUP(B76,'Data qoq'!$A:$AT,MATCH($W$1,'Data qoq'!$A$1:$AT$1,),)</f>
        <v>1.4308864020000001</v>
      </c>
      <c r="X76" s="27">
        <f>VLOOKUP(B76,'Data qoq'!$A:$AT,MATCH($X$1,'Data qoq'!$A$1:$AT$1,),)</f>
        <v>0.33620140100000001</v>
      </c>
      <c r="Y76" s="27">
        <f>VLOOKUP(B76,'Data qoq'!$A:$AT,MATCH($Y$1,'Data qoq'!$A$1:$AT$1,),)</f>
        <v>1.299752593</v>
      </c>
      <c r="Z76" s="27">
        <f>VLOOKUP(B76,'Data qoq'!$A:$AU,MATCH($Z$1,'Data qoq'!$A$1:$AU$1,),)</f>
        <v>-1.5750218949999999</v>
      </c>
      <c r="AA76" s="27">
        <f>VLOOKUP(B76,'Data qoq'!$A:$AU,MATCH($AA$1,'Data qoq'!$A$1:$AU$1,),)</f>
        <v>0.86278159300000001</v>
      </c>
      <c r="AC76" s="28" t="str">
        <f t="shared" ref="AC76:AC83" si="11">B76</f>
        <v>2016-Q2</v>
      </c>
      <c r="AD76" s="29">
        <f t="shared" si="10"/>
        <v>-0.111522854</v>
      </c>
      <c r="AE76" s="29">
        <f t="shared" ref="AE76:AE83" si="12">C76-G76</f>
        <v>-0.111522854</v>
      </c>
    </row>
    <row r="77" spans="2:31" x14ac:dyDescent="0.2">
      <c r="B77" s="26" t="s">
        <v>326</v>
      </c>
      <c r="C77" s="27">
        <f>VLOOKUP(B77,'Data qoq'!$A:$AT,MATCH($C$1,'Data qoq'!$A$1:$AT$1,),)</f>
        <v>0.60111537900000001</v>
      </c>
      <c r="D77" s="27">
        <f>VLOOKUP(B77,'Data qoq'!$A:$AT,MATCH($D$1,'Data qoq'!$A$1:$AT$1,),)</f>
        <v>1.7</v>
      </c>
      <c r="E77" s="27">
        <f>VLOOKUP(B77,'Data qoq'!$A:$AT,MATCH($E$1,'Data qoq'!$A$1:$AT$1,),)</f>
        <v>0.444102</v>
      </c>
      <c r="F77" s="27">
        <f>VLOOKUP(B77,'Data qoq'!$A:$AT,MATCH($F$1,'Data qoq'!$A$1:$AT$1,),)</f>
        <v>0.191816661</v>
      </c>
      <c r="G77" s="27">
        <f>VLOOKUP(B77,'Data qoq'!$A:$AT,MATCH($G$1,'Data qoq'!$A$1:$AT$1,),)</f>
        <v>0.34351193000000002</v>
      </c>
      <c r="H77" s="27">
        <f>VLOOKUP(B77,'Data qoq'!$A:$AT,MATCH($H$1,'Data qoq'!$A$1:$AT$1,),)</f>
        <v>0.207126692</v>
      </c>
      <c r="I77" s="27">
        <f>VLOOKUP(B77,'Data qoq'!$A:$AT,MATCH($I$1,'Data qoq'!$A$1:$AT$1,),)</f>
        <v>0.30551625500000001</v>
      </c>
      <c r="J77" s="27">
        <f>VLOOKUP(B77,'Data qoq'!$A:$AT,MATCH($J$1,'Data qoq'!$A$1:$AT$1,),)</f>
        <v>0.53116276900000003</v>
      </c>
      <c r="K77" s="27">
        <f>VLOOKUP(B77,'Data qoq'!$A:$AT,MATCH($K$1,'Data qoq'!$A$1:$AT$1,),)</f>
        <v>0.88706963000000005</v>
      </c>
      <c r="L77" s="27">
        <f>VLOOKUP(B77,'Data qoq'!$A:$AT,MATCH($L$1,'Data qoq'!$A$1:$AT$1,),)</f>
        <v>0.397343893</v>
      </c>
      <c r="M77" s="27">
        <f>VLOOKUP(B77,'Data qoq'!$A:$AT,MATCH($M$1,'Data qoq'!$A$1:$AT$1,),)</f>
        <v>1.039858583</v>
      </c>
      <c r="N77" s="27">
        <f>VLOOKUP(B77,'Data qoq'!$A:$AT,MATCH($N$1,'Data qoq'!$A$1:$AT$1,),)</f>
        <v>0.10076613299999999</v>
      </c>
      <c r="O77" s="27">
        <f>VLOOKUP(B77,'Data qoq'!$A:$AT,MATCH($O$1,'Data qoq'!$J$1:$AT$1,),)</f>
        <v>0.40482025199999999</v>
      </c>
      <c r="P77" s="27">
        <f>VLOOKUP(B77,'Data qoq'!$A:$AT,MATCH($P$1,'Data qoq'!$A$1:$AT$1,),)</f>
        <v>1.031213682</v>
      </c>
      <c r="Q77" s="27">
        <f>VLOOKUP(B77,'Data qoq'!$A:$AT,MATCH($Q$1,'Data qoq'!$A$1:$AT$1,),)</f>
        <v>0.146298283</v>
      </c>
      <c r="R77" s="27">
        <f>VLOOKUP(B77,'Data qoq'!$A:$AT,MATCH($R$1,'Data qoq'!$A$1:$AT$1,),)</f>
        <v>0.56558911499999998</v>
      </c>
      <c r="S77" s="27">
        <f>VLOOKUP(B77,'Data qoq'!$A:$AT,MATCH($S$1,'Data qoq'!$A$1:$AT$1,),)</f>
        <v>0.494029045</v>
      </c>
      <c r="T77" s="27">
        <f>VLOOKUP(B77,'Data qoq'!$A:$AT,MATCH($T$1,'Data qoq'!$A$1:$AT$1,),)</f>
        <v>-0.65802279200000002</v>
      </c>
      <c r="U77" s="27">
        <f>VLOOKUP(B77,'Data qoq'!$A:$AT,MATCH($U$1,'Data qoq'!$A$1:$AT$1,),)</f>
        <v>0.49718688900000002</v>
      </c>
      <c r="V77" s="27">
        <f>VLOOKUP(B77,'Data qoq'!$A:$AT,MATCH($V$1,'Data qoq'!$A$1:$AT$1,),)</f>
        <v>-1.7454238099999999</v>
      </c>
      <c r="W77" s="27">
        <f>VLOOKUP(B77,'Data qoq'!$A:$AT,MATCH($W$1,'Data qoq'!$A$1:$AT$1,),)</f>
        <v>-2.8676734260000001</v>
      </c>
      <c r="X77" s="27">
        <f>VLOOKUP(B77,'Data qoq'!$A:$AT,MATCH($X$1,'Data qoq'!$A$1:$AT$1,),)</f>
        <v>0.80409486900000005</v>
      </c>
      <c r="Y77" s="27">
        <f>VLOOKUP(B77,'Data qoq'!$A:$AT,MATCH($Y$1,'Data qoq'!$A$1:$AT$1,),)</f>
        <v>0.26941303300000002</v>
      </c>
      <c r="Z77" s="27">
        <f>VLOOKUP(B77,'Data qoq'!$A:$AU,MATCH($Z$1,'Data qoq'!$A$1:$AU$1,),)</f>
        <v>0.311218777</v>
      </c>
      <c r="AA77" s="27">
        <f>VLOOKUP(B77,'Data qoq'!$A:$AU,MATCH($AA$1,'Data qoq'!$A$1:$AU$1,),)</f>
        <v>0.92675954800000004</v>
      </c>
      <c r="AC77" s="28" t="str">
        <f t="shared" si="11"/>
        <v>2016-Q3</v>
      </c>
      <c r="AD77" s="29">
        <f t="shared" si="10"/>
        <v>0.25760344899999998</v>
      </c>
      <c r="AE77" s="29">
        <f t="shared" si="12"/>
        <v>0.25760344899999998</v>
      </c>
    </row>
    <row r="78" spans="2:31" x14ac:dyDescent="0.2">
      <c r="B78" s="26" t="s">
        <v>327</v>
      </c>
      <c r="C78" s="27">
        <f>VLOOKUP(B78,'Data qoq'!$A:$AT,MATCH($C$1,'Data qoq'!$A$1:$AT$1,),)</f>
        <v>0.49688879600000002</v>
      </c>
      <c r="D78" s="27">
        <f>VLOOKUP(B78,'Data qoq'!$A:$AT,MATCH($D$1,'Data qoq'!$A$1:$AT$1,),)</f>
        <v>1.6</v>
      </c>
      <c r="E78" s="27">
        <f>VLOOKUP(B78,'Data qoq'!$A:$AT,MATCH($E$1,'Data qoq'!$A$1:$AT$1,),)</f>
        <v>0.77044999999999997</v>
      </c>
      <c r="F78" s="27">
        <f>VLOOKUP(B78,'Data qoq'!$A:$AT,MATCH($F$1,'Data qoq'!$A$1:$AT$1,),)</f>
        <v>0.30052743199999998</v>
      </c>
      <c r="G78" s="27">
        <f>VLOOKUP(B78,'Data qoq'!$A:$AT,MATCH($G$1,'Data qoq'!$A$1:$AT$1,),)</f>
        <v>0.31298723099999998</v>
      </c>
      <c r="H78" s="27">
        <f>VLOOKUP(B78,'Data qoq'!$A:$AT,MATCH($H$1,'Data qoq'!$A$1:$AT$1,),)</f>
        <v>0.52658919999999998</v>
      </c>
      <c r="I78" s="27">
        <f>VLOOKUP(B78,'Data qoq'!$A:$AT,MATCH($I$1,'Data qoq'!$A$1:$AT$1,),)</f>
        <v>0.59668049599999995</v>
      </c>
      <c r="J78" s="27">
        <f>VLOOKUP(B78,'Data qoq'!$A:$AT,MATCH($J$1,'Data qoq'!$A$1:$AT$1,),)</f>
        <v>0.284301951</v>
      </c>
      <c r="K78" s="27">
        <f>VLOOKUP(B78,'Data qoq'!$A:$AT,MATCH($K$1,'Data qoq'!$A$1:$AT$1,),)</f>
        <v>0.46456732499999998</v>
      </c>
      <c r="L78" s="27">
        <f>VLOOKUP(B78,'Data qoq'!$A:$AT,MATCH($L$1,'Data qoq'!$A$1:$AT$1,),)</f>
        <v>0.86136991600000001</v>
      </c>
      <c r="M78" s="27">
        <f>VLOOKUP(B78,'Data qoq'!$A:$AT,MATCH($M$1,'Data qoq'!$A$1:$AT$1,),)</f>
        <v>1.0547832029999999</v>
      </c>
      <c r="N78" s="27">
        <f>VLOOKUP(B78,'Data qoq'!$A:$AT,MATCH($N$1,'Data qoq'!$A$1:$AT$1,),)</f>
        <v>0.82521758099999998</v>
      </c>
      <c r="O78" s="27">
        <f>VLOOKUP(B78,'Data qoq'!$A:$AT,MATCH($O$1,'Data qoq'!$J$1:$AT$1,),)</f>
        <v>0.62621076499999995</v>
      </c>
      <c r="P78" s="27">
        <f>VLOOKUP(B78,'Data qoq'!$A:$AT,MATCH($P$1,'Data qoq'!$A$1:$AT$1,),)</f>
        <v>0.56148308700000005</v>
      </c>
      <c r="Q78" s="27">
        <f>VLOOKUP(B78,'Data qoq'!$A:$AT,MATCH($Q$1,'Data qoq'!$A$1:$AT$1,),)</f>
        <v>1.019761693</v>
      </c>
      <c r="R78" s="27">
        <f>VLOOKUP(B78,'Data qoq'!$A:$AT,MATCH($R$1,'Data qoq'!$A$1:$AT$1,),)</f>
        <v>0.32085865099999999</v>
      </c>
      <c r="S78" s="27">
        <f>VLOOKUP(B78,'Data qoq'!$A:$AT,MATCH($S$1,'Data qoq'!$A$1:$AT$1,),)</f>
        <v>0.60212118699999995</v>
      </c>
      <c r="T78" s="27">
        <f>VLOOKUP(B78,'Data qoq'!$A:$AT,MATCH($T$1,'Data qoq'!$A$1:$AT$1,),)</f>
        <v>-0.15232727200000001</v>
      </c>
      <c r="U78" s="27">
        <f>VLOOKUP(B78,'Data qoq'!$A:$AT,MATCH($U$1,'Data qoq'!$A$1:$AT$1,),)</f>
        <v>0.44038931100000001</v>
      </c>
      <c r="V78" s="27">
        <f>VLOOKUP(B78,'Data qoq'!$A:$AT,MATCH($V$1,'Data qoq'!$A$1:$AT$1,),)</f>
        <v>12.896013349</v>
      </c>
      <c r="W78" s="27">
        <f>VLOOKUP(B78,'Data qoq'!$A:$AT,MATCH($W$1,'Data qoq'!$A$1:$AT$1,),)</f>
        <v>5.5096115960000001</v>
      </c>
      <c r="X78" s="27">
        <f>VLOOKUP(B78,'Data qoq'!$A:$AT,MATCH($X$1,'Data qoq'!$A$1:$AT$1,),)</f>
        <v>0.85128584900000004</v>
      </c>
      <c r="Y78" s="27">
        <f>VLOOKUP(B78,'Data qoq'!$A:$AT,MATCH($Y$1,'Data qoq'!$A$1:$AT$1,),)</f>
        <v>2.2828653390000002</v>
      </c>
      <c r="Z78" s="27">
        <f>VLOOKUP(B78,'Data qoq'!$A:$AU,MATCH($Z$1,'Data qoq'!$A$1:$AU$1,),)</f>
        <v>0.65298054900000002</v>
      </c>
      <c r="AA78" s="27">
        <f>VLOOKUP(B78,'Data qoq'!$A:$AU,MATCH($AA$1,'Data qoq'!$A$1:$AU$1,),)</f>
        <v>0.36385884299999999</v>
      </c>
      <c r="AC78" s="28" t="str">
        <f t="shared" si="11"/>
        <v>2016-Q4</v>
      </c>
      <c r="AD78" s="29">
        <f t="shared" si="10"/>
        <v>0.18390156500000004</v>
      </c>
      <c r="AE78" s="29">
        <f t="shared" si="12"/>
        <v>0.18390156500000004</v>
      </c>
    </row>
    <row r="79" spans="2:31" x14ac:dyDescent="0.2">
      <c r="B79" s="26" t="s">
        <v>328</v>
      </c>
      <c r="C79" s="27">
        <f>VLOOKUP(B79,'Data qoq'!$A:$AT,MATCH($C$1,'Data qoq'!$A$1:$AT$1,),)</f>
        <v>0.47193104200000002</v>
      </c>
      <c r="D79" s="27">
        <f>VLOOKUP(B79,'Data qoq'!$A:$AT,MATCH($D$1,'Data qoq'!$A$1:$AT$1,),)</f>
        <v>1.8</v>
      </c>
      <c r="E79" s="27">
        <f>VLOOKUP(B79,'Data qoq'!$A:$AT,MATCH($E$1,'Data qoq'!$A$1:$AT$1,),)</f>
        <v>0.68848799999999999</v>
      </c>
      <c r="F79" s="27">
        <f>VLOOKUP(B79,'Data qoq'!$A:$AT,MATCH($F$1,'Data qoq'!$A$1:$AT$1,),)</f>
        <v>0.74664766699999996</v>
      </c>
      <c r="G79" s="27">
        <f>VLOOKUP(B79,'Data qoq'!$A:$AT,MATCH($G$1,'Data qoq'!$A$1:$AT$1,),)</f>
        <v>1.218802299</v>
      </c>
      <c r="H79" s="27">
        <f>VLOOKUP(B79,'Data qoq'!$A:$AT,MATCH($H$1,'Data qoq'!$A$1:$AT$1,),)</f>
        <v>0.80233684000000005</v>
      </c>
      <c r="I79" s="27">
        <f>VLOOKUP(B79,'Data qoq'!$A:$AT,MATCH($I$1,'Data qoq'!$A$1:$AT$1,),)</f>
        <v>0.49609921200000001</v>
      </c>
      <c r="J79" s="27">
        <f>VLOOKUP(B79,'Data qoq'!$A:$AT,MATCH($J$1,'Data qoq'!$A$1:$AT$1,),)</f>
        <v>0.55010361900000004</v>
      </c>
      <c r="K79" s="27">
        <f>VLOOKUP(B79,'Data qoq'!$A:$AT,MATCH($K$1,'Data qoq'!$A$1:$AT$1,),)</f>
        <v>0.79378965800000001</v>
      </c>
      <c r="L79" s="27">
        <f>VLOOKUP(B79,'Data qoq'!$A:$AT,MATCH($L$1,'Data qoq'!$A$1:$AT$1,),)</f>
        <v>0.44747836400000002</v>
      </c>
      <c r="M79" s="27">
        <f>VLOOKUP(B79,'Data qoq'!$A:$AT,MATCH($M$1,'Data qoq'!$A$1:$AT$1,),)</f>
        <v>0.47997794700000002</v>
      </c>
      <c r="N79" s="27">
        <f>VLOOKUP(B79,'Data qoq'!$A:$AT,MATCH($N$1,'Data qoq'!$A$1:$AT$1,),)</f>
        <v>0.201805652</v>
      </c>
      <c r="O79" s="27">
        <f>VLOOKUP(B79,'Data qoq'!$A:$AT,MATCH($O$1,'Data qoq'!$J$1:$AT$1,),)</f>
        <v>0.83167565700000001</v>
      </c>
      <c r="P79" s="27">
        <f>VLOOKUP(B79,'Data qoq'!$A:$AT,MATCH($P$1,'Data qoq'!$A$1:$AT$1,),)</f>
        <v>1.08691958</v>
      </c>
      <c r="Q79" s="27">
        <f>VLOOKUP(B79,'Data qoq'!$A:$AT,MATCH($Q$1,'Data qoq'!$A$1:$AT$1,),)</f>
        <v>0.23534127699999999</v>
      </c>
      <c r="R79" s="27">
        <f>VLOOKUP(B79,'Data qoq'!$A:$AT,MATCH($R$1,'Data qoq'!$A$1:$AT$1,),)</f>
        <v>0.172687919</v>
      </c>
      <c r="S79" s="27">
        <f>VLOOKUP(B79,'Data qoq'!$A:$AT,MATCH($S$1,'Data qoq'!$A$1:$AT$1,),)</f>
        <v>0.96244083499999999</v>
      </c>
      <c r="T79" s="27">
        <f>VLOOKUP(B79,'Data qoq'!$A:$AT,MATCH($T$1,'Data qoq'!$A$1:$AT$1,),)</f>
        <v>1.119380883</v>
      </c>
      <c r="U79" s="27">
        <f>VLOOKUP(B79,'Data qoq'!$A:$AT,MATCH($U$1,'Data qoq'!$A$1:$AT$1,),)</f>
        <v>-0.146969509</v>
      </c>
      <c r="V79" s="27">
        <f>VLOOKUP(B79,'Data qoq'!$A:$AT,MATCH($V$1,'Data qoq'!$A$1:$AT$1,),)</f>
        <v>-5.2971096710000003</v>
      </c>
      <c r="W79" s="27">
        <f>VLOOKUP(B79,'Data qoq'!$A:$AT,MATCH($W$1,'Data qoq'!$A$1:$AT$1,),)</f>
        <v>1.368865306</v>
      </c>
      <c r="X79" s="27">
        <f>VLOOKUP(B79,'Data qoq'!$A:$AT,MATCH($X$1,'Data qoq'!$A$1:$AT$1,),)</f>
        <v>1.5355847119999999</v>
      </c>
      <c r="Y79" s="27">
        <f>VLOOKUP(B79,'Data qoq'!$A:$AT,MATCH($Y$1,'Data qoq'!$A$1:$AT$1,),)</f>
        <v>0.94827806199999998</v>
      </c>
      <c r="Z79" s="27">
        <f>VLOOKUP(B79,'Data qoq'!$A:$AU,MATCH($Z$1,'Data qoq'!$A$1:$AU$1,),)</f>
        <v>0.87168599899999999</v>
      </c>
      <c r="AA79" s="27">
        <f>VLOOKUP(B79,'Data qoq'!$A:$AU,MATCH($AA$1,'Data qoq'!$A$1:$AU$1,),)</f>
        <v>1.030611191</v>
      </c>
      <c r="AC79" s="28" t="str">
        <f t="shared" si="11"/>
        <v>2017-Q1</v>
      </c>
      <c r="AD79" s="29">
        <f t="shared" si="10"/>
        <v>-0.74687125700000001</v>
      </c>
      <c r="AE79" s="29">
        <f t="shared" si="12"/>
        <v>-0.74687125700000001</v>
      </c>
    </row>
    <row r="80" spans="2:31" x14ac:dyDescent="0.2">
      <c r="B80" s="26" t="s">
        <v>329</v>
      </c>
      <c r="C80" s="27">
        <f>VLOOKUP(B80,'Data qoq'!$A:$AT,MATCH($C$1,'Data qoq'!$A$1:$AT$1,),)</f>
        <v>0.55976482299999997</v>
      </c>
      <c r="D80" s="27">
        <f>VLOOKUP(B80,'Data qoq'!$A:$AT,MATCH($D$1,'Data qoq'!$A$1:$AT$1,),)</f>
        <v>1.8</v>
      </c>
      <c r="E80" s="27">
        <f>VLOOKUP(B80,'Data qoq'!$A:$AT,MATCH($E$1,'Data qoq'!$A$1:$AT$1,),)</f>
        <v>0.81742099999999995</v>
      </c>
      <c r="F80" s="27">
        <f>VLOOKUP(B80,'Data qoq'!$A:$AT,MATCH($F$1,'Data qoq'!$A$1:$AT$1,),)</f>
        <v>0.247945205</v>
      </c>
      <c r="G80" s="27">
        <f>VLOOKUP(B80,'Data qoq'!$A:$AT,MATCH($G$1,'Data qoq'!$A$1:$AT$1,),)</f>
        <v>0.780268505</v>
      </c>
      <c r="H80" s="27">
        <f>VLOOKUP(B80,'Data qoq'!$A:$AT,MATCH($H$1,'Data qoq'!$A$1:$AT$1,),)</f>
        <v>0.83084654999999996</v>
      </c>
      <c r="I80" s="27">
        <f>VLOOKUP(B80,'Data qoq'!$A:$AT,MATCH($I$1,'Data qoq'!$A$1:$AT$1,),)</f>
        <v>0.29292067199999999</v>
      </c>
      <c r="J80" s="27">
        <f>VLOOKUP(B80,'Data qoq'!$A:$AT,MATCH($J$1,'Data qoq'!$A$1:$AT$1,),)</f>
        <v>0.40253590099999997</v>
      </c>
      <c r="K80" s="27">
        <f>VLOOKUP(B80,'Data qoq'!$A:$AT,MATCH($K$1,'Data qoq'!$A$1:$AT$1,),)</f>
        <v>1.073786986</v>
      </c>
      <c r="L80" s="27">
        <f>VLOOKUP(B80,'Data qoq'!$A:$AT,MATCH($L$1,'Data qoq'!$A$1:$AT$1,),)</f>
        <v>1.213843464</v>
      </c>
      <c r="M80" s="27">
        <f>VLOOKUP(B80,'Data qoq'!$A:$AT,MATCH($M$1,'Data qoq'!$A$1:$AT$1,),)</f>
        <v>0.34995137799999998</v>
      </c>
      <c r="N80" s="27">
        <f>VLOOKUP(B80,'Data qoq'!$A:$AT,MATCH($N$1,'Data qoq'!$A$1:$AT$1,),)</f>
        <v>0.690515031</v>
      </c>
      <c r="O80" s="27">
        <f>VLOOKUP(B80,'Data qoq'!$A:$AT,MATCH($O$1,'Data qoq'!$J$1:$AT$1,),)</f>
        <v>0.94297979700000001</v>
      </c>
      <c r="P80" s="27">
        <f>VLOOKUP(B80,'Data qoq'!$A:$AT,MATCH($P$1,'Data qoq'!$A$1:$AT$1,),)</f>
        <v>1.0230442129999999</v>
      </c>
      <c r="Q80" s="27">
        <f>VLOOKUP(B80,'Data qoq'!$A:$AT,MATCH($Q$1,'Data qoq'!$A$1:$AT$1,),)</f>
        <v>0.66458969000000001</v>
      </c>
      <c r="R80" s="27">
        <f>VLOOKUP(B80,'Data qoq'!$A:$AT,MATCH($R$1,'Data qoq'!$A$1:$AT$1,),)</f>
        <v>0.31518087099999997</v>
      </c>
      <c r="S80" s="27">
        <f>VLOOKUP(B80,'Data qoq'!$A:$AT,MATCH($S$1,'Data qoq'!$A$1:$AT$1,),)</f>
        <v>0.67128347899999996</v>
      </c>
      <c r="T80" s="27">
        <f>VLOOKUP(B80,'Data qoq'!$A:$AT,MATCH($T$1,'Data qoq'!$A$1:$AT$1,),)</f>
        <v>0.72903608600000003</v>
      </c>
      <c r="U80" s="27">
        <f>VLOOKUP(B80,'Data qoq'!$A:$AT,MATCH($U$1,'Data qoq'!$A$1:$AT$1,),)</f>
        <v>0.81195138499999997</v>
      </c>
      <c r="V80" s="27">
        <f>VLOOKUP(B80,'Data qoq'!$A:$AT,MATCH($V$1,'Data qoq'!$A$1:$AT$1,),)</f>
        <v>3.8017406880000002</v>
      </c>
      <c r="W80" s="27">
        <f>VLOOKUP(B80,'Data qoq'!$A:$AT,MATCH($W$1,'Data qoq'!$A$1:$AT$1,),)</f>
        <v>2.2803188200000002</v>
      </c>
      <c r="X80" s="27">
        <f>VLOOKUP(B80,'Data qoq'!$A:$AT,MATCH($X$1,'Data qoq'!$A$1:$AT$1,),)</f>
        <v>2.8172173969999998</v>
      </c>
      <c r="Y80" s="27">
        <f>VLOOKUP(B80,'Data qoq'!$A:$AT,MATCH($Y$1,'Data qoq'!$A$1:$AT$1,),)</f>
        <v>0.85574899100000001</v>
      </c>
      <c r="Z80" s="27">
        <f>VLOOKUP(B80,'Data qoq'!$A:$AU,MATCH($Z$1,'Data qoq'!$A$1:$AU$1,),)</f>
        <v>1.038779189</v>
      </c>
      <c r="AA80" s="27">
        <f>VLOOKUP(B80,'Data qoq'!$A:$AU,MATCH($AA$1,'Data qoq'!$A$1:$AU$1,),)</f>
        <v>1.0630279540000001</v>
      </c>
      <c r="AC80" s="28" t="str">
        <f t="shared" si="11"/>
        <v>2017-Q2</v>
      </c>
      <c r="AD80" s="29">
        <f t="shared" si="10"/>
        <v>-0.22050368200000003</v>
      </c>
      <c r="AE80" s="29">
        <f t="shared" si="12"/>
        <v>-0.22050368200000003</v>
      </c>
    </row>
    <row r="81" spans="2:31" x14ac:dyDescent="0.2">
      <c r="B81" s="26" t="s">
        <v>330</v>
      </c>
      <c r="C81" s="27">
        <f>VLOOKUP(B81,'Data qoq'!$A:$AT,MATCH($C$1,'Data qoq'!$A$1:$AT$1,),)</f>
        <v>0.71914999099999999</v>
      </c>
      <c r="D81" s="27">
        <f>VLOOKUP(B81,'Data qoq'!$A:$AT,MATCH($D$1,'Data qoq'!$A$1:$AT$1,),)</f>
        <v>1.6</v>
      </c>
      <c r="E81" s="27">
        <f>VLOOKUP(B81,'Data qoq'!$A:$AT,MATCH($E$1,'Data qoq'!$A$1:$AT$1,),)</f>
        <v>0.69295399999999996</v>
      </c>
      <c r="F81" s="27">
        <f>VLOOKUP(B81,'Data qoq'!$A:$AT,MATCH($F$1,'Data qoq'!$A$1:$AT$1,),)</f>
        <v>0.79166268100000003</v>
      </c>
      <c r="G81" s="27">
        <f>VLOOKUP(B81,'Data qoq'!$A:$AT,MATCH($G$1,'Data qoq'!$A$1:$AT$1,),)</f>
        <v>0.87937751600000003</v>
      </c>
      <c r="H81" s="27">
        <f>VLOOKUP(B81,'Data qoq'!$A:$AT,MATCH($H$1,'Data qoq'!$A$1:$AT$1,),)</f>
        <v>0.64739063600000002</v>
      </c>
      <c r="I81" s="27">
        <f>VLOOKUP(B81,'Data qoq'!$A:$AT,MATCH($I$1,'Data qoq'!$A$1:$AT$1,),)</f>
        <v>0.42340918300000002</v>
      </c>
      <c r="J81" s="27">
        <f>VLOOKUP(B81,'Data qoq'!$A:$AT,MATCH($J$1,'Data qoq'!$A$1:$AT$1,),)</f>
        <v>0.411001485</v>
      </c>
      <c r="K81" s="27">
        <f>VLOOKUP(B81,'Data qoq'!$A:$AT,MATCH($K$1,'Data qoq'!$A$1:$AT$1,),)</f>
        <v>0.57728099600000005</v>
      </c>
      <c r="L81" s="27">
        <f>VLOOKUP(B81,'Data qoq'!$A:$AT,MATCH($L$1,'Data qoq'!$A$1:$AT$1,),)</f>
        <v>1.1094676960000001</v>
      </c>
      <c r="M81" s="27">
        <f>VLOOKUP(B81,'Data qoq'!$A:$AT,MATCH($M$1,'Data qoq'!$A$1:$AT$1,),)</f>
        <v>-0.309813793</v>
      </c>
      <c r="N81" s="27">
        <f>VLOOKUP(B81,'Data qoq'!$A:$AT,MATCH($N$1,'Data qoq'!$A$1:$AT$1,),)</f>
        <v>0.67943519799999996</v>
      </c>
      <c r="O81" s="27">
        <f>VLOOKUP(B81,'Data qoq'!$A:$AT,MATCH($O$1,'Data qoq'!$J$1:$AT$1,),)</f>
        <v>0.795882486</v>
      </c>
      <c r="P81" s="27">
        <f>VLOOKUP(B81,'Data qoq'!$A:$AT,MATCH($P$1,'Data qoq'!$A$1:$AT$1,),)</f>
        <v>0.42187302100000001</v>
      </c>
      <c r="Q81" s="27">
        <f>VLOOKUP(B81,'Data qoq'!$A:$AT,MATCH($Q$1,'Data qoq'!$A$1:$AT$1,),)</f>
        <v>1.0673017359999999</v>
      </c>
      <c r="R81" s="27">
        <f>VLOOKUP(B81,'Data qoq'!$A:$AT,MATCH($R$1,'Data qoq'!$A$1:$AT$1,),)</f>
        <v>0.64751725800000004</v>
      </c>
      <c r="S81" s="27">
        <f>VLOOKUP(B81,'Data qoq'!$A:$AT,MATCH($S$1,'Data qoq'!$A$1:$AT$1,),)</f>
        <v>1.482113673</v>
      </c>
      <c r="T81" s="27">
        <f>VLOOKUP(B81,'Data qoq'!$A:$AT,MATCH($T$1,'Data qoq'!$A$1:$AT$1,),)</f>
        <v>0.289334657</v>
      </c>
      <c r="U81" s="27">
        <f>VLOOKUP(B81,'Data qoq'!$A:$AT,MATCH($U$1,'Data qoq'!$A$1:$AT$1,),)</f>
        <v>0.81524771699999998</v>
      </c>
      <c r="V81" s="27">
        <f>VLOOKUP(B81,'Data qoq'!$A:$AT,MATCH($V$1,'Data qoq'!$A$1:$AT$1,),)</f>
        <v>2.424140119</v>
      </c>
      <c r="W81" s="27">
        <f>VLOOKUP(B81,'Data qoq'!$A:$AT,MATCH($W$1,'Data qoq'!$A$1:$AT$1,),)</f>
        <v>1.5159185209999999</v>
      </c>
      <c r="X81" s="27">
        <f>VLOOKUP(B81,'Data qoq'!$A:$AT,MATCH($X$1,'Data qoq'!$A$1:$AT$1,),)</f>
        <v>0.56477396300000005</v>
      </c>
      <c r="Y81" s="27">
        <f>VLOOKUP(B81,'Data qoq'!$A:$AT,MATCH($Y$1,'Data qoq'!$A$1:$AT$1,),)</f>
        <v>1.1579256819999999</v>
      </c>
      <c r="Z81" s="27">
        <f>VLOOKUP(B81,'Data qoq'!$A:$AU,MATCH($Z$1,'Data qoq'!$A$1:$AU$1,),)</f>
        <v>1.2252821629999999</v>
      </c>
      <c r="AA81" s="27">
        <f>VLOOKUP(B81,'Data qoq'!$A:$AU,MATCH($AA$1,'Data qoq'!$A$1:$AU$1,),)</f>
        <v>0.96744985500000003</v>
      </c>
      <c r="AC81" s="28" t="str">
        <f t="shared" si="11"/>
        <v>2017-Q3</v>
      </c>
      <c r="AD81" s="29">
        <f t="shared" si="10"/>
        <v>-0.16022752500000004</v>
      </c>
      <c r="AE81" s="29">
        <f t="shared" si="12"/>
        <v>-0.16022752500000004</v>
      </c>
    </row>
    <row r="82" spans="2:31" x14ac:dyDescent="0.2">
      <c r="B82" s="26" t="s">
        <v>331</v>
      </c>
      <c r="C82" s="27">
        <f>VLOOKUP(B82,'Data qoq'!$A:$AT,MATCH($C$1,'Data qoq'!$A$1:$AT$1,),)</f>
        <v>0.94039983800000004</v>
      </c>
      <c r="D82" s="27">
        <f>VLOOKUP(B82,'Data qoq'!$A:$AT,MATCH($D$1,'Data qoq'!$A$1:$AT$1,),)</f>
        <v>1.5</v>
      </c>
      <c r="E82" s="27">
        <f>VLOOKUP(B82,'Data qoq'!$A:$AT,MATCH($E$1,'Data qoq'!$A$1:$AT$1,),)</f>
        <v>0.88004400000000005</v>
      </c>
      <c r="F82" s="27">
        <f>VLOOKUP(B82,'Data qoq'!$A:$AT,MATCH($F$1,'Data qoq'!$A$1:$AT$1,),)</f>
        <v>0.41313977899999998</v>
      </c>
      <c r="G82" s="27">
        <f>VLOOKUP(B82,'Data qoq'!$A:$AT,MATCH($G$1,'Data qoq'!$A$1:$AT$1,),)</f>
        <v>0.80537773800000001</v>
      </c>
      <c r="H82" s="27">
        <f>VLOOKUP(B82,'Data qoq'!$A:$AT,MATCH($H$1,'Data qoq'!$A$1:$AT$1,),)</f>
        <v>0.83553857099999995</v>
      </c>
      <c r="I82" s="27">
        <f>VLOOKUP(B82,'Data qoq'!$A:$AT,MATCH($I$1,'Data qoq'!$A$1:$AT$1,),)</f>
        <v>0.35500211399999998</v>
      </c>
      <c r="J82" s="27">
        <f>VLOOKUP(B82,'Data qoq'!$A:$AT,MATCH($J$1,'Data qoq'!$A$1:$AT$1,),)</f>
        <v>0.56426753299999999</v>
      </c>
      <c r="K82" s="27">
        <f>VLOOKUP(B82,'Data qoq'!$A:$AT,MATCH($K$1,'Data qoq'!$A$1:$AT$1,),)</f>
        <v>0.62554452000000005</v>
      </c>
      <c r="L82" s="27">
        <f>VLOOKUP(B82,'Data qoq'!$A:$AT,MATCH($L$1,'Data qoq'!$A$1:$AT$1,),)</f>
        <v>0.14845689300000001</v>
      </c>
      <c r="M82" s="27">
        <f>VLOOKUP(B82,'Data qoq'!$A:$AT,MATCH($M$1,'Data qoq'!$A$1:$AT$1,),)</f>
        <v>1.259218194</v>
      </c>
      <c r="N82" s="27">
        <f>VLOOKUP(B82,'Data qoq'!$A:$AT,MATCH($N$1,'Data qoq'!$A$1:$AT$1,),)</f>
        <v>2.1038896000000001E-2</v>
      </c>
      <c r="O82" s="27">
        <f>VLOOKUP(B82,'Data qoq'!$A:$AT,MATCH($O$1,'Data qoq'!$J$1:$AT$1,),)</f>
        <v>1.105399646</v>
      </c>
      <c r="P82" s="27">
        <f>VLOOKUP(B82,'Data qoq'!$A:$AT,MATCH($P$1,'Data qoq'!$A$1:$AT$1,),)</f>
        <v>0.51799067899999995</v>
      </c>
      <c r="Q82" s="27">
        <f>VLOOKUP(B82,'Data qoq'!$A:$AT,MATCH($Q$1,'Data qoq'!$A$1:$AT$1,),)</f>
        <v>0.46429847000000002</v>
      </c>
      <c r="R82" s="27">
        <f>VLOOKUP(B82,'Data qoq'!$A:$AT,MATCH($R$1,'Data qoq'!$A$1:$AT$1,),)</f>
        <v>1.063181846</v>
      </c>
      <c r="S82" s="27">
        <f>VLOOKUP(B82,'Data qoq'!$A:$AT,MATCH($S$1,'Data qoq'!$A$1:$AT$1,),)</f>
        <v>-0.26575232700000001</v>
      </c>
      <c r="T82" s="27">
        <f>VLOOKUP(B82,'Data qoq'!$A:$AT,MATCH($T$1,'Data qoq'!$A$1:$AT$1,),)</f>
        <v>0.43029738499999998</v>
      </c>
      <c r="U82" s="27">
        <f>VLOOKUP(B82,'Data qoq'!$A:$AT,MATCH($U$1,'Data qoq'!$A$1:$AT$1,),)</f>
        <v>-0.35195157199999999</v>
      </c>
      <c r="V82" s="27">
        <f>VLOOKUP(B82,'Data qoq'!$A:$AT,MATCH($V$1,'Data qoq'!$A$1:$AT$1,),)</f>
        <v>6.24710184</v>
      </c>
      <c r="W82" s="27">
        <f>VLOOKUP(B82,'Data qoq'!$A:$AT,MATCH($W$1,'Data qoq'!$A$1:$AT$1,),)</f>
        <v>1.882761165</v>
      </c>
      <c r="X82" s="27">
        <f>VLOOKUP(B82,'Data qoq'!$A:$AT,MATCH($X$1,'Data qoq'!$A$1:$AT$1,),)</f>
        <v>0.86600868200000003</v>
      </c>
      <c r="Y82" s="27">
        <f>VLOOKUP(B82,'Data qoq'!$A:$AT,MATCH($Y$1,'Data qoq'!$A$1:$AT$1,),)</f>
        <v>1.74566921</v>
      </c>
      <c r="Z82" s="27">
        <f>VLOOKUP(B82,'Data qoq'!$A:$AU,MATCH($Z$1,'Data qoq'!$A$1:$AU$1,),)</f>
        <v>1.1057664570000001</v>
      </c>
      <c r="AA82" s="27">
        <f>VLOOKUP(B82,'Data qoq'!$A:$AU,MATCH($AA$1,'Data qoq'!$A$1:$AU$1,),)</f>
        <v>0.84098101999999997</v>
      </c>
      <c r="AC82" s="28" t="str">
        <f t="shared" si="11"/>
        <v>2017-Q4</v>
      </c>
      <c r="AD82" s="29">
        <f t="shared" si="10"/>
        <v>0.13502210000000003</v>
      </c>
      <c r="AE82" s="29">
        <f t="shared" si="12"/>
        <v>0.13502210000000003</v>
      </c>
    </row>
    <row r="83" spans="2:31" x14ac:dyDescent="0.2">
      <c r="B83" s="26" t="s">
        <v>332</v>
      </c>
      <c r="C83" s="27">
        <f>VLOOKUP(B83,'Data qoq'!$A:$AT,MATCH($C$1,'Data qoq'!$A$1:$AT$1,),)</f>
        <v>0.76285403600000001</v>
      </c>
      <c r="D83" s="27">
        <f>VLOOKUP(B83,'Data qoq'!$A:$AT,MATCH($D$1,'Data qoq'!$A$1:$AT$1,),)</f>
        <v>2</v>
      </c>
      <c r="E83" s="27">
        <f>VLOOKUP(B83,'Data qoq'!$A:$AT,MATCH($E$1,'Data qoq'!$A$1:$AT$1,),)</f>
        <v>6.6053000000000001E-2</v>
      </c>
      <c r="F83" s="27">
        <f>VLOOKUP(B83,'Data qoq'!$A:$AT,MATCH($F$1,'Data qoq'!$A$1:$AT$1,),)</f>
        <v>-1.9262339E-2</v>
      </c>
      <c r="G83" s="27">
        <f>VLOOKUP(B83,'Data qoq'!$A:$AT,MATCH($G$1,'Data qoq'!$A$1:$AT$1,),)</f>
        <v>-0.43237680299999998</v>
      </c>
      <c r="H83" s="27">
        <f>VLOOKUP(B83,'Data qoq'!$A:$AT,MATCH($H$1,'Data qoq'!$A$1:$AT$1,),)</f>
        <v>1.9862858000000001E-2</v>
      </c>
      <c r="I83" s="27">
        <f>VLOOKUP(B83,'Data qoq'!$A:$AT,MATCH($I$1,'Data qoq'!$A$1:$AT$1,),)</f>
        <v>6.9019082999999995E-2</v>
      </c>
      <c r="J83" s="27">
        <f>VLOOKUP(B83,'Data qoq'!$A:$AT,MATCH($J$1,'Data qoq'!$A$1:$AT$1,),)</f>
        <v>9.8655189999999997E-3</v>
      </c>
      <c r="K83" s="27">
        <f>VLOOKUP(B83,'Data qoq'!$A:$AT,MATCH($K$1,'Data qoq'!$A$1:$AT$1,),)</f>
        <v>0.37784204100000002</v>
      </c>
      <c r="L83" s="27">
        <f>VLOOKUP(B83,'Data qoq'!$A:$AT,MATCH($L$1,'Data qoq'!$A$1:$AT$1,),)</f>
        <v>0.26658525</v>
      </c>
      <c r="M83" s="27">
        <f>VLOOKUP(B83,'Data qoq'!$A:$AT,MATCH($M$1,'Data qoq'!$A$1:$AT$1,),)</f>
        <v>1.181899509</v>
      </c>
      <c r="N83" s="27">
        <f>VLOOKUP(B83,'Data qoq'!$A:$AT,MATCH($N$1,'Data qoq'!$A$1:$AT$1,),)</f>
        <v>1.3562336260000001</v>
      </c>
      <c r="O83" s="27">
        <f>VLOOKUP(B83,'Data qoq'!$A:$AT,MATCH($O$1,'Data qoq'!$J$1:$AT$1,),)</f>
        <v>0.72305366299999996</v>
      </c>
      <c r="P83" s="27">
        <f>VLOOKUP(B83,'Data qoq'!$A:$AT,MATCH($P$1,'Data qoq'!$A$1:$AT$1,),)</f>
        <v>0.65709378799999996</v>
      </c>
      <c r="Q83" s="27">
        <f>VLOOKUP(B83,'Data qoq'!$A:$AT,MATCH($Q$1,'Data qoq'!$A$1:$AT$1,),)</f>
        <v>0.84710465599999996</v>
      </c>
      <c r="R83" s="27">
        <f>VLOOKUP(B83,'Data qoq'!$A:$AT,MATCH($R$1,'Data qoq'!$A$1:$AT$1,),)</f>
        <v>1.0756680940000001</v>
      </c>
      <c r="S83" s="27">
        <f>VLOOKUP(B83,'Data qoq'!$A:$AT,MATCH($S$1,'Data qoq'!$A$1:$AT$1,),)</f>
        <v>1.1485185410000001</v>
      </c>
      <c r="T83" s="27">
        <f>VLOOKUP(B83,'Data qoq'!$A:$AT,MATCH($T$1,'Data qoq'!$A$1:$AT$1,),)</f>
        <v>0.54939462699999997</v>
      </c>
      <c r="U83" s="27">
        <f>VLOOKUP(B83,'Data qoq'!$A:$AT,MATCH($U$1,'Data qoq'!$A$1:$AT$1,),)</f>
        <v>0.76139313099999995</v>
      </c>
      <c r="V83" s="27">
        <f>VLOOKUP(B83,'Data qoq'!$A:$AT,MATCH($V$1,'Data qoq'!$A$1:$AT$1,),)</f>
        <v>-0.16529801799999999</v>
      </c>
      <c r="W83" s="27">
        <f>VLOOKUP(B83,'Data qoq'!$A:$AT,MATCH($W$1,'Data qoq'!$A$1:$AT$1,),)</f>
        <v>1.4914625379999999</v>
      </c>
      <c r="X83" s="27">
        <f>VLOOKUP(B83,'Data qoq'!$A:$AT,MATCH($X$1,'Data qoq'!$A$1:$AT$1,),)</f>
        <v>0.49011805400000003</v>
      </c>
      <c r="Y83" s="27">
        <f>VLOOKUP(B83,'Data qoq'!$A:$AT,MATCH($Y$1,'Data qoq'!$A$1:$AT$1,),)</f>
        <v>1.2736043130000001</v>
      </c>
      <c r="Z83" s="27">
        <f>VLOOKUP(B83,'Data qoq'!$A:$AU,MATCH($Z$1,'Data qoq'!$A$1:$AU$1,),)</f>
        <v>-0.38724825200000002</v>
      </c>
      <c r="AA83" s="27">
        <f>VLOOKUP(B83,'Data qoq'!$A:$AU,MATCH($AA$1,'Data qoq'!$A$1:$AU$1,),)</f>
        <v>0.66284735400000006</v>
      </c>
      <c r="AC83" s="28" t="str">
        <f t="shared" si="11"/>
        <v>2018-Q1</v>
      </c>
      <c r="AD83" s="29">
        <f t="shared" si="10"/>
        <v>1.1952308389999999</v>
      </c>
      <c r="AE83" s="29">
        <f t="shared" si="12"/>
        <v>1.1952308389999999</v>
      </c>
    </row>
    <row r="84" spans="2:31" s="1" customFormat="1" x14ac:dyDescent="0.2">
      <c r="B84" s="26" t="s">
        <v>333</v>
      </c>
      <c r="C84" s="27">
        <f>VLOOKUP(B84,'Data qoq'!$A:$AT,MATCH($C$1,'Data qoq'!$A$1:$AT$1,),)</f>
        <v>0.83391090899999998</v>
      </c>
      <c r="D84" s="27">
        <f>VLOOKUP(B84,'Data qoq'!$A:$AT,MATCH($D$1,'Data qoq'!$A$1:$AT$1,),)</f>
        <v>1.6</v>
      </c>
      <c r="E84" s="27">
        <f>VLOOKUP(B84,'Data qoq'!$A:$AT,MATCH($E$1,'Data qoq'!$A$1:$AT$1,),)</f>
        <v>0.50512400000000002</v>
      </c>
      <c r="F84" s="27">
        <f>VLOOKUP(B84,'Data qoq'!$A:$AT,MATCH($F$1,'Data qoq'!$A$1:$AT$1,),)</f>
        <v>4.4618010999999999E-2</v>
      </c>
      <c r="G84" s="27">
        <f>VLOOKUP(B84,'Data qoq'!$A:$AT,MATCH($G$1,'Data qoq'!$A$1:$AT$1,),)</f>
        <v>0.55697716399999997</v>
      </c>
      <c r="H84" s="27">
        <f>VLOOKUP(B84,'Data qoq'!$A:$AT,MATCH($H$1,'Data qoq'!$A$1:$AT$1,),)</f>
        <v>0.36167827200000002</v>
      </c>
      <c r="I84" s="27">
        <f>VLOOKUP(B84,'Data qoq'!$A:$AT,MATCH($I$1,'Data qoq'!$A$1:$AT$1,),)</f>
        <v>0.38263196700000002</v>
      </c>
      <c r="J84" s="27">
        <f>VLOOKUP(B84,'Data qoq'!$A:$AT,MATCH($J$1,'Data qoq'!$A$1:$AT$1,),)</f>
        <v>-1.7007036E-2</v>
      </c>
      <c r="K84" s="27">
        <f>VLOOKUP(B84,'Data qoq'!$A:$AT,MATCH($K$1,'Data qoq'!$A$1:$AT$1,),)</f>
        <v>0.586193572</v>
      </c>
      <c r="L84" s="27">
        <f>VLOOKUP(B84,'Data qoq'!$A:$AT,MATCH($L$1,'Data qoq'!$A$1:$AT$1,),)</f>
        <v>0.87896290600000004</v>
      </c>
      <c r="M84" s="27">
        <f>VLOOKUP(B84,'Data qoq'!$A:$AT,MATCH($M$1,'Data qoq'!$A$1:$AT$1,),)</f>
        <v>3.8909697E-2</v>
      </c>
      <c r="N84" s="27">
        <f>VLOOKUP(B84,'Data qoq'!$A:$AT,MATCH($N$1,'Data qoq'!$A$1:$AT$1,),)</f>
        <v>0.55809545299999996</v>
      </c>
      <c r="O84" s="27">
        <f>VLOOKUP(B84,'Data qoq'!$A:$AT,MATCH($O$1,'Data qoq'!$J$1:$AT$1,),)</f>
        <v>1.087857742</v>
      </c>
      <c r="P84" s="27">
        <f>VLOOKUP(B84,'Data qoq'!$A:$AT,MATCH($P$1,'Data qoq'!$A$1:$AT$1,),)</f>
        <v>0.64708433200000004</v>
      </c>
      <c r="Q84" s="27">
        <f>VLOOKUP(B84,'Data qoq'!$A:$AT,MATCH($Q$1,'Data qoq'!$A$1:$AT$1,),)</f>
        <v>0.83081114099999998</v>
      </c>
      <c r="R84" s="27">
        <f>VLOOKUP(B84,'Data qoq'!$A:$AT,MATCH($R$1,'Data qoq'!$A$1:$AT$1,),)</f>
        <v>0.92108435300000002</v>
      </c>
      <c r="S84" s="27">
        <f>VLOOKUP(B84,'Data qoq'!$A:$AT,MATCH($S$1,'Data qoq'!$A$1:$AT$1,),)</f>
        <v>0.63360855100000002</v>
      </c>
      <c r="T84" s="27">
        <f>VLOOKUP(B84,'Data qoq'!$A:$AT,MATCH($T$1,'Data qoq'!$A$1:$AT$1,),)</f>
        <v>0.16616619199999999</v>
      </c>
      <c r="U84" s="27">
        <f>VLOOKUP(B84,'Data qoq'!$A:$AT,MATCH($U$1,'Data qoq'!$A$1:$AT$1,),)</f>
        <v>0.208714855</v>
      </c>
      <c r="V84" s="27">
        <f>VLOOKUP(B84,'Data qoq'!$A:$AT,MATCH($V$1,'Data qoq'!$A$1:$AT$1,),)</f>
        <v>3.52993822</v>
      </c>
      <c r="W84" s="27">
        <f>VLOOKUP(B84,'Data qoq'!$A:$AT,MATCH($W$1,'Data qoq'!$A$1:$AT$1,),)</f>
        <v>0.50844589500000004</v>
      </c>
      <c r="X84" s="27">
        <f>VLOOKUP(B84,'Data qoq'!$A:$AT,MATCH($X$1,'Data qoq'!$A$1:$AT$1,),)</f>
        <v>0.734727931</v>
      </c>
      <c r="Y84" s="27">
        <f>VLOOKUP(B84,'Data qoq'!$A:$AT,MATCH($Y$1,'Data qoq'!$A$1:$AT$1,),)</f>
        <v>1.2698908019999999</v>
      </c>
      <c r="Z84" s="27">
        <f>VLOOKUP(B84,'Data qoq'!$A:$AU,MATCH($Z$1,'Data qoq'!$A$1:$AU$1,),)</f>
        <v>-4.6814343359999997</v>
      </c>
      <c r="AA84" s="27">
        <f>VLOOKUP(B84,'Data qoq'!$A:$AU,MATCH($AA$1,'Data qoq'!$A$1:$AU$1,),)</f>
        <v>1.153712759</v>
      </c>
      <c r="AC84" s="28" t="str">
        <f t="shared" ref="AC84:AC88" si="13">B84</f>
        <v>2018-Q2</v>
      </c>
      <c r="AD84" s="29">
        <f t="shared" ref="AD84:AD88" si="14">(VLOOKUP(AC84,B:Y,MATCH($AE$6,$B$1:$Y$1,),))-(VLOOKUP(AC84,B:Y,MATCH($AE$7,$B$1:$Y$1,),))</f>
        <v>0.27693374500000001</v>
      </c>
      <c r="AE84" s="29">
        <f t="shared" ref="AE84:AE88" si="15">C84-G84</f>
        <v>0.27693374500000001</v>
      </c>
    </row>
    <row r="85" spans="2:31" s="1" customFormat="1" x14ac:dyDescent="0.2">
      <c r="B85" s="26" t="s">
        <v>334</v>
      </c>
      <c r="C85" s="27">
        <f>VLOOKUP(B85,'Data qoq'!$A:$AT,MATCH($C$1,'Data qoq'!$A$1:$AT$1,),)</f>
        <v>0.481952559</v>
      </c>
      <c r="D85" s="27">
        <f>VLOOKUP(B85,'Data qoq'!$A:$AT,MATCH($D$1,'Data qoq'!$A$1:$AT$1,),)</f>
        <v>1.3</v>
      </c>
      <c r="E85" s="27">
        <f>VLOOKUP(B85,'Data qoq'!$A:$AT,MATCH($E$1,'Data qoq'!$A$1:$AT$1,),)</f>
        <v>7.3769000000000001E-2</v>
      </c>
      <c r="F85" s="27">
        <f>VLOOKUP(B85,'Data qoq'!$A:$AT,MATCH($F$1,'Data qoq'!$A$1:$AT$1,),)</f>
        <v>-0.67217525899999997</v>
      </c>
      <c r="G85" s="27">
        <f>VLOOKUP(B85,'Data qoq'!$A:$AT,MATCH($G$1,'Data qoq'!$A$1:$AT$1,),)</f>
        <v>-0.42245680400000002</v>
      </c>
      <c r="H85" s="27">
        <f>VLOOKUP(B85,'Data qoq'!$A:$AT,MATCH($H$1,'Data qoq'!$A$1:$AT$1,),)</f>
        <v>0.434971422</v>
      </c>
      <c r="I85" s="27">
        <f>VLOOKUP(B85,'Data qoq'!$A:$AT,MATCH($I$1,'Data qoq'!$A$1:$AT$1,),)</f>
        <v>0.59647283500000003</v>
      </c>
      <c r="J85" s="27">
        <f>VLOOKUP(B85,'Data qoq'!$A:$AT,MATCH($J$1,'Data qoq'!$A$1:$AT$1,),)</f>
        <v>7.1204353999999997E-2</v>
      </c>
      <c r="K85" s="27">
        <f>VLOOKUP(B85,'Data qoq'!$A:$AT,MATCH($K$1,'Data qoq'!$A$1:$AT$1,),)</f>
        <v>0.51760508999999999</v>
      </c>
      <c r="L85" s="27">
        <f>VLOOKUP(B85,'Data qoq'!$A:$AT,MATCH($L$1,'Data qoq'!$A$1:$AT$1,),)</f>
        <v>-0.39772280500000001</v>
      </c>
      <c r="M85" s="27">
        <f>VLOOKUP(B85,'Data qoq'!$A:$AT,MATCH($M$1,'Data qoq'!$A$1:$AT$1,),)</f>
        <v>0.31047283799999997</v>
      </c>
      <c r="N85" s="27">
        <f>VLOOKUP(B85,'Data qoq'!$A:$AT,MATCH($N$1,'Data qoq'!$A$1:$AT$1,),)</f>
        <v>0.24126583400000001</v>
      </c>
      <c r="O85" s="27">
        <f>VLOOKUP(B85,'Data qoq'!$A:$AT,MATCH($O$1,'Data qoq'!$J$1:$AT$1,),)</f>
        <v>0.95176376200000001</v>
      </c>
      <c r="P85" s="27">
        <f>VLOOKUP(B85,'Data qoq'!$A:$AT,MATCH($P$1,'Data qoq'!$A$1:$AT$1,),)</f>
        <v>0.68430902900000001</v>
      </c>
      <c r="Q85" s="27">
        <f>VLOOKUP(B85,'Data qoq'!$A:$AT,MATCH($Q$1,'Data qoq'!$A$1:$AT$1,),)</f>
        <v>0.53393298199999994</v>
      </c>
      <c r="R85" s="27">
        <f>VLOOKUP(B85,'Data qoq'!$A:$AT,MATCH($R$1,'Data qoq'!$A$1:$AT$1,),)</f>
        <v>-0.19585664899999999</v>
      </c>
      <c r="S85" s="27">
        <f>VLOOKUP(B85,'Data qoq'!$A:$AT,MATCH($S$1,'Data qoq'!$A$1:$AT$1,),)</f>
        <v>0.688281747</v>
      </c>
      <c r="T85" s="27">
        <f>VLOOKUP(B85,'Data qoq'!$A:$AT,MATCH($T$1,'Data qoq'!$A$1:$AT$1,),)</f>
        <v>0.848845242</v>
      </c>
      <c r="U85" s="27">
        <f>VLOOKUP(B85,'Data qoq'!$A:$AT,MATCH($U$1,'Data qoq'!$A$1:$AT$1,),)</f>
        <v>9.0628873999999998E-2</v>
      </c>
      <c r="V85" s="27">
        <f>VLOOKUP(B85,'Data qoq'!$A:$AT,MATCH($V$1,'Data qoq'!$A$1:$AT$1,),)</f>
        <v>-1.5442522299999999</v>
      </c>
      <c r="W85" s="27">
        <f>VLOOKUP(B85,'Data qoq'!$A:$AT,MATCH($W$1,'Data qoq'!$A$1:$AT$1,),)</f>
        <v>-1.5905484480000001</v>
      </c>
      <c r="X85" s="27">
        <f>VLOOKUP(B85,'Data qoq'!$A:$AT,MATCH($X$1,'Data qoq'!$A$1:$AT$1,),)</f>
        <v>0.61144011899999995</v>
      </c>
      <c r="Y85" s="27">
        <f>VLOOKUP(B85,'Data qoq'!$A:$AT,MATCH($Y$1,'Data qoq'!$A$1:$AT$1,),)</f>
        <v>1.45223529</v>
      </c>
      <c r="Z85" s="27">
        <f>VLOOKUP(B85,'Data qoq'!$A:$AU,MATCH($Z$1,'Data qoq'!$A$1:$AU$1,),)</f>
        <v>-0.102073763</v>
      </c>
      <c r="AA85" s="27">
        <f>VLOOKUP(B85,'Data qoq'!$A:$AU,MATCH($AA$1,'Data qoq'!$A$1:$AU$1,),)</f>
        <v>0.40312269499999998</v>
      </c>
      <c r="AC85" s="28" t="str">
        <f t="shared" si="13"/>
        <v>2018-Q3</v>
      </c>
      <c r="AD85" s="29">
        <f t="shared" si="14"/>
        <v>0.90440936300000008</v>
      </c>
      <c r="AE85" s="29">
        <f t="shared" si="15"/>
        <v>0.90440936300000008</v>
      </c>
    </row>
    <row r="86" spans="2:31" s="1" customFormat="1" x14ac:dyDescent="0.2">
      <c r="B86" s="26" t="s">
        <v>335</v>
      </c>
      <c r="C86" s="27">
        <f>VLOOKUP(B86,'Data qoq'!$A:$AT,MATCH($C$1,'Data qoq'!$A$1:$AT$1,),)</f>
        <v>0.22314183500000001</v>
      </c>
      <c r="D86" s="27">
        <f>VLOOKUP(B86,'Data qoq'!$A:$AT,MATCH($D$1,'Data qoq'!$A$1:$AT$1,),)</f>
        <v>1.3</v>
      </c>
      <c r="E86" s="27">
        <f>VLOOKUP(B86,'Data qoq'!$A:$AT,MATCH($E$1,'Data qoq'!$A$1:$AT$1,),)</f>
        <v>0.53893899999999995</v>
      </c>
      <c r="F86" s="27">
        <f>VLOOKUP(B86,'Data qoq'!$A:$AT,MATCH($F$1,'Data qoq'!$A$1:$AT$1,),)</f>
        <v>0.44566520999999998</v>
      </c>
      <c r="G86" s="27">
        <f>VLOOKUP(B86,'Data qoq'!$A:$AT,MATCH($G$1,'Data qoq'!$A$1:$AT$1,),)</f>
        <v>0.38653663199999999</v>
      </c>
      <c r="H86" s="27">
        <f>VLOOKUP(B86,'Data qoq'!$A:$AT,MATCH($H$1,'Data qoq'!$A$1:$AT$1,),)</f>
        <v>0.661661634</v>
      </c>
      <c r="I86" s="27">
        <f>VLOOKUP(B86,'Data qoq'!$A:$AT,MATCH($I$1,'Data qoq'!$A$1:$AT$1,),)</f>
        <v>0.166751655</v>
      </c>
      <c r="J86" s="27">
        <f>VLOOKUP(B86,'Data qoq'!$A:$AT,MATCH($J$1,'Data qoq'!$A$1:$AT$1,),)</f>
        <v>0.218809222</v>
      </c>
      <c r="K86" s="27">
        <f>VLOOKUP(B86,'Data qoq'!$A:$AT,MATCH($K$1,'Data qoq'!$A$1:$AT$1,),)</f>
        <v>0.67498396100000002</v>
      </c>
      <c r="L86" s="27">
        <f>VLOOKUP(B86,'Data qoq'!$A:$AT,MATCH($L$1,'Data qoq'!$A$1:$AT$1,),)</f>
        <v>1.34906014</v>
      </c>
      <c r="M86" s="27">
        <f>VLOOKUP(B86,'Data qoq'!$A:$AT,MATCH($M$1,'Data qoq'!$A$1:$AT$1,),)</f>
        <v>-0.302174779</v>
      </c>
      <c r="N86" s="27">
        <f>VLOOKUP(B86,'Data qoq'!$A:$AT,MATCH($N$1,'Data qoq'!$A$1:$AT$1,),)</f>
        <v>0.66387083999999996</v>
      </c>
      <c r="O86" s="27">
        <f>VLOOKUP(B86,'Data qoq'!$A:$AT,MATCH($O$1,'Data qoq'!$J$1:$AT$1,),)</f>
        <v>0.50028382199999999</v>
      </c>
      <c r="P86" s="27">
        <f>VLOOKUP(B86,'Data qoq'!$A:$AT,MATCH($P$1,'Data qoq'!$A$1:$AT$1,),)</f>
        <v>0.27643673499999999</v>
      </c>
      <c r="Q86" s="27">
        <f>VLOOKUP(B86,'Data qoq'!$A:$AT,MATCH($Q$1,'Data qoq'!$A$1:$AT$1,),)</f>
        <v>0.14321724399999999</v>
      </c>
      <c r="R86" s="27">
        <f>VLOOKUP(B86,'Data qoq'!$A:$AT,MATCH($R$1,'Data qoq'!$A$1:$AT$1,),)</f>
        <v>0.188723586</v>
      </c>
      <c r="S86" s="27">
        <f>VLOOKUP(B86,'Data qoq'!$A:$AT,MATCH($S$1,'Data qoq'!$A$1:$AT$1,),)</f>
        <v>0.82200018100000005</v>
      </c>
      <c r="T86" s="27">
        <f>VLOOKUP(B86,'Data qoq'!$A:$AT,MATCH($T$1,'Data qoq'!$A$1:$AT$1,),)</f>
        <v>-0.33974079299999999</v>
      </c>
      <c r="U86" s="27">
        <f>VLOOKUP(B86,'Data qoq'!$A:$AT,MATCH($U$1,'Data qoq'!$A$1:$AT$1,),)</f>
        <v>0.56164619800000004</v>
      </c>
      <c r="V86" s="27">
        <f>VLOOKUP(B86,'Data qoq'!$A:$AT,MATCH($V$1,'Data qoq'!$A$1:$AT$1,),)</f>
        <v>2.1366727430000001</v>
      </c>
      <c r="W86" s="27">
        <f>VLOOKUP(B86,'Data qoq'!$A:$AT,MATCH($W$1,'Data qoq'!$A$1:$AT$1,),)</f>
        <v>-2.9894645959999999</v>
      </c>
      <c r="X86" s="27">
        <f>VLOOKUP(B86,'Data qoq'!$A:$AT,MATCH($X$1,'Data qoq'!$A$1:$AT$1,),)</f>
        <v>0.69801249799999998</v>
      </c>
      <c r="Y86" s="27">
        <f>VLOOKUP(B86,'Data qoq'!$A:$AT,MATCH($Y$1,'Data qoq'!$A$1:$AT$1,),)</f>
        <v>0.84575586000000003</v>
      </c>
      <c r="Z86" s="27">
        <f>VLOOKUP(B86,'Data qoq'!$A:$AU,MATCH($Z$1,'Data qoq'!$A$1:$AU$1,),)</f>
        <v>-1.3093883420000001</v>
      </c>
      <c r="AA86" s="27">
        <f>VLOOKUP(B86,'Data qoq'!$A:$AU,MATCH($AA$1,'Data qoq'!$A$1:$AU$1,),)</f>
        <v>1.100270954</v>
      </c>
      <c r="AC86" s="28" t="str">
        <f t="shared" si="13"/>
        <v>2018-Q4</v>
      </c>
      <c r="AD86" s="29">
        <f t="shared" si="14"/>
        <v>-0.16339479699999998</v>
      </c>
      <c r="AE86" s="29">
        <f t="shared" si="15"/>
        <v>-0.16339479699999998</v>
      </c>
    </row>
    <row r="87" spans="2:31" s="1" customFormat="1" x14ac:dyDescent="0.2">
      <c r="B87" s="26" t="s">
        <v>336</v>
      </c>
      <c r="C87" s="27">
        <f>VLOOKUP(B87,'Data qoq'!$A:$AT,MATCH($C$1,'Data qoq'!$A$1:$AT$1,),)</f>
        <v>0.59779028999999995</v>
      </c>
      <c r="D87" s="27">
        <f>VLOOKUP(B87,'Data qoq'!$A:$AT,MATCH($D$1,'Data qoq'!$A$1:$AT$1,),)</f>
        <v>2</v>
      </c>
      <c r="E87" s="27">
        <f>VLOOKUP(B87,'Data qoq'!$A:$AT,MATCH($E$1,'Data qoq'!$A$1:$AT$1,),)</f>
        <v>0.66777399999999998</v>
      </c>
      <c r="F87" s="27">
        <f>VLOOKUP(B87,'Data qoq'!$A:$AT,MATCH($F$1,'Data qoq'!$A$1:$AT$1,),)</f>
        <v>0.296146666</v>
      </c>
      <c r="G87" s="27">
        <f>VLOOKUP(B87,'Data qoq'!$A:$AT,MATCH($G$1,'Data qoq'!$A$1:$AT$1,),)</f>
        <v>1.054195089</v>
      </c>
      <c r="H87" s="27">
        <f>VLOOKUP(B87,'Data qoq'!$A:$AT,MATCH($H$1,'Data qoq'!$A$1:$AT$1,),)</f>
        <v>0.64865220599999995</v>
      </c>
      <c r="I87" s="27">
        <f>VLOOKUP(B87,'Data qoq'!$A:$AT,MATCH($I$1,'Data qoq'!$A$1:$AT$1,),)</f>
        <v>0.55237429900000001</v>
      </c>
      <c r="J87" s="27">
        <f>VLOOKUP(B87,'Data qoq'!$A:$AT,MATCH($J$1,'Data qoq'!$A$1:$AT$1,),)</f>
        <v>4.4455169000000003E-2</v>
      </c>
      <c r="K87" s="27">
        <f>VLOOKUP(B87,'Data qoq'!$A:$AT,MATCH($K$1,'Data qoq'!$A$1:$AT$1,),)</f>
        <v>0.60131108899999997</v>
      </c>
      <c r="L87" s="27">
        <f>VLOOKUP(B87,'Data qoq'!$A:$AT,MATCH($L$1,'Data qoq'!$A$1:$AT$1,),)</f>
        <v>0.50935375900000002</v>
      </c>
      <c r="M87" s="27">
        <f>VLOOKUP(B87,'Data qoq'!$A:$AT,MATCH($M$1,'Data qoq'!$A$1:$AT$1,),)</f>
        <v>0.21109630500000001</v>
      </c>
      <c r="N87" s="27">
        <f>VLOOKUP(B87,'Data qoq'!$A:$AT,MATCH($N$1,'Data qoq'!$A$1:$AT$1,),)</f>
        <v>-3.7485913000000003E-2</v>
      </c>
      <c r="O87" s="27">
        <f>VLOOKUP(B87,'Data qoq'!$A:$AT,MATCH($O$1,'Data qoq'!$J$1:$AT$1,),)</f>
        <v>0.85468327799999999</v>
      </c>
      <c r="P87" s="27">
        <f>VLOOKUP(B87,'Data qoq'!$A:$AT,MATCH($P$1,'Data qoq'!$A$1:$AT$1,),)</f>
        <v>8.8235138000000005E-2</v>
      </c>
      <c r="Q87" s="27">
        <f>VLOOKUP(B87,'Data qoq'!$A:$AT,MATCH($Q$1,'Data qoq'!$A$1:$AT$1,),)</f>
        <v>0.40992785700000001</v>
      </c>
      <c r="R87" s="27">
        <f>VLOOKUP(B87,'Data qoq'!$A:$AT,MATCH($R$1,'Data qoq'!$A$1:$AT$1,),)</f>
        <v>0.266060132</v>
      </c>
      <c r="S87" s="27">
        <f>VLOOKUP(B87,'Data qoq'!$A:$AT,MATCH($S$1,'Data qoq'!$A$1:$AT$1,),)</f>
        <v>-0.199687643</v>
      </c>
      <c r="T87" s="27">
        <f>VLOOKUP(B87,'Data qoq'!$A:$AT,MATCH($T$1,'Data qoq'!$A$1:$AT$1,),)</f>
        <v>0.71597309499999995</v>
      </c>
      <c r="U87" s="27">
        <f>VLOOKUP(B87,'Data qoq'!$A:$AT,MATCH($U$1,'Data qoq'!$A$1:$AT$1,),)</f>
        <v>0.96417776300000002</v>
      </c>
      <c r="V87" s="27">
        <f>VLOOKUP(B87,'Data qoq'!$A:$AT,MATCH($V$1,'Data qoq'!$A$1:$AT$1,),)</f>
        <v>1.032527999</v>
      </c>
      <c r="W87" s="27">
        <f>VLOOKUP(B87,'Data qoq'!$A:$AT,MATCH($W$1,'Data qoq'!$A$1:$AT$1,),)</f>
        <v>1.7859176940000001</v>
      </c>
      <c r="X87" s="27">
        <f>VLOOKUP(B87,'Data qoq'!$A:$AT,MATCH($X$1,'Data qoq'!$A$1:$AT$1,),)</f>
        <v>0.89070791800000004</v>
      </c>
      <c r="Y87" s="27">
        <f>VLOOKUP(B87,'Data qoq'!$A:$AT,MATCH($Y$1,'Data qoq'!$A$1:$AT$1,),)</f>
        <v>1.8745316839999999</v>
      </c>
      <c r="Z87" s="27">
        <f>VLOOKUP(B87,'Data qoq'!$A:$AU,MATCH($Z$1,'Data qoq'!$A$1:$AU$1,),)</f>
        <v>-2.9007512999999999E-2</v>
      </c>
      <c r="AA87" s="27">
        <f>VLOOKUP(B87,'Data qoq'!$A:$AU,MATCH($AA$1,'Data qoq'!$A$1:$AU$1,),)</f>
        <v>0.26297166399999999</v>
      </c>
      <c r="AC87" s="28" t="str">
        <f t="shared" si="13"/>
        <v>2019-Q1</v>
      </c>
      <c r="AD87" s="29">
        <f t="shared" si="14"/>
        <v>-0.45640479900000008</v>
      </c>
      <c r="AE87" s="29">
        <f t="shared" si="15"/>
        <v>-0.45640479900000008</v>
      </c>
    </row>
    <row r="88" spans="2:31" s="1" customFormat="1" x14ac:dyDescent="0.2">
      <c r="B88" s="26" t="s">
        <v>337</v>
      </c>
      <c r="C88" s="27">
        <f>VLOOKUP(B88,'Data qoq'!$A:$AT,MATCH($C$1,'Data qoq'!$A$1:$AT$1,),)</f>
        <v>0.79292440799999997</v>
      </c>
      <c r="D88" s="27">
        <f>VLOOKUP(B88,'Data qoq'!$A:$AT,MATCH($D$1,'Data qoq'!$A$1:$AT$1,),)</f>
        <v>1.2</v>
      </c>
      <c r="E88" s="27">
        <f>VLOOKUP(B88,'Data qoq'!$A:$AT,MATCH($E$1,'Data qoq'!$A$1:$AT$1,),)</f>
        <v>0.187107</v>
      </c>
      <c r="F88" s="27">
        <f>VLOOKUP(B88,'Data qoq'!$A:$AT,MATCH($F$1,'Data qoq'!$A$1:$AT$1,),)</f>
        <v>0.20316714899999999</v>
      </c>
      <c r="G88" s="27">
        <f>VLOOKUP(B88,'Data qoq'!$A:$AT,MATCH($G$1,'Data qoq'!$A$1:$AT$1,),)</f>
        <v>-0.49256605199999998</v>
      </c>
      <c r="H88" s="27">
        <f>VLOOKUP(B88,'Data qoq'!$A:$AT,MATCH($H$1,'Data qoq'!$A$1:$AT$1,),)</f>
        <v>0.51919132099999998</v>
      </c>
      <c r="I88" s="27">
        <f>VLOOKUP(B88,'Data qoq'!$A:$AT,MATCH($I$1,'Data qoq'!$A$1:$AT$1,),)</f>
        <v>0.13839743500000001</v>
      </c>
      <c r="J88" s="27">
        <f>VLOOKUP(B88,'Data qoq'!$A:$AT,MATCH($J$1,'Data qoq'!$A$1:$AT$1,),)</f>
        <v>7.3796185E-2</v>
      </c>
      <c r="K88" s="27">
        <f>VLOOKUP(B88,'Data qoq'!$A:$AT,MATCH($K$1,'Data qoq'!$A$1:$AT$1,),)</f>
        <v>0.36557096500000003</v>
      </c>
      <c r="L88" s="27">
        <f>VLOOKUP(B88,'Data qoq'!$A:$AT,MATCH($L$1,'Data qoq'!$A$1:$AT$1,),)</f>
        <v>0.18061550200000001</v>
      </c>
      <c r="M88" s="27">
        <f>VLOOKUP(B88,'Data qoq'!$A:$AT,MATCH($M$1,'Data qoq'!$A$1:$AT$1,),)</f>
        <v>-0.181768764</v>
      </c>
      <c r="N88" s="27">
        <f>VLOOKUP(B88,'Data qoq'!$A:$AT,MATCH($N$1,'Data qoq'!$A$1:$AT$1,),)</f>
        <v>2.2623863289999999</v>
      </c>
      <c r="O88" s="27">
        <f>VLOOKUP(B88,'Data qoq'!$A:$AT,MATCH($O$1,'Data qoq'!$J$1:$AT$1,),)</f>
        <v>0.36938834399999998</v>
      </c>
      <c r="P88" s="27">
        <f>VLOOKUP(B88,'Data qoq'!$A:$AT,MATCH($P$1,'Data qoq'!$A$1:$AT$1,),)</f>
        <v>1.0691362259999999</v>
      </c>
      <c r="Q88" s="27">
        <f>VLOOKUP(B88,'Data qoq'!$A:$AT,MATCH($Q$1,'Data qoq'!$A$1:$AT$1,),)</f>
        <v>0.55313854500000004</v>
      </c>
      <c r="R88" s="27">
        <f>VLOOKUP(B88,'Data qoq'!$A:$AT,MATCH($R$1,'Data qoq'!$A$1:$AT$1,),)</f>
        <v>0.39659368099999998</v>
      </c>
      <c r="S88" s="27">
        <f>VLOOKUP(B88,'Data qoq'!$A:$AT,MATCH($S$1,'Data qoq'!$A$1:$AT$1,),)</f>
        <v>1.046022679</v>
      </c>
      <c r="T88" s="27">
        <f>VLOOKUP(B88,'Data qoq'!$A:$AT,MATCH($T$1,'Data qoq'!$A$1:$AT$1,),)</f>
        <v>0.53897455000000005</v>
      </c>
      <c r="U88" s="27">
        <f>VLOOKUP(B88,'Data qoq'!$A:$AT,MATCH($U$1,'Data qoq'!$A$1:$AT$1,),)</f>
        <v>0.62382847100000005</v>
      </c>
      <c r="V88" s="27">
        <f>VLOOKUP(B88,'Data qoq'!$A:$AT,MATCH($V$1,'Data qoq'!$A$1:$AT$1,),)</f>
        <v>2.8015706819999999</v>
      </c>
      <c r="W88" s="27">
        <f>VLOOKUP(B88,'Data qoq'!$A:$AT,MATCH($W$1,'Data qoq'!$A$1:$AT$1,),)</f>
        <v>2.3799511469999999</v>
      </c>
      <c r="X88" s="27">
        <f>VLOOKUP(B88,'Data qoq'!$A:$AT,MATCH($X$1,'Data qoq'!$A$1:$AT$1,),)</f>
        <v>0.78597744999999997</v>
      </c>
      <c r="Y88" s="27">
        <f>VLOOKUP(B88,'Data qoq'!$A:$AT,MATCH($Y$1,'Data qoq'!$A$1:$AT$1,),)</f>
        <v>0.62159427199999995</v>
      </c>
      <c r="Z88" s="27">
        <f>VLOOKUP(B88,'Data qoq'!$A:$AU,MATCH($Z$1,'Data qoq'!$A$1:$AU$1,),)</f>
        <v>0.44048637499999999</v>
      </c>
      <c r="AA88" s="27">
        <f>VLOOKUP(B88,'Data qoq'!$A:$AU,MATCH($AA$1,'Data qoq'!$A$1:$AU$1,),)</f>
        <v>0.44004046299999999</v>
      </c>
      <c r="AC88" s="28" t="str">
        <f t="shared" si="13"/>
        <v>2019-Q2</v>
      </c>
      <c r="AD88" s="29">
        <f t="shared" si="14"/>
        <v>1.2854904599999999</v>
      </c>
      <c r="AE88" s="29">
        <f t="shared" si="15"/>
        <v>1.2854904599999999</v>
      </c>
    </row>
    <row r="89" spans="2:31" s="1" customFormat="1" x14ac:dyDescent="0.2">
      <c r="B89" s="26" t="s">
        <v>338</v>
      </c>
      <c r="C89" s="27">
        <f>VLOOKUP(B89,'Data qoq'!$A:$AT,MATCH($C$1,'Data qoq'!$A$1:$AT$1,),)</f>
        <v>0.685498791</v>
      </c>
      <c r="D89" s="27">
        <f>VLOOKUP(B89,'Data qoq'!$A:$AT,MATCH($D$1,'Data qoq'!$A$1:$AT$1,),)</f>
        <v>1.2</v>
      </c>
      <c r="E89" s="27">
        <f>VLOOKUP(B89,'Data qoq'!$A:$AT,MATCH($E$1,'Data qoq'!$A$1:$AT$1,),)</f>
        <v>0.27629700000000001</v>
      </c>
      <c r="F89" s="27">
        <f>VLOOKUP(B89,'Data qoq'!$A:$AT,MATCH($F$1,'Data qoq'!$A$1:$AT$1,),)</f>
        <v>0.120062823</v>
      </c>
      <c r="G89" s="27">
        <f>VLOOKUP(B89,'Data qoq'!$A:$AT,MATCH($G$1,'Data qoq'!$A$1:$AT$1,),)</f>
        <v>0.41094913500000002</v>
      </c>
      <c r="H89" s="27">
        <f>VLOOKUP(B89,'Data qoq'!$A:$AT,MATCH($H$1,'Data qoq'!$A$1:$AT$1,),)</f>
        <v>0.16195496400000001</v>
      </c>
      <c r="I89" s="27">
        <f>VLOOKUP(B89,'Data qoq'!$A:$AT,MATCH($I$1,'Data qoq'!$A$1:$AT$1,),)</f>
        <v>0.49728385200000003</v>
      </c>
      <c r="J89" s="27">
        <f>VLOOKUP(B89,'Data qoq'!$A:$AT,MATCH($J$1,'Data qoq'!$A$1:$AT$1,),)</f>
        <v>0.18896617399999999</v>
      </c>
      <c r="K89" s="27">
        <f>VLOOKUP(B89,'Data qoq'!$A:$AT,MATCH($K$1,'Data qoq'!$A$1:$AT$1,),)</f>
        <v>0.37901041000000002</v>
      </c>
      <c r="L89" s="27">
        <f>VLOOKUP(B89,'Data qoq'!$A:$AT,MATCH($L$1,'Data qoq'!$A$1:$AT$1,),)</f>
        <v>0.63699294900000003</v>
      </c>
      <c r="M89" s="27">
        <f>VLOOKUP(B89,'Data qoq'!$A:$AT,MATCH($M$1,'Data qoq'!$A$1:$AT$1,),)</f>
        <v>0.14891812700000001</v>
      </c>
      <c r="N89" s="27">
        <f>VLOOKUP(B89,'Data qoq'!$A:$AT,MATCH($N$1,'Data qoq'!$A$1:$AT$1,),)</f>
        <v>-0.978145343</v>
      </c>
      <c r="O89" s="27">
        <f>VLOOKUP(B89,'Data qoq'!$A:$AT,MATCH($O$1,'Data qoq'!$J$1:$AT$1,),)</f>
        <v>0.22942505699999999</v>
      </c>
      <c r="P89" s="27">
        <f>VLOOKUP(B89,'Data qoq'!$A:$AT,MATCH($P$1,'Data qoq'!$A$1:$AT$1,),)</f>
        <v>0.45210412</v>
      </c>
      <c r="Q89" s="27">
        <f>VLOOKUP(B89,'Data qoq'!$A:$AT,MATCH($Q$1,'Data qoq'!$A$1:$AT$1,),)</f>
        <v>0.807132725</v>
      </c>
      <c r="R89" s="27">
        <f>VLOOKUP(B89,'Data qoq'!$A:$AT,MATCH($R$1,'Data qoq'!$A$1:$AT$1,),)</f>
        <v>0.57408286799999997</v>
      </c>
      <c r="S89" s="27">
        <f>VLOOKUP(B89,'Data qoq'!$A:$AT,MATCH($S$1,'Data qoq'!$A$1:$AT$1,),)</f>
        <v>0.405037445</v>
      </c>
      <c r="T89" s="27">
        <f>VLOOKUP(B89,'Data qoq'!$A:$AT,MATCH($T$1,'Data qoq'!$A$1:$AT$1,),)</f>
        <v>-2.9661964999999998E-2</v>
      </c>
      <c r="U89" s="27">
        <f>VLOOKUP(B89,'Data qoq'!$A:$AT,MATCH($U$1,'Data qoq'!$A$1:$AT$1,),)</f>
        <v>-0.58568077200000002</v>
      </c>
      <c r="V89" s="27">
        <f>VLOOKUP(B89,'Data qoq'!$A:$AT,MATCH($V$1,'Data qoq'!$A$1:$AT$1,),)</f>
        <v>-0.41354170699999998</v>
      </c>
      <c r="W89" s="27">
        <f>VLOOKUP(B89,'Data qoq'!$A:$AT,MATCH($W$1,'Data qoq'!$A$1:$AT$1,),)</f>
        <v>5.0625441E-2</v>
      </c>
      <c r="X89" s="27">
        <f>VLOOKUP(B89,'Data qoq'!$A:$AT,MATCH($X$1,'Data qoq'!$A$1:$AT$1,),)</f>
        <v>0.54848529999999995</v>
      </c>
      <c r="Y89" s="27">
        <f>VLOOKUP(B89,'Data qoq'!$A:$AT,MATCH($Y$1,'Data qoq'!$A$1:$AT$1,),)</f>
        <v>1.1912122810000001</v>
      </c>
      <c r="Z89" s="27">
        <f>VLOOKUP(B89,'Data qoq'!$A:$AU,MATCH($Z$1,'Data qoq'!$A$1:$AU$1,),)</f>
        <v>0.65097211399999999</v>
      </c>
      <c r="AA89" s="27">
        <f>VLOOKUP(B89,'Data qoq'!$A:$AU,MATCH($AA$1,'Data qoq'!$A$1:$AU$1,),)</f>
        <v>0.88388476599999999</v>
      </c>
      <c r="AC89" s="28" t="str">
        <f t="shared" ref="AC89:AC90" si="16">B89</f>
        <v>2019-Q3</v>
      </c>
      <c r="AD89" s="29">
        <f t="shared" ref="AD89:AD90" si="17">(VLOOKUP(AC89,B:Y,MATCH($AE$6,$B$1:$Y$1,),))-(VLOOKUP(AC89,B:Y,MATCH($AE$7,$B$1:$Y$1,),))</f>
        <v>0.27454965599999998</v>
      </c>
      <c r="AE89" s="29">
        <f t="shared" ref="AE89:AE90" si="18">C89-G89</f>
        <v>0.27454965599999998</v>
      </c>
    </row>
    <row r="90" spans="2:31" s="1" customFormat="1" x14ac:dyDescent="0.2">
      <c r="B90" s="26" t="s">
        <v>581</v>
      </c>
      <c r="C90" s="27">
        <f>VLOOKUP(B90,'Data qoq'!$A:$AT,MATCH($C$1,'Data qoq'!$A$1:$AT$1,),)</f>
        <v>0.46909761799999999</v>
      </c>
      <c r="D90" s="27">
        <f>VLOOKUP(B90,'Data qoq'!$A:$AT,MATCH($D$1,'Data qoq'!$A$1:$AT$1,),)</f>
        <v>1.2</v>
      </c>
      <c r="E90" s="27">
        <f>VLOOKUP(B90,'Data qoq'!$A:$AT,MATCH($E$1,'Data qoq'!$A$1:$AT$1,),)</f>
        <v>-1.3009E-2</v>
      </c>
      <c r="F90" s="27">
        <f>VLOOKUP(B90,'Data qoq'!$A:$AT,MATCH($F$1,'Data qoq'!$A$1:$AT$1,),)</f>
        <v>-1.935661182</v>
      </c>
      <c r="G90" s="27">
        <f>VLOOKUP(B90,'Data qoq'!$A:$AT,MATCH($G$1,'Data qoq'!$A$1:$AT$1,),)</f>
        <v>-7.4416587000000006E-2</v>
      </c>
      <c r="H90" s="27">
        <f>VLOOKUP(B90,'Data qoq'!$A:$AT,MATCH($H$1,'Data qoq'!$A$1:$AT$1,),)</f>
        <v>-0.38167090799999998</v>
      </c>
      <c r="I90" s="27">
        <f>VLOOKUP(B90,'Data qoq'!$A:$AT,MATCH($I$1,'Data qoq'!$A$1:$AT$1,),)</f>
        <v>1.7259139E-2</v>
      </c>
      <c r="J90" s="27">
        <f>VLOOKUP(B90,'Data qoq'!$A:$AT,MATCH($J$1,'Data qoq'!$A$1:$AT$1,),)</f>
        <v>-0.42190852499999998</v>
      </c>
      <c r="K90" s="27">
        <f>VLOOKUP(B90,'Data qoq'!$A:$AT,MATCH($K$1,'Data qoq'!$A$1:$AT$1,),)</f>
        <v>0.376576034</v>
      </c>
      <c r="L90" s="27">
        <f>VLOOKUP(B90,'Data qoq'!$A:$AT,MATCH($L$1,'Data qoq'!$A$1:$AT$1,),)</f>
        <v>9.4117135000000005E-2</v>
      </c>
      <c r="M90" s="27">
        <f>VLOOKUP(B90,'Data qoq'!$A:$AT,MATCH($M$1,'Data qoq'!$A$1:$AT$1,),)</f>
        <v>-1.03536016</v>
      </c>
      <c r="N90" s="27">
        <f>VLOOKUP(B90,'Data qoq'!$A:$AT,MATCH($N$1,'Data qoq'!$A$1:$AT$1,),)</f>
        <v>-0.45300510799999999</v>
      </c>
      <c r="O90" s="27">
        <f>VLOOKUP(B90,'Data qoq'!$A:$AT,MATCH($O$1,'Data qoq'!$J$1:$AT$1,),)</f>
        <v>0.49670866000000002</v>
      </c>
      <c r="P90" s="27">
        <f>VLOOKUP(B90,'Data qoq'!$A:$AT,MATCH($P$1,'Data qoq'!$A$1:$AT$1,),)</f>
        <v>9.4407559000000002E-2</v>
      </c>
      <c r="Q90" s="27">
        <f>VLOOKUP(B90,'Data qoq'!$A:$AT,MATCH($Q$1,'Data qoq'!$A$1:$AT$1,),)</f>
        <v>0.35188306899999999</v>
      </c>
      <c r="R90" s="27">
        <f>VLOOKUP(B90,'Data qoq'!$A:$AT,MATCH($R$1,'Data qoq'!$A$1:$AT$1,),)</f>
        <v>0.46198475100000003</v>
      </c>
      <c r="S90" s="27">
        <f>VLOOKUP(B90,'Data qoq'!$A:$AT,MATCH($S$1,'Data qoq'!$A$1:$AT$1,),)</f>
        <v>1.2884548549999999</v>
      </c>
      <c r="T90" s="27">
        <f>VLOOKUP(B90,'Data qoq'!$A:$AT,MATCH($T$1,'Data qoq'!$A$1:$AT$1,),)</f>
        <v>0.34997720999999998</v>
      </c>
      <c r="U90" s="27">
        <f>VLOOKUP(B90,'Data qoq'!$A:$AT,MATCH($U$1,'Data qoq'!$A$1:$AT$1,),)</f>
        <v>-4.1841863E-2</v>
      </c>
      <c r="V90" s="27">
        <f>VLOOKUP(B90,'Data qoq'!$A:$AT,MATCH($V$1,'Data qoq'!$A$1:$AT$1,),)</f>
        <v>1.6661183989999999</v>
      </c>
      <c r="W90" s="27">
        <f>VLOOKUP(B90,'Data qoq'!$A:$AT,MATCH($W$1,'Data qoq'!$A$1:$AT$1,),)</f>
        <v>1.3646299630000001</v>
      </c>
      <c r="X90" s="27">
        <f>VLOOKUP(B90,'Data qoq'!$A:$AT,MATCH($X$1,'Data qoq'!$A$1:$AT$1,),)</f>
        <v>0.62913215499999997</v>
      </c>
      <c r="Y90" s="27">
        <f>VLOOKUP(B90,'Data qoq'!$A:$AT,MATCH($Y$1,'Data qoq'!$A$1:$AT$1,),)</f>
        <v>0.28295600599999998</v>
      </c>
      <c r="Z90" s="27">
        <f>VLOOKUP(B90,'Data qoq'!$A:$AU,MATCH($Z$1,'Data qoq'!$A$1:$AU$1,),)</f>
        <v>-1.6156795100000001</v>
      </c>
      <c r="AA90" s="27">
        <f>VLOOKUP(B90,'Data qoq'!$A:$AU,MATCH($AA$1,'Data qoq'!$A$1:$AU$1,),)</f>
        <v>0.24521996300000001</v>
      </c>
      <c r="AB90" s="82"/>
      <c r="AC90" s="28" t="str">
        <f t="shared" si="16"/>
        <v>2019-Q4</v>
      </c>
      <c r="AD90" s="29">
        <f t="shared" si="17"/>
        <v>0.54351420500000003</v>
      </c>
      <c r="AE90" s="29">
        <f t="shared" si="18"/>
        <v>0.54351420500000003</v>
      </c>
    </row>
    <row r="91" spans="2:31" s="1" customFormat="1" x14ac:dyDescent="0.2">
      <c r="B91" s="26" t="s">
        <v>582</v>
      </c>
      <c r="C91" s="27">
        <f>VLOOKUP(B91,'Data qoq'!$A:$AT,MATCH($C$1,'Data qoq'!$A$1:$AT$1,),)</f>
        <v>-1.303582746</v>
      </c>
      <c r="D91" s="27">
        <f>VLOOKUP(B91,'Data qoq'!$A:$AT,MATCH($D$1,'Data qoq'!$A$1:$AT$1,),)</f>
        <v>-8.6999999999999993</v>
      </c>
      <c r="E91" s="27">
        <f>VLOOKUP(B91,'Data qoq'!$A:$AT,MATCH($E$1,'Data qoq'!$A$1:$AT$1,),)</f>
        <v>-3.4747810000000001</v>
      </c>
      <c r="F91" s="27">
        <f>VLOOKUP(B91,'Data qoq'!$A:$AT,MATCH($F$1,'Data qoq'!$A$1:$AT$1,),)</f>
        <v>-0.58521355399999997</v>
      </c>
      <c r="G91" s="27">
        <f>VLOOKUP(B91,'Data qoq'!$A:$AT,MATCH($G$1,'Data qoq'!$A$1:$AT$1,),)</f>
        <v>-1.7639736049999999</v>
      </c>
      <c r="H91" s="27">
        <f>VLOOKUP(B91,'Data qoq'!$A:$AT,MATCH($H$1,'Data qoq'!$A$1:$AT$1,),)</f>
        <v>-5.6965543749999998</v>
      </c>
      <c r="I91" s="27">
        <f>VLOOKUP(B91,'Data qoq'!$A:$AT,MATCH($I$1,'Data qoq'!$A$1:$AT$1,),)</f>
        <v>-2.8472664590000001</v>
      </c>
      <c r="J91" s="27">
        <f>VLOOKUP(B91,'Data qoq'!$A:$AT,MATCH($J$1,'Data qoq'!$A$1:$AT$1,),)</f>
        <v>-5.6481668169999999</v>
      </c>
      <c r="K91" s="27">
        <f>VLOOKUP(B91,'Data qoq'!$A:$AT,MATCH($K$1,'Data qoq'!$A$1:$AT$1,),)</f>
        <v>-5.3912226460000001</v>
      </c>
      <c r="L91" s="27">
        <f>VLOOKUP(B91,'Data qoq'!$A:$AT,MATCH($L$1,'Data qoq'!$A$1:$AT$1,),)</f>
        <v>-0.78908026499999995</v>
      </c>
      <c r="M91" s="27">
        <f>VLOOKUP(B91,'Data qoq'!$A:$AT,MATCH($M$1,'Data qoq'!$A$1:$AT$1,),)</f>
        <v>-0.91987699700000003</v>
      </c>
      <c r="N91" s="27">
        <f>VLOOKUP(B91,'Data qoq'!$A:$AT,MATCH($N$1,'Data qoq'!$A$1:$AT$1,),)</f>
        <v>-0.19797387699999999</v>
      </c>
      <c r="O91" s="27">
        <f>VLOOKUP(B91,'Data qoq'!$A:$AT,MATCH($O$1,'Data qoq'!$J$1:$AT$1,),)</f>
        <v>-4.2806587949999999</v>
      </c>
      <c r="P91" s="27">
        <f>VLOOKUP(B91,'Data qoq'!$A:$AT,MATCH($P$1,'Data qoq'!$A$1:$AT$1,),)</f>
        <v>-2.037734028</v>
      </c>
      <c r="Q91" s="27">
        <f>VLOOKUP(B91,'Data qoq'!$A:$AT,MATCH($Q$1,'Data qoq'!$A$1:$AT$1,),)</f>
        <v>-0.32650811299999999</v>
      </c>
      <c r="R91" s="27">
        <f>VLOOKUP(B91,'Data qoq'!$A:$AT,MATCH($R$1,'Data qoq'!$A$1:$AT$1,),)</f>
        <v>-1.588562279</v>
      </c>
      <c r="S91" s="27">
        <f>VLOOKUP(B91,'Data qoq'!$A:$AT,MATCH($S$1,'Data qoq'!$A$1:$AT$1,),)</f>
        <v>-1.2615067280000001</v>
      </c>
      <c r="T91" s="27">
        <f>VLOOKUP(B91,'Data qoq'!$A:$AT,MATCH($T$1,'Data qoq'!$A$1:$AT$1,),)</f>
        <v>-2.3406391420000001</v>
      </c>
      <c r="U91" s="27">
        <f>VLOOKUP(B91,'Data qoq'!$A:$AT,MATCH($U$1,'Data qoq'!$A$1:$AT$1,),)</f>
        <v>-0.43034244999999999</v>
      </c>
      <c r="V91" s="27">
        <f>VLOOKUP(B91,'Data qoq'!$A:$AT,MATCH($V$1,'Data qoq'!$A$1:$AT$1,),)</f>
        <v>2.641664966</v>
      </c>
      <c r="W91" s="27">
        <f>VLOOKUP(B91,'Data qoq'!$A:$AT,MATCH($W$1,'Data qoq'!$A$1:$AT$1,),)</f>
        <v>0.44624292300000001</v>
      </c>
      <c r="X91" s="27">
        <f>VLOOKUP(B91,'Data qoq'!$A:$AT,MATCH($X$1,'Data qoq'!$A$1:$AT$1,),)</f>
        <v>-3.3722800639999999</v>
      </c>
      <c r="Y91" s="27">
        <f>VLOOKUP(B91,'Data qoq'!$A:$AT,MATCH($Y$1,'Data qoq'!$A$1:$AT$1,),)</f>
        <v>-6.4121703000000002E-2</v>
      </c>
      <c r="Z91" s="27">
        <f>VLOOKUP(B91,'Data qoq'!$A:$AU,MATCH($Z$1,'Data qoq'!$A$1:$AU$1,),)</f>
        <v>-4.3189565080000003</v>
      </c>
      <c r="AA91" s="27">
        <f>VLOOKUP(B91,'Data qoq'!$A:$AU,MATCH($AA$1,'Data qoq'!$A$1:$AU$1,),)</f>
        <v>-1.409541784</v>
      </c>
      <c r="AB91" s="82"/>
      <c r="AC91" s="28" t="str">
        <f t="shared" ref="AC91:AC92" si="19">B91</f>
        <v>2020-Q1</v>
      </c>
      <c r="AD91" s="29">
        <f t="shared" ref="AD91:AD92" si="20">(VLOOKUP(AC91,B:Y,MATCH($AE$6,$B$1:$Y$1,),))-(VLOOKUP(AC91,B:Y,MATCH($AE$7,$B$1:$Y$1,),))</f>
        <v>0.46039085899999987</v>
      </c>
      <c r="AE91" s="29">
        <f t="shared" ref="AE91:AE92" si="21">C91-G91</f>
        <v>0.46039085899999987</v>
      </c>
    </row>
    <row r="92" spans="2:31" s="1" customFormat="1" x14ac:dyDescent="0.2">
      <c r="B92" s="26" t="s">
        <v>583</v>
      </c>
      <c r="C92" s="27">
        <f>VLOOKUP(B92,'Data qoq'!$A:$AT,MATCH($C$1,'Data qoq'!$A$1:$AT$1,),)</f>
        <v>-8.9372505009999994</v>
      </c>
      <c r="D92" s="27">
        <f>VLOOKUP(B92,'Data qoq'!$A:$AT,MATCH($D$1,'Data qoq'!$A$1:$AT$1,),)</f>
        <v>10</v>
      </c>
      <c r="E92" s="27">
        <f>VLOOKUP(B92,'Data qoq'!$A:$AT,MATCH($E$1,'Data qoq'!$A$1:$AT$1,),)</f>
        <v>-11.676441000000001</v>
      </c>
      <c r="F92" s="27">
        <f>VLOOKUP(B92,'Data qoq'!$A:$AT,MATCH($F$1,'Data qoq'!$A$1:$AT$1,),)</f>
        <v>-7.9322973809999997</v>
      </c>
      <c r="G92" s="27">
        <f>VLOOKUP(B92,'Data qoq'!$A:$AT,MATCH($G$1,'Data qoq'!$A$1:$AT$1,),)</f>
        <v>-9.9962156110000002</v>
      </c>
      <c r="H92" s="27">
        <f>VLOOKUP(B92,'Data qoq'!$A:$AT,MATCH($H$1,'Data qoq'!$A$1:$AT$1,),)</f>
        <v>-13.490288832999999</v>
      </c>
      <c r="I92" s="27">
        <f>VLOOKUP(B92,'Data qoq'!$A:$AT,MATCH($I$1,'Data qoq'!$A$1:$AT$1,),)</f>
        <v>-19.467407879</v>
      </c>
      <c r="J92" s="27">
        <f>VLOOKUP(B92,'Data qoq'!$A:$AT,MATCH($J$1,'Data qoq'!$A$1:$AT$1,),)</f>
        <v>-13.060475352999999</v>
      </c>
      <c r="K92" s="27">
        <f>VLOOKUP(B92,'Data qoq'!$A:$AT,MATCH($K$1,'Data qoq'!$A$1:$AT$1,),)</f>
        <v>-17.652092760999999</v>
      </c>
      <c r="L92" s="27">
        <f>VLOOKUP(B92,'Data qoq'!$A:$AT,MATCH($L$1,'Data qoq'!$A$1:$AT$1,),)</f>
        <v>-8.0999501089999999</v>
      </c>
      <c r="M92" s="27">
        <f>VLOOKUP(B92,'Data qoq'!$A:$AT,MATCH($M$1,'Data qoq'!$A$1:$AT$1,),)</f>
        <v>-17.307458528000002</v>
      </c>
      <c r="N92" s="27">
        <f>VLOOKUP(B92,'Data qoq'!$A:$AT,MATCH($N$1,'Data qoq'!$A$1:$AT$1,),)</f>
        <v>-4.3865124099999999</v>
      </c>
      <c r="O92" s="27">
        <f>VLOOKUP(B92,'Data qoq'!$A:$AT,MATCH($O$1,'Data qoq'!$J$1:$AT$1,),)</f>
        <v>-7.1367805930000001</v>
      </c>
      <c r="P92" s="27">
        <f>VLOOKUP(B92,'Data qoq'!$A:$AT,MATCH($P$1,'Data qoq'!$A$1:$AT$1,),)</f>
        <v>-11.280023061</v>
      </c>
      <c r="Q92" s="27">
        <f>VLOOKUP(B92,'Data qoq'!$A:$AT,MATCH($Q$1,'Data qoq'!$A$1:$AT$1,),)</f>
        <v>-6.9776266260000002</v>
      </c>
      <c r="R92" s="27">
        <f>VLOOKUP(B92,'Data qoq'!$A:$AT,MATCH($R$1,'Data qoq'!$A$1:$AT$1,),)</f>
        <v>-6.1682247630000004</v>
      </c>
      <c r="S92" s="27">
        <f>VLOOKUP(B92,'Data qoq'!$A:$AT,MATCH($S$1,'Data qoq'!$A$1:$AT$1,),)</f>
        <v>-3.1507382079999999</v>
      </c>
      <c r="T92" s="27">
        <f>VLOOKUP(B92,'Data qoq'!$A:$AT,MATCH($T$1,'Data qoq'!$A$1:$AT$1,),)</f>
        <v>-8.9609775379999999</v>
      </c>
      <c r="U92" s="27">
        <f>VLOOKUP(B92,'Data qoq'!$A:$AT,MATCH($U$1,'Data qoq'!$A$1:$AT$1,),)</f>
        <v>-12.990475420999999</v>
      </c>
      <c r="V92" s="27">
        <f>VLOOKUP(B92,'Data qoq'!$A:$AT,MATCH($V$1,'Data qoq'!$A$1:$AT$1,),)</f>
        <v>-2.9254753469999999</v>
      </c>
      <c r="W92" s="27">
        <f>VLOOKUP(B92,'Data qoq'!$A:$AT,MATCH($W$1,'Data qoq'!$A$1:$AT$1,),)</f>
        <v>-10.769850757</v>
      </c>
      <c r="X92" s="27">
        <f>VLOOKUP(B92,'Data qoq'!$A:$AT,MATCH($X$1,'Data qoq'!$A$1:$AT$1,),)</f>
        <v>-8.9098688030000002</v>
      </c>
      <c r="Y92" s="27">
        <f>VLOOKUP(B92,'Data qoq'!$A:$AT,MATCH($Y$1,'Data qoq'!$A$1:$AT$1,),)</f>
        <v>-9.2378443059999995</v>
      </c>
      <c r="Z92" s="27">
        <f>VLOOKUP(B92,'Data qoq'!$A:$AU,MATCH($Z$1,'Data qoq'!$A$1:$AU$1,),)</f>
        <v>-15.470492227999999</v>
      </c>
      <c r="AA92" s="27">
        <f>VLOOKUP(B92,'Data qoq'!$A:$AU,MATCH($AA$1,'Data qoq'!$A$1:$AU$1,),)</f>
        <v>-9.9061124889999999</v>
      </c>
      <c r="AC92" s="28" t="str">
        <f t="shared" si="19"/>
        <v>2020-Q2</v>
      </c>
      <c r="AD92" s="29">
        <f t="shared" si="20"/>
        <v>1.0589651100000008</v>
      </c>
      <c r="AE92" s="29">
        <f t="shared" si="21"/>
        <v>1.0589651100000008</v>
      </c>
    </row>
    <row r="93" spans="2:31" s="1" customFormat="1" x14ac:dyDescent="0.2">
      <c r="B93" s="26" t="s">
        <v>584</v>
      </c>
      <c r="C93" s="27">
        <f>VLOOKUP(B93,'Data qoq'!$A:$AT,MATCH($C$1,'Data qoq'!$A$1:$AT$1,),)</f>
        <v>7.547534636</v>
      </c>
      <c r="D93" s="27">
        <f>VLOOKUP(B93,'Data qoq'!$A:$AT,MATCH($D$1,'Data qoq'!$A$1:$AT$1,),)</f>
        <v>2.8</v>
      </c>
      <c r="E93" s="27">
        <f>VLOOKUP(B93,'Data qoq'!$A:$AT,MATCH($E$1,'Data qoq'!$A$1:$AT$1,),)</f>
        <v>12.629339</v>
      </c>
      <c r="F93" s="27">
        <f>VLOOKUP(B93,'Data qoq'!$A:$AT,MATCH($F$1,'Data qoq'!$A$1:$AT$1,),)</f>
        <v>5.3639763330000001</v>
      </c>
      <c r="G93" s="27">
        <f>VLOOKUP(B93,'Data qoq'!$A:$AT,MATCH($G$1,'Data qoq'!$A$1:$AT$1,),)</f>
        <v>9.043062505</v>
      </c>
      <c r="H93" s="27">
        <f>VLOOKUP(B93,'Data qoq'!$A:$AT,MATCH($H$1,'Data qoq'!$A$1:$AT$1,),)</f>
        <v>18.59198829</v>
      </c>
      <c r="I93" s="27">
        <f>VLOOKUP(B93,'Data qoq'!$A:$AT,MATCH($I$1,'Data qoq'!$A$1:$AT$1,),)</f>
        <v>16.948031074999999</v>
      </c>
      <c r="J93" s="27">
        <f>VLOOKUP(B93,'Data qoq'!$A:$AT,MATCH($J$1,'Data qoq'!$A$1:$AT$1,),)</f>
        <v>16.017151626</v>
      </c>
      <c r="K93" s="27">
        <f>VLOOKUP(B93,'Data qoq'!$A:$AT,MATCH($K$1,'Data qoq'!$A$1:$AT$1,),)</f>
        <v>16.798457004999999</v>
      </c>
      <c r="L93" s="27">
        <f>VLOOKUP(B93,'Data qoq'!$A:$AT,MATCH($L$1,'Data qoq'!$A$1:$AT$1,),)</f>
        <v>7.5035567929999996</v>
      </c>
      <c r="M93" s="27">
        <f>VLOOKUP(B93,'Data qoq'!$A:$AT,MATCH($M$1,'Data qoq'!$A$1:$AT$1,),)</f>
        <v>12.660986414</v>
      </c>
      <c r="N93" s="27">
        <f>VLOOKUP(B93,'Data qoq'!$A:$AT,MATCH($N$1,'Data qoq'!$A$1:$AT$1,),)</f>
        <v>2.360610753</v>
      </c>
      <c r="O93" s="27">
        <f>VLOOKUP(B93,'Data qoq'!$A:$AT,MATCH($O$1,'Data qoq'!$J$1:$AT$1,),)</f>
        <v>8.9503223139999992</v>
      </c>
      <c r="P93" s="27">
        <f>VLOOKUP(B93,'Data qoq'!$A:$AT,MATCH($P$1,'Data qoq'!$A$1:$AT$1,),)</f>
        <v>9.0959062159999995</v>
      </c>
      <c r="Q93" s="27">
        <f>VLOOKUP(B93,'Data qoq'!$A:$AT,MATCH($Q$1,'Data qoq'!$A$1:$AT$1,),)</f>
        <v>3.5568602949999999</v>
      </c>
      <c r="R93" s="27">
        <f>VLOOKUP(B93,'Data qoq'!$A:$AT,MATCH($R$1,'Data qoq'!$A$1:$AT$1,),)</f>
        <v>6.3700234389999997</v>
      </c>
      <c r="S93" s="27">
        <f>VLOOKUP(B93,'Data qoq'!$A:$AT,MATCH($S$1,'Data qoq'!$A$1:$AT$1,),)</f>
        <v>2.2334243909999998</v>
      </c>
      <c r="T93" s="27">
        <f>VLOOKUP(B93,'Data qoq'!$A:$AT,MATCH($T$1,'Data qoq'!$A$1:$AT$1,),)</f>
        <v>7.7144445529999999</v>
      </c>
      <c r="U93" s="27">
        <f>VLOOKUP(B93,'Data qoq'!$A:$AT,MATCH($U$1,'Data qoq'!$A$1:$AT$1,),)</f>
        <v>3.8877735069999999</v>
      </c>
      <c r="V93" s="27">
        <f>VLOOKUP(B93,'Data qoq'!$A:$AT,MATCH($V$1,'Data qoq'!$A$1:$AT$1,),)</f>
        <v>9.8489940849999993</v>
      </c>
      <c r="W93" s="27">
        <f>VLOOKUP(B93,'Data qoq'!$A:$AT,MATCH($W$1,'Data qoq'!$A$1:$AT$1,),)</f>
        <v>16.400501818999999</v>
      </c>
      <c r="X93" s="27">
        <f>VLOOKUP(B93,'Data qoq'!$A:$AT,MATCH($X$1,'Data qoq'!$A$1:$AT$1,),)</f>
        <v>6.7526521910000001</v>
      </c>
      <c r="Y93" s="27">
        <f>VLOOKUP(B93,'Data qoq'!$A:$AT,MATCH($Y$1,'Data qoq'!$A$1:$AT$1,),)</f>
        <v>7.6809579010000002</v>
      </c>
      <c r="Z93" s="27">
        <f>VLOOKUP(B93,'Data qoq'!$A:$AU,MATCH($Z$1,'Data qoq'!$A$1:$AU$1,),)</f>
        <v>12.878151215000001</v>
      </c>
      <c r="AA93" s="27">
        <f>VLOOKUP(B93,'Data qoq'!$A:$AU,MATCH($AA$1,'Data qoq'!$A$1:$AU$1,),)</f>
        <v>13.925321823999999</v>
      </c>
      <c r="AC93" s="28" t="str">
        <f t="shared" ref="AC93:AC94" si="22">B93</f>
        <v>2020-Q3</v>
      </c>
      <c r="AD93" s="29">
        <f t="shared" ref="AD93:AD94" si="23">(VLOOKUP(AC93,B:Y,MATCH($AE$6,$B$1:$Y$1,),))-(VLOOKUP(AC93,B:Y,MATCH($AE$7,$B$1:$Y$1,),))</f>
        <v>-1.495527869</v>
      </c>
      <c r="AE93" s="29">
        <f t="shared" ref="AE93:AE94" si="24">C93-G93</f>
        <v>-1.495527869</v>
      </c>
    </row>
    <row r="94" spans="2:31" s="1" customFormat="1" x14ac:dyDescent="0.2">
      <c r="B94" s="26" t="s">
        <v>586</v>
      </c>
      <c r="C94" s="27">
        <f>VLOOKUP(B94,'Data qoq'!$A:$AT,MATCH($C$1,'Data qoq'!$A$1:$AT$1,),)</f>
        <v>1.533889627</v>
      </c>
      <c r="D94" s="27">
        <f>VLOOKUP(B94,'Data qoq'!$A:$AT,MATCH($D$1,'Data qoq'!$A$1:$AT$1,),)</f>
        <v>0.4</v>
      </c>
      <c r="E94" s="27">
        <f>VLOOKUP(B94,'Data qoq'!$A:$AT,MATCH($E$1,'Data qoq'!$A$1:$AT$1,),)</f>
        <v>-0.28747699999999998</v>
      </c>
      <c r="F94" s="27">
        <f>VLOOKUP(B94,'Data qoq'!$A:$AT,MATCH($F$1,'Data qoq'!$A$1:$AT$1,),)</f>
        <v>-1.057740071</v>
      </c>
      <c r="G94" s="27">
        <f>VLOOKUP(B94,'Data qoq'!$A:$AT,MATCH($G$1,'Data qoq'!$A$1:$AT$1,),)</f>
        <v>-2.0028757769999999</v>
      </c>
      <c r="H94" s="27">
        <f>VLOOKUP(B94,'Data qoq'!$A:$AT,MATCH($H$1,'Data qoq'!$A$1:$AT$1,),)</f>
        <v>4.6078982999999997E-2</v>
      </c>
      <c r="I94" s="27">
        <f>VLOOKUP(B94,'Data qoq'!$A:$AT,MATCH($I$1,'Data qoq'!$A$1:$AT$1,),)</f>
        <v>-1.5859587669999999</v>
      </c>
      <c r="J94" s="27">
        <f>VLOOKUP(B94,'Data qoq'!$A:$AT,MATCH($J$1,'Data qoq'!$A$1:$AT$1,),)</f>
        <v>0.22720038100000001</v>
      </c>
      <c r="K94" s="27">
        <f>VLOOKUP(B94,'Data qoq'!$A:$AT,MATCH($K$1,'Data qoq'!$A$1:$AT$1,),)</f>
        <v>-0.63203504300000002</v>
      </c>
      <c r="L94" s="27">
        <f>VLOOKUP(B94,'Data qoq'!$A:$AT,MATCH($L$1,'Data qoq'!$A$1:$AT$1,),)</f>
        <v>0.81557817499999996</v>
      </c>
      <c r="M94" s="27">
        <f>VLOOKUP(B94,'Data qoq'!$A:$AT,MATCH($M$1,'Data qoq'!$A$1:$AT$1,),)</f>
        <v>1.1103811610000001</v>
      </c>
      <c r="N94" s="27">
        <f>VLOOKUP(B94,'Data qoq'!$A:$AT,MATCH($N$1,'Data qoq'!$A$1:$AT$1,),)</f>
        <v>0.97422422500000005</v>
      </c>
      <c r="O94" s="27">
        <f>VLOOKUP(B94,'Data qoq'!$A:$AT,MATCH($O$1,'Data qoq'!$J$1:$AT$1,),)</f>
        <v>-1.3711769730000001</v>
      </c>
      <c r="P94" s="27">
        <f>VLOOKUP(B94,'Data qoq'!$A:$AT,MATCH($P$1,'Data qoq'!$A$1:$AT$1,),)</f>
        <v>1.3538846790000001</v>
      </c>
      <c r="Q94" s="27">
        <f>VLOOKUP(B94,'Data qoq'!$A:$AT,MATCH($Q$1,'Data qoq'!$A$1:$AT$1,),)</f>
        <v>1.8943709019999999</v>
      </c>
      <c r="R94" s="27">
        <f>VLOOKUP(B94,'Data qoq'!$A:$AT,MATCH($R$1,'Data qoq'!$A$1:$AT$1,),)</f>
        <v>-0.44872004999999998</v>
      </c>
      <c r="S94" s="27">
        <f>VLOOKUP(B94,'Data qoq'!$A:$AT,MATCH($S$1,'Data qoq'!$A$1:$AT$1,),)</f>
        <v>1.740407308</v>
      </c>
      <c r="T94" s="27">
        <f>VLOOKUP(B94,'Data qoq'!$A:$AT,MATCH($T$1,'Data qoq'!$A$1:$AT$1,),)</f>
        <v>1.2106820730000001</v>
      </c>
      <c r="U94" s="27">
        <f>VLOOKUP(B94,'Data qoq'!$A:$AT,MATCH($U$1,'Data qoq'!$A$1:$AT$1,),)</f>
        <v>4.4769775269999998</v>
      </c>
      <c r="V94" s="27">
        <f>VLOOKUP(B94,'Data qoq'!$A:$AT,MATCH($V$1,'Data qoq'!$A$1:$AT$1,),)</f>
        <v>8.7275205059999994</v>
      </c>
      <c r="W94" s="27">
        <f>VLOOKUP(B94,'Data qoq'!$A:$AT,MATCH($W$1,'Data qoq'!$A$1:$AT$1,),)</f>
        <v>2.1708995029999998</v>
      </c>
      <c r="X94" s="27">
        <f>VLOOKUP(B94,'Data qoq'!$A:$AT,MATCH($X$1,'Data qoq'!$A$1:$AT$1,),)</f>
        <v>-0.42279645300000002</v>
      </c>
      <c r="Y94" s="27">
        <f>VLOOKUP(B94,'Data qoq'!$A:$AT,MATCH($Y$1,'Data qoq'!$A$1:$AT$1,),)</f>
        <v>1.2913474469999999</v>
      </c>
      <c r="Z94" s="27">
        <f>VLOOKUP(B94,'Data qoq'!$A:$AU,MATCH($Z$1,'Data qoq'!$A$1:$AU$1,),)</f>
        <v>2.7871224940000001</v>
      </c>
      <c r="AA94" s="27">
        <f>VLOOKUP(B94,'Data qoq'!$A:$AU,MATCH($AA$1,'Data qoq'!$A$1:$AU$1,),)</f>
        <v>1.350892953</v>
      </c>
      <c r="AB94" s="87"/>
      <c r="AC94" s="28" t="str">
        <f t="shared" si="22"/>
        <v>2021-Q1</v>
      </c>
      <c r="AD94" s="29">
        <f t="shared" si="23"/>
        <v>3.5367654039999996</v>
      </c>
      <c r="AE94" s="29">
        <f t="shared" si="24"/>
        <v>3.5367654039999996</v>
      </c>
    </row>
    <row r="95" spans="2:31" s="1" customFormat="1" x14ac:dyDescent="0.2">
      <c r="B95" s="26" t="s">
        <v>587</v>
      </c>
      <c r="C95" s="27">
        <f>VLOOKUP(B95,'Data qoq'!$A:$AT,MATCH($C$1,'Data qoq'!$A$1:$AT$1,),)</f>
        <v>1.600286109</v>
      </c>
      <c r="D95" s="27">
        <f>VLOOKUP(B95,'Data qoq'!$A:$AT,MATCH($D$1,'Data qoq'!$A$1:$AT$1,),)</f>
        <v>1.3</v>
      </c>
      <c r="E95" s="27">
        <f>VLOOKUP(B95,'Data qoq'!$A:$AT,MATCH($E$1,'Data qoq'!$A$1:$AT$1,),)</f>
        <v>2.2283309999999998</v>
      </c>
      <c r="F95" s="27">
        <f>VLOOKUP(B95,'Data qoq'!$A:$AT,MATCH($F$1,'Data qoq'!$A$1:$AT$1,),)</f>
        <v>0.46655693100000001</v>
      </c>
      <c r="G95" s="27">
        <f>VLOOKUP(B95,'Data qoq'!$A:$AT,MATCH($G$1,'Data qoq'!$A$1:$AT$1,),)</f>
        <v>1.63309185</v>
      </c>
      <c r="H95" s="27">
        <f>VLOOKUP(B95,'Data qoq'!$A:$AT,MATCH($H$1,'Data qoq'!$A$1:$AT$1,),)</f>
        <v>1.1066407410000001</v>
      </c>
      <c r="I95" s="27">
        <f>VLOOKUP(B95,'Data qoq'!$A:$AT,MATCH($I$1,'Data qoq'!$A$1:$AT$1,),)</f>
        <v>4.8162307220000002</v>
      </c>
      <c r="J95" s="27">
        <f>VLOOKUP(B95,'Data qoq'!$A:$AT,MATCH($J$1,'Data qoq'!$A$1:$AT$1,),)</f>
        <v>2.679711921</v>
      </c>
      <c r="K95" s="27">
        <f>VLOOKUP(B95,'Data qoq'!$A:$AT,MATCH($K$1,'Data qoq'!$A$1:$AT$1,),)</f>
        <v>1.0573957039999999</v>
      </c>
      <c r="L95" s="27">
        <f>VLOOKUP(B95,'Data qoq'!$A:$AT,MATCH($L$1,'Data qoq'!$A$1:$AT$1,),)</f>
        <v>0.88572369200000001</v>
      </c>
      <c r="M95" s="27">
        <f>VLOOKUP(B95,'Data qoq'!$A:$AT,MATCH($M$1,'Data qoq'!$A$1:$AT$1,),)</f>
        <v>1.474270245</v>
      </c>
      <c r="N95" s="27">
        <f>VLOOKUP(B95,'Data qoq'!$A:$AT,MATCH($N$1,'Data qoq'!$A$1:$AT$1,),)</f>
        <v>3.4590701109999999</v>
      </c>
      <c r="O95" s="27">
        <f>VLOOKUP(B95,'Data qoq'!$A:$AT,MATCH($O$1,'Data qoq'!$J$1:$AT$1,),)</f>
        <v>2.0100445809999998</v>
      </c>
      <c r="P95" s="27">
        <f>VLOOKUP(B95,'Data qoq'!$A:$AT,MATCH($P$1,'Data qoq'!$A$1:$AT$1,),)</f>
        <v>-0.28851574499999999</v>
      </c>
      <c r="Q95" s="27">
        <f>VLOOKUP(B95,'Data qoq'!$A:$AT,MATCH($Q$1,'Data qoq'!$A$1:$AT$1,),)</f>
        <v>0.66681546800000002</v>
      </c>
      <c r="R95" s="27">
        <f>VLOOKUP(B95,'Data qoq'!$A:$AT,MATCH($R$1,'Data qoq'!$A$1:$AT$1,),)</f>
        <v>1.7947387340000001</v>
      </c>
      <c r="S95" s="27">
        <f>VLOOKUP(B95,'Data qoq'!$A:$AT,MATCH($S$1,'Data qoq'!$A$1:$AT$1,),)</f>
        <v>0.77071160500000002</v>
      </c>
      <c r="T95" s="27">
        <f>VLOOKUP(B95,'Data qoq'!$A:$AT,MATCH($T$1,'Data qoq'!$A$1:$AT$1,),)</f>
        <v>-5.401044E-2</v>
      </c>
      <c r="U95" s="27">
        <f>VLOOKUP(B95,'Data qoq'!$A:$AT,MATCH($U$1,'Data qoq'!$A$1:$AT$1,),)</f>
        <v>3.4341762810000001</v>
      </c>
      <c r="V95" s="27">
        <f>VLOOKUP(B95,'Data qoq'!$A:$AT,MATCH($V$1,'Data qoq'!$A$1:$AT$1,),)</f>
        <v>6.2787132999999997</v>
      </c>
      <c r="W95" s="27">
        <f>VLOOKUP(B95,'Data qoq'!$A:$AT,MATCH($W$1,'Data qoq'!$A$1:$AT$1,),)</f>
        <v>0.90061849900000002</v>
      </c>
      <c r="X95" s="27">
        <f>VLOOKUP(B95,'Data qoq'!$A:$AT,MATCH($X$1,'Data qoq'!$A$1:$AT$1,),)</f>
        <v>1.0243599430000001</v>
      </c>
      <c r="Y95" s="27">
        <f>VLOOKUP(B95,'Data qoq'!$A:$AT,MATCH($Y$1,'Data qoq'!$A$1:$AT$1,),)</f>
        <v>2.05334547</v>
      </c>
      <c r="Z95" s="27">
        <f>VLOOKUP(B95,'Data qoq'!$A:$AU,MATCH($Z$1,'Data qoq'!$A$1:$AU$1,),)</f>
        <v>-1.392679684</v>
      </c>
      <c r="AA95" s="27">
        <f>VLOOKUP(B95,'Data qoq'!$A:$AU,MATCH($AA$1,'Data qoq'!$A$1:$AU$1,),)</f>
        <v>2.7507312160000001</v>
      </c>
      <c r="AB95" s="87"/>
      <c r="AC95" s="28" t="str">
        <f t="shared" ref="AC95" si="25">B95</f>
        <v>2021-Q2</v>
      </c>
      <c r="AD95" s="29">
        <f t="shared" ref="AD95" si="26">(VLOOKUP(AC95,B:Y,MATCH($AE$6,$B$1:$Y$1,),))-(VLOOKUP(AC95,B:Y,MATCH($AE$7,$B$1:$Y$1,),))</f>
        <v>-3.2805740999999999E-2</v>
      </c>
      <c r="AE95" s="29">
        <f t="shared" ref="AE95" si="27">C95-G95</f>
        <v>-3.2805740999999999E-2</v>
      </c>
    </row>
    <row r="96" spans="2:31" s="1" customFormat="1" x14ac:dyDescent="0.2"/>
    <row r="97" s="1" customFormat="1" x14ac:dyDescent="0.2"/>
    <row r="98" s="1" customFormat="1" x14ac:dyDescent="0.2"/>
    <row r="99" s="1" customFormat="1" x14ac:dyDescent="0.2"/>
    <row r="100" s="1" customFormat="1" x14ac:dyDescent="0.2"/>
    <row r="101" s="1" customFormat="1" x14ac:dyDescent="0.2"/>
    <row r="102" s="1" customFormat="1" x14ac:dyDescent="0.2"/>
    <row r="103" s="1" customFormat="1" x14ac:dyDescent="0.2"/>
    <row r="104" s="1" customFormat="1" x14ac:dyDescent="0.2"/>
    <row r="105" s="1" customFormat="1" x14ac:dyDescent="0.2"/>
    <row r="106" s="1" customFormat="1" x14ac:dyDescent="0.2"/>
    <row r="107" s="1" customFormat="1" x14ac:dyDescent="0.2"/>
    <row r="108" s="1" customFormat="1" x14ac:dyDescent="0.2"/>
    <row r="109" s="1" customFormat="1" x14ac:dyDescent="0.2"/>
    <row r="110" s="1" customFormat="1" x14ac:dyDescent="0.2"/>
    <row r="111" s="1" customFormat="1" x14ac:dyDescent="0.2"/>
    <row r="112" s="1" customFormat="1" x14ac:dyDescent="0.2"/>
    <row r="113" s="1" customFormat="1" x14ac:dyDescent="0.2"/>
    <row r="114" s="1" customFormat="1" x14ac:dyDescent="0.2"/>
    <row r="115" s="1" customFormat="1" x14ac:dyDescent="0.2"/>
    <row r="116" s="1" customFormat="1" x14ac:dyDescent="0.2"/>
    <row r="117" s="1" customFormat="1" x14ac:dyDescent="0.2"/>
    <row r="118" s="1" customFormat="1" x14ac:dyDescent="0.2"/>
    <row r="119" s="1" customFormat="1" x14ac:dyDescent="0.2"/>
    <row r="120" s="1" customFormat="1" x14ac:dyDescent="0.2"/>
    <row r="121" s="1" customFormat="1" x14ac:dyDescent="0.2"/>
    <row r="122" s="1" customFormat="1" x14ac:dyDescent="0.2"/>
    <row r="123" s="1" customFormat="1" x14ac:dyDescent="0.2"/>
    <row r="124" s="1" customFormat="1" x14ac:dyDescent="0.2"/>
    <row r="125" s="1" customFormat="1" x14ac:dyDescent="0.2"/>
    <row r="126" s="1" customFormat="1" x14ac:dyDescent="0.2"/>
    <row r="127" s="1" customFormat="1" x14ac:dyDescent="0.2"/>
    <row r="128" s="1" customFormat="1" x14ac:dyDescent="0.2"/>
    <row r="129" s="1" customFormat="1" x14ac:dyDescent="0.2"/>
    <row r="130" s="1" customFormat="1" x14ac:dyDescent="0.2"/>
    <row r="131" s="1" customFormat="1" x14ac:dyDescent="0.2"/>
    <row r="132" s="1" customFormat="1" x14ac:dyDescent="0.2"/>
    <row r="133" s="1" customFormat="1" x14ac:dyDescent="0.2"/>
    <row r="134" s="1" customFormat="1" x14ac:dyDescent="0.2"/>
    <row r="135" s="1" customFormat="1" x14ac:dyDescent="0.2"/>
    <row r="136" s="1" customFormat="1" x14ac:dyDescent="0.2"/>
    <row r="137" s="1" customFormat="1" x14ac:dyDescent="0.2"/>
    <row r="138" s="1" customFormat="1" x14ac:dyDescent="0.2"/>
    <row r="139" s="1" customFormat="1" x14ac:dyDescent="0.2"/>
    <row r="140" s="1" customFormat="1" x14ac:dyDescent="0.2"/>
    <row r="141" s="1" customFormat="1" x14ac:dyDescent="0.2"/>
    <row r="142" s="1" customFormat="1" x14ac:dyDescent="0.2"/>
    <row r="143" s="1" customFormat="1" x14ac:dyDescent="0.2"/>
    <row r="144" s="1" customFormat="1" x14ac:dyDescent="0.2"/>
    <row r="145" s="1" customFormat="1" x14ac:dyDescent="0.2"/>
    <row r="146" s="1" customFormat="1" x14ac:dyDescent="0.2"/>
    <row r="147" s="1" customFormat="1" x14ac:dyDescent="0.2"/>
    <row r="148" s="1" customFormat="1" x14ac:dyDescent="0.2"/>
    <row r="149" s="1" customFormat="1" x14ac:dyDescent="0.2"/>
    <row r="150" s="1" customFormat="1" x14ac:dyDescent="0.2"/>
    <row r="151" s="1" customFormat="1" x14ac:dyDescent="0.2"/>
    <row r="152" s="1" customFormat="1" x14ac:dyDescent="0.2"/>
    <row r="153" s="1" customFormat="1" x14ac:dyDescent="0.2"/>
    <row r="154" s="1" customFormat="1" x14ac:dyDescent="0.2"/>
    <row r="155" s="1" customFormat="1" x14ac:dyDescent="0.2"/>
    <row r="156" s="1" customFormat="1" x14ac:dyDescent="0.2"/>
    <row r="157" s="1" customFormat="1" x14ac:dyDescent="0.2"/>
    <row r="158" s="1" customFormat="1" x14ac:dyDescent="0.2"/>
    <row r="159" s="1" customFormat="1" x14ac:dyDescent="0.2"/>
    <row r="160" s="1" customFormat="1" x14ac:dyDescent="0.2"/>
    <row r="161" s="1" customFormat="1" x14ac:dyDescent="0.2"/>
    <row r="162" s="1" customFormat="1" x14ac:dyDescent="0.2"/>
    <row r="163" s="1" customFormat="1" x14ac:dyDescent="0.2"/>
    <row r="164" s="1" customFormat="1" x14ac:dyDescent="0.2"/>
    <row r="165" s="1" customFormat="1" x14ac:dyDescent="0.2"/>
    <row r="166" s="1" customFormat="1" x14ac:dyDescent="0.2"/>
    <row r="167" s="1" customFormat="1" x14ac:dyDescent="0.2"/>
    <row r="168" s="1" customFormat="1" x14ac:dyDescent="0.2"/>
    <row r="169" s="1" customFormat="1" x14ac:dyDescent="0.2"/>
    <row r="170" s="1" customFormat="1" x14ac:dyDescent="0.2"/>
    <row r="171" s="1" customFormat="1" x14ac:dyDescent="0.2"/>
    <row r="172" s="1" customFormat="1" x14ac:dyDescent="0.2"/>
    <row r="173" s="1" customFormat="1" x14ac:dyDescent="0.2"/>
    <row r="174" s="1" customFormat="1" x14ac:dyDescent="0.2"/>
    <row r="175" s="1" customFormat="1" x14ac:dyDescent="0.2"/>
    <row r="176" s="1" customFormat="1" x14ac:dyDescent="0.2"/>
    <row r="177" s="1" customFormat="1" x14ac:dyDescent="0.2"/>
    <row r="178" s="1" customFormat="1" x14ac:dyDescent="0.2"/>
    <row r="179" s="1" customFormat="1" x14ac:dyDescent="0.2"/>
    <row r="180" s="1" customFormat="1" x14ac:dyDescent="0.2"/>
    <row r="181" s="1" customFormat="1" x14ac:dyDescent="0.2"/>
    <row r="182" s="1" customFormat="1" x14ac:dyDescent="0.2"/>
    <row r="183" s="1" customFormat="1" x14ac:dyDescent="0.2"/>
    <row r="184" s="1" customFormat="1" x14ac:dyDescent="0.2"/>
    <row r="185" s="1" customFormat="1" x14ac:dyDescent="0.2"/>
    <row r="186" s="1" customFormat="1" x14ac:dyDescent="0.2"/>
    <row r="187" s="1" customFormat="1" x14ac:dyDescent="0.2"/>
    <row r="188" s="1" customFormat="1" x14ac:dyDescent="0.2"/>
    <row r="189" s="1" customFormat="1" x14ac:dyDescent="0.2"/>
    <row r="190" s="1" customFormat="1" x14ac:dyDescent="0.2"/>
    <row r="191" s="1" customFormat="1" x14ac:dyDescent="0.2"/>
    <row r="192" s="1" customFormat="1" x14ac:dyDescent="0.2"/>
    <row r="193" s="1" customFormat="1" x14ac:dyDescent="0.2"/>
    <row r="194" s="1" customFormat="1" x14ac:dyDescent="0.2"/>
    <row r="195" s="1" customFormat="1" x14ac:dyDescent="0.2"/>
    <row r="196" s="1" customFormat="1" x14ac:dyDescent="0.2"/>
    <row r="197" s="1" customFormat="1" x14ac:dyDescent="0.2"/>
    <row r="198" s="1" customFormat="1" x14ac:dyDescent="0.2"/>
    <row r="199" s="1" customFormat="1" x14ac:dyDescent="0.2"/>
    <row r="200" s="1" customFormat="1" x14ac:dyDescent="0.2"/>
    <row r="201" s="1" customFormat="1" x14ac:dyDescent="0.2"/>
    <row r="202" s="1" customFormat="1" x14ac:dyDescent="0.2"/>
    <row r="203" s="1" customFormat="1" x14ac:dyDescent="0.2"/>
    <row r="204" s="1" customFormat="1" x14ac:dyDescent="0.2"/>
    <row r="205" s="1" customFormat="1" x14ac:dyDescent="0.2"/>
    <row r="206" s="1" customFormat="1" x14ac:dyDescent="0.2"/>
    <row r="207" s="1" customFormat="1" x14ac:dyDescent="0.2"/>
    <row r="208" s="1" customFormat="1" x14ac:dyDescent="0.2"/>
    <row r="209" s="1" customFormat="1" x14ac:dyDescent="0.2"/>
    <row r="210" s="1" customFormat="1" x14ac:dyDescent="0.2"/>
    <row r="211" s="1" customFormat="1" x14ac:dyDescent="0.2"/>
    <row r="212" s="1" customFormat="1" x14ac:dyDescent="0.2"/>
    <row r="213" s="1" customFormat="1" x14ac:dyDescent="0.2"/>
    <row r="214" s="1" customFormat="1" x14ac:dyDescent="0.2"/>
    <row r="215" s="1" customFormat="1" x14ac:dyDescent="0.2"/>
    <row r="216" s="1" customFormat="1" x14ac:dyDescent="0.2"/>
    <row r="217" s="1" customFormat="1" x14ac:dyDescent="0.2"/>
    <row r="218" s="1" customFormat="1" x14ac:dyDescent="0.2"/>
    <row r="219" s="1" customFormat="1" x14ac:dyDescent="0.2"/>
    <row r="220" s="1" customFormat="1" x14ac:dyDescent="0.2"/>
    <row r="221" s="1" customFormat="1" x14ac:dyDescent="0.2"/>
    <row r="222" s="1" customFormat="1" x14ac:dyDescent="0.2"/>
    <row r="223" s="1" customFormat="1" x14ac:dyDescent="0.2"/>
    <row r="224" s="1" customFormat="1" x14ac:dyDescent="0.2"/>
    <row r="225" s="1" customFormat="1" x14ac:dyDescent="0.2"/>
    <row r="226" s="1" customFormat="1" x14ac:dyDescent="0.2"/>
    <row r="227" s="1" customFormat="1" x14ac:dyDescent="0.2"/>
    <row r="228" s="1" customFormat="1" x14ac:dyDescent="0.2"/>
    <row r="229" s="1" customFormat="1" x14ac:dyDescent="0.2"/>
    <row r="230" s="1" customFormat="1" x14ac:dyDescent="0.2"/>
    <row r="231" s="1" customFormat="1" x14ac:dyDescent="0.2"/>
    <row r="232" s="1" customFormat="1" x14ac:dyDescent="0.2"/>
    <row r="233" s="1" customFormat="1" x14ac:dyDescent="0.2"/>
    <row r="234" s="1" customFormat="1" x14ac:dyDescent="0.2"/>
    <row r="235" s="1" customFormat="1" x14ac:dyDescent="0.2"/>
    <row r="236" s="1" customFormat="1" x14ac:dyDescent="0.2"/>
    <row r="237" s="1" customFormat="1" x14ac:dyDescent="0.2"/>
    <row r="238" s="1" customFormat="1" x14ac:dyDescent="0.2"/>
    <row r="239" s="1" customFormat="1" x14ac:dyDescent="0.2"/>
    <row r="240" s="1" customFormat="1" x14ac:dyDescent="0.2"/>
    <row r="241" s="1" customFormat="1" x14ac:dyDescent="0.2"/>
    <row r="242" s="1" customFormat="1" x14ac:dyDescent="0.2"/>
    <row r="243" s="1" customFormat="1" x14ac:dyDescent="0.2"/>
    <row r="244" s="1" customFormat="1" x14ac:dyDescent="0.2"/>
    <row r="245" s="1" customFormat="1" x14ac:dyDescent="0.2"/>
    <row r="246" s="1" customFormat="1" x14ac:dyDescent="0.2"/>
    <row r="247" s="1" customFormat="1" x14ac:dyDescent="0.2"/>
    <row r="248" s="1" customFormat="1" x14ac:dyDescent="0.2"/>
    <row r="249" s="1" customFormat="1" x14ac:dyDescent="0.2"/>
    <row r="250" s="1" customFormat="1" x14ac:dyDescent="0.2"/>
    <row r="251" s="1" customFormat="1" x14ac:dyDescent="0.2"/>
    <row r="252" s="1" customFormat="1" x14ac:dyDescent="0.2"/>
    <row r="253" s="1" customFormat="1" x14ac:dyDescent="0.2"/>
    <row r="254" s="1" customFormat="1" x14ac:dyDescent="0.2"/>
    <row r="255" s="1" customFormat="1" x14ac:dyDescent="0.2"/>
    <row r="256" s="1" customFormat="1" x14ac:dyDescent="0.2"/>
    <row r="257" s="1" customFormat="1" x14ac:dyDescent="0.2"/>
    <row r="258" s="1" customFormat="1" x14ac:dyDescent="0.2"/>
    <row r="259" s="1" customFormat="1" x14ac:dyDescent="0.2"/>
    <row r="260" s="1" customFormat="1" x14ac:dyDescent="0.2"/>
    <row r="261" s="1" customFormat="1" x14ac:dyDescent="0.2"/>
    <row r="262" s="1" customFormat="1" x14ac:dyDescent="0.2"/>
    <row r="263" s="1" customFormat="1" x14ac:dyDescent="0.2"/>
    <row r="264" s="1" customFormat="1" x14ac:dyDescent="0.2"/>
    <row r="265" s="1" customFormat="1" x14ac:dyDescent="0.2"/>
    <row r="266" s="1" customFormat="1" x14ac:dyDescent="0.2"/>
    <row r="267" s="1" customFormat="1" x14ac:dyDescent="0.2"/>
    <row r="268" s="1" customFormat="1" x14ac:dyDescent="0.2"/>
    <row r="269" s="1" customFormat="1" x14ac:dyDescent="0.2"/>
    <row r="270" s="1" customFormat="1" x14ac:dyDescent="0.2"/>
    <row r="271" s="1" customFormat="1" x14ac:dyDescent="0.2"/>
    <row r="272" s="1" customFormat="1" x14ac:dyDescent="0.2"/>
    <row r="273" s="1" customFormat="1" x14ac:dyDescent="0.2"/>
    <row r="274" s="1" customFormat="1" x14ac:dyDescent="0.2"/>
    <row r="275" s="1" customFormat="1" x14ac:dyDescent="0.2"/>
    <row r="276" s="1" customFormat="1" x14ac:dyDescent="0.2"/>
    <row r="277" s="1" customFormat="1" x14ac:dyDescent="0.2"/>
    <row r="278" s="1" customFormat="1" x14ac:dyDescent="0.2"/>
    <row r="279" s="1" customFormat="1" x14ac:dyDescent="0.2"/>
    <row r="280" s="1" customFormat="1" x14ac:dyDescent="0.2"/>
    <row r="281" s="1" customFormat="1" x14ac:dyDescent="0.2"/>
    <row r="282" s="1" customFormat="1" x14ac:dyDescent="0.2"/>
    <row r="283" s="1" customFormat="1" x14ac:dyDescent="0.2"/>
    <row r="284" s="1" customFormat="1" x14ac:dyDescent="0.2"/>
    <row r="285" s="1" customFormat="1" x14ac:dyDescent="0.2"/>
    <row r="286" s="1" customFormat="1" x14ac:dyDescent="0.2"/>
    <row r="287" s="1" customFormat="1" x14ac:dyDescent="0.2"/>
    <row r="288" s="1" customFormat="1" x14ac:dyDescent="0.2"/>
    <row r="289" s="1" customFormat="1" x14ac:dyDescent="0.2"/>
    <row r="290" s="1" customFormat="1" x14ac:dyDescent="0.2"/>
    <row r="291" s="1" customFormat="1" x14ac:dyDescent="0.2"/>
    <row r="292" s="1" customFormat="1" x14ac:dyDescent="0.2"/>
    <row r="293" s="1" customFormat="1" x14ac:dyDescent="0.2"/>
    <row r="294" s="1" customFormat="1" x14ac:dyDescent="0.2"/>
    <row r="295" s="1" customFormat="1" x14ac:dyDescent="0.2"/>
    <row r="296" s="1" customFormat="1" x14ac:dyDescent="0.2"/>
    <row r="297" s="1" customFormat="1" x14ac:dyDescent="0.2"/>
    <row r="298" s="1" customFormat="1" x14ac:dyDescent="0.2"/>
    <row r="299" s="1" customFormat="1" x14ac:dyDescent="0.2"/>
    <row r="300" s="1" customFormat="1" x14ac:dyDescent="0.2"/>
    <row r="301" s="1" customFormat="1" x14ac:dyDescent="0.2"/>
    <row r="302" s="1" customFormat="1" x14ac:dyDescent="0.2"/>
    <row r="303" s="1" customFormat="1" x14ac:dyDescent="0.2"/>
    <row r="304" s="1" customFormat="1" x14ac:dyDescent="0.2"/>
    <row r="305" s="1" customFormat="1" x14ac:dyDescent="0.2"/>
    <row r="306" s="1" customFormat="1" x14ac:dyDescent="0.2"/>
    <row r="307" s="1" customFormat="1" x14ac:dyDescent="0.2"/>
    <row r="308" s="1" customFormat="1" x14ac:dyDescent="0.2"/>
    <row r="309" s="1" customFormat="1" x14ac:dyDescent="0.2"/>
    <row r="310" s="1" customFormat="1" x14ac:dyDescent="0.2"/>
    <row r="311" s="1" customFormat="1" x14ac:dyDescent="0.2"/>
    <row r="312" s="1" customFormat="1" x14ac:dyDescent="0.2"/>
    <row r="313" s="1" customFormat="1" x14ac:dyDescent="0.2"/>
    <row r="314" s="1" customFormat="1" x14ac:dyDescent="0.2"/>
    <row r="315" s="1" customFormat="1" x14ac:dyDescent="0.2"/>
    <row r="316" s="1" customFormat="1" x14ac:dyDescent="0.2"/>
    <row r="317" s="1" customFormat="1" x14ac:dyDescent="0.2"/>
    <row r="318" s="1" customFormat="1" x14ac:dyDescent="0.2"/>
    <row r="319" s="1" customFormat="1" x14ac:dyDescent="0.2"/>
    <row r="320" s="1" customFormat="1" x14ac:dyDescent="0.2"/>
    <row r="321" s="1" customFormat="1" x14ac:dyDescent="0.2"/>
    <row r="322" s="1" customFormat="1" x14ac:dyDescent="0.2"/>
    <row r="323" s="1" customFormat="1" x14ac:dyDescent="0.2"/>
    <row r="324" s="1" customFormat="1" x14ac:dyDescent="0.2"/>
    <row r="325" s="1" customFormat="1" x14ac:dyDescent="0.2"/>
    <row r="326" s="1" customFormat="1" x14ac:dyDescent="0.2"/>
    <row r="327" s="1" customFormat="1" x14ac:dyDescent="0.2"/>
    <row r="328" s="1" customFormat="1" x14ac:dyDescent="0.2"/>
    <row r="329" s="1" customFormat="1" x14ac:dyDescent="0.2"/>
    <row r="330" s="1" customFormat="1" x14ac:dyDescent="0.2"/>
    <row r="331" s="1" customFormat="1" x14ac:dyDescent="0.2"/>
    <row r="332" s="1" customFormat="1" x14ac:dyDescent="0.2"/>
    <row r="333" s="1" customFormat="1" x14ac:dyDescent="0.2"/>
    <row r="334" s="1" customFormat="1" x14ac:dyDescent="0.2"/>
    <row r="335" s="1" customFormat="1" x14ac:dyDescent="0.2"/>
    <row r="336" s="1" customFormat="1" x14ac:dyDescent="0.2"/>
    <row r="337" s="1" customFormat="1" x14ac:dyDescent="0.2"/>
    <row r="338" s="1" customFormat="1" x14ac:dyDescent="0.2"/>
    <row r="339" s="1" customFormat="1" x14ac:dyDescent="0.2"/>
    <row r="340" s="1" customFormat="1" x14ac:dyDescent="0.2"/>
    <row r="341" s="1" customFormat="1" x14ac:dyDescent="0.2"/>
    <row r="342" s="1" customFormat="1" x14ac:dyDescent="0.2"/>
    <row r="343" s="1" customFormat="1" x14ac:dyDescent="0.2"/>
    <row r="344" s="1" customFormat="1" x14ac:dyDescent="0.2"/>
    <row r="345" s="1" customFormat="1" x14ac:dyDescent="0.2"/>
    <row r="346" s="1" customFormat="1" x14ac:dyDescent="0.2"/>
    <row r="347" s="1" customFormat="1" x14ac:dyDescent="0.2"/>
    <row r="348" s="1" customFormat="1" x14ac:dyDescent="0.2"/>
    <row r="349" s="1" customFormat="1" x14ac:dyDescent="0.2"/>
    <row r="350" s="1" customFormat="1" x14ac:dyDescent="0.2"/>
    <row r="351" s="1" customFormat="1" x14ac:dyDescent="0.2"/>
    <row r="352" s="1" customFormat="1" x14ac:dyDescent="0.2"/>
    <row r="353" s="1" customFormat="1" x14ac:dyDescent="0.2"/>
    <row r="354" s="1" customFormat="1" x14ac:dyDescent="0.2"/>
    <row r="355" s="1" customFormat="1" x14ac:dyDescent="0.2"/>
    <row r="356" s="1" customFormat="1" x14ac:dyDescent="0.2"/>
    <row r="357" s="1" customFormat="1" x14ac:dyDescent="0.2"/>
    <row r="358" s="1" customFormat="1" x14ac:dyDescent="0.2"/>
    <row r="359" s="1" customFormat="1" x14ac:dyDescent="0.2"/>
    <row r="360" s="1" customFormat="1" x14ac:dyDescent="0.2"/>
    <row r="361" s="1" customFormat="1" x14ac:dyDescent="0.2"/>
    <row r="362" s="1" customFormat="1" x14ac:dyDescent="0.2"/>
    <row r="363" s="1" customFormat="1" x14ac:dyDescent="0.2"/>
    <row r="364" s="1" customFormat="1" x14ac:dyDescent="0.2"/>
    <row r="365" s="1" customFormat="1" x14ac:dyDescent="0.2"/>
    <row r="366" s="1" customFormat="1" x14ac:dyDescent="0.2"/>
    <row r="367" s="1" customFormat="1" x14ac:dyDescent="0.2"/>
    <row r="368" s="1" customFormat="1" x14ac:dyDescent="0.2"/>
    <row r="369" s="1" customFormat="1" x14ac:dyDescent="0.2"/>
    <row r="370" s="1" customFormat="1" x14ac:dyDescent="0.2"/>
    <row r="371" s="1" customFormat="1" x14ac:dyDescent="0.2"/>
    <row r="372" s="1" customFormat="1" x14ac:dyDescent="0.2"/>
    <row r="373" s="1" customFormat="1" x14ac:dyDescent="0.2"/>
    <row r="374" s="1" customFormat="1" x14ac:dyDescent="0.2"/>
    <row r="375" s="1" customFormat="1" x14ac:dyDescent="0.2"/>
    <row r="376" s="1" customFormat="1" x14ac:dyDescent="0.2"/>
    <row r="377" s="1" customFormat="1" x14ac:dyDescent="0.2"/>
    <row r="378" s="1" customFormat="1" x14ac:dyDescent="0.2"/>
  </sheetData>
  <phoneticPr fontId="8" type="noConversion"/>
  <conditionalFormatting sqref="C11:C95">
    <cfRule type="colorScale" priority="1">
      <colorScale>
        <cfvo type="min"/>
        <cfvo type="percentile" val="50"/>
        <cfvo type="max"/>
        <color rgb="FFF8696B"/>
        <color rgb="FFFFEB84"/>
        <color rgb="FF63BE7B"/>
      </colorScale>
    </cfRule>
  </conditionalFormatting>
  <conditionalFormatting sqref="D11:D95">
    <cfRule type="colorScale" priority="2">
      <colorScale>
        <cfvo type="min"/>
        <cfvo type="percentile" val="50"/>
        <cfvo type="max"/>
        <color rgb="FFF8696B"/>
        <color rgb="FFFFEB84"/>
        <color rgb="FF63BE7B"/>
      </colorScale>
    </cfRule>
  </conditionalFormatting>
  <conditionalFormatting sqref="E11:E95">
    <cfRule type="colorScale" priority="3">
      <colorScale>
        <cfvo type="min"/>
        <cfvo type="percentile" val="50"/>
        <cfvo type="max"/>
        <color rgb="FFF8696B"/>
        <color rgb="FFFFEB84"/>
        <color rgb="FF63BE7B"/>
      </colorScale>
    </cfRule>
  </conditionalFormatting>
  <conditionalFormatting sqref="F11:F95">
    <cfRule type="colorScale" priority="4">
      <colorScale>
        <cfvo type="min"/>
        <cfvo type="percentile" val="50"/>
        <cfvo type="max"/>
        <color rgb="FFF8696B"/>
        <color rgb="FFFFEB84"/>
        <color rgb="FF63BE7B"/>
      </colorScale>
    </cfRule>
  </conditionalFormatting>
  <conditionalFormatting sqref="G11:G95">
    <cfRule type="colorScale" priority="5">
      <colorScale>
        <cfvo type="min"/>
        <cfvo type="percentile" val="50"/>
        <cfvo type="max"/>
        <color rgb="FFF8696B"/>
        <color rgb="FFFFEB84"/>
        <color rgb="FF63BE7B"/>
      </colorScale>
    </cfRule>
  </conditionalFormatting>
  <conditionalFormatting sqref="H11:H95">
    <cfRule type="colorScale" priority="6">
      <colorScale>
        <cfvo type="min"/>
        <cfvo type="percentile" val="50"/>
        <cfvo type="max"/>
        <color rgb="FFF8696B"/>
        <color rgb="FFFFEB84"/>
        <color rgb="FF63BE7B"/>
      </colorScale>
    </cfRule>
  </conditionalFormatting>
  <conditionalFormatting sqref="I11:I95">
    <cfRule type="colorScale" priority="7">
      <colorScale>
        <cfvo type="min"/>
        <cfvo type="percentile" val="50"/>
        <cfvo type="max"/>
        <color rgb="FFF8696B"/>
        <color rgb="FFFFEB84"/>
        <color rgb="FF63BE7B"/>
      </colorScale>
    </cfRule>
  </conditionalFormatting>
  <conditionalFormatting sqref="J11:J95">
    <cfRule type="colorScale" priority="8">
      <colorScale>
        <cfvo type="min"/>
        <cfvo type="percentile" val="50"/>
        <cfvo type="max"/>
        <color rgb="FFF8696B"/>
        <color rgb="FFFFEB84"/>
        <color rgb="FF63BE7B"/>
      </colorScale>
    </cfRule>
  </conditionalFormatting>
  <conditionalFormatting sqref="K11:K95">
    <cfRule type="colorScale" priority="9">
      <colorScale>
        <cfvo type="min"/>
        <cfvo type="percentile" val="50"/>
        <cfvo type="max"/>
        <color rgb="FFF8696B"/>
        <color rgb="FFFFEB84"/>
        <color rgb="FF63BE7B"/>
      </colorScale>
    </cfRule>
  </conditionalFormatting>
  <conditionalFormatting sqref="L11:L95">
    <cfRule type="colorScale" priority="10">
      <colorScale>
        <cfvo type="min"/>
        <cfvo type="percentile" val="50"/>
        <cfvo type="max"/>
        <color rgb="FFF8696B"/>
        <color rgb="FFFFEB84"/>
        <color rgb="FF63BE7B"/>
      </colorScale>
    </cfRule>
  </conditionalFormatting>
  <conditionalFormatting sqref="M11:M95">
    <cfRule type="colorScale" priority="11">
      <colorScale>
        <cfvo type="min"/>
        <cfvo type="percentile" val="50"/>
        <cfvo type="max"/>
        <color rgb="FFF8696B"/>
        <color rgb="FFFFEB84"/>
        <color rgb="FF63BE7B"/>
      </colorScale>
    </cfRule>
  </conditionalFormatting>
  <conditionalFormatting sqref="N11:N95">
    <cfRule type="colorScale" priority="12">
      <colorScale>
        <cfvo type="min"/>
        <cfvo type="percentile" val="50"/>
        <cfvo type="max"/>
        <color rgb="FFF8696B"/>
        <color rgb="FFFFEB84"/>
        <color rgb="FF63BE7B"/>
      </colorScale>
    </cfRule>
  </conditionalFormatting>
  <conditionalFormatting sqref="O11:O95">
    <cfRule type="colorScale" priority="13">
      <colorScale>
        <cfvo type="min"/>
        <cfvo type="percentile" val="50"/>
        <cfvo type="max"/>
        <color rgb="FFF8696B"/>
        <color rgb="FFFFEB84"/>
        <color rgb="FF63BE7B"/>
      </colorScale>
    </cfRule>
  </conditionalFormatting>
  <conditionalFormatting sqref="P11:P95">
    <cfRule type="colorScale" priority="14">
      <colorScale>
        <cfvo type="min"/>
        <cfvo type="percentile" val="50"/>
        <cfvo type="max"/>
        <color rgb="FFF8696B"/>
        <color rgb="FFFFEB84"/>
        <color rgb="FF63BE7B"/>
      </colorScale>
    </cfRule>
  </conditionalFormatting>
  <conditionalFormatting sqref="Q11:Q95">
    <cfRule type="colorScale" priority="15">
      <colorScale>
        <cfvo type="min"/>
        <cfvo type="percentile" val="50"/>
        <cfvo type="max"/>
        <color rgb="FFF8696B"/>
        <color rgb="FFFFEB84"/>
        <color rgb="FF63BE7B"/>
      </colorScale>
    </cfRule>
  </conditionalFormatting>
  <conditionalFormatting sqref="R11:R95">
    <cfRule type="colorScale" priority="16">
      <colorScale>
        <cfvo type="min"/>
        <cfvo type="percentile" val="50"/>
        <cfvo type="max"/>
        <color rgb="FFF8696B"/>
        <color rgb="FFFFEB84"/>
        <color rgb="FF63BE7B"/>
      </colorScale>
    </cfRule>
  </conditionalFormatting>
  <conditionalFormatting sqref="S11:S95">
    <cfRule type="colorScale" priority="17">
      <colorScale>
        <cfvo type="min"/>
        <cfvo type="percentile" val="50"/>
        <cfvo type="max"/>
        <color rgb="FFF8696B"/>
        <color rgb="FFFFEB84"/>
        <color rgb="FF63BE7B"/>
      </colorScale>
    </cfRule>
  </conditionalFormatting>
  <conditionalFormatting sqref="T11:T95">
    <cfRule type="colorScale" priority="18">
      <colorScale>
        <cfvo type="min"/>
        <cfvo type="percentile" val="50"/>
        <cfvo type="max"/>
        <color rgb="FFF8696B"/>
        <color rgb="FFFFEB84"/>
        <color rgb="FF63BE7B"/>
      </colorScale>
    </cfRule>
  </conditionalFormatting>
  <conditionalFormatting sqref="U11:U95">
    <cfRule type="colorScale" priority="19">
      <colorScale>
        <cfvo type="min"/>
        <cfvo type="percentile" val="50"/>
        <cfvo type="max"/>
        <color rgb="FFF8696B"/>
        <color rgb="FFFFEB84"/>
        <color rgb="FF63BE7B"/>
      </colorScale>
    </cfRule>
  </conditionalFormatting>
  <conditionalFormatting sqref="V11:V95">
    <cfRule type="colorScale" priority="20">
      <colorScale>
        <cfvo type="min"/>
        <cfvo type="percentile" val="50"/>
        <cfvo type="max"/>
        <color rgb="FFF8696B"/>
        <color rgb="FFFFEB84"/>
        <color rgb="FF63BE7B"/>
      </colorScale>
    </cfRule>
  </conditionalFormatting>
  <conditionalFormatting sqref="W11:W95">
    <cfRule type="colorScale" priority="21">
      <colorScale>
        <cfvo type="min"/>
        <cfvo type="percentile" val="50"/>
        <cfvo type="max"/>
        <color rgb="FFF8696B"/>
        <color rgb="FFFFEB84"/>
        <color rgb="FF63BE7B"/>
      </colorScale>
    </cfRule>
  </conditionalFormatting>
  <conditionalFormatting sqref="X11:X95">
    <cfRule type="colorScale" priority="22">
      <colorScale>
        <cfvo type="min"/>
        <cfvo type="percentile" val="50"/>
        <cfvo type="max"/>
        <color rgb="FFF8696B"/>
        <color rgb="FFFFEB84"/>
        <color rgb="FF63BE7B"/>
      </colorScale>
    </cfRule>
  </conditionalFormatting>
  <conditionalFormatting sqref="Y11:Y95">
    <cfRule type="colorScale" priority="23">
      <colorScale>
        <cfvo type="min"/>
        <cfvo type="percentile" val="50"/>
        <cfvo type="max"/>
        <color rgb="FFF8696B"/>
        <color rgb="FFFFEB84"/>
        <color rgb="FF63BE7B"/>
      </colorScale>
    </cfRule>
  </conditionalFormatting>
  <conditionalFormatting sqref="Z11:Z95">
    <cfRule type="colorScale" priority="24">
      <colorScale>
        <cfvo type="min"/>
        <cfvo type="percentile" val="50"/>
        <cfvo type="max"/>
        <color rgb="FFF8696B"/>
        <color rgb="FFFFEB84"/>
        <color rgb="FF63BE7B"/>
      </colorScale>
    </cfRule>
  </conditionalFormatting>
  <conditionalFormatting sqref="AA11:AA95">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939A3E-B80F-4008-A0C2-DD9FD817B814}">
  <sheetPr codeName="Sheet7">
    <tabColor rgb="FF0070C0"/>
  </sheetPr>
  <dimension ref="A1:BT377"/>
  <sheetViews>
    <sheetView zoomScale="130" zoomScaleNormal="130" workbookViewId="0">
      <selection activeCell="AU80" sqref="AU80"/>
    </sheetView>
  </sheetViews>
  <sheetFormatPr baseColWidth="10" defaultColWidth="8.83203125" defaultRowHeight="15" x14ac:dyDescent="0.2"/>
  <cols>
    <col min="1" max="1" width="8.33203125" style="1" bestFit="1" customWidth="1"/>
    <col min="2" max="2" width="13.1640625" bestFit="1" customWidth="1"/>
    <col min="3" max="3" width="8.1640625" bestFit="1" customWidth="1"/>
    <col min="4" max="4" width="8.33203125" bestFit="1" customWidth="1"/>
    <col min="5" max="6" width="8.1640625" bestFit="1" customWidth="1"/>
    <col min="7" max="13" width="8.33203125" bestFit="1" customWidth="1"/>
    <col min="14" max="14" width="8.1640625" bestFit="1" customWidth="1"/>
    <col min="15" max="16" width="8.33203125" bestFit="1" customWidth="1"/>
    <col min="17" max="17" width="8.1640625" bestFit="1" customWidth="1"/>
    <col min="18" max="18" width="8.33203125" bestFit="1" customWidth="1"/>
    <col min="19" max="20" width="8.1640625" bestFit="1" customWidth="1"/>
    <col min="21" max="21" width="8.33203125" bestFit="1" customWidth="1"/>
    <col min="22" max="25" width="8.1640625" bestFit="1" customWidth="1"/>
    <col min="26" max="26" width="8.33203125" bestFit="1" customWidth="1"/>
    <col min="27" max="27" width="8.1640625" bestFit="1" customWidth="1"/>
    <col min="28" max="28" width="6.1640625" style="1" customWidth="1"/>
    <col min="29" max="29" width="8" style="1" bestFit="1" customWidth="1"/>
    <col min="30" max="30" width="15" style="1" bestFit="1" customWidth="1"/>
    <col min="31" max="31" width="8" style="1" bestFit="1" customWidth="1"/>
    <col min="32" max="33" width="9.1640625" style="1"/>
    <col min="34" max="34" width="18.1640625" style="1" bestFit="1" customWidth="1"/>
    <col min="35" max="72" width="9.1640625" style="1"/>
  </cols>
  <sheetData>
    <row r="1" spans="1:34" x14ac:dyDescent="0.2">
      <c r="C1" t="s">
        <v>34</v>
      </c>
      <c r="D1" t="s">
        <v>42</v>
      </c>
      <c r="E1" t="s">
        <v>35</v>
      </c>
      <c r="F1" t="s">
        <v>21</v>
      </c>
      <c r="G1" t="s">
        <v>8</v>
      </c>
      <c r="H1" t="s">
        <v>13</v>
      </c>
      <c r="I1" t="s">
        <v>14</v>
      </c>
      <c r="J1" t="s">
        <v>20</v>
      </c>
      <c r="K1" t="s">
        <v>10</v>
      </c>
      <c r="L1" t="s">
        <v>33</v>
      </c>
      <c r="M1" t="s">
        <v>25</v>
      </c>
      <c r="N1" t="s">
        <v>41</v>
      </c>
      <c r="O1" t="s">
        <v>39</v>
      </c>
      <c r="P1" t="s">
        <v>5</v>
      </c>
      <c r="Q1" t="s">
        <v>2</v>
      </c>
      <c r="R1" t="s">
        <v>38</v>
      </c>
      <c r="S1" t="s">
        <v>22</v>
      </c>
      <c r="T1" t="s">
        <v>44</v>
      </c>
      <c r="U1" t="s">
        <v>15</v>
      </c>
      <c r="V1" t="s">
        <v>17</v>
      </c>
      <c r="W1" t="s">
        <v>43</v>
      </c>
      <c r="X1" t="s">
        <v>7</v>
      </c>
      <c r="Y1" t="s">
        <v>29</v>
      </c>
      <c r="Z1" t="s">
        <v>48</v>
      </c>
      <c r="AA1" t="s">
        <v>46</v>
      </c>
    </row>
    <row r="2" spans="1:34" s="1" customFormat="1" x14ac:dyDescent="0.2">
      <c r="AD2" s="1" t="s">
        <v>339</v>
      </c>
      <c r="AE2" s="5" t="str">
        <f>'Table yoy'!AE2</f>
        <v>2021-Q2</v>
      </c>
      <c r="AH2" s="1" t="s">
        <v>340</v>
      </c>
    </row>
    <row r="3" spans="1:34" ht="75.75" customHeight="1" x14ac:dyDescent="0.2">
      <c r="B3" s="6"/>
      <c r="C3" s="7" t="s">
        <v>341</v>
      </c>
      <c r="D3" s="8" t="s">
        <v>342</v>
      </c>
      <c r="E3" s="9" t="s">
        <v>343</v>
      </c>
      <c r="F3" s="10" t="s">
        <v>344</v>
      </c>
      <c r="G3" s="11" t="s">
        <v>345</v>
      </c>
      <c r="H3" s="11" t="s">
        <v>346</v>
      </c>
      <c r="I3" s="11" t="s">
        <v>347</v>
      </c>
      <c r="J3" s="11" t="s">
        <v>348</v>
      </c>
      <c r="K3" s="11" t="s">
        <v>349</v>
      </c>
      <c r="L3" s="11" t="s">
        <v>350</v>
      </c>
      <c r="M3" s="11" t="s">
        <v>351</v>
      </c>
      <c r="N3" s="11" t="s">
        <v>352</v>
      </c>
      <c r="O3" s="11" t="s">
        <v>353</v>
      </c>
      <c r="P3" s="11" t="s">
        <v>354</v>
      </c>
      <c r="Q3" s="11" t="s">
        <v>355</v>
      </c>
      <c r="R3" s="12" t="s">
        <v>356</v>
      </c>
      <c r="S3" s="11" t="s">
        <v>357</v>
      </c>
      <c r="T3" s="11" t="s">
        <v>358</v>
      </c>
      <c r="U3" s="11" t="s">
        <v>359</v>
      </c>
      <c r="V3" s="11" t="s">
        <v>360</v>
      </c>
      <c r="W3" s="11" t="s">
        <v>361</v>
      </c>
      <c r="X3" s="11" t="s">
        <v>362</v>
      </c>
      <c r="Y3" s="11" t="s">
        <v>363</v>
      </c>
      <c r="Z3" s="11" t="s">
        <v>364</v>
      </c>
      <c r="AA3" s="11" t="s">
        <v>365</v>
      </c>
      <c r="AD3" s="13" t="s">
        <v>366</v>
      </c>
      <c r="AE3" s="14" t="str">
        <f>'Table yoy'!AE3</f>
        <v>2020-Q2</v>
      </c>
    </row>
    <row r="4" spans="1:34" ht="16" thickBot="1" x14ac:dyDescent="0.25">
      <c r="B4" s="6" t="s">
        <v>367</v>
      </c>
      <c r="C4" s="31">
        <f>MAX(C90:C93)</f>
        <v>0.33783279298685187</v>
      </c>
      <c r="D4" s="31">
        <f t="shared" ref="D4:AA4" si="0">MAX(D90:D93)</f>
        <v>0.4641000000000004</v>
      </c>
      <c r="E4" s="31">
        <f t="shared" si="0"/>
        <v>0.60918561386173153</v>
      </c>
      <c r="F4" s="31">
        <f t="shared" si="0"/>
        <v>0.23244801150245431</v>
      </c>
      <c r="G4" s="31">
        <f t="shared" si="0"/>
        <v>0.41381361997255861</v>
      </c>
      <c r="H4" s="31">
        <f t="shared" si="0"/>
        <v>0.97797774867558052</v>
      </c>
      <c r="I4" s="31">
        <f t="shared" si="0"/>
        <v>0.87056006335791247</v>
      </c>
      <c r="J4" s="31">
        <f t="shared" si="0"/>
        <v>0.81171047370785976</v>
      </c>
      <c r="K4" s="31">
        <f t="shared" si="0"/>
        <v>0.86100877895409256</v>
      </c>
      <c r="L4" s="31">
        <f t="shared" si="0"/>
        <v>0.33564589311008275</v>
      </c>
      <c r="M4" s="31">
        <f t="shared" si="0"/>
        <v>0.6109950192040543</v>
      </c>
      <c r="N4" s="31">
        <f t="shared" si="0"/>
        <v>9.7820848376353187E-2</v>
      </c>
      <c r="O4" s="31">
        <f t="shared" si="0"/>
        <v>1.1561106121778986</v>
      </c>
      <c r="P4" s="31">
        <f t="shared" si="0"/>
        <v>0.4165562239749081</v>
      </c>
      <c r="Q4" s="31">
        <f t="shared" si="0"/>
        <v>0.15004676042607468</v>
      </c>
      <c r="R4" s="31">
        <f t="shared" si="0"/>
        <v>0.28019763264354403</v>
      </c>
      <c r="S4" s="31">
        <f t="shared" si="0"/>
        <v>9.2374698097843932E-2</v>
      </c>
      <c r="T4" s="31">
        <f t="shared" si="0"/>
        <v>0.34615722083898648</v>
      </c>
      <c r="U4" s="31">
        <f t="shared" si="0"/>
        <v>0.16481714596082697</v>
      </c>
      <c r="V4" s="31">
        <f t="shared" si="0"/>
        <v>0.45607698476273573</v>
      </c>
      <c r="W4" s="31">
        <f t="shared" si="0"/>
        <v>0.83577482774931511</v>
      </c>
      <c r="X4" s="31">
        <f t="shared" si="0"/>
        <v>0.29871750482305748</v>
      </c>
      <c r="Y4" s="31">
        <f t="shared" si="0"/>
        <v>0.34448400860525763</v>
      </c>
      <c r="Z4" s="31">
        <f t="shared" si="0"/>
        <v>0.62345236694927153</v>
      </c>
      <c r="AA4" s="31">
        <f t="shared" si="0"/>
        <v>0.68453894654680703</v>
      </c>
      <c r="AD4" s="16" t="s">
        <v>368</v>
      </c>
      <c r="AE4" s="17" t="str">
        <f>'Table yoy'!AE4</f>
        <v>2019-Q3</v>
      </c>
    </row>
    <row r="5" spans="1:34" x14ac:dyDescent="0.2">
      <c r="B5" s="6" t="s">
        <v>369</v>
      </c>
      <c r="C5" s="31">
        <f>MIN(C90:C93)</f>
        <v>-0.31235698460598726</v>
      </c>
      <c r="D5" s="31">
        <f t="shared" ref="D5:AA5" si="1">MIN(D90:D93)</f>
        <v>-0.30516272223899976</v>
      </c>
      <c r="E5" s="31">
        <f t="shared" si="1"/>
        <v>-0.39143602134189459</v>
      </c>
      <c r="F5" s="31">
        <f t="shared" si="1"/>
        <v>-0.28149594242035636</v>
      </c>
      <c r="G5" s="31">
        <f t="shared" si="1"/>
        <v>-0.34378964025626724</v>
      </c>
      <c r="H5" s="31">
        <f t="shared" si="1"/>
        <v>-0.43990789866189506</v>
      </c>
      <c r="I5" s="31">
        <f t="shared" si="1"/>
        <v>-0.57938310584959951</v>
      </c>
      <c r="J5" s="31">
        <f t="shared" si="1"/>
        <v>-0.42869365791278102</v>
      </c>
      <c r="K5" s="31">
        <f t="shared" si="1"/>
        <v>-0.54015627283445999</v>
      </c>
      <c r="L5" s="31">
        <f t="shared" si="1"/>
        <v>-0.28671516835864141</v>
      </c>
      <c r="M5" s="31">
        <f t="shared" si="1"/>
        <v>-0.53240984463931063</v>
      </c>
      <c r="N5" s="31">
        <f t="shared" si="1"/>
        <v>-0.16424951153473633</v>
      </c>
      <c r="O5" s="31">
        <f t="shared" si="1"/>
        <v>-0.67491481677996212</v>
      </c>
      <c r="P5" s="31">
        <f t="shared" si="1"/>
        <v>-0.38043670467671298</v>
      </c>
      <c r="Q5" s="31">
        <f t="shared" si="1"/>
        <v>-0.25122788299402754</v>
      </c>
      <c r="R5" s="31">
        <f t="shared" si="1"/>
        <v>-0.22482504645374302</v>
      </c>
      <c r="S5" s="31">
        <f t="shared" si="1"/>
        <v>-0.12019736350249632</v>
      </c>
      <c r="T5" s="31">
        <f t="shared" si="1"/>
        <v>-0.31307338536038298</v>
      </c>
      <c r="U5" s="31">
        <f t="shared" si="1"/>
        <v>-0.42685147024469039</v>
      </c>
      <c r="V5" s="31">
        <f t="shared" si="1"/>
        <v>-0.11198338743644287</v>
      </c>
      <c r="W5" s="31">
        <f t="shared" si="1"/>
        <v>-0.36606244941348087</v>
      </c>
      <c r="X5" s="31">
        <f t="shared" si="1"/>
        <v>-0.31152954077584927</v>
      </c>
      <c r="Y5" s="31">
        <f t="shared" si="1"/>
        <v>-0.32139163447683683</v>
      </c>
      <c r="Z5" s="31">
        <f t="shared" si="1"/>
        <v>-0.48945578436622494</v>
      </c>
      <c r="AA5" s="31">
        <f t="shared" si="1"/>
        <v>-0.34115795317482744</v>
      </c>
      <c r="AC5" s="18" t="s">
        <v>370</v>
      </c>
      <c r="AE5" s="19"/>
    </row>
    <row r="6" spans="1:34" x14ac:dyDescent="0.2">
      <c r="B6" s="6" t="s">
        <v>371</v>
      </c>
      <c r="C6" s="31">
        <f>AVERAGE(C90:C93)</f>
        <v>-1.690096750294745E-3</v>
      </c>
      <c r="D6" s="31">
        <f t="shared" ref="D6:AA6" si="2">AVERAGE(D90:D93)</f>
        <v>8.1150158288250146E-2</v>
      </c>
      <c r="E6" s="31">
        <f t="shared" si="2"/>
        <v>2.1329048558782676E-2</v>
      </c>
      <c r="F6" s="31">
        <f t="shared" si="2"/>
        <v>-3.6864758758691163E-2</v>
      </c>
      <c r="G6" s="31">
        <f t="shared" si="2"/>
        <v>-4.1580087699008561E-4</v>
      </c>
      <c r="H6" s="31">
        <f t="shared" si="2"/>
        <v>7.8442390058919814E-2</v>
      </c>
      <c r="I6" s="31">
        <f t="shared" si="2"/>
        <v>4.5687331533510955E-2</v>
      </c>
      <c r="J6" s="31">
        <f t="shared" si="2"/>
        <v>3.9687702472471192E-2</v>
      </c>
      <c r="K6" s="31">
        <f t="shared" si="2"/>
        <v>3.4293192103478282E-2</v>
      </c>
      <c r="L6" s="31">
        <f t="shared" si="2"/>
        <v>5.3772862269474975E-3</v>
      </c>
      <c r="M6" s="31">
        <f t="shared" si="2"/>
        <v>3.7976013516463625E-4</v>
      </c>
      <c r="N6" s="31">
        <f t="shared" si="2"/>
        <v>-2.3080395160038347E-2</v>
      </c>
      <c r="O6" s="31">
        <f t="shared" si="2"/>
        <v>0.13089543980606583</v>
      </c>
      <c r="P6" s="31">
        <f t="shared" si="2"/>
        <v>-9.7876114103800649E-3</v>
      </c>
      <c r="Q6" s="31">
        <f t="shared" si="2"/>
        <v>-2.5006957866401697E-2</v>
      </c>
      <c r="R6" s="31">
        <f t="shared" si="2"/>
        <v>2.9840211221189017E-3</v>
      </c>
      <c r="S6" s="31">
        <f t="shared" si="2"/>
        <v>-6.1983131655183876E-3</v>
      </c>
      <c r="T6" s="31">
        <f t="shared" si="2"/>
        <v>-1.0808204568641816E-2</v>
      </c>
      <c r="U6" s="31">
        <f t="shared" si="2"/>
        <v>-7.0202462080712541E-2</v>
      </c>
      <c r="V6" s="31">
        <f t="shared" si="2"/>
        <v>0.13058758527872399</v>
      </c>
      <c r="W6" s="31">
        <f t="shared" si="2"/>
        <v>0.13584866446091889</v>
      </c>
      <c r="X6" s="31">
        <f t="shared" si="2"/>
        <v>-2.8907053824157564E-2</v>
      </c>
      <c r="Y6" s="31">
        <f t="shared" si="2"/>
        <v>7.9740853232680431E-3</v>
      </c>
      <c r="Z6" s="31">
        <f t="shared" si="2"/>
        <v>-2.2741537549462065E-2</v>
      </c>
      <c r="AA6" s="31">
        <f t="shared" si="2"/>
        <v>7.4506295398034578E-2</v>
      </c>
      <c r="AC6" s="20"/>
      <c r="AD6" s="1" t="s">
        <v>372</v>
      </c>
      <c r="AE6" s="19" t="s">
        <v>35</v>
      </c>
    </row>
    <row r="7" spans="1:34" ht="16" thickBot="1" x14ac:dyDescent="0.25">
      <c r="B7" s="6" t="s">
        <v>373</v>
      </c>
      <c r="C7" s="15" t="str">
        <f t="shared" ref="C7:AA7" si="3">IF((VLOOKUP($AE$2,$B:$AA,MATCH(C3,$B$3:$AA$3,),))&gt;C6,"above","below")</f>
        <v>above</v>
      </c>
      <c r="D7" s="15" t="str">
        <f t="shared" si="3"/>
        <v>below</v>
      </c>
      <c r="E7" s="15" t="str">
        <f t="shared" si="3"/>
        <v>above</v>
      </c>
      <c r="F7" s="15" t="str">
        <f t="shared" si="3"/>
        <v>above</v>
      </c>
      <c r="G7" s="15" t="str">
        <f t="shared" si="3"/>
        <v>above</v>
      </c>
      <c r="H7" s="15" t="str">
        <f t="shared" si="3"/>
        <v>below</v>
      </c>
      <c r="I7" s="15" t="str">
        <f t="shared" si="3"/>
        <v>above</v>
      </c>
      <c r="J7" s="15" t="str">
        <f t="shared" si="3"/>
        <v>above</v>
      </c>
      <c r="K7" s="15" t="str">
        <f t="shared" si="3"/>
        <v>above</v>
      </c>
      <c r="L7" s="15" t="str">
        <f t="shared" si="3"/>
        <v>above</v>
      </c>
      <c r="M7" s="15" t="str">
        <f t="shared" si="3"/>
        <v>above</v>
      </c>
      <c r="N7" s="15" t="str">
        <f t="shared" si="3"/>
        <v>above</v>
      </c>
      <c r="O7" s="15" t="str">
        <f t="shared" si="3"/>
        <v>below</v>
      </c>
      <c r="P7" s="15" t="str">
        <f t="shared" si="3"/>
        <v>below</v>
      </c>
      <c r="Q7" s="15" t="str">
        <f t="shared" si="3"/>
        <v>above</v>
      </c>
      <c r="R7" s="15" t="str">
        <f t="shared" si="3"/>
        <v>above</v>
      </c>
      <c r="S7" s="15" t="str">
        <f t="shared" si="3"/>
        <v>above</v>
      </c>
      <c r="T7" s="15" t="str">
        <f t="shared" si="3"/>
        <v>above</v>
      </c>
      <c r="U7" s="15" t="str">
        <f t="shared" si="3"/>
        <v>above</v>
      </c>
      <c r="V7" s="15" t="str">
        <f t="shared" si="3"/>
        <v>above</v>
      </c>
      <c r="W7" s="15" t="str">
        <f t="shared" si="3"/>
        <v>below</v>
      </c>
      <c r="X7" s="15" t="str">
        <f t="shared" si="3"/>
        <v>above</v>
      </c>
      <c r="Y7" s="15" t="str">
        <f t="shared" si="3"/>
        <v>above</v>
      </c>
      <c r="Z7" s="15" t="str">
        <f t="shared" si="3"/>
        <v>below</v>
      </c>
      <c r="AA7" s="15" t="str">
        <f t="shared" si="3"/>
        <v>above</v>
      </c>
      <c r="AC7" s="21"/>
      <c r="AD7" s="22" t="s">
        <v>374</v>
      </c>
      <c r="AE7" s="23" t="s">
        <v>14</v>
      </c>
    </row>
    <row r="8" spans="1:34" x14ac:dyDescent="0.2">
      <c r="B8" s="6" t="s">
        <v>375</v>
      </c>
      <c r="C8" s="30">
        <f t="shared" ref="C8:AA8" si="4">VLOOKUP($AE$2,$B:$AA,MATCH(C3,$B$3:$AA$3,),)-VLOOKUP($AE$4,$B:$AA,MATCH(C3,$B$3:$AA$3,),)</f>
        <v>3.7861264621418034E-2</v>
      </c>
      <c r="D8" s="30">
        <f t="shared" si="4"/>
        <v>4.1518838249998691E-3</v>
      </c>
      <c r="E8" s="30">
        <f t="shared" si="4"/>
        <v>8.1059252282762451E-2</v>
      </c>
      <c r="F8" s="30">
        <f t="shared" si="4"/>
        <v>1.3982120273735132E-2</v>
      </c>
      <c r="G8" s="30">
        <f t="shared" si="4"/>
        <v>5.040178947139573E-2</v>
      </c>
      <c r="H8" s="30">
        <f t="shared" si="4"/>
        <v>3.8511904677364539E-2</v>
      </c>
      <c r="I8" s="30">
        <f t="shared" si="4"/>
        <v>0.18697890581714582</v>
      </c>
      <c r="J8" s="30">
        <f t="shared" si="4"/>
        <v>0.10399437768386233</v>
      </c>
      <c r="K8" s="30">
        <f t="shared" si="4"/>
        <v>2.7724597383433025E-2</v>
      </c>
      <c r="L8" s="30">
        <f t="shared" si="4"/>
        <v>1.0178227651737259E-2</v>
      </c>
      <c r="M8" s="30">
        <f t="shared" si="4"/>
        <v>5.4317713577815674E-2</v>
      </c>
      <c r="N8" s="30">
        <f t="shared" si="4"/>
        <v>0.18426437611705859</v>
      </c>
      <c r="O8" s="30">
        <f t="shared" si="4"/>
        <v>-0.36874166019947141</v>
      </c>
      <c r="P8" s="30">
        <f t="shared" si="4"/>
        <v>-2.9697954731319642E-2</v>
      </c>
      <c r="Q8" s="30">
        <f t="shared" si="4"/>
        <v>-5.7377020576285798E-3</v>
      </c>
      <c r="R8" s="30">
        <f t="shared" si="4"/>
        <v>5.058361413296808E-2</v>
      </c>
      <c r="S8" s="30">
        <f t="shared" si="4"/>
        <v>1.4886499692310817E-2</v>
      </c>
      <c r="T8" s="30">
        <f t="shared" si="4"/>
        <v>-9.7271714847646518E-4</v>
      </c>
      <c r="U8" s="30">
        <f t="shared" si="4"/>
        <v>0.16782880703689418</v>
      </c>
      <c r="V8" s="30">
        <f t="shared" si="4"/>
        <v>0.29224684217256469</v>
      </c>
      <c r="W8" s="30">
        <f t="shared" si="4"/>
        <v>3.4487780843210469E-2</v>
      </c>
      <c r="X8" s="30">
        <f t="shared" si="4"/>
        <v>1.948772160791612E-2</v>
      </c>
      <c r="Y8" s="30">
        <f t="shared" si="4"/>
        <v>3.6191697972981496E-2</v>
      </c>
      <c r="Z8" s="30">
        <f t="shared" si="4"/>
        <v>-8.0848469052403837E-2</v>
      </c>
      <c r="AA8" s="30">
        <f t="shared" si="4"/>
        <v>7.8826078112444575E-2</v>
      </c>
    </row>
    <row r="9" spans="1:34" x14ac:dyDescent="0.2">
      <c r="B9" s="6" t="s">
        <v>376</v>
      </c>
      <c r="C9" s="31">
        <f t="shared" ref="C9:AA9" si="5">VLOOKUP($AE$2,$B:$AA,MATCH(C3,$B$3:$AA$3,),)-VLOOKUP($AE$3,$B:$AA,MATCH(C3,$B$3:$AA$3,),)</f>
        <v>0.3779214367181114</v>
      </c>
      <c r="D9" s="31">
        <f t="shared" si="5"/>
        <v>-0.41107718343900057</v>
      </c>
      <c r="E9" s="31">
        <f t="shared" si="5"/>
        <v>0.48359304207234799</v>
      </c>
      <c r="F9" s="31">
        <f t="shared" si="5"/>
        <v>0.30028923158791054</v>
      </c>
      <c r="G9" s="31">
        <f t="shared" si="5"/>
        <v>0.41073100053082978</v>
      </c>
      <c r="H9" s="31">
        <f t="shared" si="5"/>
        <v>0.48491375654429059</v>
      </c>
      <c r="I9" s="31">
        <f t="shared" si="5"/>
        <v>0.78640223299169176</v>
      </c>
      <c r="J9" s="31">
        <f t="shared" si="5"/>
        <v>0.54026813448892252</v>
      </c>
      <c r="K9" s="31">
        <f t="shared" si="5"/>
        <v>0.58312769393647601</v>
      </c>
      <c r="L9" s="31">
        <f t="shared" si="5"/>
        <v>0.32261760549211493</v>
      </c>
      <c r="M9" s="31">
        <f t="shared" si="5"/>
        <v>0.59269760247716974</v>
      </c>
      <c r="N9" s="31">
        <f t="shared" si="5"/>
        <v>0.30995840063919544</v>
      </c>
      <c r="O9" s="31">
        <f t="shared" si="5"/>
        <v>0.32563479871174106</v>
      </c>
      <c r="P9" s="31">
        <f t="shared" si="5"/>
        <v>0.36894592368132884</v>
      </c>
      <c r="Q9" s="31">
        <f t="shared" si="5"/>
        <v>0.27816847539108847</v>
      </c>
      <c r="R9" s="31">
        <f t="shared" si="5"/>
        <v>0.29857047588106067</v>
      </c>
      <c r="S9" s="31">
        <f t="shared" si="5"/>
        <v>0.15138406025726991</v>
      </c>
      <c r="T9" s="31">
        <f t="shared" si="5"/>
        <v>0.3109147174068243</v>
      </c>
      <c r="U9" s="31">
        <f t="shared" si="5"/>
        <v>0.57145805715275855</v>
      </c>
      <c r="V9" s="31">
        <f t="shared" si="5"/>
        <v>0.38779088877730805</v>
      </c>
      <c r="W9" s="31">
        <f t="shared" si="5"/>
        <v>0.40257678617692239</v>
      </c>
      <c r="X9" s="31">
        <f t="shared" si="5"/>
        <v>0.35313783698014645</v>
      </c>
      <c r="Y9" s="31">
        <f t="shared" si="5"/>
        <v>0.40608999710162119</v>
      </c>
      <c r="Z9" s="31">
        <f t="shared" si="5"/>
        <v>0.43490156392150225</v>
      </c>
      <c r="AA9" s="31">
        <f t="shared" si="5"/>
        <v>0.45581094154651702</v>
      </c>
    </row>
    <row r="10" spans="1:34" x14ac:dyDescent="0.2">
      <c r="B10" s="6"/>
      <c r="C10" s="24"/>
      <c r="D10" s="24"/>
      <c r="E10" s="24"/>
      <c r="F10" s="24"/>
      <c r="G10" s="24"/>
      <c r="H10" s="24"/>
      <c r="I10" s="24"/>
      <c r="J10" s="24"/>
      <c r="K10" s="24"/>
      <c r="L10" s="24"/>
      <c r="M10" s="24"/>
      <c r="N10" s="24"/>
      <c r="O10" s="24"/>
      <c r="P10" s="24"/>
      <c r="Q10" s="24"/>
      <c r="R10" s="25"/>
      <c r="S10" s="24"/>
      <c r="T10" s="24"/>
      <c r="U10" s="24"/>
      <c r="V10" s="24"/>
      <c r="W10" s="24"/>
      <c r="X10" s="24"/>
      <c r="Y10" s="24"/>
      <c r="Z10" s="24"/>
      <c r="AA10" s="24"/>
    </row>
    <row r="11" spans="1:34" hidden="1" x14ac:dyDescent="0.2">
      <c r="A11" s="32">
        <v>36586</v>
      </c>
      <c r="B11" s="26" t="s">
        <v>260</v>
      </c>
      <c r="C11" s="34">
        <f>(((VLOOKUP(B11,'Data qoq'!$A:$AT,MATCH($C$1,'Data qoq'!$A$1:$AT$1,),))/100+1)^4)-1</f>
        <v>1.4657781370113865E-2</v>
      </c>
      <c r="D11" s="34">
        <f>(((VLOOKUP(B11,'Data qoq'!$A:$AT,MATCH($D$1,'Data qoq'!$A$1:$AT$1,),))/100+1)^4)-1</f>
        <v>0</v>
      </c>
      <c r="E11" s="34">
        <f>(((VLOOKUP(B11,'Data qoq'!$A:$AT,MATCH($E$1,'Data qoq'!$A$1:$AT$1,),))/100+1)^4)-1</f>
        <v>5.0273308295507579E-2</v>
      </c>
      <c r="F11" s="34">
        <f>(((VLOOKUP(B11,'Data qoq'!$A:$AT,MATCH($F$1,'Data qoq'!$A$1:$AT$1,),))/100+1)^4)-1</f>
        <v>7.008777577001557E-2</v>
      </c>
      <c r="G11" s="34">
        <f>(((VLOOKUP(B11,'Data qoq'!$A:$AT,MATCH($G$1,'Data qoq'!$A$1:$AT$1,),))/100+1)^4)-1</f>
        <v>5.8475284588756171E-2</v>
      </c>
      <c r="H11" s="34">
        <f>(((VLOOKUP(B11,'Data qoq'!$A:$AT,MATCH($H$1,'Data qoq'!$A$1:$AT$1,),))/100+1)^4)-1</f>
        <v>3.6841173201014099E-2</v>
      </c>
      <c r="I11" s="34">
        <f>(((VLOOKUP(B11,'Data qoq'!$A:$AT,MATCH($I$1,'Data qoq'!$A$1:$AT$1,),))/100+1)^4)-1</f>
        <v>3.2602621404611787E-2</v>
      </c>
      <c r="J11" s="34">
        <f>(((VLOOKUP(B11,'Data qoq'!$A:$AT,MATCH($J$1,'Data qoq'!$A$1:$AT$1,),))/100+1)^4)-1</f>
        <v>4.7816959715512697E-2</v>
      </c>
      <c r="K11" s="34">
        <f>(((VLOOKUP(B11,'Data qoq'!$A:$AT,MATCH($K$1,'Data qoq'!$A$1:$AT$1,),))/100+1)^4)-1</f>
        <v>6.5538179930620499E-2</v>
      </c>
      <c r="L11" s="34">
        <f>(((VLOOKUP(B11,'Data qoq'!$A:$AT,MATCH($L$1,'Data qoq'!$A$1:$AT$1,),))/100+1)^4)-1</f>
        <v>2.8338481179881025E-2</v>
      </c>
      <c r="M11" s="34">
        <f>(((VLOOKUP(B11,'Data qoq'!$A:$AT,MATCH($M$1,'Data qoq'!$A$1:$AT$1,),))/100+1)^4)-1</f>
        <v>7.9287444769174931E-2</v>
      </c>
      <c r="N11" s="34">
        <f>(((VLOOKUP(B11,'Data qoq'!$A:$AT,MATCH($N$1,'Data qoq'!$A$1:$AT$1,),))/100+1)^4)-1</f>
        <v>0</v>
      </c>
      <c r="O11" s="34">
        <f>(((VLOOKUP(B11,'Data qoq'!$A:$AT,MATCH($O$1,'Data qoq'!$A$1:$AT$1,),))/100+1)^4)-1</f>
        <v>8.6663229172657896E-2</v>
      </c>
      <c r="P11" s="34">
        <f>(((VLOOKUP(B11,'Data qoq'!$A:$AT,MATCH($P$1,'Data qoq'!$A$1:$AT$1,),))/100+1)^4)-1</f>
        <v>6.5541361121654651E-2</v>
      </c>
      <c r="Q11" s="34">
        <f>(((VLOOKUP(B11,'Data qoq'!$A:$AT,MATCH($Q$1,'Data qoq'!$A$1:$AT$1,),))/100+1)^4)-1</f>
        <v>1.4578885897756466E-2</v>
      </c>
      <c r="R11" s="34">
        <f>(((VLOOKUP(B11,'Data qoq'!$A:$AT,MATCH($R$1,'Data qoq'!$A$1:$AT$1,),))/100+1)^4)-1</f>
        <v>3.1479582735151501E-2</v>
      </c>
      <c r="S11" s="34">
        <f>(((VLOOKUP(B11,'Data qoq'!$A:$AT,MATCH($S$1,'Data qoq'!$A$1:$AT$1,),))/100+1)^4)-1</f>
        <v>7.7984153341577267E-2</v>
      </c>
      <c r="T11" s="34">
        <f>(((VLOOKUP(B11,'Data qoq'!$A:$AT,MATCH($T$1,'Data qoq'!$A$1:$AT$1,),))/100+1)^4)-1</f>
        <v>4.3035345590047624E-2</v>
      </c>
      <c r="U11" s="34">
        <f>(((VLOOKUP(B11,'Data qoq'!$A:$AT,MATCH($U$1,'Data qoq'!$A$1:$AT$1,),))/100+1)^4)-1</f>
        <v>1.5273207707256375E-2</v>
      </c>
      <c r="V11" s="34">
        <f>(((VLOOKUP(B11,'Data qoq'!$A:$AT,MATCH($V$1,'Data qoq'!$A$1:$AT$1,),))/100+1)^4)-1</f>
        <v>5.3300325452487751E-2</v>
      </c>
      <c r="W11" s="34">
        <f>(((VLOOKUP(B11,'Data qoq'!$A:$AT,MATCH($W$1,'Data qoq'!$A$1:$AT$1,),))/100+1)^4)-1</f>
        <v>6.4497834305185409E-2</v>
      </c>
      <c r="X11" s="34">
        <f>(((VLOOKUP(B11,'Data qoq'!$A:$AT,MATCH($X$1,'Data qoq'!$A$1:$AT$1,),))/100+1)^4)-1</f>
        <v>5.5398980625578131E-2</v>
      </c>
      <c r="Y11" s="34">
        <f>(((VLOOKUP(B11,'Data qoq'!$A:$AT,MATCH($Y$1,'Data qoq'!$A$1:$AT$1,),))/100+1)^4)-1</f>
        <v>-1.3571050348881952E-2</v>
      </c>
      <c r="Z11" s="34">
        <f>(((VLOOKUP(B11,'Data qoq'!$A:$AU,MATCH($Z$1,'Data qoq'!$A$1:$AU$1,),))/100+1)^4)-1</f>
        <v>-1.3530892383642024E-2</v>
      </c>
      <c r="AA11" s="34">
        <f>(((VLOOKUP(B11,'Data qoq'!$A:$AU,MATCH($AA$1,'Data qoq'!$A$1:$AU$1,),))/100+1)^4)-1</f>
        <v>5.949733639665955E-2</v>
      </c>
      <c r="AC11" s="28" t="str">
        <f>B11</f>
        <v>2000-Q1</v>
      </c>
      <c r="AD11" s="33">
        <f t="shared" ref="AD11:AD42" si="6">(VLOOKUP(AC11,B:Y,MATCH($AE$6,$B$1:$Y$1,),))-(VLOOKUP(AC11,B:Y,MATCH($AE$7,$B$1:$Y$1,),))</f>
        <v>1.7670686890895793E-2</v>
      </c>
      <c r="AE11" s="29"/>
    </row>
    <row r="12" spans="1:34" hidden="1" x14ac:dyDescent="0.2">
      <c r="A12" s="32">
        <v>36678</v>
      </c>
      <c r="B12" s="26" t="s">
        <v>261</v>
      </c>
      <c r="C12" s="34">
        <f>(((VLOOKUP(B12,'Data qoq'!$A:$AT,MATCH($C$1,'Data qoq'!$A$1:$AT$1,),))/100+1)^4)-1</f>
        <v>7.4836281127297122E-2</v>
      </c>
      <c r="D12" s="34">
        <f>(((VLOOKUP(B12,'Data qoq'!$A:$AT,MATCH($D$1,'Data qoq'!$A$1:$AT$1,),))/100+1)^4)-1</f>
        <v>0</v>
      </c>
      <c r="E12" s="34">
        <f>(((VLOOKUP(B12,'Data qoq'!$A:$AT,MATCH($E$1,'Data qoq'!$A$1:$AT$1,),))/100+1)^4)-1</f>
        <v>3.661540259626328E-2</v>
      </c>
      <c r="F12" s="34">
        <f>(((VLOOKUP(B12,'Data qoq'!$A:$AT,MATCH($F$1,'Data qoq'!$A$1:$AT$1,),))/100+1)^4)-1</f>
        <v>1.8762938424798037E-2</v>
      </c>
      <c r="G12" s="34">
        <f>(((VLOOKUP(B12,'Data qoq'!$A:$AT,MATCH($G$1,'Data qoq'!$A$1:$AT$1,),))/100+1)^4)-1</f>
        <v>3.3264373070788888E-2</v>
      </c>
      <c r="H12" s="34">
        <f>(((VLOOKUP(B12,'Data qoq'!$A:$AT,MATCH($H$1,'Data qoq'!$A$1:$AT$1,),))/100+1)^4)-1</f>
        <v>4.0231618207064557E-2</v>
      </c>
      <c r="I12" s="34">
        <f>(((VLOOKUP(B12,'Data qoq'!$A:$AT,MATCH($I$1,'Data qoq'!$A$1:$AT$1,),))/100+1)^4)-1</f>
        <v>2.4459796688282021E-2</v>
      </c>
      <c r="J12" s="34">
        <f>(((VLOOKUP(B12,'Data qoq'!$A:$AT,MATCH($J$1,'Data qoq'!$A$1:$AT$1,),))/100+1)^4)-1</f>
        <v>2.9580037027285178E-2</v>
      </c>
      <c r="K12" s="34">
        <f>(((VLOOKUP(B12,'Data qoq'!$A:$AT,MATCH($K$1,'Data qoq'!$A$1:$AT$1,),))/100+1)^4)-1</f>
        <v>5.1038009047775112E-2</v>
      </c>
      <c r="L12" s="34">
        <f>(((VLOOKUP(B12,'Data qoq'!$A:$AT,MATCH($L$1,'Data qoq'!$A$1:$AT$1,),))/100+1)^4)-1</f>
        <v>0.10303970261991213</v>
      </c>
      <c r="M12" s="34">
        <f>(((VLOOKUP(B12,'Data qoq'!$A:$AT,MATCH($M$1,'Data qoq'!$A$1:$AT$1,),))/100+1)^4)-1</f>
        <v>6.1845238370168865E-2</v>
      </c>
      <c r="N12" s="34">
        <f>(((VLOOKUP(B12,'Data qoq'!$A:$AT,MATCH($N$1,'Data qoq'!$A$1:$AT$1,),))/100+1)^4)-1</f>
        <v>0</v>
      </c>
      <c r="O12" s="34">
        <f>(((VLOOKUP(B12,'Data qoq'!$A:$AT,MATCH($O$1,'Data qoq'!$A$1:$AT$1,),))/100+1)^4)-1</f>
        <v>5.4073302500032838E-3</v>
      </c>
      <c r="P12" s="34">
        <f>(((VLOOKUP(B12,'Data qoq'!$A:$AT,MATCH($P$1,'Data qoq'!$A$1:$AT$1,),))/100+1)^4)-1</f>
        <v>4.8397765098713075E-2</v>
      </c>
      <c r="Q12" s="34">
        <f>(((VLOOKUP(B12,'Data qoq'!$A:$AT,MATCH($Q$1,'Data qoq'!$A$1:$AT$1,),))/100+1)^4)-1</f>
        <v>3.7442060182470094E-2</v>
      </c>
      <c r="R12" s="34">
        <f>(((VLOOKUP(B12,'Data qoq'!$A:$AT,MATCH($R$1,'Data qoq'!$A$1:$AT$1,),))/100+1)^4)-1</f>
        <v>1.7282165220887213E-2</v>
      </c>
      <c r="S12" s="34">
        <f>(((VLOOKUP(B12,'Data qoq'!$A:$AT,MATCH($S$1,'Data qoq'!$A$1:$AT$1,),))/100+1)^4)-1</f>
        <v>5.4375254143276486E-2</v>
      </c>
      <c r="T12" s="34">
        <f>(((VLOOKUP(B12,'Data qoq'!$A:$AT,MATCH($T$1,'Data qoq'!$A$1:$AT$1,),))/100+1)^4)-1</f>
        <v>5.7265565266121365E-2</v>
      </c>
      <c r="U12" s="34">
        <f>(((VLOOKUP(B12,'Data qoq'!$A:$AT,MATCH($U$1,'Data qoq'!$A$1:$AT$1,),))/100+1)^4)-1</f>
        <v>3.7392949243544749E-2</v>
      </c>
      <c r="V12" s="34">
        <f>(((VLOOKUP(B12,'Data qoq'!$A:$AT,MATCH($V$1,'Data qoq'!$A$1:$AT$1,),))/100+1)^4)-1</f>
        <v>0.13759075665806231</v>
      </c>
      <c r="W12" s="34">
        <f>(((VLOOKUP(B12,'Data qoq'!$A:$AT,MATCH($W$1,'Data qoq'!$A$1:$AT$1,),))/100+1)^4)-1</f>
        <v>0.16506817968592857</v>
      </c>
      <c r="X12" s="34">
        <f>(((VLOOKUP(B12,'Data qoq'!$A:$AT,MATCH($X$1,'Data qoq'!$A$1:$AT$1,),))/100+1)^4)-1</f>
        <v>4.2377860017896785E-2</v>
      </c>
      <c r="Y12" s="34">
        <f>(((VLOOKUP(B12,'Data qoq'!$A:$AT,MATCH($Y$1,'Data qoq'!$A$1:$AT$1,),))/100+1)^4)-1</f>
        <v>4.9060120141398045E-2</v>
      </c>
      <c r="Z12" s="34">
        <f>(((VLOOKUP(B12,'Data qoq'!$A:$AU,MATCH($Z$1,'Data qoq'!$A$1:$AU$1,),))/100+1)^4)-1</f>
        <v>-6.2819169123601415E-2</v>
      </c>
      <c r="AA12" s="34">
        <f>(((VLOOKUP(B12,'Data qoq'!$A:$AU,MATCH($AA$1,'Data qoq'!$A$1:$AU$1,),))/100+1)^4)-1</f>
        <v>1.8786262552601407E-3</v>
      </c>
      <c r="AC12" s="28" t="str">
        <f t="shared" ref="AC12:AC75" si="7">B12</f>
        <v>2000-Q2</v>
      </c>
      <c r="AD12" s="33">
        <f t="shared" si="6"/>
        <v>1.215560590798126E-2</v>
      </c>
      <c r="AE12" s="29"/>
    </row>
    <row r="13" spans="1:34" hidden="1" x14ac:dyDescent="0.2">
      <c r="A13" s="32">
        <v>36770</v>
      </c>
      <c r="B13" s="26" t="s">
        <v>262</v>
      </c>
      <c r="C13" s="34">
        <f>(((VLOOKUP(B13,'Data qoq'!$A:$AT,MATCH($C$1,'Data qoq'!$A$1:$AT$1,),))/100+1)^4)-1</f>
        <v>3.9969420199184036E-3</v>
      </c>
      <c r="D13" s="34">
        <f>(((VLOOKUP(B13,'Data qoq'!$A:$AT,MATCH($D$1,'Data qoq'!$A$1:$AT$1,),))/100+1)^4)-1</f>
        <v>0</v>
      </c>
      <c r="E13" s="34">
        <f>(((VLOOKUP(B13,'Data qoq'!$A:$AT,MATCH($E$1,'Data qoq'!$A$1:$AT$1,),))/100+1)^4)-1</f>
        <v>2.229297932954788E-2</v>
      </c>
      <c r="F13" s="34">
        <f>(((VLOOKUP(B13,'Data qoq'!$A:$AT,MATCH($F$1,'Data qoq'!$A$1:$AT$1,),))/100+1)^4)-1</f>
        <v>1.0358031701540593E-3</v>
      </c>
      <c r="G13" s="34">
        <f>(((VLOOKUP(B13,'Data qoq'!$A:$AT,MATCH($G$1,'Data qoq'!$A$1:$AT$1,),))/100+1)^4)-1</f>
        <v>-9.441405002967862E-4</v>
      </c>
      <c r="H13" s="34">
        <f>(((VLOOKUP(B13,'Data qoq'!$A:$AT,MATCH($H$1,'Data qoq'!$A$1:$AT$1,),))/100+1)^4)-1</f>
        <v>2.4972506611984135E-2</v>
      </c>
      <c r="I13" s="34">
        <f>(((VLOOKUP(B13,'Data qoq'!$A:$AT,MATCH($I$1,'Data qoq'!$A$1:$AT$1,),))/100+1)^4)-1</f>
        <v>1.178865785148675E-2</v>
      </c>
      <c r="J13" s="34">
        <f>(((VLOOKUP(B13,'Data qoq'!$A:$AT,MATCH($J$1,'Data qoq'!$A$1:$AT$1,),))/100+1)^4)-1</f>
        <v>2.5844808589945645E-2</v>
      </c>
      <c r="K13" s="34">
        <f>(((VLOOKUP(B13,'Data qoq'!$A:$AT,MATCH($K$1,'Data qoq'!$A$1:$AT$1,),))/100+1)^4)-1</f>
        <v>4.3872846304841007E-2</v>
      </c>
      <c r="L13" s="34">
        <f>(((VLOOKUP(B13,'Data qoq'!$A:$AT,MATCH($L$1,'Data qoq'!$A$1:$AT$1,),))/100+1)^4)-1</f>
        <v>3.2953145993853683E-2</v>
      </c>
      <c r="M13" s="34">
        <f>(((VLOOKUP(B13,'Data qoq'!$A:$AT,MATCH($M$1,'Data qoq'!$A$1:$AT$1,),))/100+1)^4)-1</f>
        <v>3.1423300141738331E-2</v>
      </c>
      <c r="N13" s="34">
        <f>(((VLOOKUP(B13,'Data qoq'!$A:$AT,MATCH($N$1,'Data qoq'!$A$1:$AT$1,),))/100+1)^4)-1</f>
        <v>0</v>
      </c>
      <c r="O13" s="34">
        <f>(((VLOOKUP(B13,'Data qoq'!$A:$AT,MATCH($O$1,'Data qoq'!$A$1:$AT$1,),))/100+1)^4)-1</f>
        <v>5.4174649114120621E-2</v>
      </c>
      <c r="P13" s="34">
        <f>(((VLOOKUP(B13,'Data qoq'!$A:$AT,MATCH($P$1,'Data qoq'!$A$1:$AT$1,),))/100+1)^4)-1</f>
        <v>4.1304040652663909E-2</v>
      </c>
      <c r="Q13" s="34">
        <f>(((VLOOKUP(B13,'Data qoq'!$A:$AT,MATCH($Q$1,'Data qoq'!$A$1:$AT$1,),))/100+1)^4)-1</f>
        <v>7.7743940882495366E-3</v>
      </c>
      <c r="R13" s="34">
        <f>(((VLOOKUP(B13,'Data qoq'!$A:$AT,MATCH($R$1,'Data qoq'!$A$1:$AT$1,),))/100+1)^4)-1</f>
        <v>3.1160206351561914E-2</v>
      </c>
      <c r="S13" s="34">
        <f>(((VLOOKUP(B13,'Data qoq'!$A:$AT,MATCH($S$1,'Data qoq'!$A$1:$AT$1,),))/100+1)^4)-1</f>
        <v>0.11482049098268376</v>
      </c>
      <c r="T13" s="34">
        <f>(((VLOOKUP(B13,'Data qoq'!$A:$AT,MATCH($T$1,'Data qoq'!$A$1:$AT$1,),))/100+1)^4)-1</f>
        <v>4.8747640366618494E-2</v>
      </c>
      <c r="U13" s="34">
        <f>(((VLOOKUP(B13,'Data qoq'!$A:$AT,MATCH($U$1,'Data qoq'!$A$1:$AT$1,),))/100+1)^4)-1</f>
        <v>7.6857171491801601E-2</v>
      </c>
      <c r="V13" s="34">
        <f>(((VLOOKUP(B13,'Data qoq'!$A:$AT,MATCH($V$1,'Data qoq'!$A$1:$AT$1,),))/100+1)^4)-1</f>
        <v>9.4405768897755094E-2</v>
      </c>
      <c r="W13" s="34">
        <f>(((VLOOKUP(B13,'Data qoq'!$A:$AT,MATCH($W$1,'Data qoq'!$A$1:$AT$1,),))/100+1)^4)-1</f>
        <v>6.0916757713971981E-2</v>
      </c>
      <c r="X13" s="34">
        <f>(((VLOOKUP(B13,'Data qoq'!$A:$AT,MATCH($X$1,'Data qoq'!$A$1:$AT$1,),))/100+1)^4)-1</f>
        <v>5.5526580469857256E-2</v>
      </c>
      <c r="Y13" s="34">
        <f>(((VLOOKUP(B13,'Data qoq'!$A:$AT,MATCH($Y$1,'Data qoq'!$A$1:$AT$1,),))/100+1)^4)-1</f>
        <v>1.5581013759828899E-2</v>
      </c>
      <c r="Z13" s="34">
        <f>(((VLOOKUP(B13,'Data qoq'!$A:$AU,MATCH($Z$1,'Data qoq'!$A$1:$AU$1,),))/100+1)^4)-1</f>
        <v>-1.016839805197356E-2</v>
      </c>
      <c r="AA13" s="34">
        <f>(((VLOOKUP(B13,'Data qoq'!$A:$AU,MATCH($AA$1,'Data qoq'!$A$1:$AU$1,),))/100+1)^4)-1</f>
        <v>1.5797053446767073E-2</v>
      </c>
      <c r="AC13" s="28" t="str">
        <f t="shared" si="7"/>
        <v>2000-Q3</v>
      </c>
      <c r="AD13" s="33">
        <f t="shared" si="6"/>
        <v>1.0504321478061129E-2</v>
      </c>
      <c r="AE13" s="29"/>
    </row>
    <row r="14" spans="1:34" hidden="1" x14ac:dyDescent="0.2">
      <c r="A14" s="32">
        <v>36861</v>
      </c>
      <c r="B14" s="26" t="s">
        <v>263</v>
      </c>
      <c r="C14" s="34">
        <f>(((VLOOKUP(B14,'Data qoq'!$A:$AT,MATCH($C$1,'Data qoq'!$A$1:$AT$1,),))/100+1)^4)-1</f>
        <v>2.3987270856403509E-2</v>
      </c>
      <c r="D14" s="34">
        <f>(((VLOOKUP(B14,'Data qoq'!$A:$AT,MATCH($D$1,'Data qoq'!$A$1:$AT$1,),))/100+1)^4)-1</f>
        <v>0</v>
      </c>
      <c r="E14" s="34">
        <f>(((VLOOKUP(B14,'Data qoq'!$A:$AT,MATCH($E$1,'Data qoq'!$A$1:$AT$1,),))/100+1)^4)-1</f>
        <v>2.673027777224779E-2</v>
      </c>
      <c r="F14" s="34">
        <f>(((VLOOKUP(B14,'Data qoq'!$A:$AT,MATCH($F$1,'Data qoq'!$A$1:$AT$1,),))/100+1)^4)-1</f>
        <v>3.9362300121290161E-2</v>
      </c>
      <c r="G14" s="34">
        <f>(((VLOOKUP(B14,'Data qoq'!$A:$AT,MATCH($G$1,'Data qoq'!$A$1:$AT$1,),))/100+1)^4)-1</f>
        <v>-1.2226734287392071E-2</v>
      </c>
      <c r="H14" s="34">
        <f>(((VLOOKUP(B14,'Data qoq'!$A:$AT,MATCH($H$1,'Data qoq'!$A$1:$AT$1,),))/100+1)^4)-1</f>
        <v>3.3147068457971551E-2</v>
      </c>
      <c r="I14" s="34">
        <f>(((VLOOKUP(B14,'Data qoq'!$A:$AT,MATCH($I$1,'Data qoq'!$A$1:$AT$1,),))/100+1)^4)-1</f>
        <v>9.4805309816816674E-3</v>
      </c>
      <c r="J14" s="34">
        <f>(((VLOOKUP(B14,'Data qoq'!$A:$AT,MATCH($J$1,'Data qoq'!$A$1:$AT$1,),))/100+1)^4)-1</f>
        <v>5.8595914435202179E-2</v>
      </c>
      <c r="K14" s="34">
        <f>(((VLOOKUP(B14,'Data qoq'!$A:$AT,MATCH($K$1,'Data qoq'!$A$1:$AT$1,),))/100+1)^4)-1</f>
        <v>4.185929407625455E-2</v>
      </c>
      <c r="L14" s="34">
        <f>(((VLOOKUP(B14,'Data qoq'!$A:$AT,MATCH($L$1,'Data qoq'!$A$1:$AT$1,),))/100+1)^4)-1</f>
        <v>-1.2155041220307861E-2</v>
      </c>
      <c r="M14" s="34">
        <f>(((VLOOKUP(B14,'Data qoq'!$A:$AT,MATCH($M$1,'Data qoq'!$A$1:$AT$1,),))/100+1)^4)-1</f>
        <v>-2.5605363336400733E-2</v>
      </c>
      <c r="N14" s="34">
        <f>(((VLOOKUP(B14,'Data qoq'!$A:$AT,MATCH($N$1,'Data qoq'!$A$1:$AT$1,),))/100+1)^4)-1</f>
        <v>0</v>
      </c>
      <c r="O14" s="34">
        <f>(((VLOOKUP(B14,'Data qoq'!$A:$AT,MATCH($O$1,'Data qoq'!$A$1:$AT$1,),))/100+1)^4)-1</f>
        <v>1.6766531573211285E-3</v>
      </c>
      <c r="P14" s="34">
        <f>(((VLOOKUP(B14,'Data qoq'!$A:$AT,MATCH($P$1,'Data qoq'!$A$1:$AT$1,),))/100+1)^4)-1</f>
        <v>6.8659032665883135E-3</v>
      </c>
      <c r="Q14" s="34">
        <f>(((VLOOKUP(B14,'Data qoq'!$A:$AT,MATCH($Q$1,'Data qoq'!$A$1:$AT$1,),))/100+1)^4)-1</f>
        <v>-1.4906920799156231E-2</v>
      </c>
      <c r="R14" s="34">
        <f>(((VLOOKUP(B14,'Data qoq'!$A:$AT,MATCH($R$1,'Data qoq'!$A$1:$AT$1,),))/100+1)^4)-1</f>
        <v>4.3816089342437303E-2</v>
      </c>
      <c r="S14" s="34">
        <f>(((VLOOKUP(B14,'Data qoq'!$A:$AT,MATCH($S$1,'Data qoq'!$A$1:$AT$1,),))/100+1)^4)-1</f>
        <v>-1.2915291610444135E-2</v>
      </c>
      <c r="T14" s="34">
        <f>(((VLOOKUP(B14,'Data qoq'!$A:$AT,MATCH($T$1,'Data qoq'!$A$1:$AT$1,),))/100+1)^4)-1</f>
        <v>5.0096939180831912E-2</v>
      </c>
      <c r="U14" s="34">
        <f>(((VLOOKUP(B14,'Data qoq'!$A:$AT,MATCH($U$1,'Data qoq'!$A$1:$AT$1,),))/100+1)^4)-1</f>
        <v>5.797650154194689E-2</v>
      </c>
      <c r="V14" s="34">
        <f>(((VLOOKUP(B14,'Data qoq'!$A:$AT,MATCH($V$1,'Data qoq'!$A$1:$AT$1,),))/100+1)^4)-1</f>
        <v>3.9009325179728549E-4</v>
      </c>
      <c r="W14" s="34">
        <f>(((VLOOKUP(B14,'Data qoq'!$A:$AT,MATCH($W$1,'Data qoq'!$A$1:$AT$1,),))/100+1)^4)-1</f>
        <v>5.8715588481732306E-2</v>
      </c>
      <c r="X14" s="34">
        <f>(((VLOOKUP(B14,'Data qoq'!$A:$AT,MATCH($X$1,'Data qoq'!$A$1:$AT$1,),))/100+1)^4)-1</f>
        <v>1.6306332063501294E-2</v>
      </c>
      <c r="Y14" s="34">
        <f>(((VLOOKUP(B14,'Data qoq'!$A:$AT,MATCH($Y$1,'Data qoq'!$A$1:$AT$1,),))/100+1)^4)-1</f>
        <v>0.12254426846700195</v>
      </c>
      <c r="Z14" s="34">
        <f>(((VLOOKUP(B14,'Data qoq'!$A:$AU,MATCH($Z$1,'Data qoq'!$A$1:$AU$1,),))/100+1)^4)-1</f>
        <v>1.2330938215072695E-2</v>
      </c>
      <c r="AA14" s="34">
        <f>(((VLOOKUP(B14,'Data qoq'!$A:$AU,MATCH($AA$1,'Data qoq'!$A$1:$AU$1,),))/100+1)^4)-1</f>
        <v>7.9535462648181454E-3</v>
      </c>
      <c r="AC14" s="28" t="str">
        <f t="shared" si="7"/>
        <v>2000-Q4</v>
      </c>
      <c r="AD14" s="33">
        <f t="shared" si="6"/>
        <v>1.7249746790566123E-2</v>
      </c>
      <c r="AE14" s="29"/>
    </row>
    <row r="15" spans="1:34" hidden="1" x14ac:dyDescent="0.2">
      <c r="A15" s="32">
        <v>36951</v>
      </c>
      <c r="B15" s="26" t="s">
        <v>264</v>
      </c>
      <c r="C15" s="34">
        <f>(((VLOOKUP(B15,'Data qoq'!$A:$AT,MATCH($C$1,'Data qoq'!$A$1:$AT$1,),))/100+1)^4)-1</f>
        <v>-1.2905904781713828E-2</v>
      </c>
      <c r="D15" s="34">
        <f>(((VLOOKUP(B15,'Data qoq'!$A:$AT,MATCH($D$1,'Data qoq'!$A$1:$AT$1,),))/100+1)^4)-1</f>
        <v>0</v>
      </c>
      <c r="E15" s="34">
        <f>(((VLOOKUP(B15,'Data qoq'!$A:$AT,MATCH($E$1,'Data qoq'!$A$1:$AT$1,),))/100+1)^4)-1</f>
        <v>4.0739727884950172E-2</v>
      </c>
      <c r="F15" s="34">
        <f>(((VLOOKUP(B15,'Data qoq'!$A:$AT,MATCH($F$1,'Data qoq'!$A$1:$AT$1,),))/100+1)^4)-1</f>
        <v>3.0015752636716631E-2</v>
      </c>
      <c r="G15" s="34">
        <f>(((VLOOKUP(B15,'Data qoq'!$A:$AT,MATCH($G$1,'Data qoq'!$A$1:$AT$1,),))/100+1)^4)-1</f>
        <v>8.2897379534458304E-2</v>
      </c>
      <c r="H15" s="34">
        <f>(((VLOOKUP(B15,'Data qoq'!$A:$AT,MATCH($H$1,'Data qoq'!$A$1:$AT$1,),))/100+1)^4)-1</f>
        <v>2.1898226532678811E-2</v>
      </c>
      <c r="I15" s="34">
        <f>(((VLOOKUP(B15,'Data qoq'!$A:$AT,MATCH($I$1,'Data qoq'!$A$1:$AT$1,),))/100+1)^4)-1</f>
        <v>4.741968609152547E-2</v>
      </c>
      <c r="J15" s="34">
        <f>(((VLOOKUP(B15,'Data qoq'!$A:$AT,MATCH($J$1,'Data qoq'!$A$1:$AT$1,),))/100+1)^4)-1</f>
        <v>2.3120007396931763E-2</v>
      </c>
      <c r="K15" s="34">
        <f>(((VLOOKUP(B15,'Data qoq'!$A:$AT,MATCH($K$1,'Data qoq'!$A$1:$AT$1,),))/100+1)^4)-1</f>
        <v>4.3151529445816683E-2</v>
      </c>
      <c r="L15" s="34">
        <f>(((VLOOKUP(B15,'Data qoq'!$A:$AT,MATCH($L$1,'Data qoq'!$A$1:$AT$1,),))/100+1)^4)-1</f>
        <v>1.5672295560160698E-2</v>
      </c>
      <c r="M15" s="34">
        <f>(((VLOOKUP(B15,'Data qoq'!$A:$AT,MATCH($M$1,'Data qoq'!$A$1:$AT$1,),))/100+1)^4)-1</f>
        <v>1.2714539339326869E-3</v>
      </c>
      <c r="N15" s="34">
        <f>(((VLOOKUP(B15,'Data qoq'!$A:$AT,MATCH($N$1,'Data qoq'!$A$1:$AT$1,),))/100+1)^4)-1</f>
        <v>0</v>
      </c>
      <c r="O15" s="34">
        <f>(((VLOOKUP(B15,'Data qoq'!$A:$AT,MATCH($O$1,'Data qoq'!$A$1:$AT$1,),))/100+1)^4)-1</f>
        <v>2.1802420964125657E-2</v>
      </c>
      <c r="P15" s="34">
        <f>(((VLOOKUP(B15,'Data qoq'!$A:$AT,MATCH($P$1,'Data qoq'!$A$1:$AT$1,),))/100+1)^4)-1</f>
        <v>2.1354953675446042E-2</v>
      </c>
      <c r="Q15" s="34">
        <f>(((VLOOKUP(B15,'Data qoq'!$A:$AT,MATCH($Q$1,'Data qoq'!$A$1:$AT$1,),))/100+1)^4)-1</f>
        <v>4.1266803617197034E-2</v>
      </c>
      <c r="R15" s="34">
        <f>(((VLOOKUP(B15,'Data qoq'!$A:$AT,MATCH($R$1,'Data qoq'!$A$1:$AT$1,),))/100+1)^4)-1</f>
        <v>1.6712660839042215E-3</v>
      </c>
      <c r="S15" s="34">
        <f>(((VLOOKUP(B15,'Data qoq'!$A:$AT,MATCH($S$1,'Data qoq'!$A$1:$AT$1,),))/100+1)^4)-1</f>
        <v>4.9930768399333081E-2</v>
      </c>
      <c r="T15" s="34">
        <f>(((VLOOKUP(B15,'Data qoq'!$A:$AT,MATCH($T$1,'Data qoq'!$A$1:$AT$1,),))/100+1)^4)-1</f>
        <v>1.3993125980467536E-2</v>
      </c>
      <c r="U15" s="34">
        <f>(((VLOOKUP(B15,'Data qoq'!$A:$AT,MATCH($U$1,'Data qoq'!$A$1:$AT$1,),))/100+1)^4)-1</f>
        <v>5.0442140289366666E-2</v>
      </c>
      <c r="V15" s="34">
        <f>(((VLOOKUP(B15,'Data qoq'!$A:$AT,MATCH($V$1,'Data qoq'!$A$1:$AT$1,),))/100+1)^4)-1</f>
        <v>9.8224196980435163E-2</v>
      </c>
      <c r="W15" s="34">
        <f>(((VLOOKUP(B15,'Data qoq'!$A:$AT,MATCH($W$1,'Data qoq'!$A$1:$AT$1,),))/100+1)^4)-1</f>
        <v>-0.18977659885661469</v>
      </c>
      <c r="X15" s="34">
        <f>(((VLOOKUP(B15,'Data qoq'!$A:$AT,MATCH($X$1,'Data qoq'!$A$1:$AT$1,),))/100+1)^4)-1</f>
        <v>4.6916728446317446E-2</v>
      </c>
      <c r="Y15" s="34">
        <f>(((VLOOKUP(B15,'Data qoq'!$A:$AT,MATCH($Y$1,'Data qoq'!$A$1:$AT$1,),))/100+1)^4)-1</f>
        <v>-5.2852371403258713E-2</v>
      </c>
      <c r="Z15" s="34">
        <f>(((VLOOKUP(B15,'Data qoq'!$A:$AU,MATCH($Z$1,'Data qoq'!$A$1:$AU$1,),))/100+1)^4)-1</f>
        <v>6.5619319362044681E-3</v>
      </c>
      <c r="AA15" s="34">
        <f>(((VLOOKUP(B15,'Data qoq'!$A:$AU,MATCH($AA$1,'Data qoq'!$A$1:$AU$1,),))/100+1)^4)-1</f>
        <v>1.3606974276289652E-2</v>
      </c>
      <c r="AC15" s="28" t="str">
        <f t="shared" si="7"/>
        <v>2001-Q1</v>
      </c>
      <c r="AD15" s="33">
        <f t="shared" si="6"/>
        <v>-6.6799582065752983E-3</v>
      </c>
      <c r="AE15" s="29"/>
    </row>
    <row r="16" spans="1:34" hidden="1" x14ac:dyDescent="0.2">
      <c r="A16" s="32">
        <v>37043</v>
      </c>
      <c r="B16" s="26" t="s">
        <v>265</v>
      </c>
      <c r="C16" s="34">
        <f>(((VLOOKUP(B16,'Data qoq'!$A:$AT,MATCH($C$1,'Data qoq'!$A$1:$AT$1,),))/100+1)^4)-1</f>
        <v>2.5088204559372329E-2</v>
      </c>
      <c r="D16" s="34">
        <f>(((VLOOKUP(B16,'Data qoq'!$A:$AT,MATCH($D$1,'Data qoq'!$A$1:$AT$1,),))/100+1)^4)-1</f>
        <v>0</v>
      </c>
      <c r="E16" s="34">
        <f>(((VLOOKUP(B16,'Data qoq'!$A:$AT,MATCH($E$1,'Data qoq'!$A$1:$AT$1,),))/100+1)^4)-1</f>
        <v>4.3131988807969535E-3</v>
      </c>
      <c r="F16" s="34">
        <f>(((VLOOKUP(B16,'Data qoq'!$A:$AT,MATCH($F$1,'Data qoq'!$A$1:$AT$1,),))/100+1)^4)-1</f>
        <v>-2.9688050446646352E-2</v>
      </c>
      <c r="G16" s="34">
        <f>(((VLOOKUP(B16,'Data qoq'!$A:$AT,MATCH($G$1,'Data qoq'!$A$1:$AT$1,),))/100+1)^4)-1</f>
        <v>-2.3207570239505149E-3</v>
      </c>
      <c r="H16" s="34">
        <f>(((VLOOKUP(B16,'Data qoq'!$A:$AT,MATCH($H$1,'Data qoq'!$A$1:$AT$1,),))/100+1)^4)-1</f>
        <v>7.6164525734112587E-3</v>
      </c>
      <c r="I16" s="34">
        <f>(((VLOOKUP(B16,'Data qoq'!$A:$AT,MATCH($I$1,'Data qoq'!$A$1:$AT$1,),))/100+1)^4)-1</f>
        <v>3.1250844958072399E-2</v>
      </c>
      <c r="J16" s="34">
        <f>(((VLOOKUP(B16,'Data qoq'!$A:$AT,MATCH($J$1,'Data qoq'!$A$1:$AT$1,),))/100+1)^4)-1</f>
        <v>-1.2251006872554093E-2</v>
      </c>
      <c r="K16" s="34">
        <f>(((VLOOKUP(B16,'Data qoq'!$A:$AT,MATCH($K$1,'Data qoq'!$A$1:$AT$1,),))/100+1)^4)-1</f>
        <v>2.9894022554869837E-2</v>
      </c>
      <c r="L16" s="34">
        <f>(((VLOOKUP(B16,'Data qoq'!$A:$AT,MATCH($L$1,'Data qoq'!$A$1:$AT$1,),))/100+1)^4)-1</f>
        <v>-3.3473349435153565E-4</v>
      </c>
      <c r="M16" s="34">
        <f>(((VLOOKUP(B16,'Data qoq'!$A:$AT,MATCH($M$1,'Data qoq'!$A$1:$AT$1,),))/100+1)^4)-1</f>
        <v>-2.1093173090299566E-2</v>
      </c>
      <c r="N16" s="34">
        <f>(((VLOOKUP(B16,'Data qoq'!$A:$AT,MATCH($N$1,'Data qoq'!$A$1:$AT$1,),))/100+1)^4)-1</f>
        <v>0</v>
      </c>
      <c r="O16" s="34">
        <f>(((VLOOKUP(B16,'Data qoq'!$A:$AT,MATCH($O$1,'Data qoq'!$A$1:$AT$1,),))/100+1)^4)-1</f>
        <v>8.589031513801082E-2</v>
      </c>
      <c r="P16" s="34">
        <f>(((VLOOKUP(B16,'Data qoq'!$A:$AT,MATCH($P$1,'Data qoq'!$A$1:$AT$1,),))/100+1)^4)-1</f>
        <v>1.0823254263604865E-2</v>
      </c>
      <c r="Q16" s="34">
        <f>(((VLOOKUP(B16,'Data qoq'!$A:$AT,MATCH($Q$1,'Data qoq'!$A$1:$AT$1,),))/100+1)^4)-1</f>
        <v>3.352169705595065E-2</v>
      </c>
      <c r="R16" s="34">
        <f>(((VLOOKUP(B16,'Data qoq'!$A:$AT,MATCH($R$1,'Data qoq'!$A$1:$AT$1,),))/100+1)^4)-1</f>
        <v>2.2086262406603607E-2</v>
      </c>
      <c r="S16" s="34">
        <f>(((VLOOKUP(B16,'Data qoq'!$A:$AT,MATCH($S$1,'Data qoq'!$A$1:$AT$1,),))/100+1)^4)-1</f>
        <v>5.2976289981347291E-2</v>
      </c>
      <c r="T16" s="34">
        <f>(((VLOOKUP(B16,'Data qoq'!$A:$AT,MATCH($T$1,'Data qoq'!$A$1:$AT$1,),))/100+1)^4)-1</f>
        <v>-1.9418085033280685E-2</v>
      </c>
      <c r="U16" s="34">
        <f>(((VLOOKUP(B16,'Data qoq'!$A:$AT,MATCH($U$1,'Data qoq'!$A$1:$AT$1,),))/100+1)^4)-1</f>
        <v>-1.0501345164872222E-2</v>
      </c>
      <c r="V16" s="34">
        <f>(((VLOOKUP(B16,'Data qoq'!$A:$AT,MATCH($V$1,'Data qoq'!$A$1:$AT$1,),))/100+1)^4)-1</f>
        <v>6.0362454467944637E-2</v>
      </c>
      <c r="W16" s="34">
        <f>(((VLOOKUP(B16,'Data qoq'!$A:$AT,MATCH($W$1,'Data qoq'!$A$1:$AT$1,),))/100+1)^4)-1</f>
        <v>-0.18013187197430425</v>
      </c>
      <c r="X16" s="34">
        <f>(((VLOOKUP(B16,'Data qoq'!$A:$AT,MATCH($X$1,'Data qoq'!$A$1:$AT$1,),))/100+1)^4)-1</f>
        <v>1.1128914471016937E-2</v>
      </c>
      <c r="Y16" s="34">
        <f>(((VLOOKUP(B16,'Data qoq'!$A:$AT,MATCH($Y$1,'Data qoq'!$A$1:$AT$1,),))/100+1)^4)-1</f>
        <v>-1.8001324281599285E-2</v>
      </c>
      <c r="Z16" s="34">
        <f>(((VLOOKUP(B16,'Data qoq'!$A:$AU,MATCH($Z$1,'Data qoq'!$A$1:$AU$1,),))/100+1)^4)-1</f>
        <v>-3.2781833337411137E-2</v>
      </c>
      <c r="AA16" s="34">
        <f>(((VLOOKUP(B16,'Data qoq'!$A:$AU,MATCH($AA$1,'Data qoq'!$A$1:$AU$1,),))/100+1)^4)-1</f>
        <v>5.8012250087298156E-2</v>
      </c>
      <c r="AC16" s="28" t="str">
        <f t="shared" si="7"/>
        <v>2001-Q2</v>
      </c>
      <c r="AD16" s="33">
        <f t="shared" si="6"/>
        <v>-2.6937646077275446E-2</v>
      </c>
      <c r="AE16" s="29"/>
    </row>
    <row r="17" spans="1:31" hidden="1" x14ac:dyDescent="0.2">
      <c r="A17" s="32">
        <v>37135</v>
      </c>
      <c r="B17" s="26" t="s">
        <v>266</v>
      </c>
      <c r="C17" s="34">
        <f>(((VLOOKUP(B17,'Data qoq'!$A:$AT,MATCH($C$1,'Data qoq'!$A$1:$AT$1,),))/100+1)^4)-1</f>
        <v>-1.5918049453033656E-2</v>
      </c>
      <c r="D17" s="34">
        <f>(((VLOOKUP(B17,'Data qoq'!$A:$AT,MATCH($D$1,'Data qoq'!$A$1:$AT$1,),))/100+1)^4)-1</f>
        <v>0</v>
      </c>
      <c r="E17" s="34">
        <f>(((VLOOKUP(B17,'Data qoq'!$A:$AT,MATCH($E$1,'Data qoq'!$A$1:$AT$1,),))/100+1)^4)-1</f>
        <v>4.8532478325082895E-3</v>
      </c>
      <c r="F17" s="34">
        <f>(((VLOOKUP(B17,'Data qoq'!$A:$AT,MATCH($F$1,'Data qoq'!$A$1:$AT$1,),))/100+1)^4)-1</f>
        <v>-4.2696457662866782E-2</v>
      </c>
      <c r="G17" s="34">
        <f>(((VLOOKUP(B17,'Data qoq'!$A:$AT,MATCH($G$1,'Data qoq'!$A$1:$AT$1,),))/100+1)^4)-1</f>
        <v>-6.490903314694707E-3</v>
      </c>
      <c r="H17" s="34">
        <f>(((VLOOKUP(B17,'Data qoq'!$A:$AT,MATCH($H$1,'Data qoq'!$A$1:$AT$1,),))/100+1)^4)-1</f>
        <v>1.0859570338140001E-2</v>
      </c>
      <c r="I17" s="34">
        <f>(((VLOOKUP(B17,'Data qoq'!$A:$AT,MATCH($I$1,'Data qoq'!$A$1:$AT$1,),))/100+1)^4)-1</f>
        <v>3.1221293653385551E-2</v>
      </c>
      <c r="J17" s="34">
        <f>(((VLOOKUP(B17,'Data qoq'!$A:$AT,MATCH($J$1,'Data qoq'!$A$1:$AT$1,),))/100+1)^4)-1</f>
        <v>-9.2883897587056063E-3</v>
      </c>
      <c r="K17" s="34">
        <f>(((VLOOKUP(B17,'Data qoq'!$A:$AT,MATCH($K$1,'Data qoq'!$A$1:$AT$1,),))/100+1)^4)-1</f>
        <v>3.7805410640810111E-2</v>
      </c>
      <c r="L17" s="34">
        <f>(((VLOOKUP(B17,'Data qoq'!$A:$AT,MATCH($L$1,'Data qoq'!$A$1:$AT$1,),))/100+1)^4)-1</f>
        <v>1.5344321580565978E-2</v>
      </c>
      <c r="M17" s="34">
        <f>(((VLOOKUP(B17,'Data qoq'!$A:$AT,MATCH($M$1,'Data qoq'!$A$1:$AT$1,),))/100+1)^4)-1</f>
        <v>1.064714282355661E-3</v>
      </c>
      <c r="N17" s="34">
        <f>(((VLOOKUP(B17,'Data qoq'!$A:$AT,MATCH($N$1,'Data qoq'!$A$1:$AT$1,),))/100+1)^4)-1</f>
        <v>0</v>
      </c>
      <c r="O17" s="34">
        <f>(((VLOOKUP(B17,'Data qoq'!$A:$AT,MATCH($O$1,'Data qoq'!$A$1:$AT$1,),))/100+1)^4)-1</f>
        <v>5.039988570515308E-2</v>
      </c>
      <c r="P17" s="34">
        <f>(((VLOOKUP(B17,'Data qoq'!$A:$AT,MATCH($P$1,'Data qoq'!$A$1:$AT$1,),))/100+1)^4)-1</f>
        <v>-2.6619084676922089E-3</v>
      </c>
      <c r="Q17" s="34">
        <f>(((VLOOKUP(B17,'Data qoq'!$A:$AT,MATCH($Q$1,'Data qoq'!$A$1:$AT$1,),))/100+1)^4)-1</f>
        <v>4.928412196604337E-2</v>
      </c>
      <c r="R17" s="34">
        <f>(((VLOOKUP(B17,'Data qoq'!$A:$AT,MATCH($R$1,'Data qoq'!$A$1:$AT$1,),))/100+1)^4)-1</f>
        <v>-6.4042599526312749E-3</v>
      </c>
      <c r="S17" s="34">
        <f>(((VLOOKUP(B17,'Data qoq'!$A:$AT,MATCH($S$1,'Data qoq'!$A$1:$AT$1,),))/100+1)^4)-1</f>
        <v>5.5111437622660242E-2</v>
      </c>
      <c r="T17" s="34">
        <f>(((VLOOKUP(B17,'Data qoq'!$A:$AT,MATCH($T$1,'Data qoq'!$A$1:$AT$1,),))/100+1)^4)-1</f>
        <v>-1.9952051250547553E-2</v>
      </c>
      <c r="U17" s="34">
        <f>(((VLOOKUP(B17,'Data qoq'!$A:$AT,MATCH($U$1,'Data qoq'!$A$1:$AT$1,),))/100+1)^4)-1</f>
        <v>6.6459561701394776E-2</v>
      </c>
      <c r="V17" s="34">
        <f>(((VLOOKUP(B17,'Data qoq'!$A:$AT,MATCH($V$1,'Data qoq'!$A$1:$AT$1,),))/100+1)^4)-1</f>
        <v>-3.8726084305193975E-3</v>
      </c>
      <c r="W17" s="34">
        <f>(((VLOOKUP(B17,'Data qoq'!$A:$AT,MATCH($W$1,'Data qoq'!$A$1:$AT$1,),))/100+1)^4)-1</f>
        <v>5.1019482036346986E-2</v>
      </c>
      <c r="X17" s="34">
        <f>(((VLOOKUP(B17,'Data qoq'!$A:$AT,MATCH($X$1,'Data qoq'!$A$1:$AT$1,),))/100+1)^4)-1</f>
        <v>2.0012244715837291E-2</v>
      </c>
      <c r="Y17" s="34">
        <f>(((VLOOKUP(B17,'Data qoq'!$A:$AT,MATCH($Y$1,'Data qoq'!$A$1:$AT$1,),))/100+1)^4)-1</f>
        <v>3.1686971342000714E-2</v>
      </c>
      <c r="Z17" s="34">
        <f>(((VLOOKUP(B17,'Data qoq'!$A:$AU,MATCH($Z$1,'Data qoq'!$A$1:$AU$1,),))/100+1)^4)-1</f>
        <v>-0.1732810920882778</v>
      </c>
      <c r="AA17" s="34">
        <f>(((VLOOKUP(B17,'Data qoq'!$A:$AU,MATCH($AA$1,'Data qoq'!$A$1:$AU$1,),))/100+1)^4)-1</f>
        <v>3.1249374490013304E-2</v>
      </c>
      <c r="AC17" s="28" t="str">
        <f t="shared" si="7"/>
        <v>2001-Q3</v>
      </c>
      <c r="AD17" s="33">
        <f t="shared" si="6"/>
        <v>-2.6368045820877262E-2</v>
      </c>
      <c r="AE17" s="29"/>
    </row>
    <row r="18" spans="1:31" hidden="1" x14ac:dyDescent="0.2">
      <c r="A18" s="32">
        <v>37226</v>
      </c>
      <c r="B18" s="26" t="s">
        <v>267</v>
      </c>
      <c r="C18" s="34">
        <f>(((VLOOKUP(B18,'Data qoq'!$A:$AT,MATCH($C$1,'Data qoq'!$A$1:$AT$1,),))/100+1)^4)-1</f>
        <v>1.1138801636537909E-2</v>
      </c>
      <c r="D18" s="34">
        <f>(((VLOOKUP(B18,'Data qoq'!$A:$AT,MATCH($D$1,'Data qoq'!$A$1:$AT$1,),))/100+1)^4)-1</f>
        <v>0</v>
      </c>
      <c r="E18" s="34">
        <f>(((VLOOKUP(B18,'Data qoq'!$A:$AT,MATCH($E$1,'Data qoq'!$A$1:$AT$1,),))/100+1)^4)-1</f>
        <v>4.8691856944889089E-3</v>
      </c>
      <c r="F18" s="34">
        <f>(((VLOOKUP(B18,'Data qoq'!$A:$AT,MATCH($F$1,'Data qoq'!$A$1:$AT$1,),))/100+1)^4)-1</f>
        <v>-1.3730705205301619E-2</v>
      </c>
      <c r="G18" s="34">
        <f>(((VLOOKUP(B18,'Data qoq'!$A:$AT,MATCH($G$1,'Data qoq'!$A$1:$AT$1,),))/100+1)^4)-1</f>
        <v>-4.6474027103144966E-3</v>
      </c>
      <c r="H18" s="34">
        <f>(((VLOOKUP(B18,'Data qoq'!$A:$AT,MATCH($H$1,'Data qoq'!$A$1:$AT$1,),))/100+1)^4)-1</f>
        <v>9.1849527319132207E-4</v>
      </c>
      <c r="I18" s="34">
        <f>(((VLOOKUP(B18,'Data qoq'!$A:$AT,MATCH($I$1,'Data qoq'!$A$1:$AT$1,),))/100+1)^4)-1</f>
        <v>1.577874921918565E-2</v>
      </c>
      <c r="J18" s="34">
        <f>(((VLOOKUP(B18,'Data qoq'!$A:$AT,MATCH($J$1,'Data qoq'!$A$1:$AT$1,),))/100+1)^4)-1</f>
        <v>-4.024981797034255E-3</v>
      </c>
      <c r="K18" s="34">
        <f>(((VLOOKUP(B18,'Data qoq'!$A:$AT,MATCH($K$1,'Data qoq'!$A$1:$AT$1,),))/100+1)^4)-1</f>
        <v>2.7964838140392079E-2</v>
      </c>
      <c r="L18" s="34">
        <f>(((VLOOKUP(B18,'Data qoq'!$A:$AT,MATCH($L$1,'Data qoq'!$A$1:$AT$1,),))/100+1)^4)-1</f>
        <v>3.5350267979461947E-2</v>
      </c>
      <c r="M18" s="34">
        <f>(((VLOOKUP(B18,'Data qoq'!$A:$AT,MATCH($M$1,'Data qoq'!$A$1:$AT$1,),))/100+1)^4)-1</f>
        <v>-1.8056317634966401E-2</v>
      </c>
      <c r="N18" s="34">
        <f>(((VLOOKUP(B18,'Data qoq'!$A:$AT,MATCH($N$1,'Data qoq'!$A$1:$AT$1,),))/100+1)^4)-1</f>
        <v>0</v>
      </c>
      <c r="O18" s="34">
        <f>(((VLOOKUP(B18,'Data qoq'!$A:$AT,MATCH($O$1,'Data qoq'!$A$1:$AT$1,),))/100+1)^4)-1</f>
        <v>9.5046523756513457E-2</v>
      </c>
      <c r="P18" s="34">
        <f>(((VLOOKUP(B18,'Data qoq'!$A:$AT,MATCH($P$1,'Data qoq'!$A$1:$AT$1,),))/100+1)^4)-1</f>
        <v>2.4576477791567797E-2</v>
      </c>
      <c r="Q18" s="34">
        <f>(((VLOOKUP(B18,'Data qoq'!$A:$AT,MATCH($Q$1,'Data qoq'!$A$1:$AT$1,),))/100+1)^4)-1</f>
        <v>4.8809638891090357E-2</v>
      </c>
      <c r="R18" s="34">
        <f>(((VLOOKUP(B18,'Data qoq'!$A:$AT,MATCH($R$1,'Data qoq'!$A$1:$AT$1,),))/100+1)^4)-1</f>
        <v>-5.0805939489146912E-3</v>
      </c>
      <c r="S18" s="34">
        <f>(((VLOOKUP(B18,'Data qoq'!$A:$AT,MATCH($S$1,'Data qoq'!$A$1:$AT$1,),))/100+1)^4)-1</f>
        <v>7.2389445171193945E-2</v>
      </c>
      <c r="T18" s="34">
        <f>(((VLOOKUP(B18,'Data qoq'!$A:$AT,MATCH($T$1,'Data qoq'!$A$1:$AT$1,),))/100+1)^4)-1</f>
        <v>-1.1782496133804887E-2</v>
      </c>
      <c r="U18" s="34">
        <f>(((VLOOKUP(B18,'Data qoq'!$A:$AT,MATCH($U$1,'Data qoq'!$A$1:$AT$1,),))/100+1)^4)-1</f>
        <v>1.0638122816360118E-2</v>
      </c>
      <c r="V18" s="34">
        <f>(((VLOOKUP(B18,'Data qoq'!$A:$AT,MATCH($V$1,'Data qoq'!$A$1:$AT$1,),))/100+1)^4)-1</f>
        <v>4.3955037763492077E-2</v>
      </c>
      <c r="W18" s="34">
        <f>(((VLOOKUP(B18,'Data qoq'!$A:$AT,MATCH($W$1,'Data qoq'!$A$1:$AT$1,),))/100+1)^4)-1</f>
        <v>-6.563555150490108E-2</v>
      </c>
      <c r="X18" s="34">
        <f>(((VLOOKUP(B18,'Data qoq'!$A:$AT,MATCH($X$1,'Data qoq'!$A$1:$AT$1,),))/100+1)^4)-1</f>
        <v>2.432864369531007E-2</v>
      </c>
      <c r="Y18" s="34">
        <f>(((VLOOKUP(B18,'Data qoq'!$A:$AT,MATCH($Y$1,'Data qoq'!$A$1:$AT$1,),))/100+1)^4)-1</f>
        <v>1.1880076712637466E-2</v>
      </c>
      <c r="Z18" s="34">
        <f>(((VLOOKUP(B18,'Data qoq'!$A:$AU,MATCH($Z$1,'Data qoq'!$A$1:$AU$1,),))/100+1)^4)-1</f>
        <v>-0.20906422740335551</v>
      </c>
      <c r="AA18" s="34">
        <f>(((VLOOKUP(B18,'Data qoq'!$A:$AU,MATCH($AA$1,'Data qoq'!$A$1:$AU$1,),))/100+1)^4)-1</f>
        <v>6.0855384811879798E-2</v>
      </c>
      <c r="AC18" s="28" t="str">
        <f t="shared" si="7"/>
        <v>2001-Q4</v>
      </c>
      <c r="AD18" s="33">
        <f t="shared" si="6"/>
        <v>-1.0909563524696742E-2</v>
      </c>
      <c r="AE18" s="29"/>
    </row>
    <row r="19" spans="1:31" hidden="1" x14ac:dyDescent="0.2">
      <c r="A19" s="32">
        <v>37316</v>
      </c>
      <c r="B19" s="26" t="s">
        <v>268</v>
      </c>
      <c r="C19" s="34">
        <f>(((VLOOKUP(B19,'Data qoq'!$A:$AT,MATCH($C$1,'Data qoq'!$A$1:$AT$1,),))/100+1)^4)-1</f>
        <v>3.3542942062238179E-2</v>
      </c>
      <c r="D19" s="34">
        <f>(((VLOOKUP(B19,'Data qoq'!$A:$AT,MATCH($D$1,'Data qoq'!$A$1:$AT$1,),))/100+1)^4)-1</f>
        <v>0</v>
      </c>
      <c r="E19" s="34">
        <f>(((VLOOKUP(B19,'Data qoq'!$A:$AT,MATCH($E$1,'Data qoq'!$A$1:$AT$1,),))/100+1)^4)-1</f>
        <v>3.1813884338505183E-3</v>
      </c>
      <c r="F19" s="34">
        <f>(((VLOOKUP(B19,'Data qoq'!$A:$AT,MATCH($F$1,'Data qoq'!$A$1:$AT$1,),))/100+1)^4)-1</f>
        <v>6.7079020391573874E-3</v>
      </c>
      <c r="G19" s="34">
        <f>(((VLOOKUP(B19,'Data qoq'!$A:$AT,MATCH($G$1,'Data qoq'!$A$1:$AT$1,),))/100+1)^4)-1</f>
        <v>-2.0809845770284441E-2</v>
      </c>
      <c r="H19" s="34">
        <f>(((VLOOKUP(B19,'Data qoq'!$A:$AT,MATCH($H$1,'Data qoq'!$A$1:$AT$1,),))/100+1)^4)-1</f>
        <v>1.4950754292320179E-2</v>
      </c>
      <c r="I19" s="34">
        <f>(((VLOOKUP(B19,'Data qoq'!$A:$AT,MATCH($I$1,'Data qoq'!$A$1:$AT$1,),))/100+1)^4)-1</f>
        <v>1.5756349490114063E-2</v>
      </c>
      <c r="J19" s="34">
        <f>(((VLOOKUP(B19,'Data qoq'!$A:$AT,MATCH($J$1,'Data qoq'!$A$1:$AT$1,),))/100+1)^4)-1</f>
        <v>7.7672469551792744E-4</v>
      </c>
      <c r="K19" s="34">
        <f>(((VLOOKUP(B19,'Data qoq'!$A:$AT,MATCH($K$1,'Data qoq'!$A$1:$AT$1,),))/100+1)^4)-1</f>
        <v>1.7129107644628272E-2</v>
      </c>
      <c r="L19" s="34">
        <f>(((VLOOKUP(B19,'Data qoq'!$A:$AT,MATCH($L$1,'Data qoq'!$A$1:$AT$1,),))/100+1)^4)-1</f>
        <v>-5.5725808384425868E-3</v>
      </c>
      <c r="M19" s="34">
        <f>(((VLOOKUP(B19,'Data qoq'!$A:$AT,MATCH($M$1,'Data qoq'!$A$1:$AT$1,),))/100+1)^4)-1</f>
        <v>-2.7948983751492462E-2</v>
      </c>
      <c r="N19" s="34">
        <f>(((VLOOKUP(B19,'Data qoq'!$A:$AT,MATCH($N$1,'Data qoq'!$A$1:$AT$1,),))/100+1)^4)-1</f>
        <v>0</v>
      </c>
      <c r="O19" s="34">
        <f>(((VLOOKUP(B19,'Data qoq'!$A:$AT,MATCH($O$1,'Data qoq'!$A$1:$AT$1,),))/100+1)^4)-1</f>
        <v>3.2676953502722483E-2</v>
      </c>
      <c r="P19" s="34">
        <f>(((VLOOKUP(B19,'Data qoq'!$A:$AT,MATCH($P$1,'Data qoq'!$A$1:$AT$1,),))/100+1)^4)-1</f>
        <v>6.0703925108506862E-2</v>
      </c>
      <c r="Q19" s="34">
        <f>(((VLOOKUP(B19,'Data qoq'!$A:$AT,MATCH($Q$1,'Data qoq'!$A$1:$AT$1,),))/100+1)^4)-1</f>
        <v>3.0572929967636053E-2</v>
      </c>
      <c r="R19" s="34">
        <f>(((VLOOKUP(B19,'Data qoq'!$A:$AT,MATCH($R$1,'Data qoq'!$A$1:$AT$1,),))/100+1)^4)-1</f>
        <v>-3.1129964766066776E-3</v>
      </c>
      <c r="S19" s="34">
        <f>(((VLOOKUP(B19,'Data qoq'!$A:$AT,MATCH($S$1,'Data qoq'!$A$1:$AT$1,),))/100+1)^4)-1</f>
        <v>0.10573021062983901</v>
      </c>
      <c r="T19" s="34">
        <f>(((VLOOKUP(B19,'Data qoq'!$A:$AT,MATCH($T$1,'Data qoq'!$A$1:$AT$1,),))/100+1)^4)-1</f>
        <v>9.5510589634293153E-2</v>
      </c>
      <c r="U19" s="34">
        <f>(((VLOOKUP(B19,'Data qoq'!$A:$AT,MATCH($U$1,'Data qoq'!$A$1:$AT$1,),))/100+1)^4)-1</f>
        <v>3.3084633047414158E-2</v>
      </c>
      <c r="V19" s="34">
        <f>(((VLOOKUP(B19,'Data qoq'!$A:$AT,MATCH($V$1,'Data qoq'!$A$1:$AT$1,),))/100+1)^4)-1</f>
        <v>0.11896886872153489</v>
      </c>
      <c r="W19" s="34">
        <f>(((VLOOKUP(B19,'Data qoq'!$A:$AT,MATCH($W$1,'Data qoq'!$A$1:$AT$1,),))/100+1)^4)-1</f>
        <v>0.15988304287326405</v>
      </c>
      <c r="X19" s="34">
        <f>(((VLOOKUP(B19,'Data qoq'!$A:$AT,MATCH($X$1,'Data qoq'!$A$1:$AT$1,),))/100+1)^4)-1</f>
        <v>-4.9978438811258963E-3</v>
      </c>
      <c r="Y19" s="34">
        <f>(((VLOOKUP(B19,'Data qoq'!$A:$AT,MATCH($Y$1,'Data qoq'!$A$1:$AT$1,),))/100+1)^4)-1</f>
        <v>8.4876605228680901E-3</v>
      </c>
      <c r="Z19" s="34">
        <f>(((VLOOKUP(B19,'Data qoq'!$A:$AU,MATCH($Z$1,'Data qoq'!$A$1:$AU$1,),))/100+1)^4)-1</f>
        <v>-0.18312545274801861</v>
      </c>
      <c r="AA19" s="34">
        <f>(((VLOOKUP(B19,'Data qoq'!$A:$AU,MATCH($AA$1,'Data qoq'!$A$1:$AU$1,),))/100+1)^4)-1</f>
        <v>3.6148182590473033E-2</v>
      </c>
      <c r="AC19" s="28" t="str">
        <f t="shared" si="7"/>
        <v>2002-Q1</v>
      </c>
      <c r="AD19" s="33">
        <f t="shared" si="6"/>
        <v>-1.2574961056263545E-2</v>
      </c>
      <c r="AE19" s="29"/>
    </row>
    <row r="20" spans="1:31" hidden="1" x14ac:dyDescent="0.2">
      <c r="A20" s="32">
        <v>37408</v>
      </c>
      <c r="B20" s="26" t="s">
        <v>269</v>
      </c>
      <c r="C20" s="34">
        <f>(((VLOOKUP(B20,'Data qoq'!$A:$AT,MATCH($C$1,'Data qoq'!$A$1:$AT$1,),))/100+1)^4)-1</f>
        <v>2.4848338355087707E-2</v>
      </c>
      <c r="D20" s="34">
        <f>(((VLOOKUP(B20,'Data qoq'!$A:$AT,MATCH($D$1,'Data qoq'!$A$1:$AT$1,),))/100+1)^4)-1</f>
        <v>0</v>
      </c>
      <c r="E20" s="34">
        <f>(((VLOOKUP(B20,'Data qoq'!$A:$AT,MATCH($E$1,'Data qoq'!$A$1:$AT$1,),))/100+1)^4)-1</f>
        <v>2.1774777676438095E-2</v>
      </c>
      <c r="F20" s="34">
        <f>(((VLOOKUP(B20,'Data qoq'!$A:$AT,MATCH($F$1,'Data qoq'!$A$1:$AT$1,),))/100+1)^4)-1</f>
        <v>3.2801187623108685E-2</v>
      </c>
      <c r="G20" s="34">
        <f>(((VLOOKUP(B20,'Data qoq'!$A:$AT,MATCH($G$1,'Data qoq'!$A$1:$AT$1,),))/100+1)^4)-1</f>
        <v>1.7923888021986301E-2</v>
      </c>
      <c r="H20" s="34">
        <f>(((VLOOKUP(B20,'Data qoq'!$A:$AT,MATCH($H$1,'Data qoq'!$A$1:$AT$1,),))/100+1)^4)-1</f>
        <v>1.8694542049889185E-2</v>
      </c>
      <c r="I20" s="34">
        <f>(((VLOOKUP(B20,'Data qoq'!$A:$AT,MATCH($I$1,'Data qoq'!$A$1:$AT$1,),))/100+1)^4)-1</f>
        <v>1.9743279147180548E-2</v>
      </c>
      <c r="J20" s="34">
        <f>(((VLOOKUP(B20,'Data qoq'!$A:$AT,MATCH($J$1,'Data qoq'!$A$1:$AT$1,),))/100+1)^4)-1</f>
        <v>1.5672262618188659E-2</v>
      </c>
      <c r="K20" s="34">
        <f>(((VLOOKUP(B20,'Data qoq'!$A:$AT,MATCH($K$1,'Data qoq'!$A$1:$AT$1,),))/100+1)^4)-1</f>
        <v>3.2998383709671453E-2</v>
      </c>
      <c r="L20" s="34">
        <f>(((VLOOKUP(B20,'Data qoq'!$A:$AT,MATCH($L$1,'Data qoq'!$A$1:$AT$1,),))/100+1)^4)-1</f>
        <v>6.3731244693903566E-2</v>
      </c>
      <c r="M20" s="34">
        <f>(((VLOOKUP(B20,'Data qoq'!$A:$AT,MATCH($M$1,'Data qoq'!$A$1:$AT$1,),))/100+1)^4)-1</f>
        <v>3.7896835522984285E-2</v>
      </c>
      <c r="N20" s="34">
        <f>(((VLOOKUP(B20,'Data qoq'!$A:$AT,MATCH($N$1,'Data qoq'!$A$1:$AT$1,),))/100+1)^4)-1</f>
        <v>0</v>
      </c>
      <c r="O20" s="34">
        <f>(((VLOOKUP(B20,'Data qoq'!$A:$AT,MATCH($O$1,'Data qoq'!$A$1:$AT$1,),))/100+1)^4)-1</f>
        <v>2.5184818197889536E-2</v>
      </c>
      <c r="P20" s="34">
        <f>(((VLOOKUP(B20,'Data qoq'!$A:$AT,MATCH($P$1,'Data qoq'!$A$1:$AT$1,),))/100+1)^4)-1</f>
        <v>2.3784169128113097E-2</v>
      </c>
      <c r="Q20" s="34">
        <f>(((VLOOKUP(B20,'Data qoq'!$A:$AT,MATCH($Q$1,'Data qoq'!$A$1:$AT$1,),))/100+1)^4)-1</f>
        <v>6.8616062844492287E-2</v>
      </c>
      <c r="R20" s="34">
        <f>(((VLOOKUP(B20,'Data qoq'!$A:$AT,MATCH($R$1,'Data qoq'!$A$1:$AT$1,),))/100+1)^4)-1</f>
        <v>7.6679696509178719E-3</v>
      </c>
      <c r="S20" s="34">
        <f>(((VLOOKUP(B20,'Data qoq'!$A:$AT,MATCH($S$1,'Data qoq'!$A$1:$AT$1,),))/100+1)^4)-1</f>
        <v>7.447962834837929E-2</v>
      </c>
      <c r="T20" s="34">
        <f>(((VLOOKUP(B20,'Data qoq'!$A:$AT,MATCH($T$1,'Data qoq'!$A$1:$AT$1,),))/100+1)^4)-1</f>
        <v>2.3182571294059429E-2</v>
      </c>
      <c r="U20" s="34">
        <f>(((VLOOKUP(B20,'Data qoq'!$A:$AT,MATCH($U$1,'Data qoq'!$A$1:$AT$1,),))/100+1)^4)-1</f>
        <v>9.2583388669027489E-2</v>
      </c>
      <c r="V20" s="34">
        <f>(((VLOOKUP(B20,'Data qoq'!$A:$AT,MATCH($V$1,'Data qoq'!$A$1:$AT$1,),))/100+1)^4)-1</f>
        <v>1.866886380715238E-2</v>
      </c>
      <c r="W20" s="34">
        <f>(((VLOOKUP(B20,'Data qoq'!$A:$AT,MATCH($W$1,'Data qoq'!$A$1:$AT$1,),))/100+1)^4)-1</f>
        <v>0.18416063870924626</v>
      </c>
      <c r="X20" s="34">
        <f>(((VLOOKUP(B20,'Data qoq'!$A:$AT,MATCH($X$1,'Data qoq'!$A$1:$AT$1,),))/100+1)^4)-1</f>
        <v>2.0679113218742051E-2</v>
      </c>
      <c r="Y20" s="34">
        <f>(((VLOOKUP(B20,'Data qoq'!$A:$AT,MATCH($Y$1,'Data qoq'!$A$1:$AT$1,),))/100+1)^4)-1</f>
        <v>3.6670729046235806E-2</v>
      </c>
      <c r="Z20" s="34">
        <f>(((VLOOKUP(B20,'Data qoq'!$A:$AU,MATCH($Z$1,'Data qoq'!$A$1:$AU$1,),))/100+1)^4)-1</f>
        <v>1.7067609665583738E-2</v>
      </c>
      <c r="AA20" s="34">
        <f>(((VLOOKUP(B20,'Data qoq'!$A:$AU,MATCH($AA$1,'Data qoq'!$A$1:$AU$1,),))/100+1)^4)-1</f>
        <v>5.4346910719032859E-2</v>
      </c>
      <c r="AC20" s="28" t="str">
        <f t="shared" si="7"/>
        <v>2002-Q2</v>
      </c>
      <c r="AD20" s="33">
        <f t="shared" si="6"/>
        <v>2.0314985292575471E-3</v>
      </c>
      <c r="AE20" s="29"/>
    </row>
    <row r="21" spans="1:31" hidden="1" x14ac:dyDescent="0.2">
      <c r="A21" s="32">
        <v>37500</v>
      </c>
      <c r="B21" s="26" t="s">
        <v>270</v>
      </c>
      <c r="C21" s="34">
        <f>(((VLOOKUP(B21,'Data qoq'!$A:$AT,MATCH($C$1,'Data qoq'!$A$1:$AT$1,),))/100+1)^4)-1</f>
        <v>1.6239112509180753E-2</v>
      </c>
      <c r="D21" s="34">
        <f>(((VLOOKUP(B21,'Data qoq'!$A:$AT,MATCH($D$1,'Data qoq'!$A$1:$AT$1,),))/100+1)^4)-1</f>
        <v>0</v>
      </c>
      <c r="E21" s="34">
        <f>(((VLOOKUP(B21,'Data qoq'!$A:$AT,MATCH($E$1,'Data qoq'!$A$1:$AT$1,),))/100+1)^4)-1</f>
        <v>1.7219933372071727E-2</v>
      </c>
      <c r="F21" s="34">
        <f>(((VLOOKUP(B21,'Data qoq'!$A:$AT,MATCH($F$1,'Data qoq'!$A$1:$AT$1,),))/100+1)^4)-1</f>
        <v>1.2906737642696564E-2</v>
      </c>
      <c r="G21" s="34">
        <f>(((VLOOKUP(B21,'Data qoq'!$A:$AT,MATCH($G$1,'Data qoq'!$A$1:$AT$1,),))/100+1)^4)-1</f>
        <v>1.9736317306799922E-2</v>
      </c>
      <c r="H21" s="34">
        <f>(((VLOOKUP(B21,'Data qoq'!$A:$AT,MATCH($H$1,'Data qoq'!$A$1:$AT$1,),))/100+1)^4)-1</f>
        <v>1.6805869294084896E-2</v>
      </c>
      <c r="I21" s="34">
        <f>(((VLOOKUP(B21,'Data qoq'!$A:$AT,MATCH($I$1,'Data qoq'!$A$1:$AT$1,),))/100+1)^4)-1</f>
        <v>2.6859002015854339E-2</v>
      </c>
      <c r="J21" s="34">
        <f>(((VLOOKUP(B21,'Data qoq'!$A:$AT,MATCH($J$1,'Data qoq'!$A$1:$AT$1,),))/100+1)^4)-1</f>
        <v>8.9539551589192801E-3</v>
      </c>
      <c r="K21" s="34">
        <f>(((VLOOKUP(B21,'Data qoq'!$A:$AT,MATCH($K$1,'Data qoq'!$A$1:$AT$1,),))/100+1)^4)-1</f>
        <v>2.4887452795125053E-2</v>
      </c>
      <c r="L21" s="34">
        <f>(((VLOOKUP(B21,'Data qoq'!$A:$AT,MATCH($L$1,'Data qoq'!$A$1:$AT$1,),))/100+1)^4)-1</f>
        <v>2.297242380150788E-2</v>
      </c>
      <c r="M21" s="34">
        <f>(((VLOOKUP(B21,'Data qoq'!$A:$AT,MATCH($M$1,'Data qoq'!$A$1:$AT$1,),))/100+1)^4)-1</f>
        <v>2.7834130925444622E-2</v>
      </c>
      <c r="N21" s="34">
        <f>(((VLOOKUP(B21,'Data qoq'!$A:$AT,MATCH($N$1,'Data qoq'!$A$1:$AT$1,),))/100+1)^4)-1</f>
        <v>0</v>
      </c>
      <c r="O21" s="34">
        <f>(((VLOOKUP(B21,'Data qoq'!$A:$AT,MATCH($O$1,'Data qoq'!$A$1:$AT$1,),))/100+1)^4)-1</f>
        <v>2.3954625802149021E-2</v>
      </c>
      <c r="P21" s="34">
        <f>(((VLOOKUP(B21,'Data qoq'!$A:$AT,MATCH($P$1,'Data qoq'!$A$1:$AT$1,),))/100+1)^4)-1</f>
        <v>3.5069977745952663E-2</v>
      </c>
      <c r="Q21" s="34">
        <f>(((VLOOKUP(B21,'Data qoq'!$A:$AT,MATCH($Q$1,'Data qoq'!$A$1:$AT$1,),))/100+1)^4)-1</f>
        <v>1.4050293083476495E-2</v>
      </c>
      <c r="R21" s="34">
        <f>(((VLOOKUP(B21,'Data qoq'!$A:$AT,MATCH($R$1,'Data qoq'!$A$1:$AT$1,),))/100+1)^4)-1</f>
        <v>9.9522373898259797E-3</v>
      </c>
      <c r="S21" s="34">
        <f>(((VLOOKUP(B21,'Data qoq'!$A:$AT,MATCH($S$1,'Data qoq'!$A$1:$AT$1,),))/100+1)^4)-1</f>
        <v>8.335838039532506E-2</v>
      </c>
      <c r="T21" s="34">
        <f>(((VLOOKUP(B21,'Data qoq'!$A:$AT,MATCH($T$1,'Data qoq'!$A$1:$AT$1,),))/100+1)^4)-1</f>
        <v>4.9630120876069883E-2</v>
      </c>
      <c r="U21" s="34">
        <f>(((VLOOKUP(B21,'Data qoq'!$A:$AT,MATCH($U$1,'Data qoq'!$A$1:$AT$1,),))/100+1)^4)-1</f>
        <v>2.3282354422438312E-2</v>
      </c>
      <c r="V21" s="34">
        <f>(((VLOOKUP(B21,'Data qoq'!$A:$AT,MATCH($V$1,'Data qoq'!$A$1:$AT$1,),))/100+1)^4)-1</f>
        <v>0.11210776248861998</v>
      </c>
      <c r="W21" s="34">
        <f>(((VLOOKUP(B21,'Data qoq'!$A:$AT,MATCH($W$1,'Data qoq'!$A$1:$AT$1,),))/100+1)^4)-1</f>
        <v>5.5789303142248503E-2</v>
      </c>
      <c r="X21" s="34">
        <f>(((VLOOKUP(B21,'Data qoq'!$A:$AT,MATCH($X$1,'Data qoq'!$A$1:$AT$1,),))/100+1)^4)-1</f>
        <v>2.1039192703273146E-2</v>
      </c>
      <c r="Y21" s="34">
        <f>(((VLOOKUP(B21,'Data qoq'!$A:$AT,MATCH($Y$1,'Data qoq'!$A$1:$AT$1,),))/100+1)^4)-1</f>
        <v>5.0226020790281378E-2</v>
      </c>
      <c r="Z21" s="34">
        <f>(((VLOOKUP(B21,'Data qoq'!$A:$AU,MATCH($Z$1,'Data qoq'!$A$1:$AU$1,),))/100+1)^4)-1</f>
        <v>2.983223923532341E-3</v>
      </c>
      <c r="AA21" s="34">
        <f>(((VLOOKUP(B21,'Data qoq'!$A:$AU,MATCH($AA$1,'Data qoq'!$A$1:$AU$1,),))/100+1)^4)-1</f>
        <v>4.5976486323005217E-2</v>
      </c>
      <c r="AC21" s="28" t="str">
        <f t="shared" si="7"/>
        <v>2002-Q3</v>
      </c>
      <c r="AD21" s="33">
        <f t="shared" si="6"/>
        <v>-9.6390686437826112E-3</v>
      </c>
      <c r="AE21" s="29"/>
    </row>
    <row r="22" spans="1:31" hidden="1" x14ac:dyDescent="0.2">
      <c r="A22" s="32">
        <v>37591</v>
      </c>
      <c r="B22" s="26" t="s">
        <v>271</v>
      </c>
      <c r="C22" s="34">
        <f>(((VLOOKUP(B22,'Data qoq'!$A:$AT,MATCH($C$1,'Data qoq'!$A$1:$AT$1,),))/100+1)^4)-1</f>
        <v>5.2364821622457036E-3</v>
      </c>
      <c r="D22" s="34">
        <f>(((VLOOKUP(B22,'Data qoq'!$A:$AT,MATCH($D$1,'Data qoq'!$A$1:$AT$1,),))/100+1)^4)-1</f>
        <v>0</v>
      </c>
      <c r="E22" s="34">
        <f>(((VLOOKUP(B22,'Data qoq'!$A:$AT,MATCH($E$1,'Data qoq'!$A$1:$AT$1,),))/100+1)^4)-1</f>
        <v>5.8732916921220291E-3</v>
      </c>
      <c r="F22" s="34">
        <f>(((VLOOKUP(B22,'Data qoq'!$A:$AT,MATCH($F$1,'Data qoq'!$A$1:$AT$1,),))/100+1)^4)-1</f>
        <v>1.09775919474846E-2</v>
      </c>
      <c r="G22" s="34">
        <f>(((VLOOKUP(B22,'Data qoq'!$A:$AT,MATCH($G$1,'Data qoq'!$A$1:$AT$1,),))/100+1)^4)-1</f>
        <v>-5.5584903422046805E-3</v>
      </c>
      <c r="H22" s="34">
        <f>(((VLOOKUP(B22,'Data qoq'!$A:$AT,MATCH($H$1,'Data qoq'!$A$1:$AT$1,),))/100+1)^4)-1</f>
        <v>-2.0064738639973267E-3</v>
      </c>
      <c r="I22" s="34">
        <f>(((VLOOKUP(B22,'Data qoq'!$A:$AT,MATCH($I$1,'Data qoq'!$A$1:$AT$1,),))/100+1)^4)-1</f>
        <v>3.1956931414815815E-2</v>
      </c>
      <c r="J22" s="34">
        <f>(((VLOOKUP(B22,'Data qoq'!$A:$AT,MATCH($J$1,'Data qoq'!$A$1:$AT$1,),))/100+1)^4)-1</f>
        <v>1.5417936035439839E-2</v>
      </c>
      <c r="K22" s="34">
        <f>(((VLOOKUP(B22,'Data qoq'!$A:$AT,MATCH($K$1,'Data qoq'!$A$1:$AT$1,),))/100+1)^4)-1</f>
        <v>3.0778473931019512E-2</v>
      </c>
      <c r="L22" s="34">
        <f>(((VLOOKUP(B22,'Data qoq'!$A:$AT,MATCH($L$1,'Data qoq'!$A$1:$AT$1,),))/100+1)^4)-1</f>
        <v>7.6311661864219005E-3</v>
      </c>
      <c r="M22" s="34">
        <f>(((VLOOKUP(B22,'Data qoq'!$A:$AT,MATCH($M$1,'Data qoq'!$A$1:$AT$1,),))/100+1)^4)-1</f>
        <v>1.2751848520010878E-2</v>
      </c>
      <c r="N22" s="34">
        <f>(((VLOOKUP(B22,'Data qoq'!$A:$AT,MATCH($N$1,'Data qoq'!$A$1:$AT$1,),))/100+1)^4)-1</f>
        <v>0</v>
      </c>
      <c r="O22" s="34">
        <f>(((VLOOKUP(B22,'Data qoq'!$A:$AT,MATCH($O$1,'Data qoq'!$A$1:$AT$1,),))/100+1)^4)-1</f>
        <v>3.1332748147188116E-3</v>
      </c>
      <c r="P22" s="34">
        <f>(((VLOOKUP(B22,'Data qoq'!$A:$AT,MATCH($P$1,'Data qoq'!$A$1:$AT$1,),))/100+1)^4)-1</f>
        <v>2.212608855078857E-2</v>
      </c>
      <c r="Q22" s="34">
        <f>(((VLOOKUP(B22,'Data qoq'!$A:$AT,MATCH($Q$1,'Data qoq'!$A$1:$AT$1,),))/100+1)^4)-1</f>
        <v>2.9718056500342316E-2</v>
      </c>
      <c r="R22" s="34">
        <f>(((VLOOKUP(B22,'Data qoq'!$A:$AT,MATCH($R$1,'Data qoq'!$A$1:$AT$1,),))/100+1)^4)-1</f>
        <v>-1.8279977589832463E-2</v>
      </c>
      <c r="S22" s="34">
        <f>(((VLOOKUP(B22,'Data qoq'!$A:$AT,MATCH($S$1,'Data qoq'!$A$1:$AT$1,),))/100+1)^4)-1</f>
        <v>4.4621971323196563E-2</v>
      </c>
      <c r="T22" s="34">
        <f>(((VLOOKUP(B22,'Data qoq'!$A:$AT,MATCH($T$1,'Data qoq'!$A$1:$AT$1,),))/100+1)^4)-1</f>
        <v>4.1101274870450233E-2</v>
      </c>
      <c r="U22" s="34">
        <f>(((VLOOKUP(B22,'Data qoq'!$A:$AT,MATCH($U$1,'Data qoq'!$A$1:$AT$1,),))/100+1)^4)-1</f>
        <v>3.1199339111408264E-2</v>
      </c>
      <c r="V22" s="34">
        <f>(((VLOOKUP(B22,'Data qoq'!$A:$AT,MATCH($V$1,'Data qoq'!$A$1:$AT$1,),))/100+1)^4)-1</f>
        <v>1.6792909490344732E-2</v>
      </c>
      <c r="W22" s="34">
        <f>(((VLOOKUP(B22,'Data qoq'!$A:$AT,MATCH($W$1,'Data qoq'!$A$1:$AT$1,),))/100+1)^4)-1</f>
        <v>8.8115911215198572E-2</v>
      </c>
      <c r="X22" s="34">
        <f>(((VLOOKUP(B22,'Data qoq'!$A:$AT,MATCH($X$1,'Data qoq'!$A$1:$AT$1,),))/100+1)^4)-1</f>
        <v>3.04780057498375E-2</v>
      </c>
      <c r="Y22" s="34">
        <f>(((VLOOKUP(B22,'Data qoq'!$A:$AT,MATCH($Y$1,'Data qoq'!$A$1:$AT$1,),))/100+1)^4)-1</f>
        <v>3.7769237169049674E-3</v>
      </c>
      <c r="Z22" s="34">
        <f>(((VLOOKUP(B22,'Data qoq'!$A:$AU,MATCH($Z$1,'Data qoq'!$A$1:$AU$1,),))/100+1)^4)-1</f>
        <v>4.1389607763960612E-2</v>
      </c>
      <c r="AA22" s="34">
        <f>(((VLOOKUP(B22,'Data qoq'!$A:$AU,MATCH($AA$1,'Data qoq'!$A$1:$AU$1,),))/100+1)^4)-1</f>
        <v>5.4819801798219769E-2</v>
      </c>
      <c r="AC22" s="28" t="str">
        <f t="shared" si="7"/>
        <v>2002-Q4</v>
      </c>
      <c r="AD22" s="33">
        <f t="shared" si="6"/>
        <v>-2.6083639722693786E-2</v>
      </c>
      <c r="AE22" s="29"/>
    </row>
    <row r="23" spans="1:31" hidden="1" x14ac:dyDescent="0.2">
      <c r="A23" s="32">
        <v>37681</v>
      </c>
      <c r="B23" s="26" t="s">
        <v>272</v>
      </c>
      <c r="C23" s="34">
        <f>(((VLOOKUP(B23,'Data qoq'!$A:$AT,MATCH($C$1,'Data qoq'!$A$1:$AT$1,),))/100+1)^4)-1</f>
        <v>2.0829681770353714E-2</v>
      </c>
      <c r="D23" s="34">
        <f>(((VLOOKUP(B23,'Data qoq'!$A:$AT,MATCH($D$1,'Data qoq'!$A$1:$AT$1,),))/100+1)^4)-1</f>
        <v>0</v>
      </c>
      <c r="E23" s="34">
        <f>(((VLOOKUP(B23,'Data qoq'!$A:$AT,MATCH($E$1,'Data qoq'!$A$1:$AT$1,),))/100+1)^4)-1</f>
        <v>-1.2483293546429408E-2</v>
      </c>
      <c r="F23" s="34">
        <f>(((VLOOKUP(B23,'Data qoq'!$A:$AT,MATCH($F$1,'Data qoq'!$A$1:$AT$1,),))/100+1)^4)-1</f>
        <v>2.3832366150533524E-3</v>
      </c>
      <c r="G23" s="34">
        <f>(((VLOOKUP(B23,'Data qoq'!$A:$AT,MATCH($G$1,'Data qoq'!$A$1:$AT$1,),))/100+1)^4)-1</f>
        <v>-5.8296311057331796E-2</v>
      </c>
      <c r="H23" s="34">
        <f>(((VLOOKUP(B23,'Data qoq'!$A:$AT,MATCH($H$1,'Data qoq'!$A$1:$AT$1,),))/100+1)^4)-1</f>
        <v>7.8982027455845039E-3</v>
      </c>
      <c r="I23" s="34">
        <f>(((VLOOKUP(B23,'Data qoq'!$A:$AT,MATCH($I$1,'Data qoq'!$A$1:$AT$1,),))/100+1)^4)-1</f>
        <v>3.0109609371441692E-2</v>
      </c>
      <c r="J23" s="34">
        <f>(((VLOOKUP(B23,'Data qoq'!$A:$AT,MATCH($J$1,'Data qoq'!$A$1:$AT$1,),))/100+1)^4)-1</f>
        <v>-1.6157699468778319E-2</v>
      </c>
      <c r="K23" s="34">
        <f>(((VLOOKUP(B23,'Data qoq'!$A:$AT,MATCH($K$1,'Data qoq'!$A$1:$AT$1,),))/100+1)^4)-1</f>
        <v>3.7751816998421672E-2</v>
      </c>
      <c r="L23" s="34">
        <f>(((VLOOKUP(B23,'Data qoq'!$A:$AT,MATCH($L$1,'Data qoq'!$A$1:$AT$1,),))/100+1)^4)-1</f>
        <v>4.6931167308557731E-2</v>
      </c>
      <c r="M23" s="34">
        <f>(((VLOOKUP(B23,'Data qoq'!$A:$AT,MATCH($M$1,'Data qoq'!$A$1:$AT$1,),))/100+1)^4)-1</f>
        <v>7.4941789002975767E-3</v>
      </c>
      <c r="N23" s="34">
        <f>(((VLOOKUP(B23,'Data qoq'!$A:$AT,MATCH($N$1,'Data qoq'!$A$1:$AT$1,),))/100+1)^4)-1</f>
        <v>0</v>
      </c>
      <c r="O23" s="34">
        <f>(((VLOOKUP(B23,'Data qoq'!$A:$AT,MATCH($O$1,'Data qoq'!$A$1:$AT$1,),))/100+1)^4)-1</f>
        <v>9.3129929248498167E-2</v>
      </c>
      <c r="P23" s="34">
        <f>(((VLOOKUP(B23,'Data qoq'!$A:$AT,MATCH($P$1,'Data qoq'!$A$1:$AT$1,),))/100+1)^4)-1</f>
        <v>2.2317389270533505E-2</v>
      </c>
      <c r="Q23" s="34">
        <f>(((VLOOKUP(B23,'Data qoq'!$A:$AT,MATCH($Q$1,'Data qoq'!$A$1:$AT$1,),))/100+1)^4)-1</f>
        <v>3.9783451550226001E-3</v>
      </c>
      <c r="R23" s="34">
        <f>(((VLOOKUP(B23,'Data qoq'!$A:$AT,MATCH($R$1,'Data qoq'!$A$1:$AT$1,),))/100+1)^4)-1</f>
        <v>-3.0275184233945374E-2</v>
      </c>
      <c r="S23" s="34">
        <f>(((VLOOKUP(B23,'Data qoq'!$A:$AT,MATCH($S$1,'Data qoq'!$A$1:$AT$1,),))/100+1)^4)-1</f>
        <v>-2.6106842097201155E-2</v>
      </c>
      <c r="T23" s="34">
        <f>(((VLOOKUP(B23,'Data qoq'!$A:$AT,MATCH($T$1,'Data qoq'!$A$1:$AT$1,),))/100+1)^4)-1</f>
        <v>-1.6210664964947608E-2</v>
      </c>
      <c r="U23" s="34">
        <f>(((VLOOKUP(B23,'Data qoq'!$A:$AT,MATCH($U$1,'Data qoq'!$A$1:$AT$1,),))/100+1)^4)-1</f>
        <v>8.5915104250973595E-2</v>
      </c>
      <c r="V23" s="34">
        <f>(((VLOOKUP(B23,'Data qoq'!$A:$AT,MATCH($V$1,'Data qoq'!$A$1:$AT$1,),))/100+1)^4)-1</f>
        <v>-1.671115948927715E-2</v>
      </c>
      <c r="W23" s="34">
        <f>(((VLOOKUP(B23,'Data qoq'!$A:$AT,MATCH($W$1,'Data qoq'!$A$1:$AT$1,),))/100+1)^4)-1</f>
        <v>3.3482237437791884E-3</v>
      </c>
      <c r="X23" s="34">
        <f>(((VLOOKUP(B23,'Data qoq'!$A:$AT,MATCH($X$1,'Data qoq'!$A$1:$AT$1,),))/100+1)^4)-1</f>
        <v>4.3812116814339497E-2</v>
      </c>
      <c r="Y23" s="34">
        <f>(((VLOOKUP(B23,'Data qoq'!$A:$AT,MATCH($Y$1,'Data qoq'!$A$1:$AT$1,),))/100+1)^4)-1</f>
        <v>1.4053939082520062E-2</v>
      </c>
      <c r="Z23" s="34">
        <f>(((VLOOKUP(B23,'Data qoq'!$A:$AU,MATCH($Z$1,'Data qoq'!$A$1:$AU$1,),))/100+1)^4)-1</f>
        <v>0.15619623685230266</v>
      </c>
      <c r="AA23" s="34">
        <f>(((VLOOKUP(B23,'Data qoq'!$A:$AU,MATCH($AA$1,'Data qoq'!$A$1:$AU$1,),))/100+1)^4)-1</f>
        <v>2.3334437888003823E-2</v>
      </c>
      <c r="AC23" s="28" t="str">
        <f t="shared" si="7"/>
        <v>2003-Q1</v>
      </c>
      <c r="AD23" s="33">
        <f t="shared" si="6"/>
        <v>-4.25929029178711E-2</v>
      </c>
      <c r="AE23" s="29"/>
    </row>
    <row r="24" spans="1:31" hidden="1" x14ac:dyDescent="0.2">
      <c r="A24" s="32">
        <v>37773</v>
      </c>
      <c r="B24" s="26" t="s">
        <v>273</v>
      </c>
      <c r="C24" s="34">
        <f>(((VLOOKUP(B24,'Data qoq'!$A:$AT,MATCH($C$1,'Data qoq'!$A$1:$AT$1,),))/100+1)^4)-1</f>
        <v>3.6216844851891805E-2</v>
      </c>
      <c r="D24" s="34">
        <f>(((VLOOKUP(B24,'Data qoq'!$A:$AT,MATCH($D$1,'Data qoq'!$A$1:$AT$1,),))/100+1)^4)-1</f>
        <v>0</v>
      </c>
      <c r="E24" s="34">
        <f>(((VLOOKUP(B24,'Data qoq'!$A:$AT,MATCH($E$1,'Data qoq'!$A$1:$AT$1,),))/100+1)^4)-1</f>
        <v>3.8981253452490261E-3</v>
      </c>
      <c r="F24" s="34">
        <f>(((VLOOKUP(B24,'Data qoq'!$A:$AT,MATCH($F$1,'Data qoq'!$A$1:$AT$1,),))/100+1)^4)-1</f>
        <v>2.7806795215724156E-2</v>
      </c>
      <c r="G24" s="34">
        <f>(((VLOOKUP(B24,'Data qoq'!$A:$AT,MATCH($G$1,'Data qoq'!$A$1:$AT$1,),))/100+1)^4)-1</f>
        <v>4.726926388360253E-3</v>
      </c>
      <c r="H24" s="34">
        <f>(((VLOOKUP(B24,'Data qoq'!$A:$AT,MATCH($H$1,'Data qoq'!$A$1:$AT$1,),))/100+1)^4)-1</f>
        <v>-8.4333094066102454E-3</v>
      </c>
      <c r="I24" s="34">
        <f>(((VLOOKUP(B24,'Data qoq'!$A:$AT,MATCH($I$1,'Data qoq'!$A$1:$AT$1,),))/100+1)^4)-1</f>
        <v>3.7013194537538929E-2</v>
      </c>
      <c r="J24" s="34">
        <f>(((VLOOKUP(B24,'Data qoq'!$A:$AT,MATCH($J$1,'Data qoq'!$A$1:$AT$1,),))/100+1)^4)-1</f>
        <v>-2.7724065503903494E-3</v>
      </c>
      <c r="K24" s="34">
        <f>(((VLOOKUP(B24,'Data qoq'!$A:$AT,MATCH($K$1,'Data qoq'!$A$1:$AT$1,),))/100+1)^4)-1</f>
        <v>2.1005981148968456E-2</v>
      </c>
      <c r="L24" s="34">
        <f>(((VLOOKUP(B24,'Data qoq'!$A:$AT,MATCH($L$1,'Data qoq'!$A$1:$AT$1,),))/100+1)^4)-1</f>
        <v>-2.1758888721846614E-2</v>
      </c>
      <c r="M24" s="34">
        <f>(((VLOOKUP(B24,'Data qoq'!$A:$AT,MATCH($M$1,'Data qoq'!$A$1:$AT$1,),))/100+1)^4)-1</f>
        <v>1.0566376876688377E-2</v>
      </c>
      <c r="N24" s="34">
        <f>(((VLOOKUP(B24,'Data qoq'!$A:$AT,MATCH($N$1,'Data qoq'!$A$1:$AT$1,),))/100+1)^4)-1</f>
        <v>4.5369547666529897E-2</v>
      </c>
      <c r="O24" s="34">
        <f>(((VLOOKUP(B24,'Data qoq'!$A:$AT,MATCH($O$1,'Data qoq'!$A$1:$AT$1,),))/100+1)^4)-1</f>
        <v>0.10524369634958863</v>
      </c>
      <c r="P24" s="34">
        <f>(((VLOOKUP(B24,'Data qoq'!$A:$AT,MATCH($P$1,'Data qoq'!$A$1:$AT$1,),))/100+1)^4)-1</f>
        <v>-5.8855146113460099E-3</v>
      </c>
      <c r="Q24" s="34">
        <f>(((VLOOKUP(B24,'Data qoq'!$A:$AT,MATCH($Q$1,'Data qoq'!$A$1:$AT$1,),))/100+1)^4)-1</f>
        <v>1.3470747920136361E-2</v>
      </c>
      <c r="R24" s="34">
        <f>(((VLOOKUP(B24,'Data qoq'!$A:$AT,MATCH($R$1,'Data qoq'!$A$1:$AT$1,),))/100+1)^4)-1</f>
        <v>3.1659204783351935E-3</v>
      </c>
      <c r="S24" s="34">
        <f>(((VLOOKUP(B24,'Data qoq'!$A:$AT,MATCH($S$1,'Data qoq'!$A$1:$AT$1,),))/100+1)^4)-1</f>
        <v>-6.1516324120223231E-3</v>
      </c>
      <c r="T24" s="34">
        <f>(((VLOOKUP(B24,'Data qoq'!$A:$AT,MATCH($T$1,'Data qoq'!$A$1:$AT$1,),))/100+1)^4)-1</f>
        <v>-3.472174695584207E-2</v>
      </c>
      <c r="U24" s="34">
        <f>(((VLOOKUP(B24,'Data qoq'!$A:$AT,MATCH($U$1,'Data qoq'!$A$1:$AT$1,),))/100+1)^4)-1</f>
        <v>7.2751502943865898E-2</v>
      </c>
      <c r="V24" s="34">
        <f>(((VLOOKUP(B24,'Data qoq'!$A:$AT,MATCH($V$1,'Data qoq'!$A$1:$AT$1,),))/100+1)^4)-1</f>
        <v>1.0918022026397578E-2</v>
      </c>
      <c r="W24" s="34">
        <f>(((VLOOKUP(B24,'Data qoq'!$A:$AT,MATCH($W$1,'Data qoq'!$A$1:$AT$1,),))/100+1)^4)-1</f>
        <v>1.3521101086878762E-2</v>
      </c>
      <c r="X24" s="34">
        <f>(((VLOOKUP(B24,'Data qoq'!$A:$AT,MATCH($X$1,'Data qoq'!$A$1:$AT$1,),))/100+1)^4)-1</f>
        <v>4.2321930202573244E-2</v>
      </c>
      <c r="Y24" s="34">
        <f>(((VLOOKUP(B24,'Data qoq'!$A:$AT,MATCH($Y$1,'Data qoq'!$A$1:$AT$1,),))/100+1)^4)-1</f>
        <v>8.6545103040541305E-2</v>
      </c>
      <c r="Z24" s="34">
        <f>(((VLOOKUP(B24,'Data qoq'!$A:$AU,MATCH($Z$1,'Data qoq'!$A$1:$AU$1,),))/100+1)^4)-1</f>
        <v>0.13270851331388633</v>
      </c>
      <c r="AA24" s="34">
        <f>(((VLOOKUP(B24,'Data qoq'!$A:$AU,MATCH($AA$1,'Data qoq'!$A$1:$AU$1,),))/100+1)^4)-1</f>
        <v>1.7032907179487911E-2</v>
      </c>
      <c r="AC24" s="28" t="str">
        <f t="shared" si="7"/>
        <v>2003-Q2</v>
      </c>
      <c r="AD24" s="33">
        <f t="shared" si="6"/>
        <v>-3.3115069192289903E-2</v>
      </c>
      <c r="AE24" s="29"/>
    </row>
    <row r="25" spans="1:31" hidden="1" x14ac:dyDescent="0.2">
      <c r="A25" s="32">
        <v>37865</v>
      </c>
      <c r="B25" s="26" t="s">
        <v>274</v>
      </c>
      <c r="C25" s="34">
        <f>(((VLOOKUP(B25,'Data qoq'!$A:$AT,MATCH($C$1,'Data qoq'!$A$1:$AT$1,),))/100+1)^4)-1</f>
        <v>6.8361580081003348E-2</v>
      </c>
      <c r="D25" s="34">
        <f>(((VLOOKUP(B25,'Data qoq'!$A:$AT,MATCH($D$1,'Data qoq'!$A$1:$AT$1,),))/100+1)^4)-1</f>
        <v>0</v>
      </c>
      <c r="E25" s="34">
        <f>(((VLOOKUP(B25,'Data qoq'!$A:$AT,MATCH($E$1,'Data qoq'!$A$1:$AT$1,),))/100+1)^4)-1</f>
        <v>2.2216568285841065E-2</v>
      </c>
      <c r="F25" s="34">
        <f>(((VLOOKUP(B25,'Data qoq'!$A:$AT,MATCH($F$1,'Data qoq'!$A$1:$AT$1,),))/100+1)^4)-1</f>
        <v>1.2169566296145629E-2</v>
      </c>
      <c r="G25" s="34">
        <f>(((VLOOKUP(B25,'Data qoq'!$A:$AT,MATCH($G$1,'Data qoq'!$A$1:$AT$1,),))/100+1)^4)-1</f>
        <v>3.0988777356257824E-2</v>
      </c>
      <c r="H25" s="34">
        <f>(((VLOOKUP(B25,'Data qoq'!$A:$AT,MATCH($H$1,'Data qoq'!$A$1:$AT$1,),))/100+1)^4)-1</f>
        <v>2.7121518954579482E-2</v>
      </c>
      <c r="I25" s="34">
        <f>(((VLOOKUP(B25,'Data qoq'!$A:$AT,MATCH($I$1,'Data qoq'!$A$1:$AT$1,),))/100+1)^4)-1</f>
        <v>4.6347968511336823E-2</v>
      </c>
      <c r="J25" s="34">
        <f>(((VLOOKUP(B25,'Data qoq'!$A:$AT,MATCH($J$1,'Data qoq'!$A$1:$AT$1,),))/100+1)^4)-1</f>
        <v>-2.2434622251086278E-3</v>
      </c>
      <c r="K25" s="34">
        <f>(((VLOOKUP(B25,'Data qoq'!$A:$AT,MATCH($K$1,'Data qoq'!$A$1:$AT$1,),))/100+1)^4)-1</f>
        <v>2.6639242762196869E-2</v>
      </c>
      <c r="L25" s="34">
        <f>(((VLOOKUP(B25,'Data qoq'!$A:$AT,MATCH($L$1,'Data qoq'!$A$1:$AT$1,),))/100+1)^4)-1</f>
        <v>5.7660157342700469E-2</v>
      </c>
      <c r="M25" s="34">
        <f>(((VLOOKUP(B25,'Data qoq'!$A:$AT,MATCH($M$1,'Data qoq'!$A$1:$AT$1,),))/100+1)^4)-1</f>
        <v>6.8207424525290605E-5</v>
      </c>
      <c r="N25" s="34">
        <f>(((VLOOKUP(B25,'Data qoq'!$A:$AT,MATCH($N$1,'Data qoq'!$A$1:$AT$1,),))/100+1)^4)-1</f>
        <v>6.9255958132092621E-2</v>
      </c>
      <c r="O25" s="34">
        <f>(((VLOOKUP(B25,'Data qoq'!$A:$AT,MATCH($O$1,'Data qoq'!$A$1:$AT$1,),))/100+1)^4)-1</f>
        <v>0.10951462286797731</v>
      </c>
      <c r="P25" s="34">
        <f>(((VLOOKUP(B25,'Data qoq'!$A:$AT,MATCH($P$1,'Data qoq'!$A$1:$AT$1,),))/100+1)^4)-1</f>
        <v>1.5030153292399318E-2</v>
      </c>
      <c r="Q25" s="34">
        <f>(((VLOOKUP(B25,'Data qoq'!$A:$AT,MATCH($Q$1,'Data qoq'!$A$1:$AT$1,),))/100+1)^4)-1</f>
        <v>6.9168005160629376E-2</v>
      </c>
      <c r="R25" s="34">
        <f>(((VLOOKUP(B25,'Data qoq'!$A:$AT,MATCH($R$1,'Data qoq'!$A$1:$AT$1,),))/100+1)^4)-1</f>
        <v>4.0723594607138702E-2</v>
      </c>
      <c r="S25" s="34">
        <f>(((VLOOKUP(B25,'Data qoq'!$A:$AT,MATCH($S$1,'Data qoq'!$A$1:$AT$1,),))/100+1)^4)-1</f>
        <v>7.9576922453624466E-2</v>
      </c>
      <c r="T25" s="34">
        <f>(((VLOOKUP(B25,'Data qoq'!$A:$AT,MATCH($T$1,'Data qoq'!$A$1:$AT$1,),))/100+1)^4)-1</f>
        <v>3.8265134815122837E-2</v>
      </c>
      <c r="U25" s="34">
        <f>(((VLOOKUP(B25,'Data qoq'!$A:$AT,MATCH($U$1,'Data qoq'!$A$1:$AT$1,),))/100+1)^4)-1</f>
        <v>2.5329849950953109E-2</v>
      </c>
      <c r="V25" s="34">
        <f>(((VLOOKUP(B25,'Data qoq'!$A:$AT,MATCH($V$1,'Data qoq'!$A$1:$AT$1,),))/100+1)^4)-1</f>
        <v>6.777598209499347E-2</v>
      </c>
      <c r="W25" s="34">
        <f>(((VLOOKUP(B25,'Data qoq'!$A:$AT,MATCH($W$1,'Data qoq'!$A$1:$AT$1,),))/100+1)^4)-1</f>
        <v>0.11901951901683305</v>
      </c>
      <c r="X25" s="34">
        <f>(((VLOOKUP(B25,'Data qoq'!$A:$AT,MATCH($X$1,'Data qoq'!$A$1:$AT$1,),))/100+1)^4)-1</f>
        <v>3.7616659781938067E-2</v>
      </c>
      <c r="Y25" s="34">
        <f>(((VLOOKUP(B25,'Data qoq'!$A:$AT,MATCH($Y$1,'Data qoq'!$A$1:$AT$1,),))/100+1)^4)-1</f>
        <v>4.5293831694926734E-2</v>
      </c>
      <c r="Z25" s="34">
        <f>(((VLOOKUP(B25,'Data qoq'!$A:$AU,MATCH($Z$1,'Data qoq'!$A$1:$AU$1,),))/100+1)^4)-1</f>
        <v>0.10138706964490507</v>
      </c>
      <c r="AA25" s="34">
        <f>(((VLOOKUP(B25,'Data qoq'!$A:$AU,MATCH($AA$1,'Data qoq'!$A$1:$AU$1,),))/100+1)^4)-1</f>
        <v>8.7582388336282069E-2</v>
      </c>
      <c r="AC25" s="28" t="str">
        <f t="shared" si="7"/>
        <v>2003-Q3</v>
      </c>
      <c r="AD25" s="33">
        <f t="shared" si="6"/>
        <v>-2.4131400225495758E-2</v>
      </c>
      <c r="AE25" s="29"/>
    </row>
    <row r="26" spans="1:31" hidden="1" x14ac:dyDescent="0.2">
      <c r="A26" s="32">
        <v>37956</v>
      </c>
      <c r="B26" s="26" t="s">
        <v>275</v>
      </c>
      <c r="C26" s="34">
        <f>(((VLOOKUP(B26,'Data qoq'!$A:$AT,MATCH($C$1,'Data qoq'!$A$1:$AT$1,),))/100+1)^4)-1</f>
        <v>4.6967087714720357E-2</v>
      </c>
      <c r="D26" s="34">
        <f>(((VLOOKUP(B26,'Data qoq'!$A:$AT,MATCH($D$1,'Data qoq'!$A$1:$AT$1,),))/100+1)^4)-1</f>
        <v>0</v>
      </c>
      <c r="E26" s="34">
        <f>(((VLOOKUP(B26,'Data qoq'!$A:$AT,MATCH($E$1,'Data qoq'!$A$1:$AT$1,),))/100+1)^4)-1</f>
        <v>2.8562695985974607E-2</v>
      </c>
      <c r="F26" s="34">
        <f>(((VLOOKUP(B26,'Data qoq'!$A:$AT,MATCH($F$1,'Data qoq'!$A$1:$AT$1,),))/100+1)^4)-1</f>
        <v>4.3997243507325701E-2</v>
      </c>
      <c r="G26" s="34">
        <f>(((VLOOKUP(B26,'Data qoq'!$A:$AT,MATCH($G$1,'Data qoq'!$A$1:$AT$1,),))/100+1)^4)-1</f>
        <v>1.080117832323424E-2</v>
      </c>
      <c r="H26" s="34">
        <f>(((VLOOKUP(B26,'Data qoq'!$A:$AT,MATCH($H$1,'Data qoq'!$A$1:$AT$1,),))/100+1)^4)-1</f>
        <v>2.9208801907538495E-2</v>
      </c>
      <c r="I26" s="34">
        <f>(((VLOOKUP(B26,'Data qoq'!$A:$AT,MATCH($I$1,'Data qoq'!$A$1:$AT$1,),))/100+1)^4)-1</f>
        <v>3.7736041563811051E-2</v>
      </c>
      <c r="J26" s="34">
        <f>(((VLOOKUP(B26,'Data qoq'!$A:$AT,MATCH($J$1,'Data qoq'!$A$1:$AT$1,),))/100+1)^4)-1</f>
        <v>3.4976312008873744E-2</v>
      </c>
      <c r="K26" s="34">
        <f>(((VLOOKUP(B26,'Data qoq'!$A:$AT,MATCH($K$1,'Data qoq'!$A$1:$AT$1,),))/100+1)^4)-1</f>
        <v>3.5030840238748917E-2</v>
      </c>
      <c r="L26" s="34">
        <f>(((VLOOKUP(B26,'Data qoq'!$A:$AT,MATCH($L$1,'Data qoq'!$A$1:$AT$1,),))/100+1)^4)-1</f>
        <v>2.6599769083783364E-2</v>
      </c>
      <c r="M26" s="34">
        <f>(((VLOOKUP(B26,'Data qoq'!$A:$AT,MATCH($M$1,'Data qoq'!$A$1:$AT$1,),))/100+1)^4)-1</f>
        <v>4.2534139526229975E-2</v>
      </c>
      <c r="N26" s="34">
        <f>(((VLOOKUP(B26,'Data qoq'!$A:$AT,MATCH($N$1,'Data qoq'!$A$1:$AT$1,),))/100+1)^4)-1</f>
        <v>7.4972916727202854E-2</v>
      </c>
      <c r="O26" s="34">
        <f>(((VLOOKUP(B26,'Data qoq'!$A:$AT,MATCH($O$1,'Data qoq'!$A$1:$AT$1,),))/100+1)^4)-1</f>
        <v>0.1379388077390129</v>
      </c>
      <c r="P26" s="34">
        <f>(((VLOOKUP(B26,'Data qoq'!$A:$AT,MATCH($P$1,'Data qoq'!$A$1:$AT$1,),))/100+1)^4)-1</f>
        <v>2.7885309511850753E-2</v>
      </c>
      <c r="Q26" s="34">
        <f>(((VLOOKUP(B26,'Data qoq'!$A:$AT,MATCH($Q$1,'Data qoq'!$A$1:$AT$1,),))/100+1)^4)-1</f>
        <v>6.8164053354877518E-2</v>
      </c>
      <c r="R26" s="34">
        <f>(((VLOOKUP(B26,'Data qoq'!$A:$AT,MATCH($R$1,'Data qoq'!$A$1:$AT$1,),))/100+1)^4)-1</f>
        <v>4.9251110731468151E-2</v>
      </c>
      <c r="S26" s="34">
        <f>(((VLOOKUP(B26,'Data qoq'!$A:$AT,MATCH($S$1,'Data qoq'!$A$1:$AT$1,),))/100+1)^4)-1</f>
        <v>0.10983333576093202</v>
      </c>
      <c r="T26" s="34">
        <f>(((VLOOKUP(B26,'Data qoq'!$A:$AT,MATCH($T$1,'Data qoq'!$A$1:$AT$1,),))/100+1)^4)-1</f>
        <v>4.2125902173364871E-2</v>
      </c>
      <c r="U26" s="34">
        <f>(((VLOOKUP(B26,'Data qoq'!$A:$AT,MATCH($U$1,'Data qoq'!$A$1:$AT$1,),))/100+1)^4)-1</f>
        <v>8.8266958977812449E-2</v>
      </c>
      <c r="V26" s="34">
        <f>(((VLOOKUP(B26,'Data qoq'!$A:$AT,MATCH($V$1,'Data qoq'!$A$1:$AT$1,),))/100+1)^4)-1</f>
        <v>0.1953773356092996</v>
      </c>
      <c r="W26" s="34">
        <f>(((VLOOKUP(B26,'Data qoq'!$A:$AT,MATCH($W$1,'Data qoq'!$A$1:$AT$1,),))/100+1)^4)-1</f>
        <v>0.12651502758652944</v>
      </c>
      <c r="X26" s="34">
        <f>(((VLOOKUP(B26,'Data qoq'!$A:$AT,MATCH($X$1,'Data qoq'!$A$1:$AT$1,),))/100+1)^4)-1</f>
        <v>4.1073690286386411E-2</v>
      </c>
      <c r="Y26" s="34">
        <f>(((VLOOKUP(B26,'Data qoq'!$A:$AT,MATCH($Y$1,'Data qoq'!$A$1:$AT$1,),))/100+1)^4)-1</f>
        <v>1.1249329179180867E-2</v>
      </c>
      <c r="Z26" s="34">
        <f>(((VLOOKUP(B26,'Data qoq'!$A:$AU,MATCH($Z$1,'Data qoq'!$A$1:$AU$1,),))/100+1)^4)-1</f>
        <v>7.719925891486823E-2</v>
      </c>
      <c r="AA26" s="34">
        <f>(((VLOOKUP(B26,'Data qoq'!$A:$AU,MATCH($AA$1,'Data qoq'!$A$1:$AU$1,),))/100+1)^4)-1</f>
        <v>5.2075190412549821E-2</v>
      </c>
      <c r="AC26" s="28" t="str">
        <f t="shared" si="7"/>
        <v>2003-Q4</v>
      </c>
      <c r="AD26" s="33">
        <f t="shared" si="6"/>
        <v>-9.1733455778364448E-3</v>
      </c>
      <c r="AE26" s="29"/>
    </row>
    <row r="27" spans="1:31" hidden="1" x14ac:dyDescent="0.2">
      <c r="A27" s="32">
        <v>38047</v>
      </c>
      <c r="B27" s="26" t="s">
        <v>276</v>
      </c>
      <c r="C27" s="34">
        <f>(((VLOOKUP(B27,'Data qoq'!$A:$AT,MATCH($C$1,'Data qoq'!$A$1:$AT$1,),))/100+1)^4)-1</f>
        <v>2.3114352698404339E-2</v>
      </c>
      <c r="D27" s="34">
        <f>(((VLOOKUP(B27,'Data qoq'!$A:$AT,MATCH($D$1,'Data qoq'!$A$1:$AT$1,),))/100+1)^4)-1</f>
        <v>0</v>
      </c>
      <c r="E27" s="34">
        <f>(((VLOOKUP(B27,'Data qoq'!$A:$AT,MATCH($E$1,'Data qoq'!$A$1:$AT$1,),))/100+1)^4)-1</f>
        <v>2.1389415497037767E-2</v>
      </c>
      <c r="F27" s="34">
        <f>(((VLOOKUP(B27,'Data qoq'!$A:$AT,MATCH($F$1,'Data qoq'!$A$1:$AT$1,),))/100+1)^4)-1</f>
        <v>3.0001861831276067E-2</v>
      </c>
      <c r="G27" s="34">
        <f>(((VLOOKUP(B27,'Data qoq'!$A:$AT,MATCH($G$1,'Data qoq'!$A$1:$AT$1,),))/100+1)^4)-1</f>
        <v>-6.8620523118830823E-3</v>
      </c>
      <c r="H27" s="34">
        <f>(((VLOOKUP(B27,'Data qoq'!$A:$AT,MATCH($H$1,'Data qoq'!$A$1:$AT$1,),))/100+1)^4)-1</f>
        <v>3.7746523514750496E-2</v>
      </c>
      <c r="I27" s="34">
        <f>(((VLOOKUP(B27,'Data qoq'!$A:$AT,MATCH($I$1,'Data qoq'!$A$1:$AT$1,),))/100+1)^4)-1</f>
        <v>1.4120495157613933E-2</v>
      </c>
      <c r="J27" s="34">
        <f>(((VLOOKUP(B27,'Data qoq'!$A:$AT,MATCH($J$1,'Data qoq'!$A$1:$AT$1,),))/100+1)^4)-1</f>
        <v>1.452134858537657E-2</v>
      </c>
      <c r="K27" s="34">
        <f>(((VLOOKUP(B27,'Data qoq'!$A:$AT,MATCH($K$1,'Data qoq'!$A$1:$AT$1,),))/100+1)^4)-1</f>
        <v>2.4340818754655658E-2</v>
      </c>
      <c r="L27" s="34">
        <f>(((VLOOKUP(B27,'Data qoq'!$A:$AT,MATCH($L$1,'Data qoq'!$A$1:$AT$1,),))/100+1)^4)-1</f>
        <v>7.3339333079524449E-2</v>
      </c>
      <c r="M27" s="34">
        <f>(((VLOOKUP(B27,'Data qoq'!$A:$AT,MATCH($M$1,'Data qoq'!$A$1:$AT$1,),))/100+1)^4)-1</f>
        <v>5.5971674586909215E-2</v>
      </c>
      <c r="N27" s="34">
        <f>(((VLOOKUP(B27,'Data qoq'!$A:$AT,MATCH($N$1,'Data qoq'!$A$1:$AT$1,),))/100+1)^4)-1</f>
        <v>7.7290957657370596E-2</v>
      </c>
      <c r="O27" s="34">
        <f>(((VLOOKUP(B27,'Data qoq'!$A:$AT,MATCH($O$1,'Data qoq'!$A$1:$AT$1,),))/100+1)^4)-1</f>
        <v>1.4659505646861026E-2</v>
      </c>
      <c r="P27" s="34">
        <f>(((VLOOKUP(B27,'Data qoq'!$A:$AT,MATCH($P$1,'Data qoq'!$A$1:$AT$1,),))/100+1)^4)-1</f>
        <v>2.9123472066736156E-2</v>
      </c>
      <c r="Q27" s="34">
        <f>(((VLOOKUP(B27,'Data qoq'!$A:$AT,MATCH($Q$1,'Data qoq'!$A$1:$AT$1,),))/100+1)^4)-1</f>
        <v>3.3388165634663736E-2</v>
      </c>
      <c r="R27" s="34">
        <f>(((VLOOKUP(B27,'Data qoq'!$A:$AT,MATCH($R$1,'Data qoq'!$A$1:$AT$1,),))/100+1)^4)-1</f>
        <v>2.2434022918633278E-2</v>
      </c>
      <c r="S27" s="34">
        <f>(((VLOOKUP(B27,'Data qoq'!$A:$AT,MATCH($S$1,'Data qoq'!$A$1:$AT$1,),))/100+1)^4)-1</f>
        <v>5.1144666002388206E-2</v>
      </c>
      <c r="T27" s="34">
        <f>(((VLOOKUP(B27,'Data qoq'!$A:$AT,MATCH($T$1,'Data qoq'!$A$1:$AT$1,),))/100+1)^4)-1</f>
        <v>5.8026502288799353E-2</v>
      </c>
      <c r="U27" s="34">
        <f>(((VLOOKUP(B27,'Data qoq'!$A:$AT,MATCH($U$1,'Data qoq'!$A$1:$AT$1,),))/100+1)^4)-1</f>
        <v>7.5173338545995172E-2</v>
      </c>
      <c r="V27" s="34">
        <f>(((VLOOKUP(B27,'Data qoq'!$A:$AT,MATCH($V$1,'Data qoq'!$A$1:$AT$1,),))/100+1)^4)-1</f>
        <v>-2.8674465686882034E-3</v>
      </c>
      <c r="W27" s="34">
        <f>(((VLOOKUP(B27,'Data qoq'!$A:$AT,MATCH($W$1,'Data qoq'!$A$1:$AT$1,),))/100+1)^4)-1</f>
        <v>0.11480711696270296</v>
      </c>
      <c r="X27" s="34">
        <f>(((VLOOKUP(B27,'Data qoq'!$A:$AT,MATCH($X$1,'Data qoq'!$A$1:$AT$1,),))/100+1)^4)-1</f>
        <v>3.9522787797759973E-2</v>
      </c>
      <c r="Y27" s="34">
        <f>(((VLOOKUP(B27,'Data qoq'!$A:$AT,MATCH($Y$1,'Data qoq'!$A$1:$AT$1,),))/100+1)^4)-1</f>
        <v>0.12494788530462708</v>
      </c>
      <c r="Z27" s="34">
        <f>(((VLOOKUP(B27,'Data qoq'!$A:$AU,MATCH($Z$1,'Data qoq'!$A$1:$AU$1,),))/100+1)^4)-1</f>
        <v>0.1375586710316159</v>
      </c>
      <c r="AA27" s="34">
        <f>(((VLOOKUP(B27,'Data qoq'!$A:$AU,MATCH($AA$1,'Data qoq'!$A$1:$AU$1,),))/100+1)^4)-1</f>
        <v>7.0314605746457204E-2</v>
      </c>
      <c r="AC27" s="28" t="str">
        <f t="shared" si="7"/>
        <v>2004-Q1</v>
      </c>
      <c r="AD27" s="33">
        <f t="shared" si="6"/>
        <v>7.2689203394238344E-3</v>
      </c>
      <c r="AE27" s="29"/>
    </row>
    <row r="28" spans="1:31" hidden="1" x14ac:dyDescent="0.2">
      <c r="A28" s="32">
        <v>38139</v>
      </c>
      <c r="B28" s="26" t="s">
        <v>277</v>
      </c>
      <c r="C28" s="34">
        <f>(((VLOOKUP(B28,'Data qoq'!$A:$AT,MATCH($C$1,'Data qoq'!$A$1:$AT$1,),))/100+1)^4)-1</f>
        <v>3.1515303444355602E-2</v>
      </c>
      <c r="D28" s="34">
        <f>(((VLOOKUP(B28,'Data qoq'!$A:$AT,MATCH($D$1,'Data qoq'!$A$1:$AT$1,),))/100+1)^4)-1</f>
        <v>0</v>
      </c>
      <c r="E28" s="34">
        <f>(((VLOOKUP(B28,'Data qoq'!$A:$AT,MATCH($E$1,'Data qoq'!$A$1:$AT$1,),))/100+1)^4)-1</f>
        <v>2.4200453490176521E-2</v>
      </c>
      <c r="F28" s="34">
        <f>(((VLOOKUP(B28,'Data qoq'!$A:$AT,MATCH($F$1,'Data qoq'!$A$1:$AT$1,),))/100+1)^4)-1</f>
        <v>2.8468370675827082E-4</v>
      </c>
      <c r="G28" s="34">
        <f>(((VLOOKUP(B28,'Data qoq'!$A:$AT,MATCH($G$1,'Data qoq'!$A$1:$AT$1,),))/100+1)^4)-1</f>
        <v>2.0245097384639754E-2</v>
      </c>
      <c r="H28" s="34">
        <f>(((VLOOKUP(B28,'Data qoq'!$A:$AT,MATCH($H$1,'Data qoq'!$A$1:$AT$1,),))/100+1)^4)-1</f>
        <v>2.6452514617437251E-2</v>
      </c>
      <c r="I28" s="34">
        <f>(((VLOOKUP(B28,'Data qoq'!$A:$AT,MATCH($I$1,'Data qoq'!$A$1:$AT$1,),))/100+1)^4)-1</f>
        <v>1.4803761336926735E-2</v>
      </c>
      <c r="J28" s="34">
        <f>(((VLOOKUP(B28,'Data qoq'!$A:$AT,MATCH($J$1,'Data qoq'!$A$1:$AT$1,),))/100+1)^4)-1</f>
        <v>1.1525723525844356E-2</v>
      </c>
      <c r="K28" s="34">
        <f>(((VLOOKUP(B28,'Data qoq'!$A:$AT,MATCH($K$1,'Data qoq'!$A$1:$AT$1,),))/100+1)^4)-1</f>
        <v>3.9655759979316585E-2</v>
      </c>
      <c r="L28" s="34">
        <f>(((VLOOKUP(B28,'Data qoq'!$A:$AT,MATCH($L$1,'Data qoq'!$A$1:$AT$1,),))/100+1)^4)-1</f>
        <v>1.8438111113524336E-2</v>
      </c>
      <c r="M28" s="34">
        <f>(((VLOOKUP(B28,'Data qoq'!$A:$AT,MATCH($M$1,'Data qoq'!$A$1:$AT$1,),))/100+1)^4)-1</f>
        <v>6.4825526622163787E-2</v>
      </c>
      <c r="N28" s="34">
        <f>(((VLOOKUP(B28,'Data qoq'!$A:$AT,MATCH($N$1,'Data qoq'!$A$1:$AT$1,),))/100+1)^4)-1</f>
        <v>7.9344553119110817E-2</v>
      </c>
      <c r="O28" s="34">
        <f>(((VLOOKUP(B28,'Data qoq'!$A:$AT,MATCH($O$1,'Data qoq'!$A$1:$AT$1,),))/100+1)^4)-1</f>
        <v>9.8574336191318279E-2</v>
      </c>
      <c r="P28" s="34">
        <f>(((VLOOKUP(B28,'Data qoq'!$A:$AT,MATCH($P$1,'Data qoq'!$A$1:$AT$1,),))/100+1)^4)-1</f>
        <v>4.8366032556190985E-2</v>
      </c>
      <c r="Q28" s="34">
        <f>(((VLOOKUP(B28,'Data qoq'!$A:$AT,MATCH($Q$1,'Data qoq'!$A$1:$AT$1,),))/100+1)^4)-1</f>
        <v>2.7091374179441852E-2</v>
      </c>
      <c r="R28" s="34">
        <f>(((VLOOKUP(B28,'Data qoq'!$A:$AT,MATCH($R$1,'Data qoq'!$A$1:$AT$1,),))/100+1)^4)-1</f>
        <v>2.99796751707746E-2</v>
      </c>
      <c r="S28" s="34">
        <f>(((VLOOKUP(B28,'Data qoq'!$A:$AT,MATCH($S$1,'Data qoq'!$A$1:$AT$1,),))/100+1)^4)-1</f>
        <v>3.0891517200644314E-2</v>
      </c>
      <c r="T28" s="34">
        <f>(((VLOOKUP(B28,'Data qoq'!$A:$AT,MATCH($T$1,'Data qoq'!$A$1:$AT$1,),))/100+1)^4)-1</f>
        <v>0.11394540792347607</v>
      </c>
      <c r="U28" s="34">
        <f>(((VLOOKUP(B28,'Data qoq'!$A:$AT,MATCH($U$1,'Data qoq'!$A$1:$AT$1,),))/100+1)^4)-1</f>
        <v>-7.4348014403313734E-4</v>
      </c>
      <c r="V28" s="34">
        <f>(((VLOOKUP(B28,'Data qoq'!$A:$AT,MATCH($V$1,'Data qoq'!$A$1:$AT$1,),))/100+1)^4)-1</f>
        <v>8.2693865561876967E-2</v>
      </c>
      <c r="W28" s="34">
        <f>(((VLOOKUP(B28,'Data qoq'!$A:$AT,MATCH($W$1,'Data qoq'!$A$1:$AT$1,),))/100+1)^4)-1</f>
        <v>9.6435407014235475E-2</v>
      </c>
      <c r="X28" s="34">
        <f>(((VLOOKUP(B28,'Data qoq'!$A:$AT,MATCH($X$1,'Data qoq'!$A$1:$AT$1,),))/100+1)^4)-1</f>
        <v>4.7577443928757068E-2</v>
      </c>
      <c r="Y28" s="34">
        <f>(((VLOOKUP(B28,'Data qoq'!$A:$AT,MATCH($Y$1,'Data qoq'!$A$1:$AT$1,),))/100+1)^4)-1</f>
        <v>3.2769585273718427E-2</v>
      </c>
      <c r="Z28" s="34">
        <f>(((VLOOKUP(B28,'Data qoq'!$A:$AU,MATCH($Z$1,'Data qoq'!$A$1:$AU$1,),))/100+1)^4)-1</f>
        <v>-4.4982648702485584E-2</v>
      </c>
      <c r="AA28" s="34">
        <f>(((VLOOKUP(B28,'Data qoq'!$A:$AU,MATCH($AA$1,'Data qoq'!$A$1:$AU$1,),))/100+1)^4)-1</f>
        <v>3.5470177897727106E-2</v>
      </c>
      <c r="AC28" s="28" t="str">
        <f t="shared" si="7"/>
        <v>2004-Q2</v>
      </c>
      <c r="AD28" s="33">
        <f t="shared" si="6"/>
        <v>9.396692153249786E-3</v>
      </c>
      <c r="AE28" s="29"/>
    </row>
    <row r="29" spans="1:31" hidden="1" x14ac:dyDescent="0.2">
      <c r="A29" s="32">
        <v>38231</v>
      </c>
      <c r="B29" s="26" t="s">
        <v>278</v>
      </c>
      <c r="C29" s="34">
        <f>(((VLOOKUP(B29,'Data qoq'!$A:$AT,MATCH($C$1,'Data qoq'!$A$1:$AT$1,),))/100+1)^4)-1</f>
        <v>3.818480023028159E-2</v>
      </c>
      <c r="D29" s="34">
        <f>(((VLOOKUP(B29,'Data qoq'!$A:$AT,MATCH($D$1,'Data qoq'!$A$1:$AT$1,),))/100+1)^4)-1</f>
        <v>0</v>
      </c>
      <c r="E29" s="34">
        <f>(((VLOOKUP(B29,'Data qoq'!$A:$AT,MATCH($E$1,'Data qoq'!$A$1:$AT$1,),))/100+1)^4)-1</f>
        <v>1.0069158698194469E-2</v>
      </c>
      <c r="F29" s="34">
        <f>(((VLOOKUP(B29,'Data qoq'!$A:$AT,MATCH($F$1,'Data qoq'!$A$1:$AT$1,),))/100+1)^4)-1</f>
        <v>2.5015908452995506E-2</v>
      </c>
      <c r="G29" s="34">
        <f>(((VLOOKUP(B29,'Data qoq'!$A:$AT,MATCH($G$1,'Data qoq'!$A$1:$AT$1,),))/100+1)^4)-1</f>
        <v>-7.4182811748310096E-3</v>
      </c>
      <c r="H29" s="34">
        <f>(((VLOOKUP(B29,'Data qoq'!$A:$AT,MATCH($H$1,'Data qoq'!$A$1:$AT$1,),))/100+1)^4)-1</f>
        <v>1.0385478069386611E-2</v>
      </c>
      <c r="I29" s="34">
        <f>(((VLOOKUP(B29,'Data qoq'!$A:$AT,MATCH($I$1,'Data qoq'!$A$1:$AT$1,),))/100+1)^4)-1</f>
        <v>7.1980334424730508E-3</v>
      </c>
      <c r="J29" s="34">
        <f>(((VLOOKUP(B29,'Data qoq'!$A:$AT,MATCH($J$1,'Data qoq'!$A$1:$AT$1,),))/100+1)^4)-1</f>
        <v>-7.2105938546151993E-4</v>
      </c>
      <c r="K29" s="34">
        <f>(((VLOOKUP(B29,'Data qoq'!$A:$AT,MATCH($K$1,'Data qoq'!$A$1:$AT$1,),))/100+1)^4)-1</f>
        <v>3.8150709855339526E-2</v>
      </c>
      <c r="L29" s="34">
        <f>(((VLOOKUP(B29,'Data qoq'!$A:$AT,MATCH($L$1,'Data qoq'!$A$1:$AT$1,),))/100+1)^4)-1</f>
        <v>3.0617849473190351E-2</v>
      </c>
      <c r="M29" s="34">
        <f>(((VLOOKUP(B29,'Data qoq'!$A:$AT,MATCH($M$1,'Data qoq'!$A$1:$AT$1,),))/100+1)^4)-1</f>
        <v>-5.0396595498884977E-3</v>
      </c>
      <c r="N29" s="34">
        <f>(((VLOOKUP(B29,'Data qoq'!$A:$AT,MATCH($N$1,'Data qoq'!$A$1:$AT$1,),))/100+1)^4)-1</f>
        <v>6.1971646753691267E-2</v>
      </c>
      <c r="O29" s="34">
        <f>(((VLOOKUP(B29,'Data qoq'!$A:$AT,MATCH($O$1,'Data qoq'!$A$1:$AT$1,),))/100+1)^4)-1</f>
        <v>9.941027005184977E-2</v>
      </c>
      <c r="P29" s="34">
        <f>(((VLOOKUP(B29,'Data qoq'!$A:$AT,MATCH($P$1,'Data qoq'!$A$1:$AT$1,),))/100+1)^4)-1</f>
        <v>4.8060078795944872E-2</v>
      </c>
      <c r="Q29" s="34">
        <f>(((VLOOKUP(B29,'Data qoq'!$A:$AT,MATCH($Q$1,'Data qoq'!$A$1:$AT$1,),))/100+1)^4)-1</f>
        <v>3.0610586659350014E-2</v>
      </c>
      <c r="R29" s="34">
        <f>(((VLOOKUP(B29,'Data qoq'!$A:$AT,MATCH($R$1,'Data qoq'!$A$1:$AT$1,),))/100+1)^4)-1</f>
        <v>1.8751323450874047E-3</v>
      </c>
      <c r="S29" s="34">
        <f>(((VLOOKUP(B29,'Data qoq'!$A:$AT,MATCH($S$1,'Data qoq'!$A$1:$AT$1,),))/100+1)^4)-1</f>
        <v>1.6322412371273076E-2</v>
      </c>
      <c r="T29" s="34">
        <f>(((VLOOKUP(B29,'Data qoq'!$A:$AT,MATCH($T$1,'Data qoq'!$A$1:$AT$1,),))/100+1)^4)-1</f>
        <v>5.0754262276625939E-2</v>
      </c>
      <c r="U29" s="34">
        <f>(((VLOOKUP(B29,'Data qoq'!$A:$AT,MATCH($U$1,'Data qoq'!$A$1:$AT$1,),))/100+1)^4)-1</f>
        <v>5.4456381787802322E-2</v>
      </c>
      <c r="V29" s="34">
        <f>(((VLOOKUP(B29,'Data qoq'!$A:$AT,MATCH($V$1,'Data qoq'!$A$1:$AT$1,),))/100+1)^4)-1</f>
        <v>1.1741381101165516E-2</v>
      </c>
      <c r="W29" s="34">
        <f>(((VLOOKUP(B29,'Data qoq'!$A:$AT,MATCH($W$1,'Data qoq'!$A$1:$AT$1,),))/100+1)^4)-1</f>
        <v>4.5878040194492486E-2</v>
      </c>
      <c r="X29" s="34">
        <f>(((VLOOKUP(B29,'Data qoq'!$A:$AT,MATCH($X$1,'Data qoq'!$A$1:$AT$1,),))/100+1)^4)-1</f>
        <v>6.4297027303454657E-2</v>
      </c>
      <c r="Y29" s="34">
        <f>(((VLOOKUP(B29,'Data qoq'!$A:$AT,MATCH($Y$1,'Data qoq'!$A$1:$AT$1,),))/100+1)^4)-1</f>
        <v>-1.9995104660569196E-2</v>
      </c>
      <c r="Z29" s="34">
        <f>(((VLOOKUP(B29,'Data qoq'!$A:$AU,MATCH($Z$1,'Data qoq'!$A$1:$AU$1,),))/100+1)^4)-1</f>
        <v>0.21460640836935641</v>
      </c>
      <c r="AA29" s="34">
        <f>(((VLOOKUP(B29,'Data qoq'!$A:$AU,MATCH($AA$1,'Data qoq'!$A$1:$AU$1,),))/100+1)^4)-1</f>
        <v>1.1609100583899856E-2</v>
      </c>
      <c r="AC29" s="28" t="str">
        <f t="shared" si="7"/>
        <v>2004-Q3</v>
      </c>
      <c r="AD29" s="33">
        <f t="shared" si="6"/>
        <v>2.8711252557214184E-3</v>
      </c>
      <c r="AE29" s="29"/>
    </row>
    <row r="30" spans="1:31" hidden="1" x14ac:dyDescent="0.2">
      <c r="A30" s="32">
        <v>38322</v>
      </c>
      <c r="B30" s="26" t="s">
        <v>279</v>
      </c>
      <c r="C30" s="34">
        <f>(((VLOOKUP(B30,'Data qoq'!$A:$AT,MATCH($C$1,'Data qoq'!$A$1:$AT$1,),))/100+1)^4)-1</f>
        <v>4.1512099830066429E-2</v>
      </c>
      <c r="D30" s="34">
        <f>(((VLOOKUP(B30,'Data qoq'!$A:$AT,MATCH($D$1,'Data qoq'!$A$1:$AT$1,),))/100+1)^4)-1</f>
        <v>0</v>
      </c>
      <c r="E30" s="34">
        <f>(((VLOOKUP(B30,'Data qoq'!$A:$AT,MATCH($E$1,'Data qoq'!$A$1:$AT$1,),))/100+1)^4)-1</f>
        <v>1.4098692772563703E-2</v>
      </c>
      <c r="F30" s="34">
        <f>(((VLOOKUP(B30,'Data qoq'!$A:$AT,MATCH($F$1,'Data qoq'!$A$1:$AT$1,),))/100+1)^4)-1</f>
        <v>-7.961741036149772E-3</v>
      </c>
      <c r="G30" s="34">
        <f>(((VLOOKUP(B30,'Data qoq'!$A:$AT,MATCH($G$1,'Data qoq'!$A$1:$AT$1,),))/100+1)^4)-1</f>
        <v>-4.1859783631346126E-3</v>
      </c>
      <c r="H30" s="34">
        <f>(((VLOOKUP(B30,'Data qoq'!$A:$AT,MATCH($H$1,'Data qoq'!$A$1:$AT$1,),))/100+1)^4)-1</f>
        <v>3.0124547579698957E-2</v>
      </c>
      <c r="I30" s="34">
        <f>(((VLOOKUP(B30,'Data qoq'!$A:$AT,MATCH($I$1,'Data qoq'!$A$1:$AT$1,),))/100+1)^4)-1</f>
        <v>1.0079156941292577E-2</v>
      </c>
      <c r="J30" s="34">
        <f>(((VLOOKUP(B30,'Data qoq'!$A:$AT,MATCH($J$1,'Data qoq'!$A$1:$AT$1,),))/100+1)^4)-1</f>
        <v>8.6725925126736048E-3</v>
      </c>
      <c r="K30" s="34">
        <f>(((VLOOKUP(B30,'Data qoq'!$A:$AT,MATCH($K$1,'Data qoq'!$A$1:$AT$1,),))/100+1)^4)-1</f>
        <v>2.7654691246657981E-2</v>
      </c>
      <c r="L30" s="34">
        <f>(((VLOOKUP(B30,'Data qoq'!$A:$AT,MATCH($L$1,'Data qoq'!$A$1:$AT$1,),))/100+1)^4)-1</f>
        <v>3.4605715957585437E-2</v>
      </c>
      <c r="M30" s="34">
        <f>(((VLOOKUP(B30,'Data qoq'!$A:$AT,MATCH($M$1,'Data qoq'!$A$1:$AT$1,),))/100+1)^4)-1</f>
        <v>4.9726297292982391E-2</v>
      </c>
      <c r="N30" s="34">
        <f>(((VLOOKUP(B30,'Data qoq'!$A:$AT,MATCH($N$1,'Data qoq'!$A$1:$AT$1,),))/100+1)^4)-1</f>
        <v>4.5482622756087165E-2</v>
      </c>
      <c r="O30" s="34">
        <f>(((VLOOKUP(B30,'Data qoq'!$A:$AT,MATCH($O$1,'Data qoq'!$A$1:$AT$1,),))/100+1)^4)-1</f>
        <v>7.9743868334766432E-2</v>
      </c>
      <c r="P30" s="34">
        <f>(((VLOOKUP(B30,'Data qoq'!$A:$AT,MATCH($P$1,'Data qoq'!$A$1:$AT$1,),))/100+1)^4)-1</f>
        <v>2.9048229668665604E-2</v>
      </c>
      <c r="Q30" s="34">
        <f>(((VLOOKUP(B30,'Data qoq'!$A:$AT,MATCH($Q$1,'Data qoq'!$A$1:$AT$1,),))/100+1)^4)-1</f>
        <v>3.123000983765456E-2</v>
      </c>
      <c r="R30" s="34">
        <f>(((VLOOKUP(B30,'Data qoq'!$A:$AT,MATCH($R$1,'Data qoq'!$A$1:$AT$1,),))/100+1)^4)-1</f>
        <v>6.6688331990376604E-3</v>
      </c>
      <c r="S30" s="34">
        <f>(((VLOOKUP(B30,'Data qoq'!$A:$AT,MATCH($S$1,'Data qoq'!$A$1:$AT$1,),))/100+1)^4)-1</f>
        <v>3.0663774045021075E-2</v>
      </c>
      <c r="T30" s="34">
        <f>(((VLOOKUP(B30,'Data qoq'!$A:$AT,MATCH($T$1,'Data qoq'!$A$1:$AT$1,),))/100+1)^4)-1</f>
        <v>3.1177516024305518E-2</v>
      </c>
      <c r="U30" s="34">
        <f>(((VLOOKUP(B30,'Data qoq'!$A:$AT,MATCH($U$1,'Data qoq'!$A$1:$AT$1,),))/100+1)^4)-1</f>
        <v>-1.516646224562157E-2</v>
      </c>
      <c r="V30" s="34">
        <f>(((VLOOKUP(B30,'Data qoq'!$A:$AT,MATCH($V$1,'Data qoq'!$A$1:$AT$1,),))/100+1)^4)-1</f>
        <v>7.1675664670189709E-2</v>
      </c>
      <c r="W30" s="34">
        <f>(((VLOOKUP(B30,'Data qoq'!$A:$AT,MATCH($W$1,'Data qoq'!$A$1:$AT$1,),))/100+1)^4)-1</f>
        <v>6.6496014398236936E-2</v>
      </c>
      <c r="X30" s="34">
        <f>(((VLOOKUP(B30,'Data qoq'!$A:$AT,MATCH($X$1,'Data qoq'!$A$1:$AT$1,),))/100+1)^4)-1</f>
        <v>7.3415968385239783E-2</v>
      </c>
      <c r="Y30" s="34">
        <f>(((VLOOKUP(B30,'Data qoq'!$A:$AT,MATCH($Y$1,'Data qoq'!$A$1:$AT$1,),))/100+1)^4)-1</f>
        <v>4.3084621098699927E-2</v>
      </c>
      <c r="Z30" s="34">
        <f>(((VLOOKUP(B30,'Data qoq'!$A:$AU,MATCH($Z$1,'Data qoq'!$A$1:$AU$1,),))/100+1)^4)-1</f>
        <v>6.1145462011358065E-2</v>
      </c>
      <c r="AA30" s="34">
        <f>(((VLOOKUP(B30,'Data qoq'!$A:$AU,MATCH($AA$1,'Data qoq'!$A$1:$AU$1,),))/100+1)^4)-1</f>
        <v>1.3751981284436221E-2</v>
      </c>
      <c r="AC30" s="28" t="str">
        <f t="shared" si="7"/>
        <v>2004-Q4</v>
      </c>
      <c r="AD30" s="33">
        <f t="shared" si="6"/>
        <v>4.019535831271126E-3</v>
      </c>
      <c r="AE30" s="29"/>
    </row>
    <row r="31" spans="1:31" hidden="1" x14ac:dyDescent="0.2">
      <c r="A31" s="32">
        <v>38412</v>
      </c>
      <c r="B31" s="26" t="s">
        <v>280</v>
      </c>
      <c r="C31" s="34">
        <f>(((VLOOKUP(B31,'Data qoq'!$A:$AT,MATCH($C$1,'Data qoq'!$A$1:$AT$1,),))/100+1)^4)-1</f>
        <v>4.5181235099421624E-2</v>
      </c>
      <c r="D31" s="34">
        <f>(((VLOOKUP(B31,'Data qoq'!$A:$AT,MATCH($D$1,'Data qoq'!$A$1:$AT$1,),))/100+1)^4)-1</f>
        <v>0</v>
      </c>
      <c r="E31" s="34">
        <f>(((VLOOKUP(B31,'Data qoq'!$A:$AT,MATCH($E$1,'Data qoq'!$A$1:$AT$1,),))/100+1)^4)-1</f>
        <v>1.0558631117400408E-2</v>
      </c>
      <c r="F31" s="34">
        <f>(((VLOOKUP(B31,'Data qoq'!$A:$AT,MATCH($F$1,'Data qoq'!$A$1:$AT$1,),))/100+1)^4)-1</f>
        <v>2.0582575096398825E-2</v>
      </c>
      <c r="G31" s="34">
        <f>(((VLOOKUP(B31,'Data qoq'!$A:$AT,MATCH($G$1,'Data qoq'!$A$1:$AT$1,),))/100+1)^4)-1</f>
        <v>1.1557376864845814E-4</v>
      </c>
      <c r="H31" s="34">
        <f>(((VLOOKUP(B31,'Data qoq'!$A:$AT,MATCH($H$1,'Data qoq'!$A$1:$AT$1,),))/100+1)^4)-1</f>
        <v>1.0881248209180017E-2</v>
      </c>
      <c r="I31" s="34">
        <f>(((VLOOKUP(B31,'Data qoq'!$A:$AT,MATCH($I$1,'Data qoq'!$A$1:$AT$1,),))/100+1)^4)-1</f>
        <v>3.227108760057984E-2</v>
      </c>
      <c r="J31" s="34">
        <f>(((VLOOKUP(B31,'Data qoq'!$A:$AT,MATCH($J$1,'Data qoq'!$A$1:$AT$1,),))/100+1)^4)-1</f>
        <v>-4.1788322614045859E-3</v>
      </c>
      <c r="K31" s="34">
        <f>(((VLOOKUP(B31,'Data qoq'!$A:$AT,MATCH($K$1,'Data qoq'!$A$1:$AT$1,),))/100+1)^4)-1</f>
        <v>3.9627197694089178E-2</v>
      </c>
      <c r="L31" s="34">
        <f>(((VLOOKUP(B31,'Data qoq'!$A:$AT,MATCH($L$1,'Data qoq'!$A$1:$AT$1,),))/100+1)^4)-1</f>
        <v>1.7466188274229077E-2</v>
      </c>
      <c r="M31" s="34">
        <f>(((VLOOKUP(B31,'Data qoq'!$A:$AT,MATCH($M$1,'Data qoq'!$A$1:$AT$1,),))/100+1)^4)-1</f>
        <v>5.5631739193802154E-3</v>
      </c>
      <c r="N31" s="34">
        <f>(((VLOOKUP(B31,'Data qoq'!$A:$AT,MATCH($N$1,'Data qoq'!$A$1:$AT$1,),))/100+1)^4)-1</f>
        <v>7.1778217362466146E-2</v>
      </c>
      <c r="O31" s="34">
        <f>(((VLOOKUP(B31,'Data qoq'!$A:$AT,MATCH($O$1,'Data qoq'!$A$1:$AT$1,),))/100+1)^4)-1</f>
        <v>7.1899904728981445E-2</v>
      </c>
      <c r="P31" s="34">
        <f>(((VLOOKUP(B31,'Data qoq'!$A:$AT,MATCH($P$1,'Data qoq'!$A$1:$AT$1,),))/100+1)^4)-1</f>
        <v>1.3914686978967028E-2</v>
      </c>
      <c r="Q31" s="34">
        <f>(((VLOOKUP(B31,'Data qoq'!$A:$AT,MATCH($Q$1,'Data qoq'!$A$1:$AT$1,),))/100+1)^4)-1</f>
        <v>3.1846077728976407E-2</v>
      </c>
      <c r="R31" s="34">
        <f>(((VLOOKUP(B31,'Data qoq'!$A:$AT,MATCH($R$1,'Data qoq'!$A$1:$AT$1,),))/100+1)^4)-1</f>
        <v>3.145458177524274E-2</v>
      </c>
      <c r="S31" s="34">
        <f>(((VLOOKUP(B31,'Data qoq'!$A:$AT,MATCH($S$1,'Data qoq'!$A$1:$AT$1,),))/100+1)^4)-1</f>
        <v>3.4473026268850626E-2</v>
      </c>
      <c r="T31" s="34">
        <f>(((VLOOKUP(B31,'Data qoq'!$A:$AT,MATCH($T$1,'Data qoq'!$A$1:$AT$1,),))/100+1)^4)-1</f>
        <v>3.034510313633576E-2</v>
      </c>
      <c r="U31" s="34">
        <f>(((VLOOKUP(B31,'Data qoq'!$A:$AT,MATCH($U$1,'Data qoq'!$A$1:$AT$1,),))/100+1)^4)-1</f>
        <v>-2.3316921439511029E-2</v>
      </c>
      <c r="V31" s="34">
        <f>(((VLOOKUP(B31,'Data qoq'!$A:$AT,MATCH($V$1,'Data qoq'!$A$1:$AT$1,),))/100+1)^4)-1</f>
        <v>8.3018389676716264E-2</v>
      </c>
      <c r="W31" s="34">
        <f>(((VLOOKUP(B31,'Data qoq'!$A:$AT,MATCH($W$1,'Data qoq'!$A$1:$AT$1,),))/100+1)^4)-1</f>
        <v>0.19754544946508767</v>
      </c>
      <c r="X31" s="34">
        <f>(((VLOOKUP(B31,'Data qoq'!$A:$AT,MATCH($X$1,'Data qoq'!$A$1:$AT$1,),))/100+1)^4)-1</f>
        <v>7.3439452578003106E-2</v>
      </c>
      <c r="Y31" s="34">
        <f>(((VLOOKUP(B31,'Data qoq'!$A:$AT,MATCH($Y$1,'Data qoq'!$A$1:$AT$1,),))/100+1)^4)-1</f>
        <v>4.4809083289141238E-2</v>
      </c>
      <c r="Z31" s="34">
        <f>(((VLOOKUP(B31,'Data qoq'!$A:$AU,MATCH($Z$1,'Data qoq'!$A$1:$AU$1,),))/100+1)^4)-1</f>
        <v>0.12133736337880152</v>
      </c>
      <c r="AA31" s="34">
        <f>(((VLOOKUP(B31,'Data qoq'!$A:$AU,MATCH($AA$1,'Data qoq'!$A$1:$AU$1,),))/100+1)^4)-1</f>
        <v>4.6729177773855213E-2</v>
      </c>
      <c r="AC31" s="28" t="str">
        <f t="shared" si="7"/>
        <v>2005-Q1</v>
      </c>
      <c r="AD31" s="33">
        <f t="shared" si="6"/>
        <v>-2.1712456483179432E-2</v>
      </c>
      <c r="AE31" s="29"/>
    </row>
    <row r="32" spans="1:31" hidden="1" x14ac:dyDescent="0.2">
      <c r="A32" s="32">
        <v>38504</v>
      </c>
      <c r="B32" s="26" t="s">
        <v>281</v>
      </c>
      <c r="C32" s="34">
        <f>(((VLOOKUP(B32,'Data qoq'!$A:$AT,MATCH($C$1,'Data qoq'!$A$1:$AT$1,),))/100+1)^4)-1</f>
        <v>1.9606710911931335E-2</v>
      </c>
      <c r="D32" s="34">
        <f>(((VLOOKUP(B32,'Data qoq'!$A:$AT,MATCH($D$1,'Data qoq'!$A$1:$AT$1,),))/100+1)^4)-1</f>
        <v>0</v>
      </c>
      <c r="E32" s="34">
        <f>(((VLOOKUP(B32,'Data qoq'!$A:$AT,MATCH($E$1,'Data qoq'!$A$1:$AT$1,),))/100+1)^4)-1</f>
        <v>2.2075997795195201E-2</v>
      </c>
      <c r="F32" s="34">
        <f>(((VLOOKUP(B32,'Data qoq'!$A:$AT,MATCH($F$1,'Data qoq'!$A$1:$AT$1,),))/100+1)^4)-1</f>
        <v>3.1696304972186118E-2</v>
      </c>
      <c r="G32" s="34">
        <f>(((VLOOKUP(B32,'Data qoq'!$A:$AT,MATCH($G$1,'Data qoq'!$A$1:$AT$1,),))/100+1)^4)-1</f>
        <v>2.1149607238259316E-2</v>
      </c>
      <c r="H32" s="34">
        <f>(((VLOOKUP(B32,'Data qoq'!$A:$AT,MATCH($H$1,'Data qoq'!$A$1:$AT$1,),))/100+1)^4)-1</f>
        <v>7.5216053286766282E-3</v>
      </c>
      <c r="I32" s="34">
        <f>(((VLOOKUP(B32,'Data qoq'!$A:$AT,MATCH($I$1,'Data qoq'!$A$1:$AT$1,),))/100+1)^4)-1</f>
        <v>4.783658807855673E-2</v>
      </c>
      <c r="J32" s="34">
        <f>(((VLOOKUP(B32,'Data qoq'!$A:$AT,MATCH($J$1,'Data qoq'!$A$1:$AT$1,),))/100+1)^4)-1</f>
        <v>2.6805228918280966E-2</v>
      </c>
      <c r="K32" s="34">
        <f>(((VLOOKUP(B32,'Data qoq'!$A:$AT,MATCH($K$1,'Data qoq'!$A$1:$AT$1,),))/100+1)^4)-1</f>
        <v>3.575252115157479E-2</v>
      </c>
      <c r="L32" s="34">
        <f>(((VLOOKUP(B32,'Data qoq'!$A:$AT,MATCH($L$1,'Data qoq'!$A$1:$AT$1,),))/100+1)^4)-1</f>
        <v>2.6221258602079356E-2</v>
      </c>
      <c r="M32" s="34">
        <f>(((VLOOKUP(B32,'Data qoq'!$A:$AT,MATCH($M$1,'Data qoq'!$A$1:$AT$1,),))/100+1)^4)-1</f>
        <v>1.2661780636886055E-2</v>
      </c>
      <c r="N32" s="34">
        <f>(((VLOOKUP(B32,'Data qoq'!$A:$AT,MATCH($N$1,'Data qoq'!$A$1:$AT$1,),))/100+1)^4)-1</f>
        <v>6.2296401098355547E-2</v>
      </c>
      <c r="O32" s="34">
        <f>(((VLOOKUP(B32,'Data qoq'!$A:$AT,MATCH($O$1,'Data qoq'!$A$1:$AT$1,),))/100+1)^4)-1</f>
        <v>0.1328216058240459</v>
      </c>
      <c r="P32" s="34">
        <f>(((VLOOKUP(B32,'Data qoq'!$A:$AT,MATCH($P$1,'Data qoq'!$A$1:$AT$1,),))/100+1)^4)-1</f>
        <v>2.9338268581667659E-2</v>
      </c>
      <c r="Q32" s="34">
        <f>(((VLOOKUP(B32,'Data qoq'!$A:$AT,MATCH($Q$1,'Data qoq'!$A$1:$AT$1,),))/100+1)^4)-1</f>
        <v>1.8039441360912845E-2</v>
      </c>
      <c r="R32" s="34">
        <f>(((VLOOKUP(B32,'Data qoq'!$A:$AT,MATCH($R$1,'Data qoq'!$A$1:$AT$1,),))/100+1)^4)-1</f>
        <v>4.8443193892433678E-2</v>
      </c>
      <c r="S32" s="34">
        <f>(((VLOOKUP(B32,'Data qoq'!$A:$AT,MATCH($S$1,'Data qoq'!$A$1:$AT$1,),))/100+1)^4)-1</f>
        <v>7.7646124405284622E-2</v>
      </c>
      <c r="T32" s="34">
        <f>(((VLOOKUP(B32,'Data qoq'!$A:$AT,MATCH($T$1,'Data qoq'!$A$1:$AT$1,),))/100+1)^4)-1</f>
        <v>5.6917837018970907E-2</v>
      </c>
      <c r="U32" s="34">
        <f>(((VLOOKUP(B32,'Data qoq'!$A:$AT,MATCH($U$1,'Data qoq'!$A$1:$AT$1,),))/100+1)^4)-1</f>
        <v>9.5465961983169922E-3</v>
      </c>
      <c r="V32" s="34">
        <f>(((VLOOKUP(B32,'Data qoq'!$A:$AT,MATCH($V$1,'Data qoq'!$A$1:$AT$1,),))/100+1)^4)-1</f>
        <v>6.5937404770584518E-2</v>
      </c>
      <c r="W32" s="34">
        <f>(((VLOOKUP(B32,'Data qoq'!$A:$AT,MATCH($W$1,'Data qoq'!$A$1:$AT$1,),))/100+1)^4)-1</f>
        <v>1.6993611478246962E-2</v>
      </c>
      <c r="X32" s="34">
        <f>(((VLOOKUP(B32,'Data qoq'!$A:$AT,MATCH($X$1,'Data qoq'!$A$1:$AT$1,),))/100+1)^4)-1</f>
        <v>5.5478333603617536E-2</v>
      </c>
      <c r="Y32" s="34">
        <f>(((VLOOKUP(B32,'Data qoq'!$A:$AT,MATCH($Y$1,'Data qoq'!$A$1:$AT$1,),))/100+1)^4)-1</f>
        <v>5.9078060718960046E-3</v>
      </c>
      <c r="Z32" s="34">
        <f>(((VLOOKUP(B32,'Data qoq'!$A:$AU,MATCH($Z$1,'Data qoq'!$A$1:$AU$1,),))/100+1)^4)-1</f>
        <v>8.6509897053634655E-2</v>
      </c>
      <c r="AA32" s="34">
        <f>(((VLOOKUP(B32,'Data qoq'!$A:$AU,MATCH($AA$1,'Data qoq'!$A$1:$AU$1,),))/100+1)^4)-1</f>
        <v>6.5438472256275082E-2</v>
      </c>
      <c r="AC32" s="28" t="str">
        <f t="shared" si="7"/>
        <v>2005-Q2</v>
      </c>
      <c r="AD32" s="33">
        <f t="shared" si="6"/>
        <v>-2.5760590283361529E-2</v>
      </c>
      <c r="AE32" s="29"/>
    </row>
    <row r="33" spans="1:31" hidden="1" x14ac:dyDescent="0.2">
      <c r="A33" s="32">
        <v>38596</v>
      </c>
      <c r="B33" s="26" t="s">
        <v>282</v>
      </c>
      <c r="C33" s="34">
        <f>(((VLOOKUP(B33,'Data qoq'!$A:$AT,MATCH($C$1,'Data qoq'!$A$1:$AT$1,),))/100+1)^4)-1</f>
        <v>3.1797143696158159E-2</v>
      </c>
      <c r="D33" s="34">
        <f>(((VLOOKUP(B33,'Data qoq'!$A:$AT,MATCH($D$1,'Data qoq'!$A$1:$AT$1,),))/100+1)^4)-1</f>
        <v>0</v>
      </c>
      <c r="E33" s="34">
        <f>(((VLOOKUP(B33,'Data qoq'!$A:$AT,MATCH($E$1,'Data qoq'!$A$1:$AT$1,),))/100+1)^4)-1</f>
        <v>3.1537176438106496E-2</v>
      </c>
      <c r="F33" s="34">
        <f>(((VLOOKUP(B33,'Data qoq'!$A:$AT,MATCH($F$1,'Data qoq'!$A$1:$AT$1,),))/100+1)^4)-1</f>
        <v>4.1573587730462158E-2</v>
      </c>
      <c r="G33" s="34">
        <f>(((VLOOKUP(B33,'Data qoq'!$A:$AT,MATCH($G$1,'Data qoq'!$A$1:$AT$1,),))/100+1)^4)-1</f>
        <v>3.477130386430427E-2</v>
      </c>
      <c r="H33" s="34">
        <f>(((VLOOKUP(B33,'Data qoq'!$A:$AT,MATCH($H$1,'Data qoq'!$A$1:$AT$1,),))/100+1)^4)-1</f>
        <v>2.0473365267933419E-2</v>
      </c>
      <c r="I33" s="34">
        <f>(((VLOOKUP(B33,'Data qoq'!$A:$AT,MATCH($I$1,'Data qoq'!$A$1:$AT$1,),))/100+1)^4)-1</f>
        <v>4.2860013324649948E-2</v>
      </c>
      <c r="J33" s="34">
        <f>(((VLOOKUP(B33,'Data qoq'!$A:$AT,MATCH($J$1,'Data qoq'!$A$1:$AT$1,),))/100+1)^4)-1</f>
        <v>2.8719860301857247E-2</v>
      </c>
      <c r="K33" s="34">
        <f>(((VLOOKUP(B33,'Data qoq'!$A:$AT,MATCH($K$1,'Data qoq'!$A$1:$AT$1,),))/100+1)^4)-1</f>
        <v>3.9244494330952229E-2</v>
      </c>
      <c r="L33" s="34">
        <f>(((VLOOKUP(B33,'Data qoq'!$A:$AT,MATCH($L$1,'Data qoq'!$A$1:$AT$1,),))/100+1)^4)-1</f>
        <v>4.8443109635425863E-2</v>
      </c>
      <c r="M33" s="34">
        <f>(((VLOOKUP(B33,'Data qoq'!$A:$AT,MATCH($M$1,'Data qoq'!$A$1:$AT$1,),))/100+1)^4)-1</f>
        <v>3.8015409521973353E-2</v>
      </c>
      <c r="N33" s="34">
        <f>(((VLOOKUP(B33,'Data qoq'!$A:$AT,MATCH($N$1,'Data qoq'!$A$1:$AT$1,),))/100+1)^4)-1</f>
        <v>7.2373403203233266E-2</v>
      </c>
      <c r="O33" s="34">
        <f>(((VLOOKUP(B33,'Data qoq'!$A:$AT,MATCH($O$1,'Data qoq'!$A$1:$AT$1,),))/100+1)^4)-1</f>
        <v>5.6829242685350501E-2</v>
      </c>
      <c r="P33" s="34">
        <f>(((VLOOKUP(B33,'Data qoq'!$A:$AT,MATCH($P$1,'Data qoq'!$A$1:$AT$1,),))/100+1)^4)-1</f>
        <v>4.9342582754207998E-2</v>
      </c>
      <c r="Q33" s="34">
        <f>(((VLOOKUP(B33,'Data qoq'!$A:$AT,MATCH($Q$1,'Data qoq'!$A$1:$AT$1,),))/100+1)^4)-1</f>
        <v>4.3612793862737309E-2</v>
      </c>
      <c r="R33" s="34">
        <f>(((VLOOKUP(B33,'Data qoq'!$A:$AT,MATCH($R$1,'Data qoq'!$A$1:$AT$1,),))/100+1)^4)-1</f>
        <v>4.7192655049313581E-2</v>
      </c>
      <c r="S33" s="34">
        <f>(((VLOOKUP(B33,'Data qoq'!$A:$AT,MATCH($S$1,'Data qoq'!$A$1:$AT$1,),))/100+1)^4)-1</f>
        <v>6.1586544215050276E-2</v>
      </c>
      <c r="T33" s="34">
        <f>(((VLOOKUP(B33,'Data qoq'!$A:$AT,MATCH($T$1,'Data qoq'!$A$1:$AT$1,),))/100+1)^4)-1</f>
        <v>-3.1092382302241206E-2</v>
      </c>
      <c r="U33" s="34">
        <f>(((VLOOKUP(B33,'Data qoq'!$A:$AT,MATCH($U$1,'Data qoq'!$A$1:$AT$1,),))/100+1)^4)-1</f>
        <v>5.6805192883349731E-2</v>
      </c>
      <c r="V33" s="34">
        <f>(((VLOOKUP(B33,'Data qoq'!$A:$AT,MATCH($V$1,'Data qoq'!$A$1:$AT$1,),))/100+1)^4)-1</f>
        <v>-4.1406384139949237E-3</v>
      </c>
      <c r="W33" s="34">
        <f>(((VLOOKUP(B33,'Data qoq'!$A:$AT,MATCH($W$1,'Data qoq'!$A$1:$AT$1,),))/100+1)^4)-1</f>
        <v>5.7686347828877826E-2</v>
      </c>
      <c r="X33" s="34">
        <f>(((VLOOKUP(B33,'Data qoq'!$A:$AT,MATCH($X$1,'Data qoq'!$A$1:$AT$1,),))/100+1)^4)-1</f>
        <v>6.860555709558791E-2</v>
      </c>
      <c r="Y33" s="34">
        <f>(((VLOOKUP(B33,'Data qoq'!$A:$AT,MATCH($Y$1,'Data qoq'!$A$1:$AT$1,),))/100+1)^4)-1</f>
        <v>7.9573936280907587E-2</v>
      </c>
      <c r="Z33" s="34">
        <f>(((VLOOKUP(B33,'Data qoq'!$A:$AU,MATCH($Z$1,'Data qoq'!$A$1:$AU$1,),))/100+1)^4)-1</f>
        <v>2.6748819243155531E-2</v>
      </c>
      <c r="AA33" s="34">
        <f>(((VLOOKUP(B33,'Data qoq'!$A:$AU,MATCH($AA$1,'Data qoq'!$A$1:$AU$1,),))/100+1)^4)-1</f>
        <v>2.0703864783855996E-2</v>
      </c>
      <c r="AC33" s="28" t="str">
        <f t="shared" si="7"/>
        <v>2005-Q3</v>
      </c>
      <c r="AD33" s="33">
        <f t="shared" si="6"/>
        <v>-1.1322836886543453E-2</v>
      </c>
      <c r="AE33" s="29"/>
    </row>
    <row r="34" spans="1:31" hidden="1" x14ac:dyDescent="0.2">
      <c r="A34" s="32">
        <v>38687</v>
      </c>
      <c r="B34" s="26" t="s">
        <v>283</v>
      </c>
      <c r="C34" s="34">
        <f>(((VLOOKUP(B34,'Data qoq'!$A:$AT,MATCH($C$1,'Data qoq'!$A$1:$AT$1,),))/100+1)^4)-1</f>
        <v>2.2911388774384589E-2</v>
      </c>
      <c r="D34" s="34">
        <f>(((VLOOKUP(B34,'Data qoq'!$A:$AT,MATCH($D$1,'Data qoq'!$A$1:$AT$1,),))/100+1)^4)-1</f>
        <v>0</v>
      </c>
      <c r="E34" s="34">
        <f>(((VLOOKUP(B34,'Data qoq'!$A:$AT,MATCH($E$1,'Data qoq'!$A$1:$AT$1,),))/100+1)^4)-1</f>
        <v>2.4545713112015255E-2</v>
      </c>
      <c r="F34" s="34">
        <f>(((VLOOKUP(B34,'Data qoq'!$A:$AT,MATCH($F$1,'Data qoq'!$A$1:$AT$1,),))/100+1)^4)-1</f>
        <v>6.6095242623067652E-3</v>
      </c>
      <c r="G34" s="34">
        <f>(((VLOOKUP(B34,'Data qoq'!$A:$AT,MATCH($G$1,'Data qoq'!$A$1:$AT$1,),))/100+1)^4)-1</f>
        <v>1.8990878895981833E-2</v>
      </c>
      <c r="H34" s="34">
        <f>(((VLOOKUP(B34,'Data qoq'!$A:$AT,MATCH($H$1,'Data qoq'!$A$1:$AT$1,),))/100+1)^4)-1</f>
        <v>3.1243411912265318E-2</v>
      </c>
      <c r="I34" s="34">
        <f>(((VLOOKUP(B34,'Data qoq'!$A:$AT,MATCH($I$1,'Data qoq'!$A$1:$AT$1,),))/100+1)^4)-1</f>
        <v>5.5952312088166867E-2</v>
      </c>
      <c r="J34" s="34">
        <f>(((VLOOKUP(B34,'Data qoq'!$A:$AT,MATCH($J$1,'Data qoq'!$A$1:$AT$1,),))/100+1)^4)-1</f>
        <v>3.4080495519315246E-3</v>
      </c>
      <c r="K34" s="34">
        <f>(((VLOOKUP(B34,'Data qoq'!$A:$AT,MATCH($K$1,'Data qoq'!$A$1:$AT$1,),))/100+1)^4)-1</f>
        <v>4.1175599809992081E-2</v>
      </c>
      <c r="L34" s="34">
        <f>(((VLOOKUP(B34,'Data qoq'!$A:$AT,MATCH($L$1,'Data qoq'!$A$1:$AT$1,),))/100+1)^4)-1</f>
        <v>2.7980072969640224E-2</v>
      </c>
      <c r="M34" s="34">
        <f>(((VLOOKUP(B34,'Data qoq'!$A:$AT,MATCH($M$1,'Data qoq'!$A$1:$AT$1,),))/100+1)^4)-1</f>
        <v>6.4495732367150227E-2</v>
      </c>
      <c r="N34" s="34">
        <f>(((VLOOKUP(B34,'Data qoq'!$A:$AT,MATCH($N$1,'Data qoq'!$A$1:$AT$1,),))/100+1)^4)-1</f>
        <v>8.5102098638971224E-2</v>
      </c>
      <c r="O34" s="34">
        <f>(((VLOOKUP(B34,'Data qoq'!$A:$AT,MATCH($O$1,'Data qoq'!$A$1:$AT$1,),))/100+1)^4)-1</f>
        <v>0.10501562244991058</v>
      </c>
      <c r="P34" s="34">
        <f>(((VLOOKUP(B34,'Data qoq'!$A:$AT,MATCH($P$1,'Data qoq'!$A$1:$AT$1,),))/100+1)^4)-1</f>
        <v>4.0139806101762154E-2</v>
      </c>
      <c r="Q34" s="34">
        <f>(((VLOOKUP(B34,'Data qoq'!$A:$AT,MATCH($Q$1,'Data qoq'!$A$1:$AT$1,),))/100+1)^4)-1</f>
        <v>3.3835514433847802E-2</v>
      </c>
      <c r="R34" s="34">
        <f>(((VLOOKUP(B34,'Data qoq'!$A:$AT,MATCH($R$1,'Data qoq'!$A$1:$AT$1,),))/100+1)^4)-1</f>
        <v>3.8605215096948253E-2</v>
      </c>
      <c r="S34" s="34">
        <f>(((VLOOKUP(B34,'Data qoq'!$A:$AT,MATCH($S$1,'Data qoq'!$A$1:$AT$1,),))/100+1)^4)-1</f>
        <v>4.1117799416078959E-2</v>
      </c>
      <c r="T34" s="34">
        <f>(((VLOOKUP(B34,'Data qoq'!$A:$AT,MATCH($T$1,'Data qoq'!$A$1:$AT$1,),))/100+1)^4)-1</f>
        <v>5.2207262764096818E-2</v>
      </c>
      <c r="U34" s="34">
        <f>(((VLOOKUP(B34,'Data qoq'!$A:$AT,MATCH($U$1,'Data qoq'!$A$1:$AT$1,),))/100+1)^4)-1</f>
        <v>2.0191734251196136E-2</v>
      </c>
      <c r="V34" s="34">
        <f>(((VLOOKUP(B34,'Data qoq'!$A:$AT,MATCH($V$1,'Data qoq'!$A$1:$AT$1,),))/100+1)^4)-1</f>
        <v>0.10624383097370527</v>
      </c>
      <c r="W34" s="34">
        <f>(((VLOOKUP(B34,'Data qoq'!$A:$AT,MATCH($W$1,'Data qoq'!$A$1:$AT$1,),))/100+1)^4)-1</f>
        <v>0.13897897254800995</v>
      </c>
      <c r="X34" s="34">
        <f>(((VLOOKUP(B34,'Data qoq'!$A:$AT,MATCH($X$1,'Data qoq'!$A$1:$AT$1,),))/100+1)^4)-1</f>
        <v>7.5127781053135889E-2</v>
      </c>
      <c r="Y34" s="34">
        <f>(((VLOOKUP(B34,'Data qoq'!$A:$AT,MATCH($Y$1,'Data qoq'!$A$1:$AT$1,),))/100+1)^4)-1</f>
        <v>7.5631372988019363E-2</v>
      </c>
      <c r="Z34" s="34">
        <f>(((VLOOKUP(B34,'Data qoq'!$A:$AU,MATCH($Z$1,'Data qoq'!$A$1:$AU$1,),))/100+1)^4)-1</f>
        <v>8.278074239964095E-2</v>
      </c>
      <c r="AA34" s="34">
        <f>(((VLOOKUP(B34,'Data qoq'!$A:$AU,MATCH($AA$1,'Data qoq'!$A$1:$AU$1,),))/100+1)^4)-1</f>
        <v>-1.6414071098761696E-2</v>
      </c>
      <c r="AC34" s="28" t="str">
        <f t="shared" si="7"/>
        <v>2005-Q4</v>
      </c>
      <c r="AD34" s="33">
        <f t="shared" si="6"/>
        <v>-3.1406598976151612E-2</v>
      </c>
      <c r="AE34" s="29"/>
    </row>
    <row r="35" spans="1:31" hidden="1" x14ac:dyDescent="0.2">
      <c r="A35" s="32">
        <v>38777</v>
      </c>
      <c r="B35" s="26" t="s">
        <v>284</v>
      </c>
      <c r="C35" s="34">
        <f>(((VLOOKUP(B35,'Data qoq'!$A:$AT,MATCH($C$1,'Data qoq'!$A$1:$AT$1,),))/100+1)^4)-1</f>
        <v>5.5047830422783273E-2</v>
      </c>
      <c r="D35" s="34">
        <f>(((VLOOKUP(B35,'Data qoq'!$A:$AT,MATCH($D$1,'Data qoq'!$A$1:$AT$1,),))/100+1)^4)-1</f>
        <v>0</v>
      </c>
      <c r="E35" s="34">
        <f>(((VLOOKUP(B35,'Data qoq'!$A:$AT,MATCH($E$1,'Data qoq'!$A$1:$AT$1,),))/100+1)^4)-1</f>
        <v>3.631537035911192E-2</v>
      </c>
      <c r="F35" s="34">
        <f>(((VLOOKUP(B35,'Data qoq'!$A:$AT,MATCH($F$1,'Data qoq'!$A$1:$AT$1,),))/100+1)^4)-1</f>
        <v>5.9495862498502028E-3</v>
      </c>
      <c r="G35" s="34">
        <f>(((VLOOKUP(B35,'Data qoq'!$A:$AT,MATCH($G$1,'Data qoq'!$A$1:$AT$1,),))/100+1)^4)-1</f>
        <v>3.9246409061111764E-2</v>
      </c>
      <c r="H35" s="34">
        <f>(((VLOOKUP(B35,'Data qoq'!$A:$AT,MATCH($H$1,'Data qoq'!$A$1:$AT$1,),))/100+1)^4)-1</f>
        <v>3.1050445994204701E-2</v>
      </c>
      <c r="I35" s="34">
        <f>(((VLOOKUP(B35,'Data qoq'!$A:$AT,MATCH($I$1,'Data qoq'!$A$1:$AT$1,),))/100+1)^4)-1</f>
        <v>1.8730126613550002E-2</v>
      </c>
      <c r="J35" s="34">
        <f>(((VLOOKUP(B35,'Data qoq'!$A:$AT,MATCH($J$1,'Data qoq'!$A$1:$AT$1,),))/100+1)^4)-1</f>
        <v>1.1458458331660148E-2</v>
      </c>
      <c r="K35" s="34">
        <f>(((VLOOKUP(B35,'Data qoq'!$A:$AT,MATCH($K$1,'Data qoq'!$A$1:$AT$1,),))/100+1)^4)-1</f>
        <v>4.6596940854899183E-2</v>
      </c>
      <c r="L35" s="34">
        <f>(((VLOOKUP(B35,'Data qoq'!$A:$AT,MATCH($L$1,'Data qoq'!$A$1:$AT$1,),))/100+1)^4)-1</f>
        <v>6.2889691308468221E-2</v>
      </c>
      <c r="M35" s="34">
        <f>(((VLOOKUP(B35,'Data qoq'!$A:$AT,MATCH($M$1,'Data qoq'!$A$1:$AT$1,),))/100+1)^4)-1</f>
        <v>7.1205939509552563E-2</v>
      </c>
      <c r="N35" s="34">
        <f>(((VLOOKUP(B35,'Data qoq'!$A:$AT,MATCH($N$1,'Data qoq'!$A$1:$AT$1,),))/100+1)^4)-1</f>
        <v>7.9489472285880769E-2</v>
      </c>
      <c r="O35" s="34">
        <f>(((VLOOKUP(B35,'Data qoq'!$A:$AT,MATCH($O$1,'Data qoq'!$A$1:$AT$1,),))/100+1)^4)-1</f>
        <v>0.10405284141428006</v>
      </c>
      <c r="P35" s="34">
        <f>(((VLOOKUP(B35,'Data qoq'!$A:$AT,MATCH($P$1,'Data qoq'!$A$1:$AT$1,),))/100+1)^4)-1</f>
        <v>3.2836582510573864E-2</v>
      </c>
      <c r="Q35" s="34">
        <f>(((VLOOKUP(B35,'Data qoq'!$A:$AT,MATCH($Q$1,'Data qoq'!$A$1:$AT$1,),))/100+1)^4)-1</f>
        <v>8.3715044576329056E-3</v>
      </c>
      <c r="R35" s="34">
        <f>(((VLOOKUP(B35,'Data qoq'!$A:$AT,MATCH($R$1,'Data qoq'!$A$1:$AT$1,),))/100+1)^4)-1</f>
        <v>4.4386778439985397E-2</v>
      </c>
      <c r="S35" s="34">
        <f>(((VLOOKUP(B35,'Data qoq'!$A:$AT,MATCH($S$1,'Data qoq'!$A$1:$AT$1,),))/100+1)^4)-1</f>
        <v>6.7194395995877398E-2</v>
      </c>
      <c r="T35" s="34">
        <f>(((VLOOKUP(B35,'Data qoq'!$A:$AT,MATCH($T$1,'Data qoq'!$A$1:$AT$1,),))/100+1)^4)-1</f>
        <v>6.9235469582123566E-2</v>
      </c>
      <c r="U35" s="34">
        <f>(((VLOOKUP(B35,'Data qoq'!$A:$AT,MATCH($U$1,'Data qoq'!$A$1:$AT$1,),))/100+1)^4)-1</f>
        <v>0.1368379209151287</v>
      </c>
      <c r="V35" s="34">
        <f>(((VLOOKUP(B35,'Data qoq'!$A:$AT,MATCH($V$1,'Data qoq'!$A$1:$AT$1,),))/100+1)^4)-1</f>
        <v>7.3826621543258142E-2</v>
      </c>
      <c r="W35" s="34">
        <f>(((VLOOKUP(B35,'Data qoq'!$A:$AT,MATCH($W$1,'Data qoq'!$A$1:$AT$1,),))/100+1)^4)-1</f>
        <v>4.6598152710893848E-2</v>
      </c>
      <c r="X35" s="34">
        <f>(((VLOOKUP(B35,'Data qoq'!$A:$AT,MATCH($X$1,'Data qoq'!$A$1:$AT$1,),))/100+1)^4)-1</f>
        <v>7.2189579932468106E-2</v>
      </c>
      <c r="Y35" s="34">
        <f>(((VLOOKUP(B35,'Data qoq'!$A:$AT,MATCH($Y$1,'Data qoq'!$A$1:$AT$1,),))/100+1)^4)-1</f>
        <v>6.1501533901987537E-2</v>
      </c>
      <c r="Z35" s="34">
        <f>(((VLOOKUP(B35,'Data qoq'!$A:$AU,MATCH($Z$1,'Data qoq'!$A$1:$AU$1,),))/100+1)^4)-1</f>
        <v>0.10905399748974642</v>
      </c>
      <c r="AA35" s="34">
        <f>(((VLOOKUP(B35,'Data qoq'!$A:$AU,MATCH($AA$1,'Data qoq'!$A$1:$AU$1,),))/100+1)^4)-1</f>
        <v>6.8091783883549972E-2</v>
      </c>
      <c r="AC35" s="28" t="str">
        <f t="shared" si="7"/>
        <v>2006-Q1</v>
      </c>
      <c r="AD35" s="33">
        <f t="shared" si="6"/>
        <v>1.7585243745561918E-2</v>
      </c>
      <c r="AE35" s="29"/>
    </row>
    <row r="36" spans="1:31" hidden="1" x14ac:dyDescent="0.2">
      <c r="A36" s="32">
        <v>38869</v>
      </c>
      <c r="B36" s="26" t="s">
        <v>285</v>
      </c>
      <c r="C36" s="34">
        <f>(((VLOOKUP(B36,'Data qoq'!$A:$AT,MATCH($C$1,'Data qoq'!$A$1:$AT$1,),))/100+1)^4)-1</f>
        <v>9.8595953436981798E-3</v>
      </c>
      <c r="D36" s="34">
        <f>(((VLOOKUP(B36,'Data qoq'!$A:$AT,MATCH($D$1,'Data qoq'!$A$1:$AT$1,),))/100+1)^4)-1</f>
        <v>0</v>
      </c>
      <c r="E36" s="34">
        <f>(((VLOOKUP(B36,'Data qoq'!$A:$AT,MATCH($E$1,'Data qoq'!$A$1:$AT$1,),))/100+1)^4)-1</f>
        <v>4.439805652022133E-2</v>
      </c>
      <c r="F36" s="34">
        <f>(((VLOOKUP(B36,'Data qoq'!$A:$AT,MATCH($F$1,'Data qoq'!$A$1:$AT$1,),))/100+1)^4)-1</f>
        <v>6.805688027319734E-3</v>
      </c>
      <c r="G36" s="34">
        <f>(((VLOOKUP(B36,'Data qoq'!$A:$AT,MATCH($G$1,'Data qoq'!$A$1:$AT$1,),))/100+1)^4)-1</f>
        <v>7.0712009757274874E-2</v>
      </c>
      <c r="H36" s="34">
        <f>(((VLOOKUP(B36,'Data qoq'!$A:$AT,MATCH($H$1,'Data qoq'!$A$1:$AT$1,),))/100+1)^4)-1</f>
        <v>4.0733140624445108E-2</v>
      </c>
      <c r="I36" s="34">
        <f>(((VLOOKUP(B36,'Data qoq'!$A:$AT,MATCH($I$1,'Data qoq'!$A$1:$AT$1,),))/100+1)^4)-1</f>
        <v>1.0853795559213397E-2</v>
      </c>
      <c r="J36" s="34">
        <f>(((VLOOKUP(B36,'Data qoq'!$A:$AT,MATCH($J$1,'Data qoq'!$A$1:$AT$1,),))/100+1)^4)-1</f>
        <v>2.6997565890672481E-2</v>
      </c>
      <c r="K36" s="34">
        <f>(((VLOOKUP(B36,'Data qoq'!$A:$AT,MATCH($K$1,'Data qoq'!$A$1:$AT$1,),))/100+1)^4)-1</f>
        <v>3.9335866543422915E-2</v>
      </c>
      <c r="L36" s="34">
        <f>(((VLOOKUP(B36,'Data qoq'!$A:$AT,MATCH($L$1,'Data qoq'!$A$1:$AT$1,),))/100+1)^4)-1</f>
        <v>6.8576112554410207E-2</v>
      </c>
      <c r="M36" s="34">
        <f>(((VLOOKUP(B36,'Data qoq'!$A:$AT,MATCH($M$1,'Data qoq'!$A$1:$AT$1,),))/100+1)^4)-1</f>
        <v>4.1063417714632955E-2</v>
      </c>
      <c r="N36" s="34">
        <f>(((VLOOKUP(B36,'Data qoq'!$A:$AT,MATCH($N$1,'Data qoq'!$A$1:$AT$1,),))/100+1)^4)-1</f>
        <v>7.9256448581778827E-2</v>
      </c>
      <c r="O36" s="34">
        <f>(((VLOOKUP(B36,'Data qoq'!$A:$AT,MATCH($O$1,'Data qoq'!$A$1:$AT$1,),))/100+1)^4)-1</f>
        <v>5.8705009155136656E-2</v>
      </c>
      <c r="P36" s="34">
        <f>(((VLOOKUP(B36,'Data qoq'!$A:$AT,MATCH($P$1,'Data qoq'!$A$1:$AT$1,),))/100+1)^4)-1</f>
        <v>2.0674563605567187E-3</v>
      </c>
      <c r="Q36" s="34">
        <f>(((VLOOKUP(B36,'Data qoq'!$A:$AT,MATCH($Q$1,'Data qoq'!$A$1:$AT$1,),))/100+1)^4)-1</f>
        <v>6.9444788378083544E-3</v>
      </c>
      <c r="R36" s="34">
        <f>(((VLOOKUP(B36,'Data qoq'!$A:$AT,MATCH($R$1,'Data qoq'!$A$1:$AT$1,),))/100+1)^4)-1</f>
        <v>3.5066409609900706E-2</v>
      </c>
      <c r="S36" s="34">
        <f>(((VLOOKUP(B36,'Data qoq'!$A:$AT,MATCH($S$1,'Data qoq'!$A$1:$AT$1,),))/100+1)^4)-1</f>
        <v>2.9545911484218479E-2</v>
      </c>
      <c r="T36" s="34">
        <f>(((VLOOKUP(B36,'Data qoq'!$A:$AT,MATCH($T$1,'Data qoq'!$A$1:$AT$1,),))/100+1)^4)-1</f>
        <v>1.0234494222078894E-2</v>
      </c>
      <c r="U36" s="34">
        <f>(((VLOOKUP(B36,'Data qoq'!$A:$AT,MATCH($U$1,'Data qoq'!$A$1:$AT$1,),))/100+1)^4)-1</f>
        <v>1.2338704333578976E-2</v>
      </c>
      <c r="V36" s="34">
        <f>(((VLOOKUP(B36,'Data qoq'!$A:$AT,MATCH($V$1,'Data qoq'!$A$1:$AT$1,),))/100+1)^4)-1</f>
        <v>-3.7579039148138982E-4</v>
      </c>
      <c r="W36" s="34">
        <f>(((VLOOKUP(B36,'Data qoq'!$A:$AT,MATCH($W$1,'Data qoq'!$A$1:$AT$1,),))/100+1)^4)-1</f>
        <v>0.1275261189976824</v>
      </c>
      <c r="X36" s="34">
        <f>(((VLOOKUP(B36,'Data qoq'!$A:$AT,MATCH($X$1,'Data qoq'!$A$1:$AT$1,),))/100+1)^4)-1</f>
        <v>8.3944201937545815E-2</v>
      </c>
      <c r="Y36" s="34">
        <f>(((VLOOKUP(B36,'Data qoq'!$A:$AT,MATCH($Y$1,'Data qoq'!$A$1:$AT$1,),))/100+1)^4)-1</f>
        <v>9.5213678622830589E-2</v>
      </c>
      <c r="Z36" s="34">
        <f>(((VLOOKUP(B36,'Data qoq'!$A:$AU,MATCH($Z$1,'Data qoq'!$A$1:$AU$1,),))/100+1)^4)-1</f>
        <v>4.8352448680050841E-2</v>
      </c>
      <c r="AA36" s="34">
        <f>(((VLOOKUP(B36,'Data qoq'!$A:$AU,MATCH($AA$1,'Data qoq'!$A$1:$AU$1,),))/100+1)^4)-1</f>
        <v>1.8249063673012378E-2</v>
      </c>
      <c r="AC36" s="28" t="str">
        <f t="shared" si="7"/>
        <v>2006-Q2</v>
      </c>
      <c r="AD36" s="33">
        <f t="shared" si="6"/>
        <v>3.3544260961007932E-2</v>
      </c>
      <c r="AE36" s="29"/>
    </row>
    <row r="37" spans="1:31" hidden="1" x14ac:dyDescent="0.2">
      <c r="A37" s="32">
        <v>38961</v>
      </c>
      <c r="B37" s="26" t="s">
        <v>286</v>
      </c>
      <c r="C37" s="34">
        <f>(((VLOOKUP(B37,'Data qoq'!$A:$AT,MATCH($C$1,'Data qoq'!$A$1:$AT$1,),))/100+1)^4)-1</f>
        <v>6.0318433873747246E-3</v>
      </c>
      <c r="D37" s="34">
        <f>(((VLOOKUP(B37,'Data qoq'!$A:$AT,MATCH($D$1,'Data qoq'!$A$1:$AT$1,),))/100+1)^4)-1</f>
        <v>0</v>
      </c>
      <c r="E37" s="34">
        <f>(((VLOOKUP(B37,'Data qoq'!$A:$AT,MATCH($E$1,'Data qoq'!$A$1:$AT$1,),))/100+1)^4)-1</f>
        <v>2.4050964459194413E-2</v>
      </c>
      <c r="F37" s="34">
        <f>(((VLOOKUP(B37,'Data qoq'!$A:$AT,MATCH($F$1,'Data qoq'!$A$1:$AT$1,),))/100+1)^4)-1</f>
        <v>-7.5330362547186835E-3</v>
      </c>
      <c r="G37" s="34">
        <f>(((VLOOKUP(B37,'Data qoq'!$A:$AT,MATCH($G$1,'Data qoq'!$A$1:$AT$1,),))/100+1)^4)-1</f>
        <v>3.1108691907771213E-2</v>
      </c>
      <c r="H37" s="34">
        <f>(((VLOOKUP(B37,'Data qoq'!$A:$AT,MATCH($H$1,'Data qoq'!$A$1:$AT$1,),))/100+1)^4)-1</f>
        <v>5.7450625007393619E-4</v>
      </c>
      <c r="I37" s="34">
        <f>(((VLOOKUP(B37,'Data qoq'!$A:$AT,MATCH($I$1,'Data qoq'!$A$1:$AT$1,),))/100+1)^4)-1</f>
        <v>3.7170051224606482E-3</v>
      </c>
      <c r="J37" s="34">
        <f>(((VLOOKUP(B37,'Data qoq'!$A:$AT,MATCH($J$1,'Data qoq'!$A$1:$AT$1,),))/100+1)^4)-1</f>
        <v>1.6524838821997401E-2</v>
      </c>
      <c r="K37" s="34">
        <f>(((VLOOKUP(B37,'Data qoq'!$A:$AT,MATCH($K$1,'Data qoq'!$A$1:$AT$1,),))/100+1)^4)-1</f>
        <v>3.768679438523681E-2</v>
      </c>
      <c r="L37" s="34">
        <f>(((VLOOKUP(B37,'Data qoq'!$A:$AT,MATCH($L$1,'Data qoq'!$A$1:$AT$1,),))/100+1)^4)-1</f>
        <v>4.6948985372153418E-2</v>
      </c>
      <c r="M37" s="34">
        <f>(((VLOOKUP(B37,'Data qoq'!$A:$AT,MATCH($M$1,'Data qoq'!$A$1:$AT$1,),))/100+1)^4)-1</f>
        <v>1.2772676801474647E-2</v>
      </c>
      <c r="N37" s="34">
        <f>(((VLOOKUP(B37,'Data qoq'!$A:$AT,MATCH($N$1,'Data qoq'!$A$1:$AT$1,),))/100+1)^4)-1</f>
        <v>9.5057192782832534E-2</v>
      </c>
      <c r="O37" s="34">
        <f>(((VLOOKUP(B37,'Data qoq'!$A:$AT,MATCH($O$1,'Data qoq'!$A$1:$AT$1,),))/100+1)^4)-1</f>
        <v>0.13881121603583146</v>
      </c>
      <c r="P37" s="34">
        <f>(((VLOOKUP(B37,'Data qoq'!$A:$AT,MATCH($P$1,'Data qoq'!$A$1:$AT$1,),))/100+1)^4)-1</f>
        <v>1.1216693385404986E-2</v>
      </c>
      <c r="Q37" s="34">
        <f>(((VLOOKUP(B37,'Data qoq'!$A:$AT,MATCH($Q$1,'Data qoq'!$A$1:$AT$1,),))/100+1)^4)-1</f>
        <v>6.0624991649436577E-2</v>
      </c>
      <c r="R37" s="34">
        <f>(((VLOOKUP(B37,'Data qoq'!$A:$AT,MATCH($R$1,'Data qoq'!$A$1:$AT$1,),))/100+1)^4)-1</f>
        <v>3.4539210642704266E-2</v>
      </c>
      <c r="S37" s="34">
        <f>(((VLOOKUP(B37,'Data qoq'!$A:$AT,MATCH($S$1,'Data qoq'!$A$1:$AT$1,),))/100+1)^4)-1</f>
        <v>6.613799268876619E-2</v>
      </c>
      <c r="T37" s="34">
        <f>(((VLOOKUP(B37,'Data qoq'!$A:$AT,MATCH($T$1,'Data qoq'!$A$1:$AT$1,),))/100+1)^4)-1</f>
        <v>6.7214266786490784E-2</v>
      </c>
      <c r="U37" s="34">
        <f>(((VLOOKUP(B37,'Data qoq'!$A:$AT,MATCH($U$1,'Data qoq'!$A$1:$AT$1,),))/100+1)^4)-1</f>
        <v>1.9234763142594646E-2</v>
      </c>
      <c r="V37" s="34">
        <f>(((VLOOKUP(B37,'Data qoq'!$A:$AT,MATCH($V$1,'Data qoq'!$A$1:$AT$1,),))/100+1)^4)-1</f>
        <v>8.1541225515694205E-2</v>
      </c>
      <c r="W37" s="34">
        <f>(((VLOOKUP(B37,'Data qoq'!$A:$AT,MATCH($W$1,'Data qoq'!$A$1:$AT$1,),))/100+1)^4)-1</f>
        <v>-2.9800507487606209E-2</v>
      </c>
      <c r="X37" s="34">
        <f>(((VLOOKUP(B37,'Data qoq'!$A:$AT,MATCH($X$1,'Data qoq'!$A$1:$AT$1,),))/100+1)^4)-1</f>
        <v>5.1775363647534212E-2</v>
      </c>
      <c r="Y37" s="34">
        <f>(((VLOOKUP(B37,'Data qoq'!$A:$AT,MATCH($Y$1,'Data qoq'!$A$1:$AT$1,),))/100+1)^4)-1</f>
        <v>6.7695541803017845E-2</v>
      </c>
      <c r="Z37" s="34">
        <f>(((VLOOKUP(B37,'Data qoq'!$A:$AU,MATCH($Z$1,'Data qoq'!$A$1:$AU$1,),))/100+1)^4)-1</f>
        <v>0.11578507090710977</v>
      </c>
      <c r="AA37" s="34">
        <f>(((VLOOKUP(B37,'Data qoq'!$A:$AU,MATCH($AA$1,'Data qoq'!$A$1:$AU$1,),))/100+1)^4)-1</f>
        <v>2.504143170546036E-2</v>
      </c>
      <c r="AC37" s="28" t="str">
        <f t="shared" si="7"/>
        <v>2006-Q3</v>
      </c>
      <c r="AD37" s="33">
        <f t="shared" si="6"/>
        <v>2.0333959336733765E-2</v>
      </c>
      <c r="AE37" s="29"/>
    </row>
    <row r="38" spans="1:31" hidden="1" x14ac:dyDescent="0.2">
      <c r="A38" s="32">
        <v>39052</v>
      </c>
      <c r="B38" s="26" t="s">
        <v>287</v>
      </c>
      <c r="C38" s="34">
        <f>(((VLOOKUP(B38,'Data qoq'!$A:$AT,MATCH($C$1,'Data qoq'!$A$1:$AT$1,),))/100+1)^4)-1</f>
        <v>3.4177984945622075E-2</v>
      </c>
      <c r="D38" s="34">
        <f>(((VLOOKUP(B38,'Data qoq'!$A:$AT,MATCH($D$1,'Data qoq'!$A$1:$AT$1,),))/100+1)^4)-1</f>
        <v>0</v>
      </c>
      <c r="E38" s="34">
        <f>(((VLOOKUP(B38,'Data qoq'!$A:$AT,MATCH($E$1,'Data qoq'!$A$1:$AT$1,),))/100+1)^4)-1</f>
        <v>4.6763752574339401E-2</v>
      </c>
      <c r="F38" s="34">
        <f>(((VLOOKUP(B38,'Data qoq'!$A:$AT,MATCH($F$1,'Data qoq'!$A$1:$AT$1,),))/100+1)^4)-1</f>
        <v>5.4101620687645902E-2</v>
      </c>
      <c r="G38" s="34">
        <f>(((VLOOKUP(B38,'Data qoq'!$A:$AT,MATCH($G$1,'Data qoq'!$A$1:$AT$1,),))/100+1)^4)-1</f>
        <v>6.1983238648990691E-2</v>
      </c>
      <c r="H38" s="34">
        <f>(((VLOOKUP(B38,'Data qoq'!$A:$AT,MATCH($H$1,'Data qoq'!$A$1:$AT$1,),))/100+1)^4)-1</f>
        <v>3.1922343405757836E-2</v>
      </c>
      <c r="I38" s="34">
        <f>(((VLOOKUP(B38,'Data qoq'!$A:$AT,MATCH($I$1,'Data qoq'!$A$1:$AT$1,),))/100+1)^4)-1</f>
        <v>1.8776480340231494E-2</v>
      </c>
      <c r="J38" s="34">
        <f>(((VLOOKUP(B38,'Data qoq'!$A:$AT,MATCH($J$1,'Data qoq'!$A$1:$AT$1,),))/100+1)^4)-1</f>
        <v>4.7389395944564594E-2</v>
      </c>
      <c r="K38" s="34">
        <f>(((VLOOKUP(B38,'Data qoq'!$A:$AT,MATCH($K$1,'Data qoq'!$A$1:$AT$1,),))/100+1)^4)-1</f>
        <v>3.901762923056018E-2</v>
      </c>
      <c r="L38" s="34">
        <f>(((VLOOKUP(B38,'Data qoq'!$A:$AT,MATCH($L$1,'Data qoq'!$A$1:$AT$1,),))/100+1)^4)-1</f>
        <v>2.6325114938999805E-2</v>
      </c>
      <c r="M38" s="34">
        <f>(((VLOOKUP(B38,'Data qoq'!$A:$AT,MATCH($M$1,'Data qoq'!$A$1:$AT$1,),))/100+1)^4)-1</f>
        <v>8.185847037231575E-3</v>
      </c>
      <c r="N38" s="34">
        <f>(((VLOOKUP(B38,'Data qoq'!$A:$AT,MATCH($N$1,'Data qoq'!$A$1:$AT$1,),))/100+1)^4)-1</f>
        <v>7.8161422460657715E-2</v>
      </c>
      <c r="O38" s="34">
        <f>(((VLOOKUP(B38,'Data qoq'!$A:$AT,MATCH($O$1,'Data qoq'!$A$1:$AT$1,),))/100+1)^4)-1</f>
        <v>7.0228839983595304E-2</v>
      </c>
      <c r="P38" s="34">
        <f>(((VLOOKUP(B38,'Data qoq'!$A:$AT,MATCH($P$1,'Data qoq'!$A$1:$AT$1,),))/100+1)^4)-1</f>
        <v>1.6039511585590471E-2</v>
      </c>
      <c r="Q38" s="34">
        <f>(((VLOOKUP(B38,'Data qoq'!$A:$AT,MATCH($Q$1,'Data qoq'!$A$1:$AT$1,),))/100+1)^4)-1</f>
        <v>5.3130790291582741E-2</v>
      </c>
      <c r="R38" s="34">
        <f>(((VLOOKUP(B38,'Data qoq'!$A:$AT,MATCH($R$1,'Data qoq'!$A$1:$AT$1,),))/100+1)^4)-1</f>
        <v>5.3333772472959895E-2</v>
      </c>
      <c r="S38" s="34">
        <f>(((VLOOKUP(B38,'Data qoq'!$A:$AT,MATCH($S$1,'Data qoq'!$A$1:$AT$1,),))/100+1)^4)-1</f>
        <v>3.1540640786499319E-2</v>
      </c>
      <c r="T38" s="34">
        <f>(((VLOOKUP(B38,'Data qoq'!$A:$AT,MATCH($T$1,'Data qoq'!$A$1:$AT$1,),))/100+1)^4)-1</f>
        <v>4.8492281115018354E-2</v>
      </c>
      <c r="U38" s="34">
        <f>(((VLOOKUP(B38,'Data qoq'!$A:$AT,MATCH($U$1,'Data qoq'!$A$1:$AT$1,),))/100+1)^4)-1</f>
        <v>0.10566373897334769</v>
      </c>
      <c r="V38" s="34">
        <f>(((VLOOKUP(B38,'Data qoq'!$A:$AT,MATCH($V$1,'Data qoq'!$A$1:$AT$1,),))/100+1)^4)-1</f>
        <v>-8.026396976553607E-3</v>
      </c>
      <c r="W38" s="34">
        <f>(((VLOOKUP(B38,'Data qoq'!$A:$AT,MATCH($W$1,'Data qoq'!$A$1:$AT$1,),))/100+1)^4)-1</f>
        <v>9.3455946723747685E-2</v>
      </c>
      <c r="X38" s="34">
        <f>(((VLOOKUP(B38,'Data qoq'!$A:$AT,MATCH($X$1,'Data qoq'!$A$1:$AT$1,),))/100+1)^4)-1</f>
        <v>5.2188141218598938E-2</v>
      </c>
      <c r="Y38" s="34">
        <f>(((VLOOKUP(B38,'Data qoq'!$A:$AT,MATCH($Y$1,'Data qoq'!$A$1:$AT$1,),))/100+1)^4)-1</f>
        <v>-5.8611645055148931E-2</v>
      </c>
      <c r="Z38" s="34">
        <f>(((VLOOKUP(B38,'Data qoq'!$A:$AU,MATCH($Z$1,'Data qoq'!$A$1:$AU$1,),))/100+1)^4)-1</f>
        <v>9.0838461100441137E-2</v>
      </c>
      <c r="AA38" s="34">
        <f>(((VLOOKUP(B38,'Data qoq'!$A:$AU,MATCH($AA$1,'Data qoq'!$A$1:$AU$1,),))/100+1)^4)-1</f>
        <v>3.676529116292393E-2</v>
      </c>
      <c r="AC38" s="28" t="str">
        <f t="shared" si="7"/>
        <v>2006-Q4</v>
      </c>
      <c r="AD38" s="33">
        <f t="shared" si="6"/>
        <v>2.7987272234107907E-2</v>
      </c>
      <c r="AE38" s="29"/>
    </row>
    <row r="39" spans="1:31" hidden="1" x14ac:dyDescent="0.2">
      <c r="A39" s="32">
        <v>39142</v>
      </c>
      <c r="B39" s="26" t="s">
        <v>288</v>
      </c>
      <c r="C39" s="34">
        <f>(((VLOOKUP(B39,'Data qoq'!$A:$AT,MATCH($C$1,'Data qoq'!$A$1:$AT$1,),))/100+1)^4)-1</f>
        <v>1.1795775922242457E-2</v>
      </c>
      <c r="D39" s="34">
        <f>(((VLOOKUP(B39,'Data qoq'!$A:$AT,MATCH($D$1,'Data qoq'!$A$1:$AT$1,),))/100+1)^4)-1</f>
        <v>0</v>
      </c>
      <c r="E39" s="34">
        <f>(((VLOOKUP(B39,'Data qoq'!$A:$AT,MATCH($E$1,'Data qoq'!$A$1:$AT$1,),))/100+1)^4)-1</f>
        <v>2.6161531895472212E-2</v>
      </c>
      <c r="F39" s="34">
        <f>(((VLOOKUP(B39,'Data qoq'!$A:$AT,MATCH($F$1,'Data qoq'!$A$1:$AT$1,),))/100+1)^4)-1</f>
        <v>2.6470537047643239E-2</v>
      </c>
      <c r="G39" s="34">
        <f>(((VLOOKUP(B39,'Data qoq'!$A:$AT,MATCH($G$1,'Data qoq'!$A$1:$AT$1,),))/100+1)^4)-1</f>
        <v>3.056690524514627E-3</v>
      </c>
      <c r="H39" s="34">
        <f>(((VLOOKUP(B39,'Data qoq'!$A:$AT,MATCH($H$1,'Data qoq'!$A$1:$AT$1,),))/100+1)^4)-1</f>
        <v>3.0136350129021494E-2</v>
      </c>
      <c r="I39" s="34">
        <f>(((VLOOKUP(B39,'Data qoq'!$A:$AT,MATCH($I$1,'Data qoq'!$A$1:$AT$1,),))/100+1)^4)-1</f>
        <v>3.824875083824697E-2</v>
      </c>
      <c r="J39" s="34">
        <f>(((VLOOKUP(B39,'Data qoq'!$A:$AT,MATCH($J$1,'Data qoq'!$A$1:$AT$1,),))/100+1)^4)-1</f>
        <v>-1.2493330644913758E-4</v>
      </c>
      <c r="K39" s="34">
        <f>(((VLOOKUP(B39,'Data qoq'!$A:$AT,MATCH($K$1,'Data qoq'!$A$1:$AT$1,),))/100+1)^4)-1</f>
        <v>3.7095766771283456E-2</v>
      </c>
      <c r="L39" s="34">
        <f>(((VLOOKUP(B39,'Data qoq'!$A:$AT,MATCH($L$1,'Data qoq'!$A$1:$AT$1,),))/100+1)^4)-1</f>
        <v>3.9874879401328833E-2</v>
      </c>
      <c r="M39" s="34">
        <f>(((VLOOKUP(B39,'Data qoq'!$A:$AT,MATCH($M$1,'Data qoq'!$A$1:$AT$1,),))/100+1)^4)-1</f>
        <v>2.7856893610004541E-2</v>
      </c>
      <c r="N39" s="34">
        <f>(((VLOOKUP(B39,'Data qoq'!$A:$AT,MATCH($N$1,'Data qoq'!$A$1:$AT$1,),))/100+1)^4)-1</f>
        <v>7.4543606124529482E-2</v>
      </c>
      <c r="O39" s="34">
        <f>(((VLOOKUP(B39,'Data qoq'!$A:$AT,MATCH($O$1,'Data qoq'!$A$1:$AT$1,),))/100+1)^4)-1</f>
        <v>0.1165056475515962</v>
      </c>
      <c r="P39" s="34">
        <f>(((VLOOKUP(B39,'Data qoq'!$A:$AT,MATCH($P$1,'Data qoq'!$A$1:$AT$1,),))/100+1)^4)-1</f>
        <v>2.5831587521989441E-2</v>
      </c>
      <c r="Q39" s="34">
        <f>(((VLOOKUP(B39,'Data qoq'!$A:$AT,MATCH($Q$1,'Data qoq'!$A$1:$AT$1,),))/100+1)^4)-1</f>
        <v>6.0462764186588247E-2</v>
      </c>
      <c r="R39" s="34">
        <f>(((VLOOKUP(B39,'Data qoq'!$A:$AT,MATCH($R$1,'Data qoq'!$A$1:$AT$1,),))/100+1)^4)-1</f>
        <v>2.2195928970383916E-2</v>
      </c>
      <c r="S39" s="34">
        <f>(((VLOOKUP(B39,'Data qoq'!$A:$AT,MATCH($S$1,'Data qoq'!$A$1:$AT$1,),))/100+1)^4)-1</f>
        <v>6.8662041058624279E-2</v>
      </c>
      <c r="T39" s="34">
        <f>(((VLOOKUP(B39,'Data qoq'!$A:$AT,MATCH($T$1,'Data qoq'!$A$1:$AT$1,),))/100+1)^4)-1</f>
        <v>8.1183321436448797E-2</v>
      </c>
      <c r="U39" s="34">
        <f>(((VLOOKUP(B39,'Data qoq'!$A:$AT,MATCH($U$1,'Data qoq'!$A$1:$AT$1,),))/100+1)^4)-1</f>
        <v>-3.1043355594225108E-2</v>
      </c>
      <c r="V39" s="34">
        <f>(((VLOOKUP(B39,'Data qoq'!$A:$AT,MATCH($V$1,'Data qoq'!$A$1:$AT$1,),))/100+1)^4)-1</f>
        <v>0.25867156098603394</v>
      </c>
      <c r="W39" s="34">
        <f>(((VLOOKUP(B39,'Data qoq'!$A:$AT,MATCH($W$1,'Data qoq'!$A$1:$AT$1,),))/100+1)^4)-1</f>
        <v>7.4941738531141278E-2</v>
      </c>
      <c r="X39" s="34">
        <f>(((VLOOKUP(B39,'Data qoq'!$A:$AT,MATCH($X$1,'Data qoq'!$A$1:$AT$1,),))/100+1)^4)-1</f>
        <v>6.9055544638014776E-2</v>
      </c>
      <c r="Y39" s="34">
        <f>(((VLOOKUP(B39,'Data qoq'!$A:$AT,MATCH($Y$1,'Data qoq'!$A$1:$AT$1,),))/100+1)^4)-1</f>
        <v>0.19663023371173272</v>
      </c>
      <c r="Z39" s="34">
        <f>(((VLOOKUP(B39,'Data qoq'!$A:$AU,MATCH($Z$1,'Data qoq'!$A$1:$AU$1,),))/100+1)^4)-1</f>
        <v>9.6873964605924234E-2</v>
      </c>
      <c r="AA39" s="34">
        <f>(((VLOOKUP(B39,'Data qoq'!$A:$AU,MATCH($AA$1,'Data qoq'!$A$1:$AU$1,),))/100+1)^4)-1</f>
        <v>4.9049520881390141E-2</v>
      </c>
      <c r="AC39" s="28" t="str">
        <f t="shared" si="7"/>
        <v>2007-Q1</v>
      </c>
      <c r="AD39" s="33">
        <f t="shared" si="6"/>
        <v>-1.2087218942774758E-2</v>
      </c>
      <c r="AE39" s="29"/>
    </row>
    <row r="40" spans="1:31" hidden="1" x14ac:dyDescent="0.2">
      <c r="A40" s="32">
        <v>39234</v>
      </c>
      <c r="B40" s="26" t="s">
        <v>289</v>
      </c>
      <c r="C40" s="34">
        <f>(((VLOOKUP(B40,'Data qoq'!$A:$AT,MATCH($C$1,'Data qoq'!$A$1:$AT$1,),))/100+1)^4)-1</f>
        <v>2.5782982951032762E-2</v>
      </c>
      <c r="D40" s="34">
        <f>(((VLOOKUP(B40,'Data qoq'!$A:$AT,MATCH($D$1,'Data qoq'!$A$1:$AT$1,),))/100+1)^4)-1</f>
        <v>0</v>
      </c>
      <c r="E40" s="34">
        <f>(((VLOOKUP(B40,'Data qoq'!$A:$AT,MATCH($E$1,'Data qoq'!$A$1:$AT$1,),))/100+1)^4)-1</f>
        <v>2.8460483444058271E-2</v>
      </c>
      <c r="F40" s="34">
        <f>(((VLOOKUP(B40,'Data qoq'!$A:$AT,MATCH($F$1,'Data qoq'!$A$1:$AT$1,),))/100+1)^4)-1</f>
        <v>2.3389456655171781E-3</v>
      </c>
      <c r="G40" s="34">
        <f>(((VLOOKUP(B40,'Data qoq'!$A:$AT,MATCH($G$1,'Data qoq'!$A$1:$AT$1,),))/100+1)^4)-1</f>
        <v>3.3945860871504197E-2</v>
      </c>
      <c r="H40" s="34">
        <f>(((VLOOKUP(B40,'Data qoq'!$A:$AT,MATCH($H$1,'Data qoq'!$A$1:$AT$1,),))/100+1)^4)-1</f>
        <v>3.0846010237058241E-2</v>
      </c>
      <c r="I40" s="34">
        <f>(((VLOOKUP(B40,'Data qoq'!$A:$AT,MATCH($I$1,'Data qoq'!$A$1:$AT$1,),))/100+1)^4)-1</f>
        <v>2.2745461586173743E-2</v>
      </c>
      <c r="J40" s="34">
        <f>(((VLOOKUP(B40,'Data qoq'!$A:$AT,MATCH($J$1,'Data qoq'!$A$1:$AT$1,),))/100+1)^4)-1</f>
        <v>4.8413846863073484E-3</v>
      </c>
      <c r="K40" s="34">
        <f>(((VLOOKUP(B40,'Data qoq'!$A:$AT,MATCH($K$1,'Data qoq'!$A$1:$AT$1,),))/100+1)^4)-1</f>
        <v>3.6335070806449377E-2</v>
      </c>
      <c r="L40" s="34">
        <f>(((VLOOKUP(B40,'Data qoq'!$A:$AT,MATCH($L$1,'Data qoq'!$A$1:$AT$1,),))/100+1)^4)-1</f>
        <v>2.1661094698800065E-2</v>
      </c>
      <c r="M40" s="34">
        <f>(((VLOOKUP(B40,'Data qoq'!$A:$AT,MATCH($M$1,'Data qoq'!$A$1:$AT$1,),))/100+1)^4)-1</f>
        <v>3.2227280647312284E-2</v>
      </c>
      <c r="N40" s="34">
        <f>(((VLOOKUP(B40,'Data qoq'!$A:$AT,MATCH($N$1,'Data qoq'!$A$1:$AT$1,),))/100+1)^4)-1</f>
        <v>0.10483836960368875</v>
      </c>
      <c r="O40" s="34">
        <f>(((VLOOKUP(B40,'Data qoq'!$A:$AT,MATCH($O$1,'Data qoq'!$A$1:$AT$1,),))/100+1)^4)-1</f>
        <v>0.10468112044872901</v>
      </c>
      <c r="P40" s="34">
        <f>(((VLOOKUP(B40,'Data qoq'!$A:$AT,MATCH($P$1,'Data qoq'!$A$1:$AT$1,),))/100+1)^4)-1</f>
        <v>3.9323206471698624E-2</v>
      </c>
      <c r="Q40" s="34">
        <f>(((VLOOKUP(B40,'Data qoq'!$A:$AT,MATCH($Q$1,'Data qoq'!$A$1:$AT$1,),))/100+1)^4)-1</f>
        <v>2.3806252241879378E-2</v>
      </c>
      <c r="R40" s="34">
        <f>(((VLOOKUP(B40,'Data qoq'!$A:$AT,MATCH($R$1,'Data qoq'!$A$1:$AT$1,),))/100+1)^4)-1</f>
        <v>5.9325409321242084E-2</v>
      </c>
      <c r="S40" s="34">
        <f>(((VLOOKUP(B40,'Data qoq'!$A:$AT,MATCH($S$1,'Data qoq'!$A$1:$AT$1,),))/100+1)^4)-1</f>
        <v>7.1028789100476386E-2</v>
      </c>
      <c r="T40" s="34">
        <f>(((VLOOKUP(B40,'Data qoq'!$A:$AT,MATCH($T$1,'Data qoq'!$A$1:$AT$1,),))/100+1)^4)-1</f>
        <v>6.4085495360034495E-2</v>
      </c>
      <c r="U40" s="34">
        <f>(((VLOOKUP(B40,'Data qoq'!$A:$AT,MATCH($U$1,'Data qoq'!$A$1:$AT$1,),))/100+1)^4)-1</f>
        <v>0.12165520988855727</v>
      </c>
      <c r="V40" s="34">
        <f>(((VLOOKUP(B40,'Data qoq'!$A:$AT,MATCH($V$1,'Data qoq'!$A$1:$AT$1,),))/100+1)^4)-1</f>
        <v>-6.9435779743244885E-2</v>
      </c>
      <c r="W40" s="34">
        <f>(((VLOOKUP(B40,'Data qoq'!$A:$AT,MATCH($W$1,'Data qoq'!$A$1:$AT$1,),))/100+1)^4)-1</f>
        <v>1.2219798041721575E-3</v>
      </c>
      <c r="X40" s="34">
        <f>(((VLOOKUP(B40,'Data qoq'!$A:$AT,MATCH($X$1,'Data qoq'!$A$1:$AT$1,),))/100+1)^4)-1</f>
        <v>3.4386905895300135E-2</v>
      </c>
      <c r="Y40" s="34">
        <f>(((VLOOKUP(B40,'Data qoq'!$A:$AT,MATCH($Y$1,'Data qoq'!$A$1:$AT$1,),))/100+1)^4)-1</f>
        <v>4.637520022331687E-2</v>
      </c>
      <c r="Z40" s="34">
        <f>(((VLOOKUP(B40,'Data qoq'!$A:$AU,MATCH($Z$1,'Data qoq'!$A$1:$AU$1,),))/100+1)^4)-1</f>
        <v>8.9414968054974953E-2</v>
      </c>
      <c r="AA40" s="34">
        <f>(((VLOOKUP(B40,'Data qoq'!$A:$AU,MATCH($AA$1,'Data qoq'!$A$1:$AU$1,),))/100+1)^4)-1</f>
        <v>3.6741561976401105E-2</v>
      </c>
      <c r="AC40" s="28" t="str">
        <f t="shared" si="7"/>
        <v>2007-Q2</v>
      </c>
      <c r="AD40" s="33">
        <f t="shared" si="6"/>
        <v>5.715021857884528E-3</v>
      </c>
      <c r="AE40" s="29"/>
    </row>
    <row r="41" spans="1:31" hidden="1" x14ac:dyDescent="0.2">
      <c r="A41" s="32">
        <v>39326</v>
      </c>
      <c r="B41" s="26" t="s">
        <v>290</v>
      </c>
      <c r="C41" s="34">
        <f>(((VLOOKUP(B41,'Data qoq'!$A:$AT,MATCH($C$1,'Data qoq'!$A$1:$AT$1,),))/100+1)^4)-1</f>
        <v>2.4310805584600859E-2</v>
      </c>
      <c r="D41" s="34">
        <f>(((VLOOKUP(B41,'Data qoq'!$A:$AT,MATCH($D$1,'Data qoq'!$A$1:$AT$1,),))/100+1)^4)-1</f>
        <v>0</v>
      </c>
      <c r="E41" s="34">
        <f>(((VLOOKUP(B41,'Data qoq'!$A:$AT,MATCH($E$1,'Data qoq'!$A$1:$AT$1,),))/100+1)^4)-1</f>
        <v>1.7896791979428395E-2</v>
      </c>
      <c r="F41" s="34">
        <f>(((VLOOKUP(B41,'Data qoq'!$A:$AT,MATCH($F$1,'Data qoq'!$A$1:$AT$1,),))/100+1)^4)-1</f>
        <v>-2.0995700970794284E-2</v>
      </c>
      <c r="G41" s="34">
        <f>(((VLOOKUP(B41,'Data qoq'!$A:$AT,MATCH($G$1,'Data qoq'!$A$1:$AT$1,),))/100+1)^4)-1</f>
        <v>2.0008060155331631E-2</v>
      </c>
      <c r="H41" s="34">
        <f>(((VLOOKUP(B41,'Data qoq'!$A:$AT,MATCH($H$1,'Data qoq'!$A$1:$AT$1,),))/100+1)^4)-1</f>
        <v>1.4518734676736589E-2</v>
      </c>
      <c r="I41" s="34">
        <f>(((VLOOKUP(B41,'Data qoq'!$A:$AT,MATCH($I$1,'Data qoq'!$A$1:$AT$1,),))/100+1)^4)-1</f>
        <v>3.0951298883507228E-2</v>
      </c>
      <c r="J41" s="34">
        <f>(((VLOOKUP(B41,'Data qoq'!$A:$AT,MATCH($J$1,'Data qoq'!$A$1:$AT$1,),))/100+1)^4)-1</f>
        <v>7.4350867002543897E-3</v>
      </c>
      <c r="K41" s="34">
        <f>(((VLOOKUP(B41,'Data qoq'!$A:$AT,MATCH($K$1,'Data qoq'!$A$1:$AT$1,),))/100+1)^4)-1</f>
        <v>3.1025308731111423E-2</v>
      </c>
      <c r="L41" s="34">
        <f>(((VLOOKUP(B41,'Data qoq'!$A:$AT,MATCH($L$1,'Data qoq'!$A$1:$AT$1,),))/100+1)^4)-1</f>
        <v>3.0718321395245995E-2</v>
      </c>
      <c r="M41" s="34">
        <f>(((VLOOKUP(B41,'Data qoq'!$A:$AT,MATCH($M$1,'Data qoq'!$A$1:$AT$1,),))/100+1)^4)-1</f>
        <v>2.5340068346367151E-2</v>
      </c>
      <c r="N41" s="34">
        <f>(((VLOOKUP(B41,'Data qoq'!$A:$AT,MATCH($N$1,'Data qoq'!$A$1:$AT$1,),))/100+1)^4)-1</f>
        <v>9.1165048213865285E-2</v>
      </c>
      <c r="O41" s="34">
        <f>(((VLOOKUP(B41,'Data qoq'!$A:$AT,MATCH($O$1,'Data qoq'!$A$1:$AT$1,),))/100+1)^4)-1</f>
        <v>7.3734512816333586E-2</v>
      </c>
      <c r="P41" s="34">
        <f>(((VLOOKUP(B41,'Data qoq'!$A:$AT,MATCH($P$1,'Data qoq'!$A$1:$AT$1,),))/100+1)^4)-1</f>
        <v>1.6900246073498826E-2</v>
      </c>
      <c r="Q41" s="34">
        <f>(((VLOOKUP(B41,'Data qoq'!$A:$AT,MATCH($Q$1,'Data qoq'!$A$1:$AT$1,),))/100+1)^4)-1</f>
        <v>4.5228907051109157E-2</v>
      </c>
      <c r="R41" s="34">
        <f>(((VLOOKUP(B41,'Data qoq'!$A:$AT,MATCH($R$1,'Data qoq'!$A$1:$AT$1,),))/100+1)^4)-1</f>
        <v>3.8339022551062252E-2</v>
      </c>
      <c r="S41" s="34">
        <f>(((VLOOKUP(B41,'Data qoq'!$A:$AT,MATCH($S$1,'Data qoq'!$A$1:$AT$1,),))/100+1)^4)-1</f>
        <v>4.7786474870416873E-2</v>
      </c>
      <c r="T41" s="34">
        <f>(((VLOOKUP(B41,'Data qoq'!$A:$AT,MATCH($T$1,'Data qoq'!$A$1:$AT$1,),))/100+1)^4)-1</f>
        <v>4.2314688761284192E-2</v>
      </c>
      <c r="U41" s="34">
        <f>(((VLOOKUP(B41,'Data qoq'!$A:$AT,MATCH($U$1,'Data qoq'!$A$1:$AT$1,),))/100+1)^4)-1</f>
        <v>-2.4692542329537104E-2</v>
      </c>
      <c r="V41" s="34">
        <f>(((VLOOKUP(B41,'Data qoq'!$A:$AT,MATCH($V$1,'Data qoq'!$A$1:$AT$1,),))/100+1)^4)-1</f>
        <v>-7.5627989444808308E-2</v>
      </c>
      <c r="W41" s="34">
        <f>(((VLOOKUP(B41,'Data qoq'!$A:$AT,MATCH($W$1,'Data qoq'!$A$1:$AT$1,),))/100+1)^4)-1</f>
        <v>2.3662906865193234E-2</v>
      </c>
      <c r="X41" s="34">
        <f>(((VLOOKUP(B41,'Data qoq'!$A:$AT,MATCH($X$1,'Data qoq'!$A$1:$AT$1,),))/100+1)^4)-1</f>
        <v>5.9770041656603823E-2</v>
      </c>
      <c r="Y41" s="34">
        <f>(((VLOOKUP(B41,'Data qoq'!$A:$AT,MATCH($Y$1,'Data qoq'!$A$1:$AT$1,),))/100+1)^4)-1</f>
        <v>6.9634183339434941E-2</v>
      </c>
      <c r="Z41" s="34">
        <f>(((VLOOKUP(B41,'Data qoq'!$A:$AU,MATCH($Z$1,'Data qoq'!$A$1:$AU$1,),))/100+1)^4)-1</f>
        <v>5.370902691017676E-2</v>
      </c>
      <c r="AA41" s="34">
        <f>(((VLOOKUP(B41,'Data qoq'!$A:$AU,MATCH($AA$1,'Data qoq'!$A$1:$AU$1,),))/100+1)^4)-1</f>
        <v>3.0821017849127719E-2</v>
      </c>
      <c r="AC41" s="28" t="str">
        <f t="shared" si="7"/>
        <v>2007-Q3</v>
      </c>
      <c r="AD41" s="33">
        <f t="shared" si="6"/>
        <v>-1.3054506904078833E-2</v>
      </c>
      <c r="AE41" s="29"/>
    </row>
    <row r="42" spans="1:31" hidden="1" x14ac:dyDescent="0.2">
      <c r="A42" s="32">
        <v>39417</v>
      </c>
      <c r="B42" s="26" t="s">
        <v>291</v>
      </c>
      <c r="C42" s="34">
        <f>(((VLOOKUP(B42,'Data qoq'!$A:$AT,MATCH($C$1,'Data qoq'!$A$1:$AT$1,),))/100+1)^4)-1</f>
        <v>2.4609667322921247E-2</v>
      </c>
      <c r="D42" s="34">
        <f>(((VLOOKUP(B42,'Data qoq'!$A:$AT,MATCH($D$1,'Data qoq'!$A$1:$AT$1,),))/100+1)^4)-1</f>
        <v>0</v>
      </c>
      <c r="E42" s="34">
        <f>(((VLOOKUP(B42,'Data qoq'!$A:$AT,MATCH($E$1,'Data qoq'!$A$1:$AT$1,),))/100+1)^4)-1</f>
        <v>2.1240965734700801E-2</v>
      </c>
      <c r="F42" s="34">
        <f>(((VLOOKUP(B42,'Data qoq'!$A:$AT,MATCH($F$1,'Data qoq'!$A$1:$AT$1,),))/100+1)^4)-1</f>
        <v>1.6169302429805965E-2</v>
      </c>
      <c r="G42" s="34">
        <f>(((VLOOKUP(B42,'Data qoq'!$A:$AT,MATCH($G$1,'Data qoq'!$A$1:$AT$1,),))/100+1)^4)-1</f>
        <v>2.6902540058866276E-2</v>
      </c>
      <c r="H42" s="34">
        <f>(((VLOOKUP(B42,'Data qoq'!$A:$AT,MATCH($H$1,'Data qoq'!$A$1:$AT$1,),))/100+1)^4)-1</f>
        <v>9.0559078154253125E-3</v>
      </c>
      <c r="I42" s="34">
        <f>(((VLOOKUP(B42,'Data qoq'!$A:$AT,MATCH($I$1,'Data qoq'!$A$1:$AT$1,),))/100+1)^4)-1</f>
        <v>2.0580480739020413E-2</v>
      </c>
      <c r="J42" s="34">
        <f>(((VLOOKUP(B42,'Data qoq'!$A:$AT,MATCH($J$1,'Data qoq'!$A$1:$AT$1,),))/100+1)^4)-1</f>
        <v>-1.2657196916985969E-2</v>
      </c>
      <c r="K42" s="34">
        <f>(((VLOOKUP(B42,'Data qoq'!$A:$AT,MATCH($K$1,'Data qoq'!$A$1:$AT$1,),))/100+1)^4)-1</f>
        <v>2.5962838856655068E-2</v>
      </c>
      <c r="L42" s="34">
        <f>(((VLOOKUP(B42,'Data qoq'!$A:$AT,MATCH($L$1,'Data qoq'!$A$1:$AT$1,),))/100+1)^4)-1</f>
        <v>4.4921400368118203E-2</v>
      </c>
      <c r="M42" s="34">
        <f>(((VLOOKUP(B42,'Data qoq'!$A:$AT,MATCH($M$1,'Data qoq'!$A$1:$AT$1,),))/100+1)^4)-1</f>
        <v>1.5737152451252623E-2</v>
      </c>
      <c r="N42" s="34">
        <f>(((VLOOKUP(B42,'Data qoq'!$A:$AT,MATCH($N$1,'Data qoq'!$A$1:$AT$1,),))/100+1)^4)-1</f>
        <v>0.13400498083444301</v>
      </c>
      <c r="O42" s="34">
        <f>(((VLOOKUP(B42,'Data qoq'!$A:$AT,MATCH($O$1,'Data qoq'!$A$1:$AT$1,),))/100+1)^4)-1</f>
        <v>0.14207252203054588</v>
      </c>
      <c r="P42" s="34">
        <f>(((VLOOKUP(B42,'Data qoq'!$A:$AT,MATCH($P$1,'Data qoq'!$A$1:$AT$1,),))/100+1)^4)-1</f>
        <v>4.5524330082051812E-3</v>
      </c>
      <c r="Q42" s="34">
        <f>(((VLOOKUP(B42,'Data qoq'!$A:$AT,MATCH($Q$1,'Data qoq'!$A$1:$AT$1,),))/100+1)^4)-1</f>
        <v>1.9980993236073274E-2</v>
      </c>
      <c r="R42" s="34">
        <f>(((VLOOKUP(B42,'Data qoq'!$A:$AT,MATCH($R$1,'Data qoq'!$A$1:$AT$1,),))/100+1)^4)-1</f>
        <v>4.3365207360426261E-2</v>
      </c>
      <c r="S42" s="34">
        <f>(((VLOOKUP(B42,'Data qoq'!$A:$AT,MATCH($S$1,'Data qoq'!$A$1:$AT$1,),))/100+1)^4)-1</f>
        <v>8.9109755075500008E-2</v>
      </c>
      <c r="T42" s="34">
        <f>(((VLOOKUP(B42,'Data qoq'!$A:$AT,MATCH($T$1,'Data qoq'!$A$1:$AT$1,),))/100+1)^4)-1</f>
        <v>6.2780984228549386E-2</v>
      </c>
      <c r="U42" s="34">
        <f>(((VLOOKUP(B42,'Data qoq'!$A:$AT,MATCH($U$1,'Data qoq'!$A$1:$AT$1,),))/100+1)^4)-1</f>
        <v>-1.968802174359896E-2</v>
      </c>
      <c r="V42" s="34">
        <f>(((VLOOKUP(B42,'Data qoq'!$A:$AT,MATCH($V$1,'Data qoq'!$A$1:$AT$1,),))/100+1)^4)-1</f>
        <v>0.15860535200139925</v>
      </c>
      <c r="W42" s="34">
        <f>(((VLOOKUP(B42,'Data qoq'!$A:$AT,MATCH($W$1,'Data qoq'!$A$1:$AT$1,),))/100+1)^4)-1</f>
        <v>0.14453677760350536</v>
      </c>
      <c r="X42" s="34">
        <f>(((VLOOKUP(B42,'Data qoq'!$A:$AT,MATCH($X$1,'Data qoq'!$A$1:$AT$1,),))/100+1)^4)-1</f>
        <v>4.8307754221247112E-2</v>
      </c>
      <c r="Y42" s="34">
        <f>(((VLOOKUP(B42,'Data qoq'!$A:$AT,MATCH($Y$1,'Data qoq'!$A$1:$AT$1,),))/100+1)^4)-1</f>
        <v>5.4833231729290999E-2</v>
      </c>
      <c r="Z42" s="34">
        <f>(((VLOOKUP(B42,'Data qoq'!$A:$AU,MATCH($Z$1,'Data qoq'!$A$1:$AU$1,),))/100+1)^4)-1</f>
        <v>0.12915590367635232</v>
      </c>
      <c r="AA42" s="34">
        <f>(((VLOOKUP(B42,'Data qoq'!$A:$AU,MATCH($AA$1,'Data qoq'!$A$1:$AU$1,),))/100+1)^4)-1</f>
        <v>6.6554507596798818E-3</v>
      </c>
      <c r="AC42" s="28" t="str">
        <f t="shared" si="7"/>
        <v>2007-Q4</v>
      </c>
      <c r="AD42" s="33">
        <f t="shared" si="6"/>
        <v>6.6048499568038821E-4</v>
      </c>
      <c r="AE42" s="29"/>
    </row>
    <row r="43" spans="1:31" hidden="1" x14ac:dyDescent="0.2">
      <c r="A43" s="32">
        <v>39508</v>
      </c>
      <c r="B43" s="26" t="s">
        <v>292</v>
      </c>
      <c r="C43" s="34">
        <f>(((VLOOKUP(B43,'Data qoq'!$A:$AT,MATCH($C$1,'Data qoq'!$A$1:$AT$1,),))/100+1)^4)-1</f>
        <v>-1.6197849949850074E-2</v>
      </c>
      <c r="D43" s="34">
        <f>(((VLOOKUP(B43,'Data qoq'!$A:$AT,MATCH($D$1,'Data qoq'!$A$1:$AT$1,),))/100+1)^4)-1</f>
        <v>0</v>
      </c>
      <c r="E43" s="34">
        <f>(((VLOOKUP(B43,'Data qoq'!$A:$AT,MATCH($E$1,'Data qoq'!$A$1:$AT$1,),))/100+1)^4)-1</f>
        <v>1.8414166778790708E-2</v>
      </c>
      <c r="F43" s="34">
        <f>(((VLOOKUP(B43,'Data qoq'!$A:$AT,MATCH($F$1,'Data qoq'!$A$1:$AT$1,),))/100+1)^4)-1</f>
        <v>1.4387654273493755E-2</v>
      </c>
      <c r="G43" s="34">
        <f>(((VLOOKUP(B43,'Data qoq'!$A:$AT,MATCH($G$1,'Data qoq'!$A$1:$AT$1,),))/100+1)^4)-1</f>
        <v>2.5417811898791109E-2</v>
      </c>
      <c r="H43" s="34">
        <f>(((VLOOKUP(B43,'Data qoq'!$A:$AT,MATCH($H$1,'Data qoq'!$A$1:$AT$1,),))/100+1)^4)-1</f>
        <v>1.6180895224376046E-2</v>
      </c>
      <c r="I43" s="34">
        <f>(((VLOOKUP(B43,'Data qoq'!$A:$AT,MATCH($I$1,'Data qoq'!$A$1:$AT$1,),))/100+1)^4)-1</f>
        <v>2.1639741490094178E-2</v>
      </c>
      <c r="J43" s="34">
        <f>(((VLOOKUP(B43,'Data qoq'!$A:$AT,MATCH($J$1,'Data qoq'!$A$1:$AT$1,),))/100+1)^4)-1</f>
        <v>4.3075539141444574E-2</v>
      </c>
      <c r="K43" s="34">
        <f>(((VLOOKUP(B43,'Data qoq'!$A:$AT,MATCH($K$1,'Data qoq'!$A$1:$AT$1,),))/100+1)^4)-1</f>
        <v>8.6586241724806445E-3</v>
      </c>
      <c r="L43" s="34">
        <f>(((VLOOKUP(B43,'Data qoq'!$A:$AT,MATCH($L$1,'Data qoq'!$A$1:$AT$1,),))/100+1)^4)-1</f>
        <v>-2.921967988048435E-2</v>
      </c>
      <c r="M43" s="34">
        <f>(((VLOOKUP(B43,'Data qoq'!$A:$AT,MATCH($M$1,'Data qoq'!$A$1:$AT$1,),))/100+1)^4)-1</f>
        <v>-7.2921725506919222E-3</v>
      </c>
      <c r="N43" s="34">
        <f>(((VLOOKUP(B43,'Data qoq'!$A:$AT,MATCH($N$1,'Data qoq'!$A$1:$AT$1,),))/100+1)^4)-1</f>
        <v>0.11042566694008449</v>
      </c>
      <c r="O43" s="34">
        <f>(((VLOOKUP(B43,'Data qoq'!$A:$AT,MATCH($O$1,'Data qoq'!$A$1:$AT$1,),))/100+1)^4)-1</f>
        <v>2.4457159973186648E-2</v>
      </c>
      <c r="P43" s="34">
        <f>(((VLOOKUP(B43,'Data qoq'!$A:$AT,MATCH($P$1,'Data qoq'!$A$1:$AT$1,),))/100+1)^4)-1</f>
        <v>3.0691487469296508E-3</v>
      </c>
      <c r="Q43" s="34">
        <f>(((VLOOKUP(B43,'Data qoq'!$A:$AT,MATCH($Q$1,'Data qoq'!$A$1:$AT$1,),))/100+1)^4)-1</f>
        <v>4.6124458033091065E-2</v>
      </c>
      <c r="R43" s="34">
        <f>(((VLOOKUP(B43,'Data qoq'!$A:$AT,MATCH($R$1,'Data qoq'!$A$1:$AT$1,),))/100+1)^4)-1</f>
        <v>3.4823054761399019E-2</v>
      </c>
      <c r="S43" s="34">
        <f>(((VLOOKUP(B43,'Data qoq'!$A:$AT,MATCH($S$1,'Data qoq'!$A$1:$AT$1,),))/100+1)^4)-1</f>
        <v>1.6193208180944829E-2</v>
      </c>
      <c r="T43" s="34">
        <f>(((VLOOKUP(B43,'Data qoq'!$A:$AT,MATCH($T$1,'Data qoq'!$A$1:$AT$1,),))/100+1)^4)-1</f>
        <v>4.6172755308348856E-2</v>
      </c>
      <c r="U43" s="34">
        <f>(((VLOOKUP(B43,'Data qoq'!$A:$AT,MATCH($U$1,'Data qoq'!$A$1:$AT$1,),))/100+1)^4)-1</f>
        <v>2.4689251694475001E-2</v>
      </c>
      <c r="V43" s="34">
        <f>(((VLOOKUP(B43,'Data qoq'!$A:$AT,MATCH($V$1,'Data qoq'!$A$1:$AT$1,),))/100+1)^4)-1</f>
        <v>-9.9921159691971573E-2</v>
      </c>
      <c r="W43" s="34">
        <f>(((VLOOKUP(B43,'Data qoq'!$A:$AT,MATCH($W$1,'Data qoq'!$A$1:$AT$1,),))/100+1)^4)-1</f>
        <v>8.6959655243317613E-2</v>
      </c>
      <c r="X43" s="34">
        <f>(((VLOOKUP(B43,'Data qoq'!$A:$AT,MATCH($X$1,'Data qoq'!$A$1:$AT$1,),))/100+1)^4)-1</f>
        <v>2.1401692443874243E-2</v>
      </c>
      <c r="Y43" s="34">
        <f>(((VLOOKUP(B43,'Data qoq'!$A:$AT,MATCH($Y$1,'Data qoq'!$A$1:$AT$1,),))/100+1)^4)-1</f>
        <v>7.8941678021135386E-2</v>
      </c>
      <c r="Z43" s="34">
        <f>(((VLOOKUP(B43,'Data qoq'!$A:$AU,MATCH($Z$1,'Data qoq'!$A$1:$AU$1,),))/100+1)^4)-1</f>
        <v>3.7351036084333211E-2</v>
      </c>
      <c r="AA43" s="34">
        <f>(((VLOOKUP(B43,'Data qoq'!$A:$AU,MATCH($AA$1,'Data qoq'!$A$1:$AU$1,),))/100+1)^4)-1</f>
        <v>-1.2226332531314998E-2</v>
      </c>
      <c r="AC43" s="28" t="str">
        <f t="shared" si="7"/>
        <v>2008-Q1</v>
      </c>
      <c r="AD43" s="33">
        <f t="shared" ref="AD43:AD74" si="8">(VLOOKUP(AC43,B:Y,MATCH($AE$6,$B$1:$Y$1,),))-(VLOOKUP(AC43,B:Y,MATCH($AE$7,$B$1:$Y$1,),))</f>
        <v>-3.2255747113034694E-3</v>
      </c>
      <c r="AE43" s="29"/>
    </row>
    <row r="44" spans="1:31" hidden="1" x14ac:dyDescent="0.2">
      <c r="A44" s="32">
        <v>39600</v>
      </c>
      <c r="B44" s="26" t="s">
        <v>293</v>
      </c>
      <c r="C44" s="34">
        <f>(((VLOOKUP(B44,'Data qoq'!$A:$AT,MATCH($C$1,'Data qoq'!$A$1:$AT$1,),))/100+1)^4)-1</f>
        <v>2.3089077807028735E-2</v>
      </c>
      <c r="D44" s="34">
        <f>(((VLOOKUP(B44,'Data qoq'!$A:$AT,MATCH($D$1,'Data qoq'!$A$1:$AT$1,),))/100+1)^4)-1</f>
        <v>0</v>
      </c>
      <c r="E44" s="34">
        <f>(((VLOOKUP(B44,'Data qoq'!$A:$AT,MATCH($E$1,'Data qoq'!$A$1:$AT$1,),))/100+1)^4)-1</f>
        <v>-1.2771572855262092E-2</v>
      </c>
      <c r="F44" s="34">
        <f>(((VLOOKUP(B44,'Data qoq'!$A:$AT,MATCH($F$1,'Data qoq'!$A$1:$AT$1,),))/100+1)^4)-1</f>
        <v>-2.2253372710492214E-2</v>
      </c>
      <c r="G44" s="34">
        <f>(((VLOOKUP(B44,'Data qoq'!$A:$AT,MATCH($G$1,'Data qoq'!$A$1:$AT$1,),))/100+1)^4)-1</f>
        <v>-9.2971010668124743E-3</v>
      </c>
      <c r="H44" s="34">
        <f>(((VLOOKUP(B44,'Data qoq'!$A:$AT,MATCH($H$1,'Data qoq'!$A$1:$AT$1,),))/100+1)^4)-1</f>
        <v>-1.7096241951866764E-2</v>
      </c>
      <c r="I44" s="34">
        <f>(((VLOOKUP(B44,'Data qoq'!$A:$AT,MATCH($I$1,'Data qoq'!$A$1:$AT$1,),))/100+1)^4)-1</f>
        <v>-2.2196753775356903E-2</v>
      </c>
      <c r="J44" s="34">
        <f>(((VLOOKUP(B44,'Data qoq'!$A:$AT,MATCH($J$1,'Data qoq'!$A$1:$AT$1,),))/100+1)^4)-1</f>
        <v>-3.6262953232214845E-2</v>
      </c>
      <c r="K44" s="34">
        <f>(((VLOOKUP(B44,'Data qoq'!$A:$AT,MATCH($K$1,'Data qoq'!$A$1:$AT$1,),))/100+1)^4)-1</f>
        <v>4.3772580540031303E-3</v>
      </c>
      <c r="L44" s="34">
        <f>(((VLOOKUP(B44,'Data qoq'!$A:$AT,MATCH($L$1,'Data qoq'!$A$1:$AT$1,),))/100+1)^4)-1</f>
        <v>-3.4216017970924995E-3</v>
      </c>
      <c r="M44" s="34">
        <f>(((VLOOKUP(B44,'Data qoq'!$A:$AT,MATCH($M$1,'Data qoq'!$A$1:$AT$1,),))/100+1)^4)-1</f>
        <v>3.0294187576178633E-2</v>
      </c>
      <c r="N44" s="34">
        <f>(((VLOOKUP(B44,'Data qoq'!$A:$AT,MATCH($N$1,'Data qoq'!$A$1:$AT$1,),))/100+1)^4)-1</f>
        <v>2.5096891697347523E-2</v>
      </c>
      <c r="O44" s="34">
        <f>(((VLOOKUP(B44,'Data qoq'!$A:$AT,MATCH($O$1,'Data qoq'!$A$1:$AT$1,),))/100+1)^4)-1</f>
        <v>4.2412747834883469E-2</v>
      </c>
      <c r="P44" s="34">
        <f>(((VLOOKUP(B44,'Data qoq'!$A:$AT,MATCH($P$1,'Data qoq'!$A$1:$AT$1,),))/100+1)^4)-1</f>
        <v>1.4545549223980103E-2</v>
      </c>
      <c r="Q44" s="34">
        <f>(((VLOOKUP(B44,'Data qoq'!$A:$AT,MATCH($Q$1,'Data qoq'!$A$1:$AT$1,),))/100+1)^4)-1</f>
        <v>9.5227303854403811E-3</v>
      </c>
      <c r="R44" s="34">
        <f>(((VLOOKUP(B44,'Data qoq'!$A:$AT,MATCH($R$1,'Data qoq'!$A$1:$AT$1,),))/100+1)^4)-1</f>
        <v>3.5425859935865889E-2</v>
      </c>
      <c r="S44" s="34">
        <f>(((VLOOKUP(B44,'Data qoq'!$A:$AT,MATCH($S$1,'Data qoq'!$A$1:$AT$1,),))/100+1)^4)-1</f>
        <v>2.1103909038446167E-2</v>
      </c>
      <c r="T44" s="34">
        <f>(((VLOOKUP(B44,'Data qoq'!$A:$AT,MATCH($T$1,'Data qoq'!$A$1:$AT$1,),))/100+1)^4)-1</f>
        <v>9.6778892332332722E-2</v>
      </c>
      <c r="U44" s="34">
        <f>(((VLOOKUP(B44,'Data qoq'!$A:$AT,MATCH($U$1,'Data qoq'!$A$1:$AT$1,),))/100+1)^4)-1</f>
        <v>-2.5344947265725559E-2</v>
      </c>
      <c r="V44" s="34">
        <f>(((VLOOKUP(B44,'Data qoq'!$A:$AT,MATCH($V$1,'Data qoq'!$A$1:$AT$1,),))/100+1)^4)-1</f>
        <v>-0.1056740084630059</v>
      </c>
      <c r="W44" s="34">
        <f>(((VLOOKUP(B44,'Data qoq'!$A:$AT,MATCH($W$1,'Data qoq'!$A$1:$AT$1,),))/100+1)^4)-1</f>
        <v>-0.13456556967107314</v>
      </c>
      <c r="X44" s="34">
        <f>(((VLOOKUP(B44,'Data qoq'!$A:$AT,MATCH($X$1,'Data qoq'!$A$1:$AT$1,),))/100+1)^4)-1</f>
        <v>2.7543661777435835E-2</v>
      </c>
      <c r="Y44" s="34">
        <f>(((VLOOKUP(B44,'Data qoq'!$A:$AT,MATCH($Y$1,'Data qoq'!$A$1:$AT$1,),))/100+1)^4)-1</f>
        <v>9.7585882539807933E-3</v>
      </c>
      <c r="Z44" s="34">
        <f>(((VLOOKUP(B44,'Data qoq'!$A:$AU,MATCH($Z$1,'Data qoq'!$A$1:$AU$1,),))/100+1)^4)-1</f>
        <v>2.3961696404960042E-2</v>
      </c>
      <c r="AA44" s="34">
        <f>(((VLOOKUP(B44,'Data qoq'!$A:$AU,MATCH($AA$1,'Data qoq'!$A$1:$AU$1,),))/100+1)^4)-1</f>
        <v>-1.2256893980586825E-2</v>
      </c>
      <c r="AC44" s="28" t="str">
        <f t="shared" si="7"/>
        <v>2008-Q2</v>
      </c>
      <c r="AD44" s="33">
        <f t="shared" si="8"/>
        <v>9.4251809200948111E-3</v>
      </c>
      <c r="AE44" s="29"/>
    </row>
    <row r="45" spans="1:31" hidden="1" x14ac:dyDescent="0.2">
      <c r="A45" s="32">
        <v>39692</v>
      </c>
      <c r="B45" s="26" t="s">
        <v>294</v>
      </c>
      <c r="C45" s="34">
        <f>(((VLOOKUP(B45,'Data qoq'!$A:$AT,MATCH($C$1,'Data qoq'!$A$1:$AT$1,),))/100+1)^4)-1</f>
        <v>-2.0909730727059928E-2</v>
      </c>
      <c r="D45" s="34">
        <f>(((VLOOKUP(B45,'Data qoq'!$A:$AT,MATCH($D$1,'Data qoq'!$A$1:$AT$1,),))/100+1)^4)-1</f>
        <v>0</v>
      </c>
      <c r="E45" s="34">
        <f>(((VLOOKUP(B45,'Data qoq'!$A:$AT,MATCH($E$1,'Data qoq'!$A$1:$AT$1,),))/100+1)^4)-1</f>
        <v>-2.0502219958057677E-2</v>
      </c>
      <c r="F45" s="34">
        <f>(((VLOOKUP(B45,'Data qoq'!$A:$AT,MATCH($F$1,'Data qoq'!$A$1:$AT$1,),))/100+1)^4)-1</f>
        <v>-4.8398709896651293E-2</v>
      </c>
      <c r="G45" s="34">
        <f>(((VLOOKUP(B45,'Data qoq'!$A:$AT,MATCH($G$1,'Data qoq'!$A$1:$AT$1,),))/100+1)^4)-1</f>
        <v>-2.5678918960155728E-2</v>
      </c>
      <c r="H45" s="34">
        <f>(((VLOOKUP(B45,'Data qoq'!$A:$AT,MATCH($H$1,'Data qoq'!$A$1:$AT$1,),))/100+1)^4)-1</f>
        <v>-1.0920203828501562E-2</v>
      </c>
      <c r="I45" s="34">
        <f>(((VLOOKUP(B45,'Data qoq'!$A:$AT,MATCH($I$1,'Data qoq'!$A$1:$AT$1,),))/100+1)^4)-1</f>
        <v>-6.1049107793277879E-2</v>
      </c>
      <c r="J45" s="34">
        <f>(((VLOOKUP(B45,'Data qoq'!$A:$AT,MATCH($J$1,'Data qoq'!$A$1:$AT$1,),))/100+1)^4)-1</f>
        <v>-4.6517562132151524E-2</v>
      </c>
      <c r="K45" s="34">
        <f>(((VLOOKUP(B45,'Data qoq'!$A:$AT,MATCH($K$1,'Data qoq'!$A$1:$AT$1,),))/100+1)^4)-1</f>
        <v>-7.3452726429104054E-3</v>
      </c>
      <c r="L45" s="34">
        <f>(((VLOOKUP(B45,'Data qoq'!$A:$AT,MATCH($L$1,'Data qoq'!$A$1:$AT$1,),))/100+1)^4)-1</f>
        <v>-1.9369266775152827E-2</v>
      </c>
      <c r="M45" s="34">
        <f>(((VLOOKUP(B45,'Data qoq'!$A:$AT,MATCH($M$1,'Data qoq'!$A$1:$AT$1,),))/100+1)^4)-1</f>
        <v>1.1913532471190091E-2</v>
      </c>
      <c r="N45" s="34">
        <f>(((VLOOKUP(B45,'Data qoq'!$A:$AT,MATCH($N$1,'Data qoq'!$A$1:$AT$1,),))/100+1)^4)-1</f>
        <v>-5.8306688399604067E-2</v>
      </c>
      <c r="O45" s="34">
        <f>(((VLOOKUP(B45,'Data qoq'!$A:$AT,MATCH($O$1,'Data qoq'!$A$1:$AT$1,),))/100+1)^4)-1</f>
        <v>3.5266632522333863E-2</v>
      </c>
      <c r="P45" s="34">
        <f>(((VLOOKUP(B45,'Data qoq'!$A:$AT,MATCH($P$1,'Data qoq'!$A$1:$AT$1,),))/100+1)^4)-1</f>
        <v>3.3207454138301618E-2</v>
      </c>
      <c r="Q45" s="34">
        <f>(((VLOOKUP(B45,'Data qoq'!$A:$AT,MATCH($Q$1,'Data qoq'!$A$1:$AT$1,),))/100+1)^4)-1</f>
        <v>3.0310311894670816E-2</v>
      </c>
      <c r="R45" s="34">
        <f>(((VLOOKUP(B45,'Data qoq'!$A:$AT,MATCH($R$1,'Data qoq'!$A$1:$AT$1,),))/100+1)^4)-1</f>
        <v>1.5930290580553841E-2</v>
      </c>
      <c r="S45" s="34">
        <f>(((VLOOKUP(B45,'Data qoq'!$A:$AT,MATCH($S$1,'Data qoq'!$A$1:$AT$1,),))/100+1)^4)-1</f>
        <v>3.3036815680477671E-2</v>
      </c>
      <c r="T45" s="34">
        <f>(((VLOOKUP(B45,'Data qoq'!$A:$AT,MATCH($T$1,'Data qoq'!$A$1:$AT$1,),))/100+1)^4)-1</f>
        <v>5.8992322359794569E-2</v>
      </c>
      <c r="U45" s="34">
        <f>(((VLOOKUP(B45,'Data qoq'!$A:$AT,MATCH($U$1,'Data qoq'!$A$1:$AT$1,),))/100+1)^4)-1</f>
        <v>-3.8936275669441134E-3</v>
      </c>
      <c r="V45" s="34">
        <f>(((VLOOKUP(B45,'Data qoq'!$A:$AT,MATCH($V$1,'Data qoq'!$A$1:$AT$1,),))/100+1)^4)-1</f>
        <v>-1.6131072893860399E-2</v>
      </c>
      <c r="W45" s="34">
        <f>(((VLOOKUP(B45,'Data qoq'!$A:$AT,MATCH($W$1,'Data qoq'!$A$1:$AT$1,),))/100+1)^4)-1</f>
        <v>-7.0718070162514635E-2</v>
      </c>
      <c r="X45" s="34">
        <f>(((VLOOKUP(B45,'Data qoq'!$A:$AT,MATCH($X$1,'Data qoq'!$A$1:$AT$1,),))/100+1)^4)-1</f>
        <v>6.5424815386541102E-3</v>
      </c>
      <c r="Y45" s="34">
        <f>(((VLOOKUP(B45,'Data qoq'!$A:$AT,MATCH($Y$1,'Data qoq'!$A$1:$AT$1,),))/100+1)^4)-1</f>
        <v>-1.3393205207206327E-2</v>
      </c>
      <c r="Z45" s="34">
        <f>(((VLOOKUP(B45,'Data qoq'!$A:$AU,MATCH($Z$1,'Data qoq'!$A$1:$AU$1,),))/100+1)^4)-1</f>
        <v>2.9990318207471001E-2</v>
      </c>
      <c r="AA45" s="34">
        <f>(((VLOOKUP(B45,'Data qoq'!$A:$AU,MATCH($AA$1,'Data qoq'!$A$1:$AU$1,),))/100+1)^4)-1</f>
        <v>-1.4367924679785316E-2</v>
      </c>
      <c r="AC45" s="28" t="str">
        <f t="shared" si="7"/>
        <v>2008-Q3</v>
      </c>
      <c r="AD45" s="33">
        <f t="shared" si="8"/>
        <v>4.0546887835220202E-2</v>
      </c>
      <c r="AE45" s="29"/>
    </row>
    <row r="46" spans="1:31" hidden="1" x14ac:dyDescent="0.2">
      <c r="A46" s="32">
        <v>39783</v>
      </c>
      <c r="B46" s="26" t="s">
        <v>295</v>
      </c>
      <c r="C46" s="34">
        <f>(((VLOOKUP(B46,'Data qoq'!$A:$AT,MATCH($C$1,'Data qoq'!$A$1:$AT$1,),))/100+1)^4)-1</f>
        <v>-8.4505728691842252E-2</v>
      </c>
      <c r="D46" s="34">
        <f>(((VLOOKUP(B46,'Data qoq'!$A:$AT,MATCH($D$1,'Data qoq'!$A$1:$AT$1,),))/100+1)^4)-1</f>
        <v>0</v>
      </c>
      <c r="E46" s="34">
        <f>(((VLOOKUP(B46,'Data qoq'!$A:$AT,MATCH($E$1,'Data qoq'!$A$1:$AT$1,),))/100+1)^4)-1</f>
        <v>-6.879450973856871E-2</v>
      </c>
      <c r="F46" s="34">
        <f>(((VLOOKUP(B46,'Data qoq'!$A:$AT,MATCH($F$1,'Data qoq'!$A$1:$AT$1,),))/100+1)^4)-1</f>
        <v>-9.6318658063580531E-2</v>
      </c>
      <c r="G46" s="34">
        <f>(((VLOOKUP(B46,'Data qoq'!$A:$AT,MATCH($G$1,'Data qoq'!$A$1:$AT$1,),))/100+1)^4)-1</f>
        <v>-6.2242344783301706E-2</v>
      </c>
      <c r="H46" s="34">
        <f>(((VLOOKUP(B46,'Data qoq'!$A:$AT,MATCH($H$1,'Data qoq'!$A$1:$AT$1,),))/100+1)^4)-1</f>
        <v>-5.7130104929935532E-2</v>
      </c>
      <c r="I46" s="34">
        <f>(((VLOOKUP(B46,'Data qoq'!$A:$AT,MATCH($I$1,'Data qoq'!$A$1:$AT$1,),))/100+1)^4)-1</f>
        <v>-7.9907954479861987E-2</v>
      </c>
      <c r="J46" s="34">
        <f>(((VLOOKUP(B46,'Data qoq'!$A:$AT,MATCH($J$1,'Data qoq'!$A$1:$AT$1,),))/100+1)^4)-1</f>
        <v>-9.6289743642889336E-2</v>
      </c>
      <c r="K46" s="34">
        <f>(((VLOOKUP(B46,'Data qoq'!$A:$AT,MATCH($K$1,'Data qoq'!$A$1:$AT$1,),))/100+1)^4)-1</f>
        <v>-6.3014422586829655E-2</v>
      </c>
      <c r="L46" s="34">
        <f>(((VLOOKUP(B46,'Data qoq'!$A:$AT,MATCH($L$1,'Data qoq'!$A$1:$AT$1,),))/100+1)^4)-1</f>
        <v>-0.135036258106905</v>
      </c>
      <c r="M46" s="34">
        <f>(((VLOOKUP(B46,'Data qoq'!$A:$AT,MATCH($M$1,'Data qoq'!$A$1:$AT$1,),))/100+1)^4)-1</f>
        <v>-6.2633500860422409E-2</v>
      </c>
      <c r="N46" s="34">
        <f>(((VLOOKUP(B46,'Data qoq'!$A:$AT,MATCH($N$1,'Data qoq'!$A$1:$AT$1,),))/100+1)^4)-1</f>
        <v>-0.12387880593057188</v>
      </c>
      <c r="O46" s="34">
        <f>(((VLOOKUP(B46,'Data qoq'!$A:$AT,MATCH($O$1,'Data qoq'!$A$1:$AT$1,),))/100+1)^4)-1</f>
        <v>4.911821410872097E-3</v>
      </c>
      <c r="P46" s="34">
        <f>(((VLOOKUP(B46,'Data qoq'!$A:$AT,MATCH($P$1,'Data qoq'!$A$1:$AT$1,),))/100+1)^4)-1</f>
        <v>-4.5580267420023968E-2</v>
      </c>
      <c r="Q46" s="34">
        <f>(((VLOOKUP(B46,'Data qoq'!$A:$AT,MATCH($Q$1,'Data qoq'!$A$1:$AT$1,),))/100+1)^4)-1</f>
        <v>-1.7832849579363041E-2</v>
      </c>
      <c r="R46" s="34">
        <f>(((VLOOKUP(B46,'Data qoq'!$A:$AT,MATCH($R$1,'Data qoq'!$A$1:$AT$1,),))/100+1)^4)-1</f>
        <v>-0.10782198166625279</v>
      </c>
      <c r="S46" s="34">
        <f>(((VLOOKUP(B46,'Data qoq'!$A:$AT,MATCH($S$1,'Data qoq'!$A$1:$AT$1,),))/100+1)^4)-1</f>
        <v>-0.1250257063241409</v>
      </c>
      <c r="T46" s="34">
        <f>(((VLOOKUP(B46,'Data qoq'!$A:$AT,MATCH($T$1,'Data qoq'!$A$1:$AT$1,),))/100+1)^4)-1</f>
        <v>-0.14270209706024295</v>
      </c>
      <c r="U46" s="34">
        <f>(((VLOOKUP(B46,'Data qoq'!$A:$AT,MATCH($U$1,'Data qoq'!$A$1:$AT$1,),))/100+1)^4)-1</f>
        <v>-5.4720484055890917E-2</v>
      </c>
      <c r="V46" s="34">
        <f>(((VLOOKUP(B46,'Data qoq'!$A:$AT,MATCH($V$1,'Data qoq'!$A$1:$AT$1,),))/100+1)^4)-1</f>
        <v>-0.16223129943058623</v>
      </c>
      <c r="W46" s="34">
        <f>(((VLOOKUP(B46,'Data qoq'!$A:$AT,MATCH($W$1,'Data qoq'!$A$1:$AT$1,),))/100+1)^4)-1</f>
        <v>-9.779534031853121E-2</v>
      </c>
      <c r="X46" s="34">
        <f>(((VLOOKUP(B46,'Data qoq'!$A:$AT,MATCH($X$1,'Data qoq'!$A$1:$AT$1,),))/100+1)^4)-1</f>
        <v>-7.064586172820686E-2</v>
      </c>
      <c r="Y46" s="34">
        <f>(((VLOOKUP(B46,'Data qoq'!$A:$AT,MATCH($Y$1,'Data qoq'!$A$1:$AT$1,),))/100+1)^4)-1</f>
        <v>1.6294506686165944E-2</v>
      </c>
      <c r="Z46" s="34">
        <f>(((VLOOKUP(B46,'Data qoq'!$A:$AU,MATCH($Z$1,'Data qoq'!$A$1:$AU$1,),))/100+1)^4)-1</f>
        <v>-0.17591664990902933</v>
      </c>
      <c r="AA46" s="34">
        <f>(((VLOOKUP(B46,'Data qoq'!$A:$AU,MATCH($AA$1,'Data qoq'!$A$1:$AU$1,),))/100+1)^4)-1</f>
        <v>-2.6078967631245287E-2</v>
      </c>
      <c r="AC46" s="28" t="str">
        <f t="shared" si="7"/>
        <v>2008-Q4</v>
      </c>
      <c r="AD46" s="33">
        <f t="shared" si="8"/>
        <v>1.1113444741293277E-2</v>
      </c>
      <c r="AE46" s="29"/>
    </row>
    <row r="47" spans="1:31" hidden="1" x14ac:dyDescent="0.2">
      <c r="A47" s="32">
        <v>39873</v>
      </c>
      <c r="B47" s="26" t="s">
        <v>296</v>
      </c>
      <c r="C47" s="34">
        <f>(((VLOOKUP(B47,'Data qoq'!$A:$AT,MATCH($C$1,'Data qoq'!$A$1:$AT$1,),))/100+1)^4)-1</f>
        <v>-4.5819873805539646E-2</v>
      </c>
      <c r="D47" s="34">
        <f>(((VLOOKUP(B47,'Data qoq'!$A:$AT,MATCH($D$1,'Data qoq'!$A$1:$AT$1,),))/100+1)^4)-1</f>
        <v>0</v>
      </c>
      <c r="E47" s="34">
        <f>(((VLOOKUP(B47,'Data qoq'!$A:$AT,MATCH($E$1,'Data qoq'!$A$1:$AT$1,),))/100+1)^4)-1</f>
        <v>-0.11905280057353518</v>
      </c>
      <c r="F47" s="34">
        <f>(((VLOOKUP(B47,'Data qoq'!$A:$AT,MATCH($F$1,'Data qoq'!$A$1:$AT$1,),))/100+1)^4)-1</f>
        <v>-0.17906441119822103</v>
      </c>
      <c r="G47" s="34">
        <f>(((VLOOKUP(B47,'Data qoq'!$A:$AT,MATCH($G$1,'Data qoq'!$A$1:$AT$1,),))/100+1)^4)-1</f>
        <v>-0.17454092433504287</v>
      </c>
      <c r="H47" s="34">
        <f>(((VLOOKUP(B47,'Data qoq'!$A:$AT,MATCH($H$1,'Data qoq'!$A$1:$AT$1,),))/100+1)^4)-1</f>
        <v>-6.3910749695715086E-2</v>
      </c>
      <c r="I47" s="34">
        <f>(((VLOOKUP(B47,'Data qoq'!$A:$AT,MATCH($I$1,'Data qoq'!$A$1:$AT$1,),))/100+1)^4)-1</f>
        <v>-6.5860813193644896E-2</v>
      </c>
      <c r="J47" s="34">
        <f>(((VLOOKUP(B47,'Data qoq'!$A:$AT,MATCH($J$1,'Data qoq'!$A$1:$AT$1,),))/100+1)^4)-1</f>
        <v>-0.10648714542428017</v>
      </c>
      <c r="K47" s="34">
        <f>(((VLOOKUP(B47,'Data qoq'!$A:$AT,MATCH($K$1,'Data qoq'!$A$1:$AT$1,),))/100+1)^4)-1</f>
        <v>-0.10021842046064044</v>
      </c>
      <c r="L47" s="34">
        <f>(((VLOOKUP(B47,'Data qoq'!$A:$AT,MATCH($L$1,'Data qoq'!$A$1:$AT$1,),))/100+1)^4)-1</f>
        <v>-5.6699660235564497E-2</v>
      </c>
      <c r="M47" s="34">
        <f>(((VLOOKUP(B47,'Data qoq'!$A:$AT,MATCH($M$1,'Data qoq'!$A$1:$AT$1,),))/100+1)^4)-1</f>
        <v>-0.18963592355344783</v>
      </c>
      <c r="N47" s="34">
        <f>(((VLOOKUP(B47,'Data qoq'!$A:$AT,MATCH($N$1,'Data qoq'!$A$1:$AT$1,),))/100+1)^4)-1</f>
        <v>-0.13378945966431943</v>
      </c>
      <c r="O47" s="34">
        <f>(((VLOOKUP(B47,'Data qoq'!$A:$AT,MATCH($O$1,'Data qoq'!$A$1:$AT$1,),))/100+1)^4)-1</f>
        <v>-7.1825712400065966E-2</v>
      </c>
      <c r="P47" s="34">
        <f>(((VLOOKUP(B47,'Data qoq'!$A:$AT,MATCH($P$1,'Data qoq'!$A$1:$AT$1,),))/100+1)^4)-1</f>
        <v>-8.7369631074155518E-2</v>
      </c>
      <c r="Q47" s="34">
        <f>(((VLOOKUP(B47,'Data qoq'!$A:$AT,MATCH($Q$1,'Data qoq'!$A$1:$AT$1,),))/100+1)^4)-1</f>
        <v>4.110262653327923E-2</v>
      </c>
      <c r="R47" s="34">
        <f>(((VLOOKUP(B47,'Data qoq'!$A:$AT,MATCH($R$1,'Data qoq'!$A$1:$AT$1,),))/100+1)^4)-1</f>
        <v>-6.1021966597802013E-2</v>
      </c>
      <c r="S47" s="34">
        <f>(((VLOOKUP(B47,'Data qoq'!$A:$AT,MATCH($S$1,'Data qoq'!$A$1:$AT$1,),))/100+1)^4)-1</f>
        <v>3.6043303614470279E-3</v>
      </c>
      <c r="T47" s="34">
        <f>(((VLOOKUP(B47,'Data qoq'!$A:$AT,MATCH($T$1,'Data qoq'!$A$1:$AT$1,),))/100+1)^4)-1</f>
        <v>-5.3522512297375147E-2</v>
      </c>
      <c r="U47" s="34">
        <f>(((VLOOKUP(B47,'Data qoq'!$A:$AT,MATCH($U$1,'Data qoq'!$A$1:$AT$1,),))/100+1)^4)-1</f>
        <v>-0.17680937793396401</v>
      </c>
      <c r="V47" s="34">
        <f>(((VLOOKUP(B47,'Data qoq'!$A:$AT,MATCH($V$1,'Data qoq'!$A$1:$AT$1,),))/100+1)^4)-1</f>
        <v>2.0149029091689252E-2</v>
      </c>
      <c r="W47" s="34">
        <f>(((VLOOKUP(B47,'Data qoq'!$A:$AT,MATCH($W$1,'Data qoq'!$A$1:$AT$1,),))/100+1)^4)-1</f>
        <v>-0.20802865238462842</v>
      </c>
      <c r="X47" s="34">
        <f>(((VLOOKUP(B47,'Data qoq'!$A:$AT,MATCH($X$1,'Data qoq'!$A$1:$AT$1,),))/100+1)^4)-1</f>
        <v>-0.12855877720668962</v>
      </c>
      <c r="Y47" s="34">
        <f>(((VLOOKUP(B47,'Data qoq'!$A:$AT,MATCH($Y$1,'Data qoq'!$A$1:$AT$1,),))/100+1)^4)-1</f>
        <v>6.4656244804022656E-2</v>
      </c>
      <c r="Z47" s="34">
        <f>(((VLOOKUP(B47,'Data qoq'!$A:$AU,MATCH($Z$1,'Data qoq'!$A$1:$AU$1,),))/100+1)^4)-1</f>
        <v>-0.13827185670998821</v>
      </c>
      <c r="AA47" s="34">
        <f>(((VLOOKUP(B47,'Data qoq'!$A:$AU,MATCH($AA$1,'Data qoq'!$A$1:$AU$1,),))/100+1)^4)-1</f>
        <v>-3.9391190100941054E-2</v>
      </c>
      <c r="AC47" s="28" t="str">
        <f t="shared" si="7"/>
        <v>2009-Q1</v>
      </c>
      <c r="AD47" s="33">
        <f t="shared" si="8"/>
        <v>-5.3191987379890282E-2</v>
      </c>
      <c r="AE47" s="29"/>
    </row>
    <row r="48" spans="1:31" hidden="1" x14ac:dyDescent="0.2">
      <c r="A48" s="32">
        <v>39965</v>
      </c>
      <c r="B48" s="26" t="s">
        <v>297</v>
      </c>
      <c r="C48" s="34">
        <f>(((VLOOKUP(B48,'Data qoq'!$A:$AT,MATCH($C$1,'Data qoq'!$A$1:$AT$1,),))/100+1)^4)-1</f>
        <v>-6.7523600121504046E-3</v>
      </c>
      <c r="D48" s="34">
        <f>(((VLOOKUP(B48,'Data qoq'!$A:$AT,MATCH($D$1,'Data qoq'!$A$1:$AT$1,),))/100+1)^4)-1</f>
        <v>0</v>
      </c>
      <c r="E48" s="34">
        <f>(((VLOOKUP(B48,'Data qoq'!$A:$AT,MATCH($E$1,'Data qoq'!$A$1:$AT$1,),))/100+1)^4)-1</f>
        <v>-1.4659534278681496E-3</v>
      </c>
      <c r="F48" s="34">
        <f>(((VLOOKUP(B48,'Data qoq'!$A:$AT,MATCH($F$1,'Data qoq'!$A$1:$AT$1,),))/100+1)^4)-1</f>
        <v>8.1708475571753869E-2</v>
      </c>
      <c r="G48" s="34">
        <f>(((VLOOKUP(B48,'Data qoq'!$A:$AT,MATCH($G$1,'Data qoq'!$A$1:$AT$1,),))/100+1)^4)-1</f>
        <v>6.4014243064696164E-3</v>
      </c>
      <c r="H48" s="34">
        <f>(((VLOOKUP(B48,'Data qoq'!$A:$AT,MATCH($H$1,'Data qoq'!$A$1:$AT$1,),))/100+1)^4)-1</f>
        <v>-4.075703369117889E-3</v>
      </c>
      <c r="I48" s="34">
        <f>(((VLOOKUP(B48,'Data qoq'!$A:$AT,MATCH($I$1,'Data qoq'!$A$1:$AT$1,),))/100+1)^4)-1</f>
        <v>-7.5739554198558379E-3</v>
      </c>
      <c r="J48" s="34">
        <f>(((VLOOKUP(B48,'Data qoq'!$A:$AT,MATCH($J$1,'Data qoq'!$A$1:$AT$1,),))/100+1)^4)-1</f>
        <v>-1.2247667761507208E-2</v>
      </c>
      <c r="K48" s="34">
        <f>(((VLOOKUP(B48,'Data qoq'!$A:$AT,MATCH($K$1,'Data qoq'!$A$1:$AT$1,),))/100+1)^4)-1</f>
        <v>-4.3106090241051831E-4</v>
      </c>
      <c r="L48" s="34">
        <f>(((VLOOKUP(B48,'Data qoq'!$A:$AT,MATCH($L$1,'Data qoq'!$A$1:$AT$1,),))/100+1)^4)-1</f>
        <v>1.866205561259715E-3</v>
      </c>
      <c r="M48" s="34">
        <f>(((VLOOKUP(B48,'Data qoq'!$A:$AT,MATCH($M$1,'Data qoq'!$A$1:$AT$1,),))/100+1)^4)-1</f>
        <v>-5.7645897919611833E-2</v>
      </c>
      <c r="N48" s="34">
        <f>(((VLOOKUP(B48,'Data qoq'!$A:$AT,MATCH($N$1,'Data qoq'!$A$1:$AT$1,),))/100+1)^4)-1</f>
        <v>-5.7089840503882106E-2</v>
      </c>
      <c r="O48" s="34">
        <f>(((VLOOKUP(B48,'Data qoq'!$A:$AT,MATCH($O$1,'Data qoq'!$A$1:$AT$1,),))/100+1)^4)-1</f>
        <v>0.25314915312613606</v>
      </c>
      <c r="P48" s="34">
        <f>(((VLOOKUP(B48,'Data qoq'!$A:$AT,MATCH($P$1,'Data qoq'!$A$1:$AT$1,),))/100+1)^4)-1</f>
        <v>-4.2941020545650299E-2</v>
      </c>
      <c r="Q48" s="34">
        <f>(((VLOOKUP(B48,'Data qoq'!$A:$AT,MATCH($Q$1,'Data qoq'!$A$1:$AT$1,),))/100+1)^4)-1</f>
        <v>2.2968872870353207E-2</v>
      </c>
      <c r="R48" s="34">
        <f>(((VLOOKUP(B48,'Data qoq'!$A:$AT,MATCH($R$1,'Data qoq'!$A$1:$AT$1,),))/100+1)^4)-1</f>
        <v>2.4295714474315444E-2</v>
      </c>
      <c r="S48" s="34">
        <f>(((VLOOKUP(B48,'Data qoq'!$A:$AT,MATCH($S$1,'Data qoq'!$A$1:$AT$1,),))/100+1)^4)-1</f>
        <v>5.4386384443282143E-2</v>
      </c>
      <c r="T48" s="34">
        <f>(((VLOOKUP(B48,'Data qoq'!$A:$AT,MATCH($T$1,'Data qoq'!$A$1:$AT$1,),))/100+1)^4)-1</f>
        <v>7.3173107589139086E-2</v>
      </c>
      <c r="U48" s="34">
        <f>(((VLOOKUP(B48,'Data qoq'!$A:$AT,MATCH($U$1,'Data qoq'!$A$1:$AT$1,),))/100+1)^4)-1</f>
        <v>0.11578642852092891</v>
      </c>
      <c r="V48" s="34">
        <f>(((VLOOKUP(B48,'Data qoq'!$A:$AT,MATCH($V$1,'Data qoq'!$A$1:$AT$1,),))/100+1)^4)-1</f>
        <v>-2.9174862179197736E-2</v>
      </c>
      <c r="W48" s="34">
        <f>(((VLOOKUP(B48,'Data qoq'!$A:$AT,MATCH($W$1,'Data qoq'!$A$1:$AT$1,),))/100+1)^4)-1</f>
        <v>0.17017346987867699</v>
      </c>
      <c r="X48" s="34">
        <f>(((VLOOKUP(B48,'Data qoq'!$A:$AT,MATCH($X$1,'Data qoq'!$A$1:$AT$1,),))/100+1)^4)-1</f>
        <v>-1.5425858306419404E-2</v>
      </c>
      <c r="Y48" s="34">
        <f>(((VLOOKUP(B48,'Data qoq'!$A:$AT,MATCH($Y$1,'Data qoq'!$A$1:$AT$1,),))/100+1)^4)-1</f>
        <v>1.8483286600239346E-3</v>
      </c>
      <c r="Z48" s="34">
        <f>(((VLOOKUP(B48,'Data qoq'!$A:$AU,MATCH($Z$1,'Data qoq'!$A$1:$AU$1,),))/100+1)^4)-1</f>
        <v>-8.3742471834462817E-2</v>
      </c>
      <c r="AA48" s="34">
        <f>(((VLOOKUP(B48,'Data qoq'!$A:$AU,MATCH($AA$1,'Data qoq'!$A$1:$AU$1,),))/100+1)^4)-1</f>
        <v>-1.9172655510852898E-3</v>
      </c>
      <c r="AC48" s="28" t="str">
        <f t="shared" si="7"/>
        <v>2009-Q2</v>
      </c>
      <c r="AD48" s="33">
        <f t="shared" si="8"/>
        <v>6.1080019919876882E-3</v>
      </c>
      <c r="AE48" s="29"/>
    </row>
    <row r="49" spans="1:31" hidden="1" x14ac:dyDescent="0.2">
      <c r="A49" s="32">
        <v>40057</v>
      </c>
      <c r="B49" s="26" t="s">
        <v>298</v>
      </c>
      <c r="C49" s="34">
        <f>(((VLOOKUP(B49,'Data qoq'!$A:$AT,MATCH($C$1,'Data qoq'!$A$1:$AT$1,),))/100+1)^4)-1</f>
        <v>1.455598544426584E-2</v>
      </c>
      <c r="D49" s="34">
        <f>(((VLOOKUP(B49,'Data qoq'!$A:$AT,MATCH($D$1,'Data qoq'!$A$1:$AT$1,),))/100+1)^4)-1</f>
        <v>0</v>
      </c>
      <c r="E49" s="34">
        <f>(((VLOOKUP(B49,'Data qoq'!$A:$AT,MATCH($E$1,'Data qoq'!$A$1:$AT$1,),))/100+1)^4)-1</f>
        <v>1.513555622388707E-2</v>
      </c>
      <c r="F49" s="34">
        <f>(((VLOOKUP(B49,'Data qoq'!$A:$AT,MATCH($F$1,'Data qoq'!$A$1:$AT$1,),))/100+1)^4)-1</f>
        <v>-1.3442509991173912E-3</v>
      </c>
      <c r="G49" s="34">
        <f>(((VLOOKUP(B49,'Data qoq'!$A:$AT,MATCH($G$1,'Data qoq'!$A$1:$AT$1,),))/100+1)^4)-1</f>
        <v>2.2503094084157294E-2</v>
      </c>
      <c r="H49" s="34">
        <f>(((VLOOKUP(B49,'Data qoq'!$A:$AT,MATCH($H$1,'Data qoq'!$A$1:$AT$1,),))/100+1)^4)-1</f>
        <v>6.6127221071461406E-3</v>
      </c>
      <c r="I49" s="34">
        <f>(((VLOOKUP(B49,'Data qoq'!$A:$AT,MATCH($I$1,'Data qoq'!$A$1:$AT$1,),))/100+1)^4)-1</f>
        <v>4.9556917273163581E-3</v>
      </c>
      <c r="J49" s="34">
        <f>(((VLOOKUP(B49,'Data qoq'!$A:$AT,MATCH($J$1,'Data qoq'!$A$1:$AT$1,),))/100+1)^4)-1</f>
        <v>1.9547616477256335E-2</v>
      </c>
      <c r="K49" s="34">
        <f>(((VLOOKUP(B49,'Data qoq'!$A:$AT,MATCH($K$1,'Data qoq'!$A$1:$AT$1,),))/100+1)^4)-1</f>
        <v>8.471906145283592E-3</v>
      </c>
      <c r="L49" s="34">
        <f>(((VLOOKUP(B49,'Data qoq'!$A:$AT,MATCH($L$1,'Data qoq'!$A$1:$AT$1,),))/100+1)^4)-1</f>
        <v>-1.6505497573096051E-3</v>
      </c>
      <c r="M49" s="34">
        <f>(((VLOOKUP(B49,'Data qoq'!$A:$AT,MATCH($M$1,'Data qoq'!$A$1:$AT$1,),))/100+1)^4)-1</f>
        <v>0.13600208953787662</v>
      </c>
      <c r="N49" s="34">
        <f>(((VLOOKUP(B49,'Data qoq'!$A:$AT,MATCH($N$1,'Data qoq'!$A$1:$AT$1,),))/100+1)^4)-1</f>
        <v>1.6518352553944071E-2</v>
      </c>
      <c r="O49" s="34">
        <f>(((VLOOKUP(B49,'Data qoq'!$A:$AT,MATCH($O$1,'Data qoq'!$A$1:$AT$1,),))/100+1)^4)-1</f>
        <v>0.10613563595430975</v>
      </c>
      <c r="P49" s="34">
        <f>(((VLOOKUP(B49,'Data qoq'!$A:$AT,MATCH($P$1,'Data qoq'!$A$1:$AT$1,),))/100+1)^4)-1</f>
        <v>1.8119372363530006E-2</v>
      </c>
      <c r="Q49" s="34">
        <f>(((VLOOKUP(B49,'Data qoq'!$A:$AT,MATCH($Q$1,'Data qoq'!$A$1:$AT$1,),))/100+1)^4)-1</f>
        <v>1.1693485298930772E-2</v>
      </c>
      <c r="R49" s="34">
        <f>(((VLOOKUP(B49,'Data qoq'!$A:$AT,MATCH($R$1,'Data qoq'!$A$1:$AT$1,),))/100+1)^4)-1</f>
        <v>4.6199814860195199E-2</v>
      </c>
      <c r="S49" s="34">
        <f>(((VLOOKUP(B49,'Data qoq'!$A:$AT,MATCH($S$1,'Data qoq'!$A$1:$AT$1,),))/100+1)^4)-1</f>
        <v>0.12518866574588539</v>
      </c>
      <c r="T49" s="34">
        <f>(((VLOOKUP(B49,'Data qoq'!$A:$AT,MATCH($T$1,'Data qoq'!$A$1:$AT$1,),))/100+1)^4)-1</f>
        <v>9.7164853952307784E-2</v>
      </c>
      <c r="U49" s="34">
        <f>(((VLOOKUP(B49,'Data qoq'!$A:$AT,MATCH($U$1,'Data qoq'!$A$1:$AT$1,),))/100+1)^4)-1</f>
        <v>-2.8703244730674538E-2</v>
      </c>
      <c r="V49" s="34">
        <f>(((VLOOKUP(B49,'Data qoq'!$A:$AT,MATCH($V$1,'Data qoq'!$A$1:$AT$1,),))/100+1)^4)-1</f>
        <v>-4.7714107849981313E-2</v>
      </c>
      <c r="W49" s="34">
        <f>(((VLOOKUP(B49,'Data qoq'!$A:$AT,MATCH($W$1,'Data qoq'!$A$1:$AT$1,),))/100+1)^4)-1</f>
        <v>9.9329578595084955E-2</v>
      </c>
      <c r="X49" s="34">
        <f>(((VLOOKUP(B49,'Data qoq'!$A:$AT,MATCH($X$1,'Data qoq'!$A$1:$AT$1,),))/100+1)^4)-1</f>
        <v>1.7761235818135823E-2</v>
      </c>
      <c r="Y49" s="34">
        <f>(((VLOOKUP(B49,'Data qoq'!$A:$AT,MATCH($Y$1,'Data qoq'!$A$1:$AT$1,),))/100+1)^4)-1</f>
        <v>2.333821267443148E-2</v>
      </c>
      <c r="Z49" s="34">
        <f>(((VLOOKUP(B49,'Data qoq'!$A:$AU,MATCH($Z$1,'Data qoq'!$A$1:$AU$1,),))/100+1)^4)-1</f>
        <v>0.16393163633815044</v>
      </c>
      <c r="AA49" s="34">
        <f>(((VLOOKUP(B49,'Data qoq'!$A:$AU,MATCH($AA$1,'Data qoq'!$A$1:$AU$1,),))/100+1)^4)-1</f>
        <v>2.0061627042498031E-2</v>
      </c>
      <c r="AC49" s="28" t="str">
        <f t="shared" si="7"/>
        <v>2009-Q3</v>
      </c>
      <c r="AD49" s="33">
        <f t="shared" si="8"/>
        <v>1.0179864496570712E-2</v>
      </c>
      <c r="AE49" s="29"/>
    </row>
    <row r="50" spans="1:31" hidden="1" x14ac:dyDescent="0.2">
      <c r="A50" s="32">
        <v>40148</v>
      </c>
      <c r="B50" s="26" t="s">
        <v>299</v>
      </c>
      <c r="C50" s="34">
        <f>(((VLOOKUP(B50,'Data qoq'!$A:$AT,MATCH($C$1,'Data qoq'!$A$1:$AT$1,),))/100+1)^4)-1</f>
        <v>4.3407688869303573E-2</v>
      </c>
      <c r="D50" s="34">
        <f>(((VLOOKUP(B50,'Data qoq'!$A:$AT,MATCH($D$1,'Data qoq'!$A$1:$AT$1,),))/100+1)^4)-1</f>
        <v>0</v>
      </c>
      <c r="E50" s="34">
        <f>(((VLOOKUP(B50,'Data qoq'!$A:$AT,MATCH($E$1,'Data qoq'!$A$1:$AT$1,),))/100+1)^4)-1</f>
        <v>1.8218521512759933E-2</v>
      </c>
      <c r="F50" s="34">
        <f>(((VLOOKUP(B50,'Data qoq'!$A:$AT,MATCH($F$1,'Data qoq'!$A$1:$AT$1,),))/100+1)^4)-1</f>
        <v>4.9251350834791374E-2</v>
      </c>
      <c r="G50" s="34">
        <f>(((VLOOKUP(B50,'Data qoq'!$A:$AT,MATCH($G$1,'Data qoq'!$A$1:$AT$1,),))/100+1)^4)-1</f>
        <v>2.9765092882296562E-2</v>
      </c>
      <c r="H50" s="34">
        <f>(((VLOOKUP(B50,'Data qoq'!$A:$AT,MATCH($H$1,'Data qoq'!$A$1:$AT$1,),))/100+1)^4)-1</f>
        <v>2.7958723977016708E-2</v>
      </c>
      <c r="I50" s="34">
        <f>(((VLOOKUP(B50,'Data qoq'!$A:$AT,MATCH($I$1,'Data qoq'!$A$1:$AT$1,),))/100+1)^4)-1</f>
        <v>1.3769313514506498E-2</v>
      </c>
      <c r="J50" s="34">
        <f>(((VLOOKUP(B50,'Data qoq'!$A:$AT,MATCH($J$1,'Data qoq'!$A$1:$AT$1,),))/100+1)^4)-1</f>
        <v>1.1738410692758272E-2</v>
      </c>
      <c r="K50" s="34">
        <f>(((VLOOKUP(B50,'Data qoq'!$A:$AT,MATCH($K$1,'Data qoq'!$A$1:$AT$1,),))/100+1)^4)-1</f>
        <v>-8.1577708158275808E-4</v>
      </c>
      <c r="L50" s="34">
        <f>(((VLOOKUP(B50,'Data qoq'!$A:$AT,MATCH($L$1,'Data qoq'!$A$1:$AT$1,),))/100+1)^4)-1</f>
        <v>1.8721897866515791E-2</v>
      </c>
      <c r="M50" s="34">
        <f>(((VLOOKUP(B50,'Data qoq'!$A:$AT,MATCH($M$1,'Data qoq'!$A$1:$AT$1,),))/100+1)^4)-1</f>
        <v>7.0419034129544533E-2</v>
      </c>
      <c r="N50" s="34">
        <f>(((VLOOKUP(B50,'Data qoq'!$A:$AT,MATCH($N$1,'Data qoq'!$A$1:$AT$1,),))/100+1)^4)-1</f>
        <v>4.3975470640214454E-2</v>
      </c>
      <c r="O50" s="34">
        <f>(((VLOOKUP(B50,'Data qoq'!$A:$AT,MATCH($O$1,'Data qoq'!$A$1:$AT$1,),))/100+1)^4)-1</f>
        <v>8.7821669502480493E-2</v>
      </c>
      <c r="P50" s="34">
        <f>(((VLOOKUP(B50,'Data qoq'!$A:$AT,MATCH($P$1,'Data qoq'!$A$1:$AT$1,),))/100+1)^4)-1</f>
        <v>4.7468596307982835E-2</v>
      </c>
      <c r="Q50" s="34">
        <f>(((VLOOKUP(B50,'Data qoq'!$A:$AT,MATCH($Q$1,'Data qoq'!$A$1:$AT$1,),))/100+1)^4)-1</f>
        <v>3.0189996774440786E-2</v>
      </c>
      <c r="R50" s="34">
        <f>(((VLOOKUP(B50,'Data qoq'!$A:$AT,MATCH($R$1,'Data qoq'!$A$1:$AT$1,),))/100+1)^4)-1</f>
        <v>3.3989126929771185E-2</v>
      </c>
      <c r="S50" s="34">
        <f>(((VLOOKUP(B50,'Data qoq'!$A:$AT,MATCH($S$1,'Data qoq'!$A$1:$AT$1,),))/100+1)^4)-1</f>
        <v>3.0211058033513094E-2</v>
      </c>
      <c r="T50" s="34">
        <f>(((VLOOKUP(B50,'Data qoq'!$A:$AT,MATCH($T$1,'Data qoq'!$A$1:$AT$1,),))/100+1)^4)-1</f>
        <v>0.10547497371672199</v>
      </c>
      <c r="U50" s="34">
        <f>(((VLOOKUP(B50,'Data qoq'!$A:$AT,MATCH($U$1,'Data qoq'!$A$1:$AT$1,),))/100+1)^4)-1</f>
        <v>5.1385538398160957E-3</v>
      </c>
      <c r="V50" s="34">
        <f>(((VLOOKUP(B50,'Data qoq'!$A:$AT,MATCH($V$1,'Data qoq'!$A$1:$AT$1,),))/100+1)^4)-1</f>
        <v>-4.6460430719013179E-2</v>
      </c>
      <c r="W50" s="34">
        <f>(((VLOOKUP(B50,'Data qoq'!$A:$AT,MATCH($W$1,'Data qoq'!$A$1:$AT$1,),))/100+1)^4)-1</f>
        <v>8.0411219025574798E-2</v>
      </c>
      <c r="X50" s="34">
        <f>(((VLOOKUP(B50,'Data qoq'!$A:$AT,MATCH($X$1,'Data qoq'!$A$1:$AT$1,),))/100+1)^4)-1</f>
        <v>3.8652529287654946E-3</v>
      </c>
      <c r="Y50" s="34">
        <f>(((VLOOKUP(B50,'Data qoq'!$A:$AT,MATCH($Y$1,'Data qoq'!$A$1:$AT$1,),))/100+1)^4)-1</f>
        <v>9.9369662702423645E-2</v>
      </c>
      <c r="Z50" s="34">
        <f>(((VLOOKUP(B50,'Data qoq'!$A:$AU,MATCH($Z$1,'Data qoq'!$A$1:$AU$1,),))/100+1)^4)-1</f>
        <v>7.769752459296253E-2</v>
      </c>
      <c r="AA50" s="34">
        <f>(((VLOOKUP(B50,'Data qoq'!$A:$AU,MATCH($AA$1,'Data qoq'!$A$1:$AU$1,),))/100+1)^4)-1</f>
        <v>5.0730860130176136E-2</v>
      </c>
      <c r="AC50" s="28" t="str">
        <f t="shared" si="7"/>
        <v>2009-Q4</v>
      </c>
      <c r="AD50" s="33">
        <f t="shared" si="8"/>
        <v>4.4492079982534349E-3</v>
      </c>
      <c r="AE50" s="29"/>
    </row>
    <row r="51" spans="1:31" hidden="1" x14ac:dyDescent="0.2">
      <c r="A51" s="32">
        <v>40238</v>
      </c>
      <c r="B51" s="26" t="s">
        <v>300</v>
      </c>
      <c r="C51" s="34">
        <f>(((VLOOKUP(B51,'Data qoq'!$A:$AT,MATCH($C$1,'Data qoq'!$A$1:$AT$1,),))/100+1)^4)-1</f>
        <v>2.0152672116043657E-2</v>
      </c>
      <c r="D51" s="34">
        <f>(((VLOOKUP(B51,'Data qoq'!$A:$AT,MATCH($D$1,'Data qoq'!$A$1:$AT$1,),))/100+1)^4)-1</f>
        <v>0</v>
      </c>
      <c r="E51" s="34">
        <f>(((VLOOKUP(B51,'Data qoq'!$A:$AT,MATCH($E$1,'Data qoq'!$A$1:$AT$1,),))/100+1)^4)-1</f>
        <v>1.6760119964486009E-2</v>
      </c>
      <c r="F51" s="34">
        <f>(((VLOOKUP(B51,'Data qoq'!$A:$AT,MATCH($F$1,'Data qoq'!$A$1:$AT$1,),))/100+1)^4)-1</f>
        <v>4.262201702255064E-2</v>
      </c>
      <c r="G51" s="34">
        <f>(((VLOOKUP(B51,'Data qoq'!$A:$AT,MATCH($G$1,'Data qoq'!$A$1:$AT$1,),))/100+1)^4)-1</f>
        <v>3.2652999956630735E-2</v>
      </c>
      <c r="H51" s="34">
        <f>(((VLOOKUP(B51,'Data qoq'!$A:$AT,MATCH($H$1,'Data qoq'!$A$1:$AT$1,),))/100+1)^4)-1</f>
        <v>1.4755368320499285E-2</v>
      </c>
      <c r="I51" s="34">
        <f>(((VLOOKUP(B51,'Data qoq'!$A:$AT,MATCH($I$1,'Data qoq'!$A$1:$AT$1,),))/100+1)^4)-1</f>
        <v>2.5904916821222868E-2</v>
      </c>
      <c r="J51" s="34">
        <f>(((VLOOKUP(B51,'Data qoq'!$A:$AT,MATCH($J$1,'Data qoq'!$A$1:$AT$1,),))/100+1)^4)-1</f>
        <v>1.4134107021766651E-2</v>
      </c>
      <c r="K51" s="34">
        <f>(((VLOOKUP(B51,'Data qoq'!$A:$AT,MATCH($K$1,'Data qoq'!$A$1:$AT$1,),))/100+1)^4)-1</f>
        <v>-1.1273538088562018E-3</v>
      </c>
      <c r="L51" s="34">
        <f>(((VLOOKUP(B51,'Data qoq'!$A:$AT,MATCH($L$1,'Data qoq'!$A$1:$AT$1,),))/100+1)^4)-1</f>
        <v>0.1112445863271907</v>
      </c>
      <c r="M51" s="34">
        <f>(((VLOOKUP(B51,'Data qoq'!$A:$AT,MATCH($M$1,'Data qoq'!$A$1:$AT$1,),))/100+1)^4)-1</f>
        <v>4.2474558127320261E-2</v>
      </c>
      <c r="N51" s="34">
        <f>(((VLOOKUP(B51,'Data qoq'!$A:$AT,MATCH($N$1,'Data qoq'!$A$1:$AT$1,),))/100+1)^4)-1</f>
        <v>8.8321618771043164E-2</v>
      </c>
      <c r="O51" s="34">
        <f>(((VLOOKUP(B51,'Data qoq'!$A:$AT,MATCH($O$1,'Data qoq'!$A$1:$AT$1,),))/100+1)^4)-1</f>
        <v>0.10813453732461098</v>
      </c>
      <c r="P51" s="34">
        <f>(((VLOOKUP(B51,'Data qoq'!$A:$AT,MATCH($P$1,'Data qoq'!$A$1:$AT$1,),))/100+1)^4)-1</f>
        <v>4.913385868876885E-2</v>
      </c>
      <c r="Q51" s="34">
        <f>(((VLOOKUP(B51,'Data qoq'!$A:$AT,MATCH($Q$1,'Data qoq'!$A$1:$AT$1,),))/100+1)^4)-1</f>
        <v>2.017280740860472E-2</v>
      </c>
      <c r="R51" s="34">
        <f>(((VLOOKUP(B51,'Data qoq'!$A:$AT,MATCH($R$1,'Data qoq'!$A$1:$AT$1,),))/100+1)^4)-1</f>
        <v>2.9011707853341839E-2</v>
      </c>
      <c r="S51" s="34">
        <f>(((VLOOKUP(B51,'Data qoq'!$A:$AT,MATCH($S$1,'Data qoq'!$A$1:$AT$1,),))/100+1)^4)-1</f>
        <v>8.0696081465059244E-2</v>
      </c>
      <c r="T51" s="34">
        <f>(((VLOOKUP(B51,'Data qoq'!$A:$AT,MATCH($T$1,'Data qoq'!$A$1:$AT$1,),))/100+1)^4)-1</f>
        <v>9.4615336726517896E-2</v>
      </c>
      <c r="U51" s="34">
        <f>(((VLOOKUP(B51,'Data qoq'!$A:$AT,MATCH($U$1,'Data qoq'!$A$1:$AT$1,),))/100+1)^4)-1</f>
        <v>-0.21183029176672252</v>
      </c>
      <c r="V51" s="34">
        <f>(((VLOOKUP(B51,'Data qoq'!$A:$AT,MATCH($V$1,'Data qoq'!$A$1:$AT$1,),))/100+1)^4)-1</f>
        <v>0.12188996481316683</v>
      </c>
      <c r="W51" s="34">
        <f>(((VLOOKUP(B51,'Data qoq'!$A:$AT,MATCH($W$1,'Data qoq'!$A$1:$AT$1,),))/100+1)^4)-1</f>
        <v>-1.1747688664888067E-2</v>
      </c>
      <c r="X51" s="34">
        <f>(((VLOOKUP(B51,'Data qoq'!$A:$AT,MATCH($X$1,'Data qoq'!$A$1:$AT$1,),))/100+1)^4)-1</f>
        <v>2.8294180966196292E-2</v>
      </c>
      <c r="Y51" s="34">
        <f>(((VLOOKUP(B51,'Data qoq'!$A:$AT,MATCH($Y$1,'Data qoq'!$A$1:$AT$1,),))/100+1)^4)-1</f>
        <v>-1.6802650299924782E-2</v>
      </c>
      <c r="Z51" s="34">
        <f>(((VLOOKUP(B51,'Data qoq'!$A:$AU,MATCH($Z$1,'Data qoq'!$A$1:$AU$1,),))/100+1)^4)-1</f>
        <v>0.12686348892936961</v>
      </c>
      <c r="AA51" s="34">
        <f>(((VLOOKUP(B51,'Data qoq'!$A:$AU,MATCH($AA$1,'Data qoq'!$A$1:$AU$1,),))/100+1)^4)-1</f>
        <v>1.2737283798762489E-2</v>
      </c>
      <c r="AC51" s="28" t="str">
        <f t="shared" si="7"/>
        <v>2010-Q1</v>
      </c>
      <c r="AD51" s="33">
        <f t="shared" si="8"/>
        <v>-9.1447968567368587E-3</v>
      </c>
      <c r="AE51" s="29"/>
    </row>
    <row r="52" spans="1:31" hidden="1" x14ac:dyDescent="0.2">
      <c r="A52" s="32">
        <v>40330</v>
      </c>
      <c r="B52" s="26" t="s">
        <v>301</v>
      </c>
      <c r="C52" s="34">
        <f>(((VLOOKUP(B52,'Data qoq'!$A:$AT,MATCH($C$1,'Data qoq'!$A$1:$AT$1,),))/100+1)^4)-1</f>
        <v>3.9273690527251048E-2</v>
      </c>
      <c r="D52" s="34">
        <f>(((VLOOKUP(B52,'Data qoq'!$A:$AT,MATCH($D$1,'Data qoq'!$A$1:$AT$1,),))/100+1)^4)-1</f>
        <v>0</v>
      </c>
      <c r="E52" s="34">
        <f>(((VLOOKUP(B52,'Data qoq'!$A:$AT,MATCH($E$1,'Data qoq'!$A$1:$AT$1,),))/100+1)^4)-1</f>
        <v>3.9344565108592633E-2</v>
      </c>
      <c r="F52" s="34">
        <f>(((VLOOKUP(B52,'Data qoq'!$A:$AT,MATCH($F$1,'Data qoq'!$A$1:$AT$1,),))/100+1)^4)-1</f>
        <v>4.9595076853913511E-2</v>
      </c>
      <c r="G52" s="34">
        <f>(((VLOOKUP(B52,'Data qoq'!$A:$AT,MATCH($G$1,'Data qoq'!$A$1:$AT$1,),))/100+1)^4)-1</f>
        <v>9.2700508158469086E-2</v>
      </c>
      <c r="H52" s="34">
        <f>(((VLOOKUP(B52,'Data qoq'!$A:$AT,MATCH($H$1,'Data qoq'!$A$1:$AT$1,),))/100+1)^4)-1</f>
        <v>2.0439295261460488E-2</v>
      </c>
      <c r="I52" s="34">
        <f>(((VLOOKUP(B52,'Data qoq'!$A:$AT,MATCH($I$1,'Data qoq'!$A$1:$AT$1,),))/100+1)^4)-1</f>
        <v>4.1834628233088589E-2</v>
      </c>
      <c r="J52" s="34">
        <f>(((VLOOKUP(B52,'Data qoq'!$A:$AT,MATCH($J$1,'Data qoq'!$A$1:$AT$1,),))/100+1)^4)-1</f>
        <v>3.0289382260472397E-2</v>
      </c>
      <c r="K52" s="34">
        <f>(((VLOOKUP(B52,'Data qoq'!$A:$AT,MATCH($K$1,'Data qoq'!$A$1:$AT$1,),))/100+1)^4)-1</f>
        <v>6.0105014748539354E-3</v>
      </c>
      <c r="L52" s="34">
        <f>(((VLOOKUP(B52,'Data qoq'!$A:$AT,MATCH($L$1,'Data qoq'!$A$1:$AT$1,),))/100+1)^4)-1</f>
        <v>8.329166634024765E-2</v>
      </c>
      <c r="M52" s="34">
        <f>(((VLOOKUP(B52,'Data qoq'!$A:$AT,MATCH($M$1,'Data qoq'!$A$1:$AT$1,),))/100+1)^4)-1</f>
        <v>4.4681795571895888E-2</v>
      </c>
      <c r="N52" s="34">
        <f>(((VLOOKUP(B52,'Data qoq'!$A:$AT,MATCH($N$1,'Data qoq'!$A$1:$AT$1,),))/100+1)^4)-1</f>
        <v>3.8549014137982063E-2</v>
      </c>
      <c r="O52" s="34">
        <f>(((VLOOKUP(B52,'Data qoq'!$A:$AT,MATCH($O$1,'Data qoq'!$A$1:$AT$1,),))/100+1)^4)-1</f>
        <v>9.9621583062015517E-2</v>
      </c>
      <c r="P52" s="34">
        <f>(((VLOOKUP(B52,'Data qoq'!$A:$AT,MATCH($P$1,'Data qoq'!$A$1:$AT$1,),))/100+1)^4)-1</f>
        <v>2.1095291376496794E-2</v>
      </c>
      <c r="Q52" s="34">
        <f>(((VLOOKUP(B52,'Data qoq'!$A:$AT,MATCH($Q$1,'Data qoq'!$A$1:$AT$1,),))/100+1)^4)-1</f>
        <v>2.1215882818003351E-2</v>
      </c>
      <c r="R52" s="34">
        <f>(((VLOOKUP(B52,'Data qoq'!$A:$AT,MATCH($R$1,'Data qoq'!$A$1:$AT$1,),))/100+1)^4)-1</f>
        <v>3.3523549791740326E-2</v>
      </c>
      <c r="S52" s="34">
        <f>(((VLOOKUP(B52,'Data qoq'!$A:$AT,MATCH($S$1,'Data qoq'!$A$1:$AT$1,),))/100+1)^4)-1</f>
        <v>7.8185159694679873E-2</v>
      </c>
      <c r="T52" s="34">
        <f>(((VLOOKUP(B52,'Data qoq'!$A:$AT,MATCH($T$1,'Data qoq'!$A$1:$AT$1,),))/100+1)^4)-1</f>
        <v>3.9342629284946362E-2</v>
      </c>
      <c r="U52" s="34">
        <f>(((VLOOKUP(B52,'Data qoq'!$A:$AT,MATCH($U$1,'Data qoq'!$A$1:$AT$1,),))/100+1)^4)-1</f>
        <v>-0.12659460376614862</v>
      </c>
      <c r="V52" s="34">
        <f>(((VLOOKUP(B52,'Data qoq'!$A:$AT,MATCH($V$1,'Data qoq'!$A$1:$AT$1,),))/100+1)^4)-1</f>
        <v>-3.678324748284445E-3</v>
      </c>
      <c r="W52" s="34">
        <f>(((VLOOKUP(B52,'Data qoq'!$A:$AT,MATCH($W$1,'Data qoq'!$A$1:$AT$1,),))/100+1)^4)-1</f>
        <v>0.16091730554145811</v>
      </c>
      <c r="X52" s="34">
        <f>(((VLOOKUP(B52,'Data qoq'!$A:$AT,MATCH($X$1,'Data qoq'!$A$1:$AT$1,),))/100+1)^4)-1</f>
        <v>4.5704905500629334E-2</v>
      </c>
      <c r="Y52" s="34">
        <f>(((VLOOKUP(B52,'Data qoq'!$A:$AT,MATCH($Y$1,'Data qoq'!$A$1:$AT$1,),))/100+1)^4)-1</f>
        <v>6.2454384712223865E-2</v>
      </c>
      <c r="Z52" s="34">
        <f>(((VLOOKUP(B52,'Data qoq'!$A:$AU,MATCH($Z$1,'Data qoq'!$A$1:$AU$1,),))/100+1)^4)-1</f>
        <v>0.19403392581345535</v>
      </c>
      <c r="AA52" s="34">
        <f>(((VLOOKUP(B52,'Data qoq'!$A:$AU,MATCH($AA$1,'Data qoq'!$A$1:$AU$1,),))/100+1)^4)-1</f>
        <v>2.9150821325075293E-2</v>
      </c>
      <c r="AC52" s="28" t="str">
        <f t="shared" si="7"/>
        <v>2010-Q2</v>
      </c>
      <c r="AD52" s="33">
        <f t="shared" si="8"/>
        <v>-2.4900631244959559E-3</v>
      </c>
      <c r="AE52" s="29"/>
    </row>
    <row r="53" spans="1:31" hidden="1" x14ac:dyDescent="0.2">
      <c r="A53" s="32">
        <v>40422</v>
      </c>
      <c r="B53" s="26" t="s">
        <v>302</v>
      </c>
      <c r="C53" s="34">
        <f>(((VLOOKUP(B53,'Data qoq'!$A:$AT,MATCH($C$1,'Data qoq'!$A$1:$AT$1,),))/100+1)^4)-1</f>
        <v>3.1286269292547075E-2</v>
      </c>
      <c r="D53" s="34">
        <f>(((VLOOKUP(B53,'Data qoq'!$A:$AT,MATCH($D$1,'Data qoq'!$A$1:$AT$1,),))/100+1)^4)-1</f>
        <v>0</v>
      </c>
      <c r="E53" s="34">
        <f>(((VLOOKUP(B53,'Data qoq'!$A:$AT,MATCH($E$1,'Data qoq'!$A$1:$AT$1,),))/100+1)^4)-1</f>
        <v>1.7667825061620013E-2</v>
      </c>
      <c r="F53" s="34">
        <f>(((VLOOKUP(B53,'Data qoq'!$A:$AT,MATCH($F$1,'Data qoq'!$A$1:$AT$1,),))/100+1)^4)-1</f>
        <v>7.4924237359240919E-2</v>
      </c>
      <c r="G53" s="34">
        <f>(((VLOOKUP(B53,'Data qoq'!$A:$AT,MATCH($G$1,'Data qoq'!$A$1:$AT$1,),))/100+1)^4)-1</f>
        <v>3.4013403380532825E-2</v>
      </c>
      <c r="H53" s="34">
        <f>(((VLOOKUP(B53,'Data qoq'!$A:$AT,MATCH($H$1,'Data qoq'!$A$1:$AT$1,),))/100+1)^4)-1</f>
        <v>2.620317546515416E-2</v>
      </c>
      <c r="I53" s="34">
        <f>(((VLOOKUP(B53,'Data qoq'!$A:$AT,MATCH($I$1,'Data qoq'!$A$1:$AT$1,),))/100+1)^4)-1</f>
        <v>2.9504614570491805E-2</v>
      </c>
      <c r="J53" s="34">
        <f>(((VLOOKUP(B53,'Data qoq'!$A:$AT,MATCH($J$1,'Data qoq'!$A$1:$AT$1,),))/100+1)^4)-1</f>
        <v>1.7874474618907676E-2</v>
      </c>
      <c r="K53" s="34">
        <f>(((VLOOKUP(B53,'Data qoq'!$A:$AT,MATCH($K$1,'Data qoq'!$A$1:$AT$1,),))/100+1)^4)-1</f>
        <v>-2.0438457601756888E-3</v>
      </c>
      <c r="L53" s="34">
        <f>(((VLOOKUP(B53,'Data qoq'!$A:$AT,MATCH($L$1,'Data qoq'!$A$1:$AT$1,),))/100+1)^4)-1</f>
        <v>4.9710646827705762E-2</v>
      </c>
      <c r="M53" s="34">
        <f>(((VLOOKUP(B53,'Data qoq'!$A:$AT,MATCH($M$1,'Data qoq'!$A$1:$AT$1,),))/100+1)^4)-1</f>
        <v>3.6881776459955606E-2</v>
      </c>
      <c r="N53" s="34">
        <f>(((VLOOKUP(B53,'Data qoq'!$A:$AT,MATCH($N$1,'Data qoq'!$A$1:$AT$1,),))/100+1)^4)-1</f>
        <v>2.1105514876020193E-2</v>
      </c>
      <c r="O53" s="34">
        <f>(((VLOOKUP(B53,'Data qoq'!$A:$AT,MATCH($O$1,'Data qoq'!$A$1:$AT$1,),))/100+1)^4)-1</f>
        <v>0.12358596940900535</v>
      </c>
      <c r="P53" s="34">
        <f>(((VLOOKUP(B53,'Data qoq'!$A:$AT,MATCH($P$1,'Data qoq'!$A$1:$AT$1,),))/100+1)^4)-1</f>
        <v>2.8650572261841756E-2</v>
      </c>
      <c r="Q53" s="34">
        <f>(((VLOOKUP(B53,'Data qoq'!$A:$AT,MATCH($Q$1,'Data qoq'!$A$1:$AT$1,),))/100+1)^4)-1</f>
        <v>2.7428405890690843E-2</v>
      </c>
      <c r="R53" s="34">
        <f>(((VLOOKUP(B53,'Data qoq'!$A:$AT,MATCH($R$1,'Data qoq'!$A$1:$AT$1,),))/100+1)^4)-1</f>
        <v>2.3181978308784323E-2</v>
      </c>
      <c r="S53" s="34">
        <f>(((VLOOKUP(B53,'Data qoq'!$A:$AT,MATCH($S$1,'Data qoq'!$A$1:$AT$1,),))/100+1)^4)-1</f>
        <v>4.7015500777328967E-2</v>
      </c>
      <c r="T53" s="34">
        <f>(((VLOOKUP(B53,'Data qoq'!$A:$AT,MATCH($T$1,'Data qoq'!$A$1:$AT$1,),))/100+1)^4)-1</f>
        <v>4.1242300561209921E-2</v>
      </c>
      <c r="U53" s="34">
        <f>(((VLOOKUP(B53,'Data qoq'!$A:$AT,MATCH($U$1,'Data qoq'!$A$1:$AT$1,),))/100+1)^4)-1</f>
        <v>-0.1205961754667767</v>
      </c>
      <c r="V53" s="34">
        <f>(((VLOOKUP(B53,'Data qoq'!$A:$AT,MATCH($V$1,'Data qoq'!$A$1:$AT$1,),))/100+1)^4)-1</f>
        <v>1.5576976258694142E-2</v>
      </c>
      <c r="W53" s="34">
        <f>(((VLOOKUP(B53,'Data qoq'!$A:$AT,MATCH($W$1,'Data qoq'!$A$1:$AT$1,),))/100+1)^4)-1</f>
        <v>0.11551981408130807</v>
      </c>
      <c r="X53" s="34">
        <f>(((VLOOKUP(B53,'Data qoq'!$A:$AT,MATCH($X$1,'Data qoq'!$A$1:$AT$1,),))/100+1)^4)-1</f>
        <v>3.3944339084635899E-2</v>
      </c>
      <c r="Y53" s="34">
        <f>(((VLOOKUP(B53,'Data qoq'!$A:$AT,MATCH($Y$1,'Data qoq'!$A$1:$AT$1,),))/100+1)^4)-1</f>
        <v>5.380926684529963E-2</v>
      </c>
      <c r="Z53" s="34">
        <f>(((VLOOKUP(B53,'Data qoq'!$A:$AU,MATCH($Z$1,'Data qoq'!$A$1:$AU$1,),))/100+1)^4)-1</f>
        <v>1.8805219620131375E-2</v>
      </c>
      <c r="AA53" s="34">
        <f>(((VLOOKUP(B53,'Data qoq'!$A:$AU,MATCH($AA$1,'Data qoq'!$A$1:$AU$1,),))/100+1)^4)-1</f>
        <v>-9.4288309061112408E-3</v>
      </c>
      <c r="AC53" s="28" t="str">
        <f t="shared" si="7"/>
        <v>2010-Q3</v>
      </c>
      <c r="AD53" s="33">
        <f t="shared" si="8"/>
        <v>-1.1836789508871792E-2</v>
      </c>
      <c r="AE53" s="29"/>
    </row>
    <row r="54" spans="1:31" hidden="1" x14ac:dyDescent="0.2">
      <c r="A54" s="32">
        <v>40513</v>
      </c>
      <c r="B54" s="26" t="s">
        <v>303</v>
      </c>
      <c r="C54" s="34">
        <f>(((VLOOKUP(B54,'Data qoq'!$A:$AT,MATCH($C$1,'Data qoq'!$A$1:$AT$1,),))/100+1)^4)-1</f>
        <v>2.0946355685835361E-2</v>
      </c>
      <c r="D54" s="34">
        <f>(((VLOOKUP(B54,'Data qoq'!$A:$AT,MATCH($D$1,'Data qoq'!$A$1:$AT$1,),))/100+1)^4)-1</f>
        <v>0</v>
      </c>
      <c r="E54" s="34">
        <f>(((VLOOKUP(B54,'Data qoq'!$A:$AT,MATCH($E$1,'Data qoq'!$A$1:$AT$1,),))/100+1)^4)-1</f>
        <v>2.5704316301405017E-2</v>
      </c>
      <c r="F54" s="34">
        <f>(((VLOOKUP(B54,'Data qoq'!$A:$AT,MATCH($F$1,'Data qoq'!$A$1:$AT$1,),))/100+1)^4)-1</f>
        <v>-3.3059354568241495E-2</v>
      </c>
      <c r="G54" s="34">
        <f>(((VLOOKUP(B54,'Data qoq'!$A:$AT,MATCH($G$1,'Data qoq'!$A$1:$AT$1,),))/100+1)^4)-1</f>
        <v>3.2839897230533932E-2</v>
      </c>
      <c r="H54" s="34">
        <f>(((VLOOKUP(B54,'Data qoq'!$A:$AT,MATCH($H$1,'Data qoq'!$A$1:$AT$1,),))/100+1)^4)-1</f>
        <v>2.8668322145463554E-2</v>
      </c>
      <c r="I54" s="34">
        <f>(((VLOOKUP(B54,'Data qoq'!$A:$AT,MATCH($I$1,'Data qoq'!$A$1:$AT$1,),))/100+1)^4)-1</f>
        <v>1.3422239384406343E-3</v>
      </c>
      <c r="J54" s="34">
        <f>(((VLOOKUP(B54,'Data qoq'!$A:$AT,MATCH($J$1,'Data qoq'!$A$1:$AT$1,),))/100+1)^4)-1</f>
        <v>2.3043870912284881E-2</v>
      </c>
      <c r="K54" s="34">
        <f>(((VLOOKUP(B54,'Data qoq'!$A:$AT,MATCH($K$1,'Data qoq'!$A$1:$AT$1,),))/100+1)^4)-1</f>
        <v>2.6868287481414121E-3</v>
      </c>
      <c r="L54" s="34">
        <f>(((VLOOKUP(B54,'Data qoq'!$A:$AT,MATCH($L$1,'Data qoq'!$A$1:$AT$1,),))/100+1)^4)-1</f>
        <v>6.789240640286387E-2</v>
      </c>
      <c r="M54" s="34">
        <f>(((VLOOKUP(B54,'Data qoq'!$A:$AT,MATCH($M$1,'Data qoq'!$A$1:$AT$1,),))/100+1)^4)-1</f>
        <v>3.2729018719679814E-2</v>
      </c>
      <c r="N54" s="34">
        <f>(((VLOOKUP(B54,'Data qoq'!$A:$AT,MATCH($N$1,'Data qoq'!$A$1:$AT$1,),))/100+1)^4)-1</f>
        <v>5.123516954918883E-2</v>
      </c>
      <c r="O54" s="34">
        <f>(((VLOOKUP(B54,'Data qoq'!$A:$AT,MATCH($O$1,'Data qoq'!$A$1:$AT$1,),))/100+1)^4)-1</f>
        <v>9.6125527617952899E-2</v>
      </c>
      <c r="P54" s="34">
        <f>(((VLOOKUP(B54,'Data qoq'!$A:$AT,MATCH($P$1,'Data qoq'!$A$1:$AT$1,),))/100+1)^4)-1</f>
        <v>4.5455094658162221E-2</v>
      </c>
      <c r="Q54" s="34">
        <f>(((VLOOKUP(B54,'Data qoq'!$A:$AT,MATCH($Q$1,'Data qoq'!$A$1:$AT$1,),))/100+1)^4)-1</f>
        <v>4.1774833835007463E-2</v>
      </c>
      <c r="R54" s="34">
        <f>(((VLOOKUP(B54,'Data qoq'!$A:$AT,MATCH($R$1,'Data qoq'!$A$1:$AT$1,),))/100+1)^4)-1</f>
        <v>3.0540520500361934E-2</v>
      </c>
      <c r="S54" s="34">
        <f>(((VLOOKUP(B54,'Data qoq'!$A:$AT,MATCH($S$1,'Data qoq'!$A$1:$AT$1,),))/100+1)^4)-1</f>
        <v>4.967206464572671E-2</v>
      </c>
      <c r="T54" s="34">
        <f>(((VLOOKUP(B54,'Data qoq'!$A:$AT,MATCH($T$1,'Data qoq'!$A$1:$AT$1,),))/100+1)^4)-1</f>
        <v>5.5710099478200048E-2</v>
      </c>
      <c r="U54" s="34">
        <f>(((VLOOKUP(B54,'Data qoq'!$A:$AT,MATCH($U$1,'Data qoq'!$A$1:$AT$1,),))/100+1)^4)-1</f>
        <v>-4.7440745244539895E-2</v>
      </c>
      <c r="V54" s="34">
        <f>(((VLOOKUP(B54,'Data qoq'!$A:$AT,MATCH($V$1,'Data qoq'!$A$1:$AT$1,),))/100+1)^4)-1</f>
        <v>-2.9241751691890805E-3</v>
      </c>
      <c r="W54" s="34">
        <f>(((VLOOKUP(B54,'Data qoq'!$A:$AT,MATCH($W$1,'Data qoq'!$A$1:$AT$1,),))/100+1)^4)-1</f>
        <v>0.12652273982063234</v>
      </c>
      <c r="X54" s="34">
        <f>(((VLOOKUP(B54,'Data qoq'!$A:$AT,MATCH($X$1,'Data qoq'!$A$1:$AT$1,),))/100+1)^4)-1</f>
        <v>1.5112897517171042E-2</v>
      </c>
      <c r="Y54" s="34">
        <f>(((VLOOKUP(B54,'Data qoq'!$A:$AT,MATCH($Y$1,'Data qoq'!$A$1:$AT$1,),))/100+1)^4)-1</f>
        <v>3.968354940425356E-2</v>
      </c>
      <c r="Z54" s="34">
        <f>(((VLOOKUP(B54,'Data qoq'!$A:$AU,MATCH($Z$1,'Data qoq'!$A$1:$AU$1,),))/100+1)^4)-1</f>
        <v>5.6140145379392825E-2</v>
      </c>
      <c r="AA54" s="34">
        <f>(((VLOOKUP(B54,'Data qoq'!$A:$AU,MATCH($AA$1,'Data qoq'!$A$1:$AU$1,),))/100+1)^4)-1</f>
        <v>-2.0372829301529727E-2</v>
      </c>
      <c r="AC54" s="28" t="str">
        <f t="shared" si="7"/>
        <v>2010-Q4</v>
      </c>
      <c r="AD54" s="33">
        <f t="shared" si="8"/>
        <v>2.4362092362964383E-2</v>
      </c>
      <c r="AE54" s="29"/>
    </row>
    <row r="55" spans="1:31" hidden="1" x14ac:dyDescent="0.2">
      <c r="A55" s="32">
        <v>40603</v>
      </c>
      <c r="B55" s="26" t="s">
        <v>304</v>
      </c>
      <c r="C55" s="34">
        <f>(((VLOOKUP(B55,'Data qoq'!$A:$AT,MATCH($C$1,'Data qoq'!$A$1:$AT$1,),))/100+1)^4)-1</f>
        <v>-9.6018742868266838E-3</v>
      </c>
      <c r="D55" s="34">
        <f>(((VLOOKUP(B55,'Data qoq'!$A:$AT,MATCH($D$1,'Data qoq'!$A$1:$AT$1,),))/100+1)^4)-1</f>
        <v>0.10381289062499977</v>
      </c>
      <c r="E55" s="34">
        <f>(((VLOOKUP(B55,'Data qoq'!$A:$AT,MATCH($E$1,'Data qoq'!$A$1:$AT$1,),))/100+1)^4)-1</f>
        <v>3.3930908928997416E-2</v>
      </c>
      <c r="F55" s="34">
        <f>(((VLOOKUP(B55,'Data qoq'!$A:$AT,MATCH($F$1,'Data qoq'!$A$1:$AT$1,),))/100+1)^4)-1</f>
        <v>-4.1555904399926069E-2</v>
      </c>
      <c r="G55" s="34">
        <f>(((VLOOKUP(B55,'Data qoq'!$A:$AT,MATCH($G$1,'Data qoq'!$A$1:$AT$1,),))/100+1)^4)-1</f>
        <v>7.9506971010742333E-2</v>
      </c>
      <c r="H55" s="34">
        <f>(((VLOOKUP(B55,'Data qoq'!$A:$AT,MATCH($H$1,'Data qoq'!$A$1:$AT$1,),))/100+1)^4)-1</f>
        <v>4.0293760974770221E-2</v>
      </c>
      <c r="I55" s="34">
        <f>(((VLOOKUP(B55,'Data qoq'!$A:$AT,MATCH($I$1,'Data qoq'!$A$1:$AT$1,),))/100+1)^4)-1</f>
        <v>1.4521014957433964E-2</v>
      </c>
      <c r="J55" s="34">
        <f>(((VLOOKUP(B55,'Data qoq'!$A:$AT,MATCH($J$1,'Data qoq'!$A$1:$AT$1,),))/100+1)^4)-1</f>
        <v>1.5269140538284542E-2</v>
      </c>
      <c r="K55" s="34">
        <f>(((VLOOKUP(B55,'Data qoq'!$A:$AT,MATCH($K$1,'Data qoq'!$A$1:$AT$1,),))/100+1)^4)-1</f>
        <v>-6.2244194066513048E-3</v>
      </c>
      <c r="L55" s="34">
        <f>(((VLOOKUP(B55,'Data qoq'!$A:$AT,MATCH($L$1,'Data qoq'!$A$1:$AT$1,),))/100+1)^4)-1</f>
        <v>1.3826403864269921E-2</v>
      </c>
      <c r="M55" s="34">
        <f>(((VLOOKUP(B55,'Data qoq'!$A:$AT,MATCH($M$1,'Data qoq'!$A$1:$AT$1,),))/100+1)^4)-1</f>
        <v>3.0838861739153067E-2</v>
      </c>
      <c r="N55" s="34">
        <f>(((VLOOKUP(B55,'Data qoq'!$A:$AT,MATCH($N$1,'Data qoq'!$A$1:$AT$1,),))/100+1)^4)-1</f>
        <v>4.3371642058606552E-2</v>
      </c>
      <c r="O55" s="34">
        <f>(((VLOOKUP(B55,'Data qoq'!$A:$AT,MATCH($O$1,'Data qoq'!$A$1:$AT$1,),))/100+1)^4)-1</f>
        <v>7.5260997670591134E-2</v>
      </c>
      <c r="P55" s="34">
        <f>(((VLOOKUP(B55,'Data qoq'!$A:$AT,MATCH($P$1,'Data qoq'!$A$1:$AT$1,),))/100+1)^4)-1</f>
        <v>3.0557938359867531E-2</v>
      </c>
      <c r="Q55" s="34">
        <f>(((VLOOKUP(B55,'Data qoq'!$A:$AT,MATCH($Q$1,'Data qoq'!$A$1:$AT$1,),))/100+1)^4)-1</f>
        <v>-1.0634587587603606E-2</v>
      </c>
      <c r="R55" s="34">
        <f>(((VLOOKUP(B55,'Data qoq'!$A:$AT,MATCH($R$1,'Data qoq'!$A$1:$AT$1,),))/100+1)^4)-1</f>
        <v>2.6620848253913643E-2</v>
      </c>
      <c r="S55" s="34">
        <f>(((VLOOKUP(B55,'Data qoq'!$A:$AT,MATCH($S$1,'Data qoq'!$A$1:$AT$1,),))/100+1)^4)-1</f>
        <v>3.785092613561658E-2</v>
      </c>
      <c r="T55" s="34">
        <f>(((VLOOKUP(B55,'Data qoq'!$A:$AT,MATCH($T$1,'Data qoq'!$A$1:$AT$1,),))/100+1)^4)-1</f>
        <v>5.9778289935460416E-2</v>
      </c>
      <c r="U55" s="34">
        <f>(((VLOOKUP(B55,'Data qoq'!$A:$AT,MATCH($U$1,'Data qoq'!$A$1:$AT$1,),))/100+1)^4)-1</f>
        <v>-0.13629460659778558</v>
      </c>
      <c r="V55" s="34">
        <f>(((VLOOKUP(B55,'Data qoq'!$A:$AT,MATCH($V$1,'Data qoq'!$A$1:$AT$1,),))/100+1)^4)-1</f>
        <v>2.291061339240974E-2</v>
      </c>
      <c r="W55" s="34">
        <f>(((VLOOKUP(B55,'Data qoq'!$A:$AT,MATCH($W$1,'Data qoq'!$A$1:$AT$1,),))/100+1)^4)-1</f>
        <v>9.3248308427080318E-2</v>
      </c>
      <c r="X55" s="34">
        <f>(((VLOOKUP(B55,'Data qoq'!$A:$AT,MATCH($X$1,'Data qoq'!$A$1:$AT$1,),))/100+1)^4)-1</f>
        <v>2.4127552800125018E-2</v>
      </c>
      <c r="Y55" s="34">
        <f>(((VLOOKUP(B55,'Data qoq'!$A:$AT,MATCH($Y$1,'Data qoq'!$A$1:$AT$1,),))/100+1)^4)-1</f>
        <v>4.5866476437618653E-2</v>
      </c>
      <c r="Z55" s="34">
        <f>(((VLOOKUP(B55,'Data qoq'!$A:$AU,MATCH($Z$1,'Data qoq'!$A$1:$AU$1,),))/100+1)^4)-1</f>
        <v>9.9027093308306169E-2</v>
      </c>
      <c r="AA55" s="34">
        <f>(((VLOOKUP(B55,'Data qoq'!$A:$AU,MATCH($AA$1,'Data qoq'!$A$1:$AU$1,),))/100+1)^4)-1</f>
        <v>4.4211317798857896E-2</v>
      </c>
      <c r="AC55" s="28" t="str">
        <f t="shared" si="7"/>
        <v>2011-Q1</v>
      </c>
      <c r="AD55" s="33">
        <f t="shared" si="8"/>
        <v>1.9409893971563452E-2</v>
      </c>
      <c r="AE55" s="29"/>
    </row>
    <row r="56" spans="1:31" hidden="1" x14ac:dyDescent="0.2">
      <c r="A56" s="32">
        <v>40695</v>
      </c>
      <c r="B56" s="26" t="s">
        <v>305</v>
      </c>
      <c r="C56" s="34">
        <f>(((VLOOKUP(B56,'Data qoq'!$A:$AT,MATCH($C$1,'Data qoq'!$A$1:$AT$1,),))/100+1)^4)-1</f>
        <v>2.7399130789267812E-2</v>
      </c>
      <c r="D56" s="34">
        <f>(((VLOOKUP(B56,'Data qoq'!$A:$AT,MATCH($D$1,'Data qoq'!$A$1:$AT$1,),))/100+1)^4)-1</f>
        <v>9.5222947840999606E-2</v>
      </c>
      <c r="E56" s="34">
        <f>(((VLOOKUP(B56,'Data qoq'!$A:$AT,MATCH($E$1,'Data qoq'!$A$1:$AT$1,),))/100+1)^4)-1</f>
        <v>2.8795108821411119E-4</v>
      </c>
      <c r="F56" s="34">
        <f>(((VLOOKUP(B56,'Data qoq'!$A:$AT,MATCH($F$1,'Data qoq'!$A$1:$AT$1,),))/100+1)^4)-1</f>
        <v>-3.3665937538698398E-2</v>
      </c>
      <c r="G56" s="34">
        <f>(((VLOOKUP(B56,'Data qoq'!$A:$AT,MATCH($G$1,'Data qoq'!$A$1:$AT$1,),))/100+1)^4)-1</f>
        <v>3.3720225030580142E-3</v>
      </c>
      <c r="H56" s="34">
        <f>(((VLOOKUP(B56,'Data qoq'!$A:$AT,MATCH($H$1,'Data qoq'!$A$1:$AT$1,),))/100+1)^4)-1</f>
        <v>1.1561923549596731E-3</v>
      </c>
      <c r="I56" s="34">
        <f>(((VLOOKUP(B56,'Data qoq'!$A:$AT,MATCH($I$1,'Data qoq'!$A$1:$AT$1,),))/100+1)^4)-1</f>
        <v>3.4307492728584688E-3</v>
      </c>
      <c r="J56" s="34">
        <f>(((VLOOKUP(B56,'Data qoq'!$A:$AT,MATCH($J$1,'Data qoq'!$A$1:$AT$1,),))/100+1)^4)-1</f>
        <v>4.5468243862147872E-3</v>
      </c>
      <c r="K56" s="34">
        <f>(((VLOOKUP(B56,'Data qoq'!$A:$AT,MATCH($K$1,'Data qoq'!$A$1:$AT$1,),))/100+1)^4)-1</f>
        <v>-1.2615482438152914E-2</v>
      </c>
      <c r="L56" s="34">
        <f>(((VLOOKUP(B56,'Data qoq'!$A:$AT,MATCH($L$1,'Data qoq'!$A$1:$AT$1,),))/100+1)^4)-1</f>
        <v>1.2466800264110622E-2</v>
      </c>
      <c r="M56" s="34">
        <f>(((VLOOKUP(B56,'Data qoq'!$A:$AT,MATCH($M$1,'Data qoq'!$A$1:$AT$1,),))/100+1)^4)-1</f>
        <v>2.1008183664480651E-2</v>
      </c>
      <c r="N56" s="34">
        <f>(((VLOOKUP(B56,'Data qoq'!$A:$AT,MATCH($N$1,'Data qoq'!$A$1:$AT$1,),))/100+1)^4)-1</f>
        <v>4.1288747644713242E-2</v>
      </c>
      <c r="O56" s="34">
        <f>(((VLOOKUP(B56,'Data qoq'!$A:$AT,MATCH($O$1,'Data qoq'!$A$1:$AT$1,),))/100+1)^4)-1</f>
        <v>4.9353994259279776E-2</v>
      </c>
      <c r="P56" s="34">
        <f>(((VLOOKUP(B56,'Data qoq'!$A:$AT,MATCH($P$1,'Data qoq'!$A$1:$AT$1,),))/100+1)^4)-1</f>
        <v>7.8150597315025383E-3</v>
      </c>
      <c r="Q56" s="34">
        <f>(((VLOOKUP(B56,'Data qoq'!$A:$AT,MATCH($Q$1,'Data qoq'!$A$1:$AT$1,),))/100+1)^4)-1</f>
        <v>4.8055664290943767E-2</v>
      </c>
      <c r="R56" s="34">
        <f>(((VLOOKUP(B56,'Data qoq'!$A:$AT,MATCH($R$1,'Data qoq'!$A$1:$AT$1,),))/100+1)^4)-1</f>
        <v>1.8993556817682E-2</v>
      </c>
      <c r="S56" s="34">
        <f>(((VLOOKUP(B56,'Data qoq'!$A:$AT,MATCH($S$1,'Data qoq'!$A$1:$AT$1,),))/100+1)^4)-1</f>
        <v>1.9776641418433272E-2</v>
      </c>
      <c r="T56" s="34">
        <f>(((VLOOKUP(B56,'Data qoq'!$A:$AT,MATCH($T$1,'Data qoq'!$A$1:$AT$1,),))/100+1)^4)-1</f>
        <v>3.8277301954584342E-2</v>
      </c>
      <c r="U56" s="34">
        <f>(((VLOOKUP(B56,'Data qoq'!$A:$AT,MATCH($U$1,'Data qoq'!$A$1:$AT$1,),))/100+1)^4)-1</f>
        <v>-7.9883951159039457E-2</v>
      </c>
      <c r="V56" s="34">
        <f>(((VLOOKUP(B56,'Data qoq'!$A:$AT,MATCH($V$1,'Data qoq'!$A$1:$AT$1,),))/100+1)^4)-1</f>
        <v>5.5602329957562535E-2</v>
      </c>
      <c r="W56" s="34">
        <f>(((VLOOKUP(B56,'Data qoq'!$A:$AT,MATCH($W$1,'Data qoq'!$A$1:$AT$1,),))/100+1)^4)-1</f>
        <v>0.11452106368858472</v>
      </c>
      <c r="X56" s="34">
        <f>(((VLOOKUP(B56,'Data qoq'!$A:$AT,MATCH($X$1,'Data qoq'!$A$1:$AT$1,),))/100+1)^4)-1</f>
        <v>1.0481882033513745E-2</v>
      </c>
      <c r="Y56" s="34">
        <f>(((VLOOKUP(B56,'Data qoq'!$A:$AT,MATCH($Y$1,'Data qoq'!$A$1:$AT$1,),))/100+1)^4)-1</f>
        <v>5.4481290350046896E-2</v>
      </c>
      <c r="Z56" s="34">
        <f>(((VLOOKUP(B56,'Data qoq'!$A:$AU,MATCH($Z$1,'Data qoq'!$A$1:$AU$1,),))/100+1)^4)-1</f>
        <v>3.9463119501157662E-2</v>
      </c>
      <c r="AA56" s="34">
        <f>(((VLOOKUP(B56,'Data qoq'!$A:$AU,MATCH($AA$1,'Data qoq'!$A$1:$AU$1,),))/100+1)^4)-1</f>
        <v>1.984337840286976E-2</v>
      </c>
      <c r="AC56" s="28" t="str">
        <f t="shared" si="7"/>
        <v>2011-Q2</v>
      </c>
      <c r="AD56" s="33">
        <f t="shared" si="8"/>
        <v>-3.1427981846443576E-3</v>
      </c>
      <c r="AE56" s="29"/>
    </row>
    <row r="57" spans="1:31" hidden="1" x14ac:dyDescent="0.2">
      <c r="A57" s="32">
        <v>40787</v>
      </c>
      <c r="B57" s="26" t="s">
        <v>306</v>
      </c>
      <c r="C57" s="34">
        <f>(((VLOOKUP(B57,'Data qoq'!$A:$AT,MATCH($C$1,'Data qoq'!$A$1:$AT$1,),))/100+1)^4)-1</f>
        <v>-1.5497850172727645E-3</v>
      </c>
      <c r="D57" s="34">
        <f>(((VLOOKUP(B57,'Data qoq'!$A:$AT,MATCH($D$1,'Data qoq'!$A$1:$AT$1,),))/100+1)^4)-1</f>
        <v>7.819356632099983E-2</v>
      </c>
      <c r="E57" s="34">
        <f>(((VLOOKUP(B57,'Data qoq'!$A:$AT,MATCH($E$1,'Data qoq'!$A$1:$AT$1,),))/100+1)^4)-1</f>
        <v>5.226171211577979E-3</v>
      </c>
      <c r="F57" s="34">
        <f>(((VLOOKUP(B57,'Data qoq'!$A:$AT,MATCH($F$1,'Data qoq'!$A$1:$AT$1,),))/100+1)^4)-1</f>
        <v>0.10111483246495245</v>
      </c>
      <c r="G57" s="34">
        <f>(((VLOOKUP(B57,'Data qoq'!$A:$AT,MATCH($G$1,'Data qoq'!$A$1:$AT$1,),))/100+1)^4)-1</f>
        <v>3.6233888012051851E-2</v>
      </c>
      <c r="H57" s="34">
        <f>(((VLOOKUP(B57,'Data qoq'!$A:$AT,MATCH($H$1,'Data qoq'!$A$1:$AT$1,),))/100+1)^4)-1</f>
        <v>1.4727847112931736E-2</v>
      </c>
      <c r="I57" s="34">
        <f>(((VLOOKUP(B57,'Data qoq'!$A:$AT,MATCH($I$1,'Data qoq'!$A$1:$AT$1,),))/100+1)^4)-1</f>
        <v>1.3522039815438758E-2</v>
      </c>
      <c r="J57" s="34">
        <f>(((VLOOKUP(B57,'Data qoq'!$A:$AT,MATCH($J$1,'Data qoq'!$A$1:$AT$1,),))/100+1)^4)-1</f>
        <v>-1.8700866196370125E-2</v>
      </c>
      <c r="K57" s="34">
        <f>(((VLOOKUP(B57,'Data qoq'!$A:$AT,MATCH($K$1,'Data qoq'!$A$1:$AT$1,),))/100+1)^4)-1</f>
        <v>-2.5672251585736716E-2</v>
      </c>
      <c r="L57" s="34">
        <f>(((VLOOKUP(B57,'Data qoq'!$A:$AT,MATCH($L$1,'Data qoq'!$A$1:$AT$1,),))/100+1)^4)-1</f>
        <v>5.2203528901779483E-2</v>
      </c>
      <c r="M57" s="34">
        <f>(((VLOOKUP(B57,'Data qoq'!$A:$AT,MATCH($M$1,'Data qoq'!$A$1:$AT$1,),))/100+1)^4)-1</f>
        <v>7.8957804847046953E-2</v>
      </c>
      <c r="N57" s="34">
        <f>(((VLOOKUP(B57,'Data qoq'!$A:$AT,MATCH($N$1,'Data qoq'!$A$1:$AT$1,),))/100+1)^4)-1</f>
        <v>4.9289474498663832E-2</v>
      </c>
      <c r="O57" s="34">
        <f>(((VLOOKUP(B57,'Data qoq'!$A:$AT,MATCH($O$1,'Data qoq'!$A$1:$AT$1,),))/100+1)^4)-1</f>
        <v>-1.5399110672853489E-4</v>
      </c>
      <c r="P57" s="34">
        <f>(((VLOOKUP(B57,'Data qoq'!$A:$AT,MATCH($P$1,'Data qoq'!$A$1:$AT$1,),))/100+1)^4)-1</f>
        <v>5.6338165955273301E-2</v>
      </c>
      <c r="Q57" s="34">
        <f>(((VLOOKUP(B57,'Data qoq'!$A:$AT,MATCH($Q$1,'Data qoq'!$A$1:$AT$1,),))/100+1)^4)-1</f>
        <v>5.4620412137792895E-2</v>
      </c>
      <c r="R57" s="34">
        <f>(((VLOOKUP(B57,'Data qoq'!$A:$AT,MATCH($R$1,'Data qoq'!$A$1:$AT$1,),))/100+1)^4)-1</f>
        <v>-1.4933409899403283E-2</v>
      </c>
      <c r="S57" s="34">
        <f>(((VLOOKUP(B57,'Data qoq'!$A:$AT,MATCH($S$1,'Data qoq'!$A$1:$AT$1,),))/100+1)^4)-1</f>
        <v>2.1219739432011941E-2</v>
      </c>
      <c r="T57" s="34">
        <f>(((VLOOKUP(B57,'Data qoq'!$A:$AT,MATCH($T$1,'Data qoq'!$A$1:$AT$1,),))/100+1)^4)-1</f>
        <v>-8.329154117450055E-3</v>
      </c>
      <c r="U57" s="34">
        <f>(((VLOOKUP(B57,'Data qoq'!$A:$AT,MATCH($U$1,'Data qoq'!$A$1:$AT$1,),))/100+1)^4)-1</f>
        <v>-7.6193289480065651E-2</v>
      </c>
      <c r="V57" s="34">
        <f>(((VLOOKUP(B57,'Data qoq'!$A:$AT,MATCH($V$1,'Data qoq'!$A$1:$AT$1,),))/100+1)^4)-1</f>
        <v>-7.7401766159320706E-2</v>
      </c>
      <c r="W57" s="34">
        <f>(((VLOOKUP(B57,'Data qoq'!$A:$AT,MATCH($W$1,'Data qoq'!$A$1:$AT$1,),))/100+1)^4)-1</f>
        <v>0.11067107889866001</v>
      </c>
      <c r="X57" s="34">
        <f>(((VLOOKUP(B57,'Data qoq'!$A:$AT,MATCH($X$1,'Data qoq'!$A$1:$AT$1,),))/100+1)^4)-1</f>
        <v>-3.2392600262555193E-3</v>
      </c>
      <c r="Y57" s="34">
        <f>(((VLOOKUP(B57,'Data qoq'!$A:$AT,MATCH($Y$1,'Data qoq'!$A$1:$AT$1,),))/100+1)^4)-1</f>
        <v>5.2561487294845666E-2</v>
      </c>
      <c r="Z57" s="34">
        <f>(((VLOOKUP(B57,'Data qoq'!$A:$AU,MATCH($Z$1,'Data qoq'!$A$1:$AU$1,),))/100+1)^4)-1</f>
        <v>3.0777939640686203E-2</v>
      </c>
      <c r="AA57" s="34">
        <f>(((VLOOKUP(B57,'Data qoq'!$A:$AU,MATCH($AA$1,'Data qoq'!$A$1:$AU$1,),))/100+1)^4)-1</f>
        <v>4.3625024823838787E-2</v>
      </c>
      <c r="AC57" s="28" t="str">
        <f t="shared" si="7"/>
        <v>2011-Q3</v>
      </c>
      <c r="AD57" s="33">
        <f t="shared" si="8"/>
        <v>-8.2958686038607787E-3</v>
      </c>
      <c r="AE57" s="29"/>
    </row>
    <row r="58" spans="1:31" hidden="1" x14ac:dyDescent="0.2">
      <c r="A58" s="32">
        <v>40878</v>
      </c>
      <c r="B58" s="26" t="s">
        <v>307</v>
      </c>
      <c r="C58" s="34">
        <f>(((VLOOKUP(B58,'Data qoq'!$A:$AT,MATCH($C$1,'Data qoq'!$A$1:$AT$1,),))/100+1)^4)-1</f>
        <v>4.5627685328668566E-2</v>
      </c>
      <c r="D58" s="34">
        <f>(((VLOOKUP(B58,'Data qoq'!$A:$AT,MATCH($D$1,'Data qoq'!$A$1:$AT$1,),))/100+1)^4)-1</f>
        <v>6.136355062499943E-2</v>
      </c>
      <c r="E58" s="34">
        <f>(((VLOOKUP(B58,'Data qoq'!$A:$AT,MATCH($E$1,'Data qoq'!$A$1:$AT$1,),))/100+1)^4)-1</f>
        <v>-1.5170009824542197E-2</v>
      </c>
      <c r="F58" s="34">
        <f>(((VLOOKUP(B58,'Data qoq'!$A:$AT,MATCH($F$1,'Data qoq'!$A$1:$AT$1,),))/100+1)^4)-1</f>
        <v>-6.3574737126735892E-3</v>
      </c>
      <c r="G58" s="34">
        <f>(((VLOOKUP(B58,'Data qoq'!$A:$AT,MATCH($G$1,'Data qoq'!$A$1:$AT$1,),))/100+1)^4)-1</f>
        <v>-1.2447569101925682E-2</v>
      </c>
      <c r="H58" s="34">
        <f>(((VLOOKUP(B58,'Data qoq'!$A:$AT,MATCH($H$1,'Data qoq'!$A$1:$AT$1,),))/100+1)^4)-1</f>
        <v>6.8410278464374752E-3</v>
      </c>
      <c r="I58" s="34">
        <f>(((VLOOKUP(B58,'Data qoq'!$A:$AT,MATCH($I$1,'Data qoq'!$A$1:$AT$1,),))/100+1)^4)-1</f>
        <v>5.2476164974697426E-3</v>
      </c>
      <c r="J58" s="34">
        <f>(((VLOOKUP(B58,'Data qoq'!$A:$AT,MATCH($J$1,'Data qoq'!$A$1:$AT$1,),))/100+1)^4)-1</f>
        <v>-3.4911214146455705E-2</v>
      </c>
      <c r="K58" s="34">
        <f>(((VLOOKUP(B58,'Data qoq'!$A:$AT,MATCH($K$1,'Data qoq'!$A$1:$AT$1,),))/100+1)^4)-1</f>
        <v>-2.5691109126753431E-2</v>
      </c>
      <c r="L58" s="34">
        <f>(((VLOOKUP(B58,'Data qoq'!$A:$AT,MATCH($L$1,'Data qoq'!$A$1:$AT$1,),))/100+1)^4)-1</f>
        <v>-5.2149785986402519E-2</v>
      </c>
      <c r="M58" s="34">
        <f>(((VLOOKUP(B58,'Data qoq'!$A:$AT,MATCH($M$1,'Data qoq'!$A$1:$AT$1,),))/100+1)^4)-1</f>
        <v>2.8225924334803754E-2</v>
      </c>
      <c r="N58" s="34">
        <f>(((VLOOKUP(B58,'Data qoq'!$A:$AT,MATCH($N$1,'Data qoq'!$A$1:$AT$1,),))/100+1)^4)-1</f>
        <v>5.0224932393927446E-2</v>
      </c>
      <c r="O58" s="34">
        <f>(((VLOOKUP(B58,'Data qoq'!$A:$AT,MATCH($O$1,'Data qoq'!$A$1:$AT$1,),))/100+1)^4)-1</f>
        <v>6.6764927600533319E-2</v>
      </c>
      <c r="P58" s="34">
        <f>(((VLOOKUP(B58,'Data qoq'!$A:$AT,MATCH($P$1,'Data qoq'!$A$1:$AT$1,),))/100+1)^4)-1</f>
        <v>3.1874593298820697E-2</v>
      </c>
      <c r="Q58" s="34">
        <f>(((VLOOKUP(B58,'Data qoq'!$A:$AT,MATCH($Q$1,'Data qoq'!$A$1:$AT$1,),))/100+1)^4)-1</f>
        <v>4.6898486870032396E-2</v>
      </c>
      <c r="R58" s="34">
        <f>(((VLOOKUP(B58,'Data qoq'!$A:$AT,MATCH($R$1,'Data qoq'!$A$1:$AT$1,),))/100+1)^4)-1</f>
        <v>4.3936414544891722E-3</v>
      </c>
      <c r="S58" s="34">
        <f>(((VLOOKUP(B58,'Data qoq'!$A:$AT,MATCH($S$1,'Data qoq'!$A$1:$AT$1,),))/100+1)^4)-1</f>
        <v>1.9026183910156647E-2</v>
      </c>
      <c r="T58" s="34">
        <f>(((VLOOKUP(B58,'Data qoq'!$A:$AT,MATCH($T$1,'Data qoq'!$A$1:$AT$1,),))/100+1)^4)-1</f>
        <v>3.4408160669616938E-2</v>
      </c>
      <c r="U58" s="34">
        <f>(((VLOOKUP(B58,'Data qoq'!$A:$AT,MATCH($U$1,'Data qoq'!$A$1:$AT$1,),))/100+1)^4)-1</f>
        <v>-0.15236189357434216</v>
      </c>
      <c r="V58" s="34">
        <f>(((VLOOKUP(B58,'Data qoq'!$A:$AT,MATCH($V$1,'Data qoq'!$A$1:$AT$1,),))/100+1)^4)-1</f>
        <v>3.4540463425150048E-2</v>
      </c>
      <c r="W58" s="34">
        <f>(((VLOOKUP(B58,'Data qoq'!$A:$AT,MATCH($W$1,'Data qoq'!$A$1:$AT$1,),))/100+1)^4)-1</f>
        <v>5.5407892449708784E-2</v>
      </c>
      <c r="X58" s="34">
        <f>(((VLOOKUP(B58,'Data qoq'!$A:$AT,MATCH($X$1,'Data qoq'!$A$1:$AT$1,),))/100+1)^4)-1</f>
        <v>3.3573836298879112E-3</v>
      </c>
      <c r="Y58" s="34">
        <f>(((VLOOKUP(B58,'Data qoq'!$A:$AT,MATCH($Y$1,'Data qoq'!$A$1:$AT$1,),))/100+1)^4)-1</f>
        <v>2.559666207932132E-2</v>
      </c>
      <c r="Z58" s="34">
        <f>(((VLOOKUP(B58,'Data qoq'!$A:$AU,MATCH($Z$1,'Data qoq'!$A$1:$AU$1,),))/100+1)^4)-1</f>
        <v>3.9630940137480586E-3</v>
      </c>
      <c r="AA58" s="34">
        <f>(((VLOOKUP(B58,'Data qoq'!$A:$AU,MATCH($AA$1,'Data qoq'!$A$1:$AU$1,),))/100+1)^4)-1</f>
        <v>2.2659365247257979E-2</v>
      </c>
      <c r="AC58" s="28" t="str">
        <f t="shared" si="7"/>
        <v>2011-Q4</v>
      </c>
      <c r="AD58" s="33">
        <f t="shared" si="8"/>
        <v>-2.0417626322011939E-2</v>
      </c>
      <c r="AE58" s="29"/>
    </row>
    <row r="59" spans="1:31" hidden="1" x14ac:dyDescent="0.2">
      <c r="A59" s="32">
        <v>40969</v>
      </c>
      <c r="B59" s="26" t="s">
        <v>308</v>
      </c>
      <c r="C59" s="34">
        <f>(((VLOOKUP(B59,'Data qoq'!$A:$AT,MATCH($C$1,'Data qoq'!$A$1:$AT$1,),))/100+1)^4)-1</f>
        <v>3.3120505698075231E-2</v>
      </c>
      <c r="D59" s="34">
        <f>(((VLOOKUP(B59,'Data qoq'!$A:$AT,MATCH($D$1,'Data qoq'!$A$1:$AT$1,),))/100+1)^4)-1</f>
        <v>7.819356632099983E-2</v>
      </c>
      <c r="E59" s="34">
        <f>(((VLOOKUP(B59,'Data qoq'!$A:$AT,MATCH($E$1,'Data qoq'!$A$1:$AT$1,),))/100+1)^4)-1</f>
        <v>-9.9759812460226138E-3</v>
      </c>
      <c r="F59" s="34">
        <f>(((VLOOKUP(B59,'Data qoq'!$A:$AT,MATCH($F$1,'Data qoq'!$A$1:$AT$1,),))/100+1)^4)-1</f>
        <v>5.7139043713788862E-2</v>
      </c>
      <c r="G59" s="34">
        <f>(((VLOOKUP(B59,'Data qoq'!$A:$AT,MATCH($G$1,'Data qoq'!$A$1:$AT$1,),))/100+1)^4)-1</f>
        <v>8.4956184712206007E-3</v>
      </c>
      <c r="H59" s="34">
        <f>(((VLOOKUP(B59,'Data qoq'!$A:$AT,MATCH($H$1,'Data qoq'!$A$1:$AT$1,),))/100+1)^4)-1</f>
        <v>3.8841337715080915E-3</v>
      </c>
      <c r="I59" s="34">
        <f>(((VLOOKUP(B59,'Data qoq'!$A:$AT,MATCH($I$1,'Data qoq'!$A$1:$AT$1,),))/100+1)^4)-1</f>
        <v>2.8000585256275246E-2</v>
      </c>
      <c r="J59" s="34">
        <f>(((VLOOKUP(B59,'Data qoq'!$A:$AT,MATCH($J$1,'Data qoq'!$A$1:$AT$1,),))/100+1)^4)-1</f>
        <v>-4.6315113322587864E-2</v>
      </c>
      <c r="K59" s="34">
        <f>(((VLOOKUP(B59,'Data qoq'!$A:$AT,MATCH($K$1,'Data qoq'!$A$1:$AT$1,),))/100+1)^4)-1</f>
        <v>-3.6962013107229019E-2</v>
      </c>
      <c r="L59" s="34">
        <f>(((VLOOKUP(B59,'Data qoq'!$A:$AT,MATCH($L$1,'Data qoq'!$A$1:$AT$1,),))/100+1)^4)-1</f>
        <v>5.186927342549108E-3</v>
      </c>
      <c r="M59" s="34">
        <f>(((VLOOKUP(B59,'Data qoq'!$A:$AT,MATCH($M$1,'Data qoq'!$A$1:$AT$1,),))/100+1)^4)-1</f>
        <v>2.655882832069878E-2</v>
      </c>
      <c r="N59" s="34">
        <f>(((VLOOKUP(B59,'Data qoq'!$A:$AT,MATCH($N$1,'Data qoq'!$A$1:$AT$1,),))/100+1)^4)-1</f>
        <v>6.1876560497708732E-2</v>
      </c>
      <c r="O59" s="34">
        <f>(((VLOOKUP(B59,'Data qoq'!$A:$AT,MATCH($O$1,'Data qoq'!$A$1:$AT$1,),))/100+1)^4)-1</f>
        <v>5.6385698517759542E-2</v>
      </c>
      <c r="P59" s="34">
        <f>(((VLOOKUP(B59,'Data qoq'!$A:$AT,MATCH($P$1,'Data qoq'!$A$1:$AT$1,),))/100+1)^4)-1</f>
        <v>2.5659590855635628E-3</v>
      </c>
      <c r="Q59" s="34">
        <f>(((VLOOKUP(B59,'Data qoq'!$A:$AT,MATCH($Q$1,'Data qoq'!$A$1:$AT$1,),))/100+1)^4)-1</f>
        <v>3.7564578915872726E-2</v>
      </c>
      <c r="R59" s="34">
        <f>(((VLOOKUP(B59,'Data qoq'!$A:$AT,MATCH($R$1,'Data qoq'!$A$1:$AT$1,),))/100+1)^4)-1</f>
        <v>4.2139629183856053E-2</v>
      </c>
      <c r="S59" s="34">
        <f>(((VLOOKUP(B59,'Data qoq'!$A:$AT,MATCH($S$1,'Data qoq'!$A$1:$AT$1,),))/100+1)^4)-1</f>
        <v>3.5078865103473689E-2</v>
      </c>
      <c r="T59" s="34">
        <f>(((VLOOKUP(B59,'Data qoq'!$A:$AT,MATCH($T$1,'Data qoq'!$A$1:$AT$1,),))/100+1)^4)-1</f>
        <v>-5.1091755671658579E-2</v>
      </c>
      <c r="U59" s="34">
        <f>(((VLOOKUP(B59,'Data qoq'!$A:$AT,MATCH($U$1,'Data qoq'!$A$1:$AT$1,),))/100+1)^4)-1</f>
        <v>-2.8664093178640271E-2</v>
      </c>
      <c r="V59" s="34">
        <f>(((VLOOKUP(B59,'Data qoq'!$A:$AT,MATCH($V$1,'Data qoq'!$A$1:$AT$1,),))/100+1)^4)-1</f>
        <v>-3.9355258289645256E-2</v>
      </c>
      <c r="W59" s="34">
        <f>(((VLOOKUP(B59,'Data qoq'!$A:$AT,MATCH($W$1,'Data qoq'!$A$1:$AT$1,),))/100+1)^4)-1</f>
        <v>-3.5118743335027403E-2</v>
      </c>
      <c r="X59" s="34">
        <f>(((VLOOKUP(B59,'Data qoq'!$A:$AT,MATCH($X$1,'Data qoq'!$A$1:$AT$1,),))/100+1)^4)-1</f>
        <v>-9.3781581678111792E-3</v>
      </c>
      <c r="Y59" s="34">
        <f>(((VLOOKUP(B59,'Data qoq'!$A:$AT,MATCH($Y$1,'Data qoq'!$A$1:$AT$1,),))/100+1)^4)-1</f>
        <v>2.7122652470599196E-3</v>
      </c>
      <c r="Z59" s="34">
        <f>(((VLOOKUP(B59,'Data qoq'!$A:$AU,MATCH($Z$1,'Data qoq'!$A$1:$AU$1,),))/100+1)^4)-1</f>
        <v>-4.2816648260128098E-2</v>
      </c>
      <c r="AA59" s="34">
        <f>(((VLOOKUP(B59,'Data qoq'!$A:$AU,MATCH($AA$1,'Data qoq'!$A$1:$AU$1,),))/100+1)^4)-1</f>
        <v>2.3018001239093921E-2</v>
      </c>
      <c r="AC59" s="28" t="str">
        <f t="shared" si="7"/>
        <v>2012-Q1</v>
      </c>
      <c r="AD59" s="33">
        <f t="shared" si="8"/>
        <v>-3.7976566502297859E-2</v>
      </c>
      <c r="AE59" s="29"/>
    </row>
    <row r="60" spans="1:31" hidden="1" x14ac:dyDescent="0.2">
      <c r="A60" s="32">
        <v>41061</v>
      </c>
      <c r="B60" s="26" t="s">
        <v>309</v>
      </c>
      <c r="C60" s="34">
        <f>(((VLOOKUP(B60,'Data qoq'!$A:$AT,MATCH($C$1,'Data qoq'!$A$1:$AT$1,),))/100+1)^4)-1</f>
        <v>1.8359463834497713E-2</v>
      </c>
      <c r="D60" s="34">
        <f>(((VLOOKUP(B60,'Data qoq'!$A:$AT,MATCH($D$1,'Data qoq'!$A$1:$AT$1,),))/100+1)^4)-1</f>
        <v>8.6683238480999458E-2</v>
      </c>
      <c r="E60" s="34">
        <f>(((VLOOKUP(B60,'Data qoq'!$A:$AT,MATCH($E$1,'Data qoq'!$A$1:$AT$1,),))/100+1)^4)-1</f>
        <v>-1.0167918462228531E-2</v>
      </c>
      <c r="F60" s="34">
        <f>(((VLOOKUP(B60,'Data qoq'!$A:$AT,MATCH($F$1,'Data qoq'!$A$1:$AT$1,),))/100+1)^4)-1</f>
        <v>-3.6062758293322728E-2</v>
      </c>
      <c r="G60" s="34">
        <f>(((VLOOKUP(B60,'Data qoq'!$A:$AT,MATCH($G$1,'Data qoq'!$A$1:$AT$1,),))/100+1)^4)-1</f>
        <v>7.5327511595826291E-3</v>
      </c>
      <c r="H60" s="34">
        <f>(((VLOOKUP(B60,'Data qoq'!$A:$AT,MATCH($H$1,'Data qoq'!$A$1:$AT$1,),))/100+1)^4)-1</f>
        <v>-6.4422645523957156E-3</v>
      </c>
      <c r="I60" s="34">
        <f>(((VLOOKUP(B60,'Data qoq'!$A:$AT,MATCH($I$1,'Data qoq'!$A$1:$AT$1,),))/100+1)^4)-1</f>
        <v>-5.8668011103021334E-3</v>
      </c>
      <c r="J60" s="34">
        <f>(((VLOOKUP(B60,'Data qoq'!$A:$AT,MATCH($J$1,'Data qoq'!$A$1:$AT$1,),))/100+1)^4)-1</f>
        <v>-2.8236338529440408E-2</v>
      </c>
      <c r="K60" s="34">
        <f>(((VLOOKUP(B60,'Data qoq'!$A:$AT,MATCH($K$1,'Data qoq'!$A$1:$AT$1,),))/100+1)^4)-1</f>
        <v>-3.7898546614003936E-2</v>
      </c>
      <c r="L60" s="34">
        <f>(((VLOOKUP(B60,'Data qoq'!$A:$AT,MATCH($L$1,'Data qoq'!$A$1:$AT$1,),))/100+1)^4)-1</f>
        <v>6.5245903674062689E-3</v>
      </c>
      <c r="M60" s="34">
        <f>(((VLOOKUP(B60,'Data qoq'!$A:$AT,MATCH($M$1,'Data qoq'!$A$1:$AT$1,),))/100+1)^4)-1</f>
        <v>3.343936966180161E-2</v>
      </c>
      <c r="N60" s="34">
        <f>(((VLOOKUP(B60,'Data qoq'!$A:$AT,MATCH($N$1,'Data qoq'!$A$1:$AT$1,),))/100+1)^4)-1</f>
        <v>1.6255172423722541E-2</v>
      </c>
      <c r="O60" s="34">
        <f>(((VLOOKUP(B60,'Data qoq'!$A:$AT,MATCH($O$1,'Data qoq'!$A$1:$AT$1,),))/100+1)^4)-1</f>
        <v>4.7128737440943702E-2</v>
      </c>
      <c r="P60" s="34">
        <f>(((VLOOKUP(B60,'Data qoq'!$A:$AT,MATCH($P$1,'Data qoq'!$A$1:$AT$1,),))/100+1)^4)-1</f>
        <v>1.3110518055998055E-2</v>
      </c>
      <c r="Q60" s="34">
        <f>(((VLOOKUP(B60,'Data qoq'!$A:$AT,MATCH($Q$1,'Data qoq'!$A$1:$AT$1,),))/100+1)^4)-1</f>
        <v>3.0551935617409764E-2</v>
      </c>
      <c r="R60" s="34">
        <f>(((VLOOKUP(B60,'Data qoq'!$A:$AT,MATCH($R$1,'Data qoq'!$A$1:$AT$1,),))/100+1)^4)-1</f>
        <v>-2.1670406660865282E-3</v>
      </c>
      <c r="S60" s="34">
        <f>(((VLOOKUP(B60,'Data qoq'!$A:$AT,MATCH($S$1,'Data qoq'!$A$1:$AT$1,),))/100+1)^4)-1</f>
        <v>2.2831907295441045E-2</v>
      </c>
      <c r="T60" s="34">
        <f>(((VLOOKUP(B60,'Data qoq'!$A:$AT,MATCH($T$1,'Data qoq'!$A$1:$AT$1,),))/100+1)^4)-1</f>
        <v>6.9953028427645947E-2</v>
      </c>
      <c r="U60" s="34">
        <f>(((VLOOKUP(B60,'Data qoq'!$A:$AT,MATCH($U$1,'Data qoq'!$A$1:$AT$1,),))/100+1)^4)-1</f>
        <v>-6.6189022538880371E-2</v>
      </c>
      <c r="V60" s="34">
        <f>(((VLOOKUP(B60,'Data qoq'!$A:$AT,MATCH($V$1,'Data qoq'!$A$1:$AT$1,),))/100+1)^4)-1</f>
        <v>8.6246597012292092E-2</v>
      </c>
      <c r="W60" s="34">
        <f>(((VLOOKUP(B60,'Data qoq'!$A:$AT,MATCH($W$1,'Data qoq'!$A$1:$AT$1,),))/100+1)^4)-1</f>
        <v>7.091239531984761E-2</v>
      </c>
      <c r="X60" s="34">
        <f>(((VLOOKUP(B60,'Data qoq'!$A:$AT,MATCH($X$1,'Data qoq'!$A$1:$AT$1,),))/100+1)^4)-1</f>
        <v>-1.8361154912787447E-2</v>
      </c>
      <c r="Y60" s="34">
        <f>(((VLOOKUP(B60,'Data qoq'!$A:$AT,MATCH($Y$1,'Data qoq'!$A$1:$AT$1,),))/100+1)^4)-1</f>
        <v>-9.7702572798834542E-3</v>
      </c>
      <c r="Z60" s="34">
        <f>(((VLOOKUP(B60,'Data qoq'!$A:$AU,MATCH($Z$1,'Data qoq'!$A$1:$AU$1,),))/100+1)^4)-1</f>
        <v>-0.13024254098242005</v>
      </c>
      <c r="AA60" s="34">
        <f>(((VLOOKUP(B60,'Data qoq'!$A:$AU,MATCH($AA$1,'Data qoq'!$A$1:$AU$1,),))/100+1)^4)-1</f>
        <v>1.3895196237704299E-2</v>
      </c>
      <c r="AC60" s="28" t="str">
        <f t="shared" si="7"/>
        <v>2012-Q2</v>
      </c>
      <c r="AD60" s="33">
        <f t="shared" si="8"/>
        <v>-4.3011173519263979E-3</v>
      </c>
      <c r="AE60" s="29"/>
    </row>
    <row r="61" spans="1:31" hidden="1" x14ac:dyDescent="0.2">
      <c r="A61" s="32">
        <v>41153</v>
      </c>
      <c r="B61" s="26" t="s">
        <v>310</v>
      </c>
      <c r="C61" s="34">
        <f>(((VLOOKUP(B61,'Data qoq'!$A:$AT,MATCH($C$1,'Data qoq'!$A$1:$AT$1,),))/100+1)^4)-1</f>
        <v>7.0136909574731732E-3</v>
      </c>
      <c r="D61" s="34">
        <f>(((VLOOKUP(B61,'Data qoq'!$A:$AT,MATCH($D$1,'Data qoq'!$A$1:$AT$1,),))/100+1)^4)-1</f>
        <v>7.819356632099983E-2</v>
      </c>
      <c r="E61" s="34">
        <f>(((VLOOKUP(B61,'Data qoq'!$A:$AT,MATCH($E$1,'Data qoq'!$A$1:$AT$1,),))/100+1)^4)-1</f>
        <v>-5.1916617730540793E-3</v>
      </c>
      <c r="F61" s="34">
        <f>(((VLOOKUP(B61,'Data qoq'!$A:$AT,MATCH($F$1,'Data qoq'!$A$1:$AT$1,),))/100+1)^4)-1</f>
        <v>-1.4743962811460953E-2</v>
      </c>
      <c r="G61" s="34">
        <f>(((VLOOKUP(B61,'Data qoq'!$A:$AT,MATCH($G$1,'Data qoq'!$A$1:$AT$1,),))/100+1)^4)-1</f>
        <v>1.1713986632237106E-2</v>
      </c>
      <c r="H61" s="34">
        <f>(((VLOOKUP(B61,'Data qoq'!$A:$AT,MATCH($H$1,'Data qoq'!$A$1:$AT$1,),))/100+1)^4)-1</f>
        <v>7.8607146023406127E-3</v>
      </c>
      <c r="I61" s="34">
        <f>(((VLOOKUP(B61,'Data qoq'!$A:$AT,MATCH($I$1,'Data qoq'!$A$1:$AT$1,),))/100+1)^4)-1</f>
        <v>4.9658232178982908E-2</v>
      </c>
      <c r="J61" s="34">
        <f>(((VLOOKUP(B61,'Data qoq'!$A:$AT,MATCH($J$1,'Data qoq'!$A$1:$AT$1,),))/100+1)^4)-1</f>
        <v>-2.1475702416126063E-2</v>
      </c>
      <c r="K61" s="34">
        <f>(((VLOOKUP(B61,'Data qoq'!$A:$AT,MATCH($K$1,'Data qoq'!$A$1:$AT$1,),))/100+1)^4)-1</f>
        <v>-2.0232269063222397E-2</v>
      </c>
      <c r="L61" s="34">
        <f>(((VLOOKUP(B61,'Data qoq'!$A:$AT,MATCH($L$1,'Data qoq'!$A$1:$AT$1,),))/100+1)^4)-1</f>
        <v>-5.9963063780855697E-3</v>
      </c>
      <c r="M61" s="34">
        <f>(((VLOOKUP(B61,'Data qoq'!$A:$AT,MATCH($M$1,'Data qoq'!$A$1:$AT$1,),))/100+1)^4)-1</f>
        <v>2.4369943146397954E-2</v>
      </c>
      <c r="N61" s="34">
        <f>(((VLOOKUP(B61,'Data qoq'!$A:$AT,MATCH($N$1,'Data qoq'!$A$1:$AT$1,),))/100+1)^4)-1</f>
        <v>2.0792873150833779E-2</v>
      </c>
      <c r="O61" s="34">
        <f>(((VLOOKUP(B61,'Data qoq'!$A:$AT,MATCH($O$1,'Data qoq'!$A$1:$AT$1,),))/100+1)^4)-1</f>
        <v>7.371426068003939E-2</v>
      </c>
      <c r="P61" s="34">
        <f>(((VLOOKUP(B61,'Data qoq'!$A:$AT,MATCH($P$1,'Data qoq'!$A$1:$AT$1,),))/100+1)^4)-1</f>
        <v>5.4598274135113645E-3</v>
      </c>
      <c r="Q61" s="34">
        <f>(((VLOOKUP(B61,'Data qoq'!$A:$AT,MATCH($Q$1,'Data qoq'!$A$1:$AT$1,),))/100+1)^4)-1</f>
        <v>2.4004198765747997E-2</v>
      </c>
      <c r="R61" s="34">
        <f>(((VLOOKUP(B61,'Data qoq'!$A:$AT,MATCH($R$1,'Data qoq'!$A$1:$AT$1,),))/100+1)^4)-1</f>
        <v>2.8661123527984333E-2</v>
      </c>
      <c r="S61" s="34">
        <f>(((VLOOKUP(B61,'Data qoq'!$A:$AT,MATCH($S$1,'Data qoq'!$A$1:$AT$1,),))/100+1)^4)-1</f>
        <v>1.8193908293724803E-2</v>
      </c>
      <c r="T61" s="34">
        <f>(((VLOOKUP(B61,'Data qoq'!$A:$AT,MATCH($T$1,'Data qoq'!$A$1:$AT$1,),))/100+1)^4)-1</f>
        <v>7.2345936043704651E-2</v>
      </c>
      <c r="U61" s="34">
        <f>(((VLOOKUP(B61,'Data qoq'!$A:$AT,MATCH($U$1,'Data qoq'!$A$1:$AT$1,),))/100+1)^4)-1</f>
        <v>-5.4938976944202134E-2</v>
      </c>
      <c r="V61" s="34">
        <f>(((VLOOKUP(B61,'Data qoq'!$A:$AT,MATCH($V$1,'Data qoq'!$A$1:$AT$1,),))/100+1)^4)-1</f>
        <v>-8.7401908375627446E-2</v>
      </c>
      <c r="W61" s="34">
        <f>(((VLOOKUP(B61,'Data qoq'!$A:$AT,MATCH($W$1,'Data qoq'!$A$1:$AT$1,),))/100+1)^4)-1</f>
        <v>7.2482536490507066E-2</v>
      </c>
      <c r="X61" s="34">
        <f>(((VLOOKUP(B61,'Data qoq'!$A:$AT,MATCH($X$1,'Data qoq'!$A$1:$AT$1,),))/100+1)^4)-1</f>
        <v>-1.2188074423372108E-2</v>
      </c>
      <c r="Y61" s="34">
        <f>(((VLOOKUP(B61,'Data qoq'!$A:$AT,MATCH($Y$1,'Data qoq'!$A$1:$AT$1,),))/100+1)^4)-1</f>
        <v>1.7693900129820861E-2</v>
      </c>
      <c r="Z61" s="34">
        <f>(((VLOOKUP(B61,'Data qoq'!$A:$AU,MATCH($Z$1,'Data qoq'!$A$1:$AU$1,),))/100+1)^4)-1</f>
        <v>0.13163020779893597</v>
      </c>
      <c r="AA61" s="34">
        <f>(((VLOOKUP(B61,'Data qoq'!$A:$AU,MATCH($AA$1,'Data qoq'!$A$1:$AU$1,),))/100+1)^4)-1</f>
        <v>9.9729137878932228E-3</v>
      </c>
      <c r="AC61" s="28" t="str">
        <f t="shared" si="7"/>
        <v>2012-Q3</v>
      </c>
      <c r="AD61" s="33">
        <f t="shared" si="8"/>
        <v>-5.4849893952036988E-2</v>
      </c>
      <c r="AE61" s="29"/>
    </row>
    <row r="62" spans="1:31" hidden="1" x14ac:dyDescent="0.2">
      <c r="A62" s="32">
        <v>41244</v>
      </c>
      <c r="B62" s="26" t="s">
        <v>311</v>
      </c>
      <c r="C62" s="34">
        <f>(((VLOOKUP(B62,'Data qoq'!$A:$AT,MATCH($C$1,'Data qoq'!$A$1:$AT$1,),))/100+1)^4)-1</f>
        <v>4.4007666225549524E-3</v>
      </c>
      <c r="D62" s="34">
        <f>(((VLOOKUP(B62,'Data qoq'!$A:$AT,MATCH($D$1,'Data qoq'!$A$1:$AT$1,),))/100+1)^4)-1</f>
        <v>7.819356632099983E-2</v>
      </c>
      <c r="E62" s="34">
        <f>(((VLOOKUP(B62,'Data qoq'!$A:$AT,MATCH($E$1,'Data qoq'!$A$1:$AT$1,),))/100+1)^4)-1</f>
        <v>-1.6204271835980832E-2</v>
      </c>
      <c r="F62" s="34">
        <f>(((VLOOKUP(B62,'Data qoq'!$A:$AT,MATCH($F$1,'Data qoq'!$A$1:$AT$1,),))/100+1)^4)-1</f>
        <v>-3.3422261260148689E-3</v>
      </c>
      <c r="G62" s="34">
        <f>(((VLOOKUP(B62,'Data qoq'!$A:$AT,MATCH($G$1,'Data qoq'!$A$1:$AT$1,),))/100+1)^4)-1</f>
        <v>-1.7739730415393229E-2</v>
      </c>
      <c r="H62" s="34">
        <f>(((VLOOKUP(B62,'Data qoq'!$A:$AT,MATCH($H$1,'Data qoq'!$A$1:$AT$1,),))/100+1)^4)-1</f>
        <v>-2.9113105130729178E-3</v>
      </c>
      <c r="I62" s="34">
        <f>(((VLOOKUP(B62,'Data qoq'!$A:$AT,MATCH($I$1,'Data qoq'!$A$1:$AT$1,),))/100+1)^4)-1</f>
        <v>-8.6353569368421423E-3</v>
      </c>
      <c r="J62" s="34">
        <f>(((VLOOKUP(B62,'Data qoq'!$A:$AT,MATCH($J$1,'Data qoq'!$A$1:$AT$1,),))/100+1)^4)-1</f>
        <v>-3.0251223805651817E-2</v>
      </c>
      <c r="K62" s="34">
        <f>(((VLOOKUP(B62,'Data qoq'!$A:$AT,MATCH($K$1,'Data qoq'!$A$1:$AT$1,),))/100+1)^4)-1</f>
        <v>-3.0159058069810674E-2</v>
      </c>
      <c r="L62" s="34">
        <f>(((VLOOKUP(B62,'Data qoq'!$A:$AT,MATCH($L$1,'Data qoq'!$A$1:$AT$1,),))/100+1)^4)-1</f>
        <v>-2.4902128423307079E-2</v>
      </c>
      <c r="M62" s="34">
        <f>(((VLOOKUP(B62,'Data qoq'!$A:$AT,MATCH($M$1,'Data qoq'!$A$1:$AT$1,),))/100+1)^4)-1</f>
        <v>3.4132376478544169E-2</v>
      </c>
      <c r="N62" s="34">
        <f>(((VLOOKUP(B62,'Data qoq'!$A:$AT,MATCH($N$1,'Data qoq'!$A$1:$AT$1,),))/100+1)^4)-1</f>
        <v>2.6907942061502599E-3</v>
      </c>
      <c r="O62" s="34">
        <f>(((VLOOKUP(B62,'Data qoq'!$A:$AT,MATCH($O$1,'Data qoq'!$A$1:$AT$1,),))/100+1)^4)-1</f>
        <v>4.832628925635496E-2</v>
      </c>
      <c r="P62" s="34">
        <f>(((VLOOKUP(B62,'Data qoq'!$A:$AT,MATCH($P$1,'Data qoq'!$A$1:$AT$1,),))/100+1)^4)-1</f>
        <v>8.2969493308089337E-3</v>
      </c>
      <c r="Q62" s="34">
        <f>(((VLOOKUP(B62,'Data qoq'!$A:$AT,MATCH($Q$1,'Data qoq'!$A$1:$AT$1,),))/100+1)^4)-1</f>
        <v>2.1373368244482993E-2</v>
      </c>
      <c r="R62" s="34">
        <f>(((VLOOKUP(B62,'Data qoq'!$A:$AT,MATCH($R$1,'Data qoq'!$A$1:$AT$1,),))/100+1)^4)-1</f>
        <v>-4.3281427238822667E-3</v>
      </c>
      <c r="S62" s="34">
        <f>(((VLOOKUP(B62,'Data qoq'!$A:$AT,MATCH($S$1,'Data qoq'!$A$1:$AT$1,),))/100+1)^4)-1</f>
        <v>2.0241808681939366E-2</v>
      </c>
      <c r="T62" s="34">
        <f>(((VLOOKUP(B62,'Data qoq'!$A:$AT,MATCH($T$1,'Data qoq'!$A$1:$AT$1,),))/100+1)^4)-1</f>
        <v>-1.4205683368904154E-3</v>
      </c>
      <c r="U62" s="34">
        <f>(((VLOOKUP(B62,'Data qoq'!$A:$AT,MATCH($U$1,'Data qoq'!$A$1:$AT$1,),))/100+1)^4)-1</f>
        <v>-2.2548701186246523E-2</v>
      </c>
      <c r="V62" s="34">
        <f>(((VLOOKUP(B62,'Data qoq'!$A:$AT,MATCH($V$1,'Data qoq'!$A$1:$AT$1,),))/100+1)^4)-1</f>
        <v>7.9758423932943856E-2</v>
      </c>
      <c r="W62" s="34">
        <f>(((VLOOKUP(B62,'Data qoq'!$A:$AT,MATCH($W$1,'Data qoq'!$A$1:$AT$1,),))/100+1)^4)-1</f>
        <v>6.5673769498015178E-2</v>
      </c>
      <c r="X62" s="34">
        <f>(((VLOOKUP(B62,'Data qoq'!$A:$AT,MATCH($X$1,'Data qoq'!$A$1:$AT$1,),))/100+1)^4)-1</f>
        <v>-9.402118188404307E-3</v>
      </c>
      <c r="Y62" s="34">
        <f>(((VLOOKUP(B62,'Data qoq'!$A:$AT,MATCH($Y$1,'Data qoq'!$A$1:$AT$1,),))/100+1)^4)-1</f>
        <v>-2.0895817158636421E-2</v>
      </c>
      <c r="Z62" s="34">
        <f>(((VLOOKUP(B62,'Data qoq'!$A:$AU,MATCH($Z$1,'Data qoq'!$A$1:$AU$1,),))/100+1)^4)-1</f>
        <v>7.0405073851450117E-2</v>
      </c>
      <c r="AA62" s="34">
        <f>(((VLOOKUP(B62,'Data qoq'!$A:$AU,MATCH($AA$1,'Data qoq'!$A$1:$AU$1,),))/100+1)^4)-1</f>
        <v>6.473083483164066E-2</v>
      </c>
      <c r="AC62" s="28" t="str">
        <f t="shared" si="7"/>
        <v>2012-Q4</v>
      </c>
      <c r="AD62" s="33">
        <f t="shared" si="8"/>
        <v>-7.5689148991386901E-3</v>
      </c>
      <c r="AE62" s="29"/>
    </row>
    <row r="63" spans="1:31" hidden="1" x14ac:dyDescent="0.2">
      <c r="A63" s="32">
        <v>41334</v>
      </c>
      <c r="B63" s="26" t="s">
        <v>312</v>
      </c>
      <c r="C63" s="34">
        <f>(((VLOOKUP(B63,'Data qoq'!$A:$AT,MATCH($C$1,'Data qoq'!$A$1:$AT$1,),))/100+1)^4)-1</f>
        <v>3.5166036796619116E-2</v>
      </c>
      <c r="D63" s="34">
        <f>(((VLOOKUP(B63,'Data qoq'!$A:$AT,MATCH($D$1,'Data qoq'!$A$1:$AT$1,),))/100+1)^4)-1</f>
        <v>7.3967432976000058E-2</v>
      </c>
      <c r="E63" s="34">
        <f>(((VLOOKUP(B63,'Data qoq'!$A:$AT,MATCH($E$1,'Data qoq'!$A$1:$AT$1,),))/100+1)^4)-1</f>
        <v>-1.5318924201464301E-2</v>
      </c>
      <c r="F63" s="34">
        <f>(((VLOOKUP(B63,'Data qoq'!$A:$AT,MATCH($F$1,'Data qoq'!$A$1:$AT$1,),))/100+1)^4)-1</f>
        <v>5.6933196993697033E-2</v>
      </c>
      <c r="G63" s="34">
        <f>(((VLOOKUP(B63,'Data qoq'!$A:$AT,MATCH($G$1,'Data qoq'!$A$1:$AT$1,),))/100+1)^4)-1</f>
        <v>-1.8539968587899303E-2</v>
      </c>
      <c r="H63" s="34">
        <f>(((VLOOKUP(B63,'Data qoq'!$A:$AT,MATCH($H$1,'Data qoq'!$A$1:$AT$1,),))/100+1)^4)-1</f>
        <v>-2.8709740547760987E-4</v>
      </c>
      <c r="I63" s="34">
        <f>(((VLOOKUP(B63,'Data qoq'!$A:$AT,MATCH($I$1,'Data qoq'!$A$1:$AT$1,),))/100+1)^4)-1</f>
        <v>2.1333169054184919E-2</v>
      </c>
      <c r="J63" s="34">
        <f>(((VLOOKUP(B63,'Data qoq'!$A:$AT,MATCH($J$1,'Data qoq'!$A$1:$AT$1,),))/100+1)^4)-1</f>
        <v>-3.5680385412923288E-2</v>
      </c>
      <c r="K63" s="34">
        <f>(((VLOOKUP(B63,'Data qoq'!$A:$AT,MATCH($K$1,'Data qoq'!$A$1:$AT$1,),))/100+1)^4)-1</f>
        <v>-1.2724106160600157E-2</v>
      </c>
      <c r="L63" s="34">
        <f>(((VLOOKUP(B63,'Data qoq'!$A:$AT,MATCH($L$1,'Data qoq'!$A$1:$AT$1,),))/100+1)^4)-1</f>
        <v>5.3931012530827882E-2</v>
      </c>
      <c r="M63" s="34">
        <f>(((VLOOKUP(B63,'Data qoq'!$A:$AT,MATCH($M$1,'Data qoq'!$A$1:$AT$1,),))/100+1)^4)-1</f>
        <v>1.0532212963981102E-2</v>
      </c>
      <c r="N63" s="34">
        <f>(((VLOOKUP(B63,'Data qoq'!$A:$AT,MATCH($N$1,'Data qoq'!$A$1:$AT$1,),))/100+1)^4)-1</f>
        <v>2.9956545493933229E-2</v>
      </c>
      <c r="O63" s="34">
        <f>(((VLOOKUP(B63,'Data qoq'!$A:$AT,MATCH($O$1,'Data qoq'!$A$1:$AT$1,),))/100+1)^4)-1</f>
        <v>6.5499172912470094E-2</v>
      </c>
      <c r="P63" s="34">
        <f>(((VLOOKUP(B63,'Data qoq'!$A:$AT,MATCH($P$1,'Data qoq'!$A$1:$AT$1,),))/100+1)^4)-1</f>
        <v>3.6365858284001185E-2</v>
      </c>
      <c r="Q63" s="34">
        <f>(((VLOOKUP(B63,'Data qoq'!$A:$AT,MATCH($Q$1,'Data qoq'!$A$1:$AT$1,),))/100+1)^4)-1</f>
        <v>1.1886772132223333E-2</v>
      </c>
      <c r="R63" s="34">
        <f>(((VLOOKUP(B63,'Data qoq'!$A:$AT,MATCH($R$1,'Data qoq'!$A$1:$AT$1,),))/100+1)^4)-1</f>
        <v>1.8265291183143129E-2</v>
      </c>
      <c r="S63" s="34">
        <f>(((VLOOKUP(B63,'Data qoq'!$A:$AT,MATCH($S$1,'Data qoq'!$A$1:$AT$1,),))/100+1)^4)-1</f>
        <v>3.4974398133742479E-2</v>
      </c>
      <c r="T63" s="34">
        <f>(((VLOOKUP(B63,'Data qoq'!$A:$AT,MATCH($T$1,'Data qoq'!$A$1:$AT$1,),))/100+1)^4)-1</f>
        <v>1.819883345615092E-2</v>
      </c>
      <c r="U63" s="34">
        <f>(((VLOOKUP(B63,'Data qoq'!$A:$AT,MATCH($U$1,'Data qoq'!$A$1:$AT$1,),))/100+1)^4)-1</f>
        <v>-4.6241432439789509E-2</v>
      </c>
      <c r="V63" s="34">
        <f>(((VLOOKUP(B63,'Data qoq'!$A:$AT,MATCH($V$1,'Data qoq'!$A$1:$AT$1,),))/100+1)^4)-1</f>
        <v>-9.2254262908327722E-2</v>
      </c>
      <c r="W63" s="34">
        <f>(((VLOOKUP(B63,'Data qoq'!$A:$AT,MATCH($W$1,'Data qoq'!$A$1:$AT$1,),))/100+1)^4)-1</f>
        <v>0.1224473036553404</v>
      </c>
      <c r="X63" s="34">
        <f>(((VLOOKUP(B63,'Data qoq'!$A:$AT,MATCH($X$1,'Data qoq'!$A$1:$AT$1,),))/100+1)^4)-1</f>
        <v>-1.4392855960004169E-2</v>
      </c>
      <c r="Y63" s="34">
        <f>(((VLOOKUP(B63,'Data qoq'!$A:$AT,MATCH($Y$1,'Data qoq'!$A$1:$AT$1,),))/100+1)^4)-1</f>
        <v>2.9072537421133138E-3</v>
      </c>
      <c r="Z63" s="34">
        <f>(((VLOOKUP(B63,'Data qoq'!$A:$AU,MATCH($Z$1,'Data qoq'!$A$1:$AU$1,),))/100+1)^4)-1</f>
        <v>-1.3714821539192457E-3</v>
      </c>
      <c r="AA63" s="34">
        <f>(((VLOOKUP(B63,'Data qoq'!$A:$AU,MATCH($AA$1,'Data qoq'!$A$1:$AU$1,),))/100+1)^4)-1</f>
        <v>-1.2785275921762818E-2</v>
      </c>
      <c r="AC63" s="28" t="str">
        <f t="shared" si="7"/>
        <v>2013-Q1</v>
      </c>
      <c r="AD63" s="33">
        <f t="shared" si="8"/>
        <v>-3.6652093255649221E-2</v>
      </c>
      <c r="AE63" s="29"/>
    </row>
    <row r="64" spans="1:31" hidden="1" x14ac:dyDescent="0.2">
      <c r="A64" s="32">
        <v>41426</v>
      </c>
      <c r="B64" s="26" t="s">
        <v>313</v>
      </c>
      <c r="C64" s="34">
        <f>(((VLOOKUP(B64,'Data qoq'!$A:$AT,MATCH($C$1,'Data qoq'!$A$1:$AT$1,),))/100+1)^4)-1</f>
        <v>5.5870765795456023E-3</v>
      </c>
      <c r="D64" s="34">
        <f>(((VLOOKUP(B64,'Data qoq'!$A:$AT,MATCH($D$1,'Data qoq'!$A$1:$AT$1,),))/100+1)^4)-1</f>
        <v>7.3967432976000058E-2</v>
      </c>
      <c r="E64" s="34">
        <f>(((VLOOKUP(B64,'Data qoq'!$A:$AT,MATCH($E$1,'Data qoq'!$A$1:$AT$1,),))/100+1)^4)-1</f>
        <v>2.1769818204754321E-2</v>
      </c>
      <c r="F64" s="34">
        <f>(((VLOOKUP(B64,'Data qoq'!$A:$AT,MATCH($F$1,'Data qoq'!$A$1:$AT$1,),))/100+1)^4)-1</f>
        <v>3.5973058504892297E-2</v>
      </c>
      <c r="G64" s="34">
        <f>(((VLOOKUP(B64,'Data qoq'!$A:$AT,MATCH($G$1,'Data qoq'!$A$1:$AT$1,),))/100+1)^4)-1</f>
        <v>4.3444215073715542E-2</v>
      </c>
      <c r="H64" s="34">
        <f>(((VLOOKUP(B64,'Data qoq'!$A:$AT,MATCH($H$1,'Data qoq'!$A$1:$AT$1,),))/100+1)^4)-1</f>
        <v>2.6441664055834035E-2</v>
      </c>
      <c r="I64" s="34">
        <f>(((VLOOKUP(B64,'Data qoq'!$A:$AT,MATCH($I$1,'Data qoq'!$A$1:$AT$1,),))/100+1)^4)-1</f>
        <v>3.25496738286426E-2</v>
      </c>
      <c r="J64" s="34">
        <f>(((VLOOKUP(B64,'Data qoq'!$A:$AT,MATCH($J$1,'Data qoq'!$A$1:$AT$1,),))/100+1)^4)-1</f>
        <v>-4.5816692790690006E-5</v>
      </c>
      <c r="K64" s="34">
        <f>(((VLOOKUP(B64,'Data qoq'!$A:$AT,MATCH($K$1,'Data qoq'!$A$1:$AT$1,),))/100+1)^4)-1</f>
        <v>-3.4949044555692144E-3</v>
      </c>
      <c r="L64" s="34">
        <f>(((VLOOKUP(B64,'Data qoq'!$A:$AT,MATCH($L$1,'Data qoq'!$A$1:$AT$1,),))/100+1)^4)-1</f>
        <v>-4.3239554014357084E-3</v>
      </c>
      <c r="M64" s="34">
        <f>(((VLOOKUP(B64,'Data qoq'!$A:$AT,MATCH($M$1,'Data qoq'!$A$1:$AT$1,),))/100+1)^4)-1</f>
        <v>-2.3820158000676273E-2</v>
      </c>
      <c r="N64" s="34">
        <f>(((VLOOKUP(B64,'Data qoq'!$A:$AT,MATCH($N$1,'Data qoq'!$A$1:$AT$1,),))/100+1)^4)-1</f>
        <v>1.3691111693360236E-2</v>
      </c>
      <c r="O64" s="34">
        <f>(((VLOOKUP(B64,'Data qoq'!$A:$AT,MATCH($O$1,'Data qoq'!$A$1:$AT$1,),))/100+1)^4)-1</f>
        <v>5.7345914200847448E-2</v>
      </c>
      <c r="P64" s="34">
        <f>(((VLOOKUP(B64,'Data qoq'!$A:$AT,MATCH($P$1,'Data qoq'!$A$1:$AT$1,),))/100+1)^4)-1</f>
        <v>2.3417159346724281E-2</v>
      </c>
      <c r="Q64" s="34">
        <f>(((VLOOKUP(B64,'Data qoq'!$A:$AT,MATCH($Q$1,'Data qoq'!$A$1:$AT$1,),))/100+1)^4)-1</f>
        <v>1.7370182098969567E-2</v>
      </c>
      <c r="R64" s="34">
        <f>(((VLOOKUP(B64,'Data qoq'!$A:$AT,MATCH($R$1,'Data qoq'!$A$1:$AT$1,),))/100+1)^4)-1</f>
        <v>3.573789528306448E-2</v>
      </c>
      <c r="S64" s="34">
        <f>(((VLOOKUP(B64,'Data qoq'!$A:$AT,MATCH($S$1,'Data qoq'!$A$1:$AT$1,),))/100+1)^4)-1</f>
        <v>4.7455894728616776E-2</v>
      </c>
      <c r="T64" s="34">
        <f>(((VLOOKUP(B64,'Data qoq'!$A:$AT,MATCH($T$1,'Data qoq'!$A$1:$AT$1,),))/100+1)^4)-1</f>
        <v>6.9596386266447041E-2</v>
      </c>
      <c r="U64" s="34">
        <f>(((VLOOKUP(B64,'Data qoq'!$A:$AT,MATCH($U$1,'Data qoq'!$A$1:$AT$1,),))/100+1)^4)-1</f>
        <v>5.1100570488873398E-3</v>
      </c>
      <c r="V64" s="34">
        <f>(((VLOOKUP(B64,'Data qoq'!$A:$AT,MATCH($V$1,'Data qoq'!$A$1:$AT$1,),))/100+1)^4)-1</f>
        <v>0.12710761611185406</v>
      </c>
      <c r="W64" s="34">
        <f>(((VLOOKUP(B64,'Data qoq'!$A:$AT,MATCH($W$1,'Data qoq'!$A$1:$AT$1,),))/100+1)^4)-1</f>
        <v>0.1227042674353831</v>
      </c>
      <c r="X64" s="34">
        <f>(((VLOOKUP(B64,'Data qoq'!$A:$AT,MATCH($X$1,'Data qoq'!$A$1:$AT$1,),))/100+1)^4)-1</f>
        <v>1.4504269051121232E-2</v>
      </c>
      <c r="Y64" s="34">
        <f>(((VLOOKUP(B64,'Data qoq'!$A:$AT,MATCH($Y$1,'Data qoq'!$A$1:$AT$1,),))/100+1)^4)-1</f>
        <v>4.3751612238541959E-2</v>
      </c>
      <c r="Z64" s="34">
        <f>(((VLOOKUP(B64,'Data qoq'!$A:$AU,MATCH($Z$1,'Data qoq'!$A$1:$AU$1,),))/100+1)^4)-1</f>
        <v>2.2228359503211559E-2</v>
      </c>
      <c r="AA64" s="34">
        <f>(((VLOOKUP(B64,'Data qoq'!$A:$AU,MATCH($AA$1,'Data qoq'!$A$1:$AU$1,),))/100+1)^4)-1</f>
        <v>4.7593191603662932E-2</v>
      </c>
      <c r="AC64" s="28" t="str">
        <f t="shared" si="7"/>
        <v>2013-Q2</v>
      </c>
      <c r="AD64" s="33">
        <f t="shared" si="8"/>
        <v>-1.0779855623888279E-2</v>
      </c>
      <c r="AE64" s="29"/>
    </row>
    <row r="65" spans="1:31" hidden="1" x14ac:dyDescent="0.2">
      <c r="A65" s="32">
        <v>41518</v>
      </c>
      <c r="B65" s="26" t="s">
        <v>314</v>
      </c>
      <c r="C65" s="34">
        <f>(((VLOOKUP(B65,'Data qoq'!$A:$AT,MATCH($C$1,'Data qoq'!$A$1:$AT$1,),))/100+1)^4)-1</f>
        <v>3.2044154006267478E-2</v>
      </c>
      <c r="D65" s="34">
        <f>(((VLOOKUP(B65,'Data qoq'!$A:$AT,MATCH($D$1,'Data qoq'!$A$1:$AT$1,),))/100+1)^4)-1</f>
        <v>9.0946826256000035E-2</v>
      </c>
      <c r="E65" s="34">
        <f>(((VLOOKUP(B65,'Data qoq'!$A:$AT,MATCH($E$1,'Data qoq'!$A$1:$AT$1,),))/100+1)^4)-1</f>
        <v>1.2280673846864154E-2</v>
      </c>
      <c r="F65" s="34">
        <f>(((VLOOKUP(B65,'Data qoq'!$A:$AT,MATCH($F$1,'Data qoq'!$A$1:$AT$1,),))/100+1)^4)-1</f>
        <v>3.9241917399666093E-2</v>
      </c>
      <c r="G65" s="34">
        <f>(((VLOOKUP(B65,'Data qoq'!$A:$AT,MATCH($G$1,'Data qoq'!$A$1:$AT$1,),))/100+1)^4)-1</f>
        <v>2.3427286273790537E-2</v>
      </c>
      <c r="H65" s="34">
        <f>(((VLOOKUP(B65,'Data qoq'!$A:$AT,MATCH($H$1,'Data qoq'!$A$1:$AT$1,),))/100+1)^4)-1</f>
        <v>5.9321723936300863E-4</v>
      </c>
      <c r="I65" s="34">
        <f>(((VLOOKUP(B65,'Data qoq'!$A:$AT,MATCH($I$1,'Data qoq'!$A$1:$AT$1,),))/100+1)^4)-1</f>
        <v>3.7919105421295507E-2</v>
      </c>
      <c r="J65" s="34">
        <f>(((VLOOKUP(B65,'Data qoq'!$A:$AT,MATCH($J$1,'Data qoq'!$A$1:$AT$1,),))/100+1)^4)-1</f>
        <v>8.4424844166741675E-3</v>
      </c>
      <c r="K65" s="34">
        <f>(((VLOOKUP(B65,'Data qoq'!$A:$AT,MATCH($K$1,'Data qoq'!$A$1:$AT$1,),))/100+1)^4)-1</f>
        <v>-2.1873026775236504E-3</v>
      </c>
      <c r="L65" s="34">
        <f>(((VLOOKUP(B65,'Data qoq'!$A:$AT,MATCH($L$1,'Data qoq'!$A$1:$AT$1,),))/100+1)^4)-1</f>
        <v>1.8393132242386701E-2</v>
      </c>
      <c r="M65" s="34">
        <f>(((VLOOKUP(B65,'Data qoq'!$A:$AT,MATCH($M$1,'Data qoq'!$A$1:$AT$1,),))/100+1)^4)-1</f>
        <v>3.8607806482095164E-2</v>
      </c>
      <c r="N65" s="34">
        <f>(((VLOOKUP(B65,'Data qoq'!$A:$AT,MATCH($N$1,'Data qoq'!$A$1:$AT$1,),))/100+1)^4)-1</f>
        <v>1.6219491072464454E-3</v>
      </c>
      <c r="O65" s="34">
        <f>(((VLOOKUP(B65,'Data qoq'!$A:$AT,MATCH($O$1,'Data qoq'!$A$1:$AT$1,),))/100+1)^4)-1</f>
        <v>6.5599435302823306E-2</v>
      </c>
      <c r="P65" s="34">
        <f>(((VLOOKUP(B65,'Data qoq'!$A:$AT,MATCH($P$1,'Data qoq'!$A$1:$AT$1,),))/100+1)^4)-1</f>
        <v>3.2999614640455865E-2</v>
      </c>
      <c r="Q65" s="34">
        <f>(((VLOOKUP(B65,'Data qoq'!$A:$AT,MATCH($Q$1,'Data qoq'!$A$1:$AT$1,),))/100+1)^4)-1</f>
        <v>3.2975194766246441E-2</v>
      </c>
      <c r="R65" s="34">
        <f>(((VLOOKUP(B65,'Data qoq'!$A:$AT,MATCH($R$1,'Data qoq'!$A$1:$AT$1,),))/100+1)^4)-1</f>
        <v>3.1296574749409611E-2</v>
      </c>
      <c r="S65" s="34">
        <f>(((VLOOKUP(B65,'Data qoq'!$A:$AT,MATCH($S$1,'Data qoq'!$A$1:$AT$1,),))/100+1)^4)-1</f>
        <v>3.6449828148867436E-2</v>
      </c>
      <c r="T65" s="34">
        <f>(((VLOOKUP(B65,'Data qoq'!$A:$AT,MATCH($T$1,'Data qoq'!$A$1:$AT$1,),))/100+1)^4)-1</f>
        <v>1.2435706706583005E-2</v>
      </c>
      <c r="U65" s="34">
        <f>(((VLOOKUP(B65,'Data qoq'!$A:$AT,MATCH($U$1,'Data qoq'!$A$1:$AT$1,),))/100+1)^4)-1</f>
        <v>-3.0395060904878646E-3</v>
      </c>
      <c r="V65" s="34">
        <f>(((VLOOKUP(B65,'Data qoq'!$A:$AT,MATCH($V$1,'Data qoq'!$A$1:$AT$1,),))/100+1)^4)-1</f>
        <v>5.823749146334789E-2</v>
      </c>
      <c r="W65" s="34">
        <f>(((VLOOKUP(B65,'Data qoq'!$A:$AT,MATCH($W$1,'Data qoq'!$A$1:$AT$1,),))/100+1)^4)-1</f>
        <v>5.9941146073761553E-2</v>
      </c>
      <c r="X65" s="34">
        <f>(((VLOOKUP(B65,'Data qoq'!$A:$AT,MATCH($X$1,'Data qoq'!$A$1:$AT$1,),))/100+1)^4)-1</f>
        <v>1.4171822709071247E-2</v>
      </c>
      <c r="Y65" s="34">
        <f>(((VLOOKUP(B65,'Data qoq'!$A:$AT,MATCH($Y$1,'Data qoq'!$A$1:$AT$1,),))/100+1)^4)-1</f>
        <v>3.0694991795598758E-2</v>
      </c>
      <c r="Z65" s="34">
        <f>(((VLOOKUP(B65,'Data qoq'!$A:$AU,MATCH($Z$1,'Data qoq'!$A$1:$AU$1,),))/100+1)^4)-1</f>
        <v>2.5400370217578461E-2</v>
      </c>
      <c r="AA65" s="34">
        <f>(((VLOOKUP(B65,'Data qoq'!$A:$AU,MATCH($AA$1,'Data qoq'!$A$1:$AU$1,),))/100+1)^4)-1</f>
        <v>2.2638806845661552E-2</v>
      </c>
      <c r="AC65" s="28" t="str">
        <f t="shared" si="7"/>
        <v>2013-Q3</v>
      </c>
      <c r="AD65" s="33">
        <f t="shared" si="8"/>
        <v>-2.5638431574431353E-2</v>
      </c>
      <c r="AE65" s="29"/>
    </row>
    <row r="66" spans="1:31" hidden="1" x14ac:dyDescent="0.2">
      <c r="A66" s="32">
        <v>41609</v>
      </c>
      <c r="B66" s="26" t="s">
        <v>315</v>
      </c>
      <c r="C66" s="34">
        <f>(((VLOOKUP(B66,'Data qoq'!$A:$AT,MATCH($C$1,'Data qoq'!$A$1:$AT$1,),))/100+1)^4)-1</f>
        <v>2.8751739893740247E-2</v>
      </c>
      <c r="D66" s="34">
        <f>(((VLOOKUP(B66,'Data qoq'!$A:$AT,MATCH($D$1,'Data qoq'!$A$1:$AT$1,),))/100+1)^4)-1</f>
        <v>6.5552449536000035E-2</v>
      </c>
      <c r="E66" s="34">
        <f>(((VLOOKUP(B66,'Data qoq'!$A:$AT,MATCH($E$1,'Data qoq'!$A$1:$AT$1,),))/100+1)^4)-1</f>
        <v>1.1462826747675292E-2</v>
      </c>
      <c r="F66" s="34">
        <f>(((VLOOKUP(B66,'Data qoq'!$A:$AT,MATCH($F$1,'Data qoq'!$A$1:$AT$1,),))/100+1)^4)-1</f>
        <v>-4.6763628389566714E-3</v>
      </c>
      <c r="G66" s="34">
        <f>(((VLOOKUP(B66,'Data qoq'!$A:$AT,MATCH($G$1,'Data qoq'!$A$1:$AT$1,),))/100+1)^4)-1</f>
        <v>1.2011491084859216E-2</v>
      </c>
      <c r="H66" s="34">
        <f>(((VLOOKUP(B66,'Data qoq'!$A:$AT,MATCH($H$1,'Data qoq'!$A$1:$AT$1,),))/100+1)^4)-1</f>
        <v>1.9309344521880156E-2</v>
      </c>
      <c r="I66" s="34">
        <f>(((VLOOKUP(B66,'Data qoq'!$A:$AT,MATCH($I$1,'Data qoq'!$A$1:$AT$1,),))/100+1)^4)-1</f>
        <v>2.5926571434784051E-2</v>
      </c>
      <c r="J66" s="34">
        <f>(((VLOOKUP(B66,'Data qoq'!$A:$AT,MATCH($J$1,'Data qoq'!$A$1:$AT$1,),))/100+1)^4)-1</f>
        <v>-7.5866206145582815E-3</v>
      </c>
      <c r="K66" s="34">
        <f>(((VLOOKUP(B66,'Data qoq'!$A:$AT,MATCH($K$1,'Data qoq'!$A$1:$AT$1,),))/100+1)^4)-1</f>
        <v>6.6814388610600961E-3</v>
      </c>
      <c r="L66" s="34">
        <f>(((VLOOKUP(B66,'Data qoq'!$A:$AT,MATCH($L$1,'Data qoq'!$A$1:$AT$1,),))/100+1)^4)-1</f>
        <v>3.0931777187037435E-2</v>
      </c>
      <c r="M66" s="34">
        <f>(((VLOOKUP(B66,'Data qoq'!$A:$AT,MATCH($M$1,'Data qoq'!$A$1:$AT$1,),))/100+1)^4)-1</f>
        <v>2.3540135888163949E-2</v>
      </c>
      <c r="N66" s="34">
        <f>(((VLOOKUP(B66,'Data qoq'!$A:$AT,MATCH($N$1,'Data qoq'!$A$1:$AT$1,),))/100+1)^4)-1</f>
        <v>2.3297710950769268E-2</v>
      </c>
      <c r="O66" s="34">
        <f>(((VLOOKUP(B66,'Data qoq'!$A:$AT,MATCH($O$1,'Data qoq'!$A$1:$AT$1,),))/100+1)^4)-1</f>
        <v>9.0995076367916372E-2</v>
      </c>
      <c r="P66" s="34">
        <f>(((VLOOKUP(B66,'Data qoq'!$A:$AT,MATCH($P$1,'Data qoq'!$A$1:$AT$1,),))/100+1)^4)-1</f>
        <v>4.2689237102272903E-2</v>
      </c>
      <c r="Q66" s="34">
        <f>(((VLOOKUP(B66,'Data qoq'!$A:$AT,MATCH($Q$1,'Data qoq'!$A$1:$AT$1,),))/100+1)^4)-1</f>
        <v>3.3415369890718694E-2</v>
      </c>
      <c r="R66" s="34">
        <f>(((VLOOKUP(B66,'Data qoq'!$A:$AT,MATCH($R$1,'Data qoq'!$A$1:$AT$1,),))/100+1)^4)-1</f>
        <v>1.3146649705738422E-2</v>
      </c>
      <c r="S66" s="34">
        <f>(((VLOOKUP(B66,'Data qoq'!$A:$AT,MATCH($S$1,'Data qoq'!$A$1:$AT$1,),))/100+1)^4)-1</f>
        <v>3.1396327717235328E-2</v>
      </c>
      <c r="T66" s="34">
        <f>(((VLOOKUP(B66,'Data qoq'!$A:$AT,MATCH($T$1,'Data qoq'!$A$1:$AT$1,),))/100+1)^4)-1</f>
        <v>4.6261576716430941E-3</v>
      </c>
      <c r="U66" s="34">
        <f>(((VLOOKUP(B66,'Data qoq'!$A:$AT,MATCH($U$1,'Data qoq'!$A$1:$AT$1,),))/100+1)^4)-1</f>
        <v>1.6555986833900027E-2</v>
      </c>
      <c r="V66" s="34">
        <f>(((VLOOKUP(B66,'Data qoq'!$A:$AT,MATCH($V$1,'Data qoq'!$A$1:$AT$1,),))/100+1)^4)-1</f>
        <v>3.4841953660804448E-2</v>
      </c>
      <c r="W66" s="34">
        <f>(((VLOOKUP(B66,'Data qoq'!$A:$AT,MATCH($W$1,'Data qoq'!$A$1:$AT$1,),))/100+1)^4)-1</f>
        <v>7.7757517919521124E-3</v>
      </c>
      <c r="X66" s="34">
        <f>(((VLOOKUP(B66,'Data qoq'!$A:$AT,MATCH($X$1,'Data qoq'!$A$1:$AT$1,),))/100+1)^4)-1</f>
        <v>5.2022964630358048E-2</v>
      </c>
      <c r="Y66" s="34">
        <f>(((VLOOKUP(B66,'Data qoq'!$A:$AT,MATCH($Y$1,'Data qoq'!$A$1:$AT$1,),))/100+1)^4)-1</f>
        <v>1.0579585135016778E-2</v>
      </c>
      <c r="Z66" s="34">
        <f>(((VLOOKUP(B66,'Data qoq'!$A:$AU,MATCH($Z$1,'Data qoq'!$A$1:$AU$1,),))/100+1)^4)-1</f>
        <v>-3.9138080681273002E-2</v>
      </c>
      <c r="AA66" s="34">
        <f>(((VLOOKUP(B66,'Data qoq'!$A:$AU,MATCH($AA$1,'Data qoq'!$A$1:$AU$1,),))/100+1)^4)-1</f>
        <v>1.0381444419660601E-2</v>
      </c>
      <c r="AC66" s="28" t="str">
        <f t="shared" si="7"/>
        <v>2013-Q4</v>
      </c>
      <c r="AD66" s="33">
        <f t="shared" si="8"/>
        <v>-1.4463744687108759E-2</v>
      </c>
      <c r="AE66" s="29"/>
    </row>
    <row r="67" spans="1:31" hidden="1" x14ac:dyDescent="0.2">
      <c r="A67" s="32">
        <v>41699</v>
      </c>
      <c r="B67" s="26" t="s">
        <v>316</v>
      </c>
      <c r="C67" s="34">
        <f>(((VLOOKUP(B67,'Data qoq'!$A:$AT,MATCH($C$1,'Data qoq'!$A$1:$AT$1,),))/100+1)^4)-1</f>
        <v>-1.3931014894348004E-2</v>
      </c>
      <c r="D67" s="34">
        <f>(((VLOOKUP(B67,'Data qoq'!$A:$AT,MATCH($D$1,'Data qoq'!$A$1:$AT$1,),))/100+1)^4)-1</f>
        <v>7.3967432976000058E-2</v>
      </c>
      <c r="E67" s="34">
        <f>(((VLOOKUP(B67,'Data qoq'!$A:$AT,MATCH($E$1,'Data qoq'!$A$1:$AT$1,),))/100+1)^4)-1</f>
        <v>1.6060632632509009E-2</v>
      </c>
      <c r="F67" s="34">
        <f>(((VLOOKUP(B67,'Data qoq'!$A:$AT,MATCH($F$1,'Data qoq'!$A$1:$AT$1,),))/100+1)^4)-1</f>
        <v>3.3580819773594728E-2</v>
      </c>
      <c r="G67" s="34">
        <f>(((VLOOKUP(B67,'Data qoq'!$A:$AT,MATCH($G$1,'Data qoq'!$A$1:$AT$1,),))/100+1)^4)-1</f>
        <v>3.7935947129519532E-2</v>
      </c>
      <c r="H67" s="34">
        <f>(((VLOOKUP(B67,'Data qoq'!$A:$AT,MATCH($H$1,'Data qoq'!$A$1:$AT$1,),))/100+1)^4)-1</f>
        <v>2.9466240672613164E-3</v>
      </c>
      <c r="I67" s="34">
        <f>(((VLOOKUP(B67,'Data qoq'!$A:$AT,MATCH($I$1,'Data qoq'!$A$1:$AT$1,),))/100+1)^4)-1</f>
        <v>3.1077401484155498E-2</v>
      </c>
      <c r="J67" s="34">
        <f>(((VLOOKUP(B67,'Data qoq'!$A:$AT,MATCH($J$1,'Data qoq'!$A$1:$AT$1,),))/100+1)^4)-1</f>
        <v>3.3824462678992973E-3</v>
      </c>
      <c r="K67" s="34">
        <f>(((VLOOKUP(B67,'Data qoq'!$A:$AT,MATCH($K$1,'Data qoq'!$A$1:$AT$1,),))/100+1)^4)-1</f>
        <v>1.4778645393433765E-2</v>
      </c>
      <c r="L67" s="34">
        <f>(((VLOOKUP(B67,'Data qoq'!$A:$AT,MATCH($L$1,'Data qoq'!$A$1:$AT$1,),))/100+1)^4)-1</f>
        <v>3.113412928305026E-2</v>
      </c>
      <c r="M67" s="34">
        <f>(((VLOOKUP(B67,'Data qoq'!$A:$AT,MATCH($M$1,'Data qoq'!$A$1:$AT$1,),))/100+1)^4)-1</f>
        <v>2.7832510461625048E-2</v>
      </c>
      <c r="N67" s="34">
        <f>(((VLOOKUP(B67,'Data qoq'!$A:$AT,MATCH($N$1,'Data qoq'!$A$1:$AT$1,),))/100+1)^4)-1</f>
        <v>-2.8919655171621983E-4</v>
      </c>
      <c r="O67" s="34">
        <f>(((VLOOKUP(B67,'Data qoq'!$A:$AT,MATCH($O$1,'Data qoq'!$A$1:$AT$1,),))/100+1)^4)-1</f>
        <v>4.7173456304756334E-2</v>
      </c>
      <c r="P67" s="34">
        <f>(((VLOOKUP(B67,'Data qoq'!$A:$AT,MATCH($P$1,'Data qoq'!$A$1:$AT$1,),))/100+1)^4)-1</f>
        <v>6.5539570156214477E-3</v>
      </c>
      <c r="Q67" s="34">
        <f>(((VLOOKUP(B67,'Data qoq'!$A:$AT,MATCH($Q$1,'Data qoq'!$A$1:$AT$1,),))/100+1)^4)-1</f>
        <v>2.7366451335236741E-2</v>
      </c>
      <c r="R67" s="34">
        <f>(((VLOOKUP(B67,'Data qoq'!$A:$AT,MATCH($R$1,'Data qoq'!$A$1:$AT$1,),))/100+1)^4)-1</f>
        <v>2.6030329759909598E-2</v>
      </c>
      <c r="S67" s="34">
        <f>(((VLOOKUP(B67,'Data qoq'!$A:$AT,MATCH($S$1,'Data qoq'!$A$1:$AT$1,),))/100+1)^4)-1</f>
        <v>3.7750475056650634E-2</v>
      </c>
      <c r="T67" s="34">
        <f>(((VLOOKUP(B67,'Data qoq'!$A:$AT,MATCH($T$1,'Data qoq'!$A$1:$AT$1,),))/100+1)^4)-1</f>
        <v>3.7303435326478507E-2</v>
      </c>
      <c r="U67" s="34">
        <f>(((VLOOKUP(B67,'Data qoq'!$A:$AT,MATCH($U$1,'Data qoq'!$A$1:$AT$1,),))/100+1)^4)-1</f>
        <v>2.0601878712472876E-2</v>
      </c>
      <c r="V67" s="34">
        <f>(((VLOOKUP(B67,'Data qoq'!$A:$AT,MATCH($V$1,'Data qoq'!$A$1:$AT$1,),))/100+1)^4)-1</f>
        <v>0.11262206103983607</v>
      </c>
      <c r="W67" s="34">
        <f>(((VLOOKUP(B67,'Data qoq'!$A:$AT,MATCH($W$1,'Data qoq'!$A$1:$AT$1,),))/100+1)^4)-1</f>
        <v>0.12119114235902662</v>
      </c>
      <c r="X67" s="34">
        <f>(((VLOOKUP(B67,'Data qoq'!$A:$AT,MATCH($X$1,'Data qoq'!$A$1:$AT$1,),))/100+1)^4)-1</f>
        <v>-2.3453822007669323E-2</v>
      </c>
      <c r="Y67" s="34">
        <f>(((VLOOKUP(B67,'Data qoq'!$A:$AT,MATCH($Y$1,'Data qoq'!$A$1:$AT$1,),))/100+1)^4)-1</f>
        <v>4.1947794465184929E-2</v>
      </c>
      <c r="Z67" s="34">
        <f>(((VLOOKUP(B67,'Data qoq'!$A:$AU,MATCH($Z$1,'Data qoq'!$A$1:$AU$1,),))/100+1)^4)-1</f>
        <v>-5.8911524892423794E-2</v>
      </c>
      <c r="AA67" s="34">
        <f>(((VLOOKUP(B67,'Data qoq'!$A:$AU,MATCH($AA$1,'Data qoq'!$A$1:$AU$1,),))/100+1)^4)-1</f>
        <v>5.9947967965223725E-2</v>
      </c>
      <c r="AC67" s="28" t="str">
        <f t="shared" si="7"/>
        <v>2014-Q1</v>
      </c>
      <c r="AD67" s="33">
        <f t="shared" si="8"/>
        <v>-1.5016768851646489E-2</v>
      </c>
      <c r="AE67" s="29"/>
    </row>
    <row r="68" spans="1:31" hidden="1" x14ac:dyDescent="0.2">
      <c r="A68" s="32">
        <v>41791</v>
      </c>
      <c r="B68" s="26" t="s">
        <v>317</v>
      </c>
      <c r="C68" s="34">
        <f>(((VLOOKUP(B68,'Data qoq'!$A:$AT,MATCH($C$1,'Data qoq'!$A$1:$AT$1,),))/100+1)^4)-1</f>
        <v>5.2363045749210579E-2</v>
      </c>
      <c r="D68" s="34">
        <f>(((VLOOKUP(B68,'Data qoq'!$A:$AT,MATCH($D$1,'Data qoq'!$A$1:$AT$1,),))/100+1)^4)-1</f>
        <v>7.3967432976000058E-2</v>
      </c>
      <c r="E68" s="34">
        <f>(((VLOOKUP(B68,'Data qoq'!$A:$AT,MATCH($E$1,'Data qoq'!$A$1:$AT$1,),))/100+1)^4)-1</f>
        <v>9.4373763454926873E-3</v>
      </c>
      <c r="F68" s="34">
        <f>(((VLOOKUP(B68,'Data qoq'!$A:$AT,MATCH($F$1,'Data qoq'!$A$1:$AT$1,),))/100+1)^4)-1</f>
        <v>-7.1813387803655537E-2</v>
      </c>
      <c r="G68" s="34">
        <f>(((VLOOKUP(B68,'Data qoq'!$A:$AT,MATCH($G$1,'Data qoq'!$A$1:$AT$1,),))/100+1)^4)-1</f>
        <v>0</v>
      </c>
      <c r="H68" s="34">
        <f>(((VLOOKUP(B68,'Data qoq'!$A:$AT,MATCH($H$1,'Data qoq'!$A$1:$AT$1,),))/100+1)^4)-1</f>
        <v>5.0334169327579392E-3</v>
      </c>
      <c r="I68" s="34">
        <f>(((VLOOKUP(B68,'Data qoq'!$A:$AT,MATCH($I$1,'Data qoq'!$A$1:$AT$1,),))/100+1)^4)-1</f>
        <v>2.629509908309613E-2</v>
      </c>
      <c r="J68" s="34">
        <f>(((VLOOKUP(B68,'Data qoq'!$A:$AT,MATCH($J$1,'Data qoq'!$A$1:$AT$1,),))/100+1)^4)-1</f>
        <v>5.2889754737850403E-4</v>
      </c>
      <c r="K68" s="34">
        <f>(((VLOOKUP(B68,'Data qoq'!$A:$AT,MATCH($K$1,'Data qoq'!$A$1:$AT$1,),))/100+1)^4)-1</f>
        <v>1.8663295707963767E-2</v>
      </c>
      <c r="L68" s="34">
        <f>(((VLOOKUP(B68,'Data qoq'!$A:$AT,MATCH($L$1,'Data qoq'!$A$1:$AT$1,),))/100+1)^4)-1</f>
        <v>3.3631717396482408E-2</v>
      </c>
      <c r="M68" s="34">
        <f>(((VLOOKUP(B68,'Data qoq'!$A:$AT,MATCH($M$1,'Data qoq'!$A$1:$AT$1,),))/100+1)^4)-1</f>
        <v>5.0522018682868985E-2</v>
      </c>
      <c r="N68" s="34">
        <f>(((VLOOKUP(B68,'Data qoq'!$A:$AT,MATCH($N$1,'Data qoq'!$A$1:$AT$1,),))/100+1)^4)-1</f>
        <v>1.9410947086348163E-2</v>
      </c>
      <c r="O68" s="34">
        <f>(((VLOOKUP(B68,'Data qoq'!$A:$AT,MATCH($O$1,'Data qoq'!$A$1:$AT$1,),))/100+1)^4)-1</f>
        <v>9.4781499485216081E-2</v>
      </c>
      <c r="P68" s="34">
        <f>(((VLOOKUP(B68,'Data qoq'!$A:$AT,MATCH($P$1,'Data qoq'!$A$1:$AT$1,),))/100+1)^4)-1</f>
        <v>3.7036720636870024E-2</v>
      </c>
      <c r="Q68" s="34">
        <f>(((VLOOKUP(B68,'Data qoq'!$A:$AT,MATCH($Q$1,'Data qoq'!$A$1:$AT$1,),))/100+1)^4)-1</f>
        <v>2.1359548404560336E-2</v>
      </c>
      <c r="R68" s="34">
        <f>(((VLOOKUP(B68,'Data qoq'!$A:$AT,MATCH($R$1,'Data qoq'!$A$1:$AT$1,),))/100+1)^4)-1</f>
        <v>2.692931673406207E-2</v>
      </c>
      <c r="S68" s="34">
        <f>(((VLOOKUP(B68,'Data qoq'!$A:$AT,MATCH($S$1,'Data qoq'!$A$1:$AT$1,),))/100+1)^4)-1</f>
        <v>3.4425402369477442E-2</v>
      </c>
      <c r="T68" s="34">
        <f>(((VLOOKUP(B68,'Data qoq'!$A:$AT,MATCH($T$1,'Data qoq'!$A$1:$AT$1,),))/100+1)^4)-1</f>
        <v>-6.0262886561522233E-2</v>
      </c>
      <c r="U68" s="34">
        <f>(((VLOOKUP(B68,'Data qoq'!$A:$AT,MATCH($U$1,'Data qoq'!$A$1:$AT$1,),))/100+1)^4)-1</f>
        <v>-1.1192145215426885E-2</v>
      </c>
      <c r="V68" s="34">
        <f>(((VLOOKUP(B68,'Data qoq'!$A:$AT,MATCH($V$1,'Data qoq'!$A$1:$AT$1,),))/100+1)^4)-1</f>
        <v>0.18297282093113965</v>
      </c>
      <c r="W68" s="34">
        <f>(((VLOOKUP(B68,'Data qoq'!$A:$AT,MATCH($W$1,'Data qoq'!$A$1:$AT$1,),))/100+1)^4)-1</f>
        <v>-6.3333940352729212E-2</v>
      </c>
      <c r="X68" s="34">
        <f>(((VLOOKUP(B68,'Data qoq'!$A:$AT,MATCH($X$1,'Data qoq'!$A$1:$AT$1,),))/100+1)^4)-1</f>
        <v>4.0916230941928422E-2</v>
      </c>
      <c r="Y68" s="34">
        <f>(((VLOOKUP(B68,'Data qoq'!$A:$AT,MATCH($Y$1,'Data qoq'!$A$1:$AT$1,),))/100+1)^4)-1</f>
        <v>4.6232141700180529E-2</v>
      </c>
      <c r="Z68" s="34">
        <f>(((VLOOKUP(B68,'Data qoq'!$A:$AU,MATCH($Z$1,'Data qoq'!$A$1:$AU$1,),))/100+1)^4)-1</f>
        <v>-2.3302373313961788E-2</v>
      </c>
      <c r="AA68" s="34">
        <f>(((VLOOKUP(B68,'Data qoq'!$A:$AU,MATCH($AA$1,'Data qoq'!$A$1:$AU$1,),))/100+1)^4)-1</f>
        <v>2.225859338245173E-2</v>
      </c>
      <c r="AC68" s="28" t="str">
        <f t="shared" si="7"/>
        <v>2014-Q2</v>
      </c>
      <c r="AD68" s="33">
        <f t="shared" si="8"/>
        <v>-1.6857722737603442E-2</v>
      </c>
      <c r="AE68" s="29"/>
    </row>
    <row r="69" spans="1:31" hidden="1" x14ac:dyDescent="0.2">
      <c r="A69" s="32">
        <v>41883</v>
      </c>
      <c r="B69" s="26" t="s">
        <v>318</v>
      </c>
      <c r="C69" s="34">
        <f>(((VLOOKUP(B69,'Data qoq'!$A:$AT,MATCH($C$1,'Data qoq'!$A$1:$AT$1,),))/100+1)^4)-1</f>
        <v>4.7419089601193898E-2</v>
      </c>
      <c r="D69" s="34">
        <f>(((VLOOKUP(B69,'Data qoq'!$A:$AT,MATCH($D$1,'Data qoq'!$A$1:$AT$1,),))/100+1)^4)-1</f>
        <v>7.3967432976000058E-2</v>
      </c>
      <c r="E69" s="34">
        <f>(((VLOOKUP(B69,'Data qoq'!$A:$AT,MATCH($E$1,'Data qoq'!$A$1:$AT$1,),))/100+1)^4)-1</f>
        <v>1.7733848201477276E-2</v>
      </c>
      <c r="F69" s="34">
        <f>(((VLOOKUP(B69,'Data qoq'!$A:$AT,MATCH($F$1,'Data qoq'!$A$1:$AT$1,),))/100+1)^4)-1</f>
        <v>4.0633853474065784E-3</v>
      </c>
      <c r="G69" s="34">
        <f>(((VLOOKUP(B69,'Data qoq'!$A:$AT,MATCH($G$1,'Data qoq'!$A$1:$AT$1,),))/100+1)^4)-1</f>
        <v>2.1761655482142261E-2</v>
      </c>
      <c r="H69" s="34">
        <f>(((VLOOKUP(B69,'Data qoq'!$A:$AT,MATCH($H$1,'Data qoq'!$A$1:$AT$1,),))/100+1)^4)-1</f>
        <v>2.0547615204706826E-2</v>
      </c>
      <c r="I69" s="34">
        <f>(((VLOOKUP(B69,'Data qoq'!$A:$AT,MATCH($I$1,'Data qoq'!$A$1:$AT$1,),))/100+1)^4)-1</f>
        <v>2.2760823217771842E-2</v>
      </c>
      <c r="J69" s="34">
        <f>(((VLOOKUP(B69,'Data qoq'!$A:$AT,MATCH($J$1,'Data qoq'!$A$1:$AT$1,),))/100+1)^4)-1</f>
        <v>5.3593084713847716E-3</v>
      </c>
      <c r="K69" s="34">
        <f>(((VLOOKUP(B69,'Data qoq'!$A:$AT,MATCH($K$1,'Data qoq'!$A$1:$AT$1,),))/100+1)^4)-1</f>
        <v>2.9931618682006667E-2</v>
      </c>
      <c r="L69" s="34">
        <f>(((VLOOKUP(B69,'Data qoq'!$A:$AT,MATCH($L$1,'Data qoq'!$A$1:$AT$1,),))/100+1)^4)-1</f>
        <v>2.888142345843181E-2</v>
      </c>
      <c r="M69" s="34">
        <f>(((VLOOKUP(B69,'Data qoq'!$A:$AT,MATCH($M$1,'Data qoq'!$A$1:$AT$1,),))/100+1)^4)-1</f>
        <v>1.4278001781814487E-2</v>
      </c>
      <c r="N69" s="34">
        <f>(((VLOOKUP(B69,'Data qoq'!$A:$AT,MATCH($N$1,'Data qoq'!$A$1:$AT$1,),))/100+1)^4)-1</f>
        <v>-1.2662157014256548E-2</v>
      </c>
      <c r="O69" s="34">
        <f>(((VLOOKUP(B69,'Data qoq'!$A:$AT,MATCH($O$1,'Data qoq'!$A$1:$AT$1,),))/100+1)^4)-1</f>
        <v>7.5056161747785621E-2</v>
      </c>
      <c r="P69" s="34">
        <f>(((VLOOKUP(B69,'Data qoq'!$A:$AT,MATCH($P$1,'Data qoq'!$A$1:$AT$1,),))/100+1)^4)-1</f>
        <v>3.8917456889357993E-2</v>
      </c>
      <c r="Q69" s="34">
        <f>(((VLOOKUP(B69,'Data qoq'!$A:$AT,MATCH($Q$1,'Data qoq'!$A$1:$AT$1,),))/100+1)^4)-1</f>
        <v>2.0268010431627959E-2</v>
      </c>
      <c r="R69" s="34">
        <f>(((VLOOKUP(B69,'Data qoq'!$A:$AT,MATCH($R$1,'Data qoq'!$A$1:$AT$1,),))/100+1)^4)-1</f>
        <v>2.2288560995372464E-2</v>
      </c>
      <c r="S69" s="34">
        <f>(((VLOOKUP(B69,'Data qoq'!$A:$AT,MATCH($S$1,'Data qoq'!$A$1:$AT$1,),))/100+1)^4)-1</f>
        <v>1.3812209018818855E-2</v>
      </c>
      <c r="T69" s="34">
        <f>(((VLOOKUP(B69,'Data qoq'!$A:$AT,MATCH($T$1,'Data qoq'!$A$1:$AT$1,),))/100+1)^4)-1</f>
        <v>-9.9298934523250892E-4</v>
      </c>
      <c r="U69" s="34">
        <f>(((VLOOKUP(B69,'Data qoq'!$A:$AT,MATCH($U$1,'Data qoq'!$A$1:$AT$1,),))/100+1)^4)-1</f>
        <v>3.0853393337468837E-2</v>
      </c>
      <c r="V69" s="34">
        <f>(((VLOOKUP(B69,'Data qoq'!$A:$AT,MATCH($V$1,'Data qoq'!$A$1:$AT$1,),))/100+1)^4)-1</f>
        <v>-1.2399789000860029E-2</v>
      </c>
      <c r="W69" s="34">
        <f>(((VLOOKUP(B69,'Data qoq'!$A:$AT,MATCH($W$1,'Data qoq'!$A$1:$AT$1,),))/100+1)^4)-1</f>
        <v>0.10201275941615906</v>
      </c>
      <c r="X69" s="34">
        <f>(((VLOOKUP(B69,'Data qoq'!$A:$AT,MATCH($X$1,'Data qoq'!$A$1:$AT$1,),))/100+1)^4)-1</f>
        <v>4.4131698833780098E-2</v>
      </c>
      <c r="Y69" s="34">
        <f>(((VLOOKUP(B69,'Data qoq'!$A:$AT,MATCH($Y$1,'Data qoq'!$A$1:$AT$1,),))/100+1)^4)-1</f>
        <v>3.4014234777617114E-2</v>
      </c>
      <c r="Z69" s="34">
        <f>(((VLOOKUP(B69,'Data qoq'!$A:$AU,MATCH($Z$1,'Data qoq'!$A$1:$AU$1,),))/100+1)^4)-1</f>
        <v>-3.2404053029931434E-2</v>
      </c>
      <c r="AA69" s="34">
        <f>(((VLOOKUP(B69,'Data qoq'!$A:$AU,MATCH($AA$1,'Data qoq'!$A$1:$AU$1,),))/100+1)^4)-1</f>
        <v>5.1784919497348758E-2</v>
      </c>
      <c r="AC69" s="28" t="str">
        <f t="shared" si="7"/>
        <v>2014-Q3</v>
      </c>
      <c r="AD69" s="33">
        <f t="shared" si="8"/>
        <v>-5.0269750162945659E-3</v>
      </c>
      <c r="AE69" s="29"/>
    </row>
    <row r="70" spans="1:31" hidden="1" x14ac:dyDescent="0.2">
      <c r="A70" s="32">
        <v>41974</v>
      </c>
      <c r="B70" s="26" t="s">
        <v>319</v>
      </c>
      <c r="C70" s="34">
        <f>(((VLOOKUP(B70,'Data qoq'!$A:$AT,MATCH($C$1,'Data qoq'!$A$1:$AT$1,),))/100+1)^4)-1</f>
        <v>1.8081055590863704E-2</v>
      </c>
      <c r="D70" s="34">
        <f>(((VLOOKUP(B70,'Data qoq'!$A:$AT,MATCH($D$1,'Data qoq'!$A$1:$AT$1,),))/100+1)^4)-1</f>
        <v>6.9753735520999616E-2</v>
      </c>
      <c r="E70" s="34">
        <f>(((VLOOKUP(B70,'Data qoq'!$A:$AT,MATCH($E$1,'Data qoq'!$A$1:$AT$1,),))/100+1)^4)-1</f>
        <v>1.7200283499859692E-2</v>
      </c>
      <c r="F70" s="34">
        <f>(((VLOOKUP(B70,'Data qoq'!$A:$AT,MATCH($F$1,'Data qoq'!$A$1:$AT$1,),))/100+1)^4)-1</f>
        <v>1.9757982003239194E-2</v>
      </c>
      <c r="G70" s="34">
        <f>(((VLOOKUP(B70,'Data qoq'!$A:$AT,MATCH($G$1,'Data qoq'!$A$1:$AT$1,),))/100+1)^4)-1</f>
        <v>3.2804541189019876E-2</v>
      </c>
      <c r="H70" s="34">
        <f>(((VLOOKUP(B70,'Data qoq'!$A:$AT,MATCH($H$1,'Data qoq'!$A$1:$AT$1,),))/100+1)^4)-1</f>
        <v>3.0893857176397255E-3</v>
      </c>
      <c r="I70" s="34">
        <f>(((VLOOKUP(B70,'Data qoq'!$A:$AT,MATCH($I$1,'Data qoq'!$A$1:$AT$1,),))/100+1)^4)-1</f>
        <v>2.3623623418925543E-2</v>
      </c>
      <c r="J70" s="34">
        <f>(((VLOOKUP(B70,'Data qoq'!$A:$AT,MATCH($J$1,'Data qoq'!$A$1:$AT$1,),))/100+1)^4)-1</f>
        <v>-8.5606743006503283E-3</v>
      </c>
      <c r="K70" s="34">
        <f>(((VLOOKUP(B70,'Data qoq'!$A:$AT,MATCH($K$1,'Data qoq'!$A$1:$AT$1,),))/100+1)^4)-1</f>
        <v>3.4779716201644773E-2</v>
      </c>
      <c r="L70" s="34">
        <f>(((VLOOKUP(B70,'Data qoq'!$A:$AT,MATCH($L$1,'Data qoq'!$A$1:$AT$1,),))/100+1)^4)-1</f>
        <v>3.2746659453011473E-2</v>
      </c>
      <c r="M70" s="34">
        <f>(((VLOOKUP(B70,'Data qoq'!$A:$AT,MATCH($M$1,'Data qoq'!$A$1:$AT$1,),))/100+1)^4)-1</f>
        <v>4.3734032481868246E-2</v>
      </c>
      <c r="N70" s="34">
        <f>(((VLOOKUP(B70,'Data qoq'!$A:$AT,MATCH($N$1,'Data qoq'!$A$1:$AT$1,),))/100+1)^4)-1</f>
        <v>-9.3921114194106536E-3</v>
      </c>
      <c r="O70" s="34">
        <f>(((VLOOKUP(B70,'Data qoq'!$A:$AT,MATCH($O$1,'Data qoq'!$A$1:$AT$1,),))/100+1)^4)-1</f>
        <v>6.2782201026606588E-2</v>
      </c>
      <c r="P70" s="34">
        <f>(((VLOOKUP(B70,'Data qoq'!$A:$AT,MATCH($P$1,'Data qoq'!$A$1:$AT$1,),))/100+1)^4)-1</f>
        <v>2.7967652563583023E-2</v>
      </c>
      <c r="Q70" s="34">
        <f>(((VLOOKUP(B70,'Data qoq'!$A:$AT,MATCH($Q$1,'Data qoq'!$A$1:$AT$1,),))/100+1)^4)-1</f>
        <v>1.4424730080571546E-2</v>
      </c>
      <c r="R70" s="34">
        <f>(((VLOOKUP(B70,'Data qoq'!$A:$AT,MATCH($R$1,'Data qoq'!$A$1:$AT$1,),))/100+1)^4)-1</f>
        <v>2.0823021356584093E-2</v>
      </c>
      <c r="S70" s="34">
        <f>(((VLOOKUP(B70,'Data qoq'!$A:$AT,MATCH($S$1,'Data qoq'!$A$1:$AT$1,),))/100+1)^4)-1</f>
        <v>1.7207645362036228E-2</v>
      </c>
      <c r="T70" s="34">
        <f>(((VLOOKUP(B70,'Data qoq'!$A:$AT,MATCH($T$1,'Data qoq'!$A$1:$AT$1,),))/100+1)^4)-1</f>
        <v>2.0145140470459122E-2</v>
      </c>
      <c r="U70" s="34">
        <f>(((VLOOKUP(B70,'Data qoq'!$A:$AT,MATCH($U$1,'Data qoq'!$A$1:$AT$1,),))/100+1)^4)-1</f>
        <v>-3.7331221911601098E-2</v>
      </c>
      <c r="V70" s="34">
        <f>(((VLOOKUP(B70,'Data qoq'!$A:$AT,MATCH($V$1,'Data qoq'!$A$1:$AT$1,),))/100+1)^4)-1</f>
        <v>6.2083964814332759E-2</v>
      </c>
      <c r="W70" s="34">
        <f>(((VLOOKUP(B70,'Data qoq'!$A:$AT,MATCH($W$1,'Data qoq'!$A$1:$AT$1,),))/100+1)^4)-1</f>
        <v>5.5001746373369631E-2</v>
      </c>
      <c r="X70" s="34">
        <f>(((VLOOKUP(B70,'Data qoq'!$A:$AT,MATCH($X$1,'Data qoq'!$A$1:$AT$1,),))/100+1)^4)-1</f>
        <v>5.1927438005218374E-2</v>
      </c>
      <c r="Y70" s="34">
        <f>(((VLOOKUP(B70,'Data qoq'!$A:$AT,MATCH($Y$1,'Data qoq'!$A$1:$AT$1,),))/100+1)^4)-1</f>
        <v>2.6328612648325977E-2</v>
      </c>
      <c r="Z70" s="34">
        <f>(((VLOOKUP(B70,'Data qoq'!$A:$AU,MATCH($Z$1,'Data qoq'!$A$1:$AU$1,),))/100+1)^4)-1</f>
        <v>2.0106762431348679E-2</v>
      </c>
      <c r="AA70" s="34">
        <f>(((VLOOKUP(B70,'Data qoq'!$A:$AU,MATCH($AA$1,'Data qoq'!$A$1:$AU$1,),))/100+1)^4)-1</f>
        <v>6.4710341247108394E-2</v>
      </c>
      <c r="AC70" s="28" t="str">
        <f t="shared" si="7"/>
        <v>2014-Q4</v>
      </c>
      <c r="AD70" s="33">
        <f t="shared" si="8"/>
        <v>-6.4233399190658513E-3</v>
      </c>
      <c r="AE70" s="29"/>
    </row>
    <row r="71" spans="1:31" x14ac:dyDescent="0.2">
      <c r="A71" s="32">
        <v>42064</v>
      </c>
      <c r="B71" s="26" t="s">
        <v>320</v>
      </c>
      <c r="C71" s="34">
        <f>(((VLOOKUP(B71,'Data qoq'!$A:$AT,MATCH($C$1,'Data qoq'!$A$1:$AT$1,),))/100+1)^4)-1</f>
        <v>3.2931588807799894E-2</v>
      </c>
      <c r="D71" s="34">
        <f>(((VLOOKUP(B71,'Data qoq'!$A:$AT,MATCH($D$1,'Data qoq'!$A$1:$AT$1,),))/100+1)^4)-1</f>
        <v>7.819356632099983E-2</v>
      </c>
      <c r="E71" s="34">
        <f>(((VLOOKUP(B71,'Data qoq'!$A:$AT,MATCH($E$1,'Data qoq'!$A$1:$AT$1,),))/100+1)^4)-1</f>
        <v>2.6172298466863531E-2</v>
      </c>
      <c r="F71" s="34">
        <f>(((VLOOKUP(B71,'Data qoq'!$A:$AT,MATCH($F$1,'Data qoq'!$A$1:$AT$1,),))/100+1)^4)-1</f>
        <v>6.3412565768794726E-2</v>
      </c>
      <c r="G71" s="34">
        <f>(((VLOOKUP(B71,'Data qoq'!$A:$AT,MATCH($G$1,'Data qoq'!$A$1:$AT$1,),))/100+1)^4)-1</f>
        <v>-2.0930558084741202E-2</v>
      </c>
      <c r="H71" s="34">
        <f>(((VLOOKUP(B71,'Data qoq'!$A:$AT,MATCH($H$1,'Data qoq'!$A$1:$AT$1,),))/100+1)^4)-1</f>
        <v>1.8742090379778364E-2</v>
      </c>
      <c r="I71" s="34">
        <f>(((VLOOKUP(B71,'Data qoq'!$A:$AT,MATCH($I$1,'Data qoq'!$A$1:$AT$1,),))/100+1)^4)-1</f>
        <v>2.1820953256941999E-2</v>
      </c>
      <c r="J71" s="34">
        <f>(((VLOOKUP(B71,'Data qoq'!$A:$AT,MATCH($J$1,'Data qoq'!$A$1:$AT$1,),))/100+1)^4)-1</f>
        <v>8.6257650290404442E-3</v>
      </c>
      <c r="K71" s="34">
        <f>(((VLOOKUP(B71,'Data qoq'!$A:$AT,MATCH($K$1,'Data qoq'!$A$1:$AT$1,),))/100+1)^4)-1</f>
        <v>4.6700009742218107E-2</v>
      </c>
      <c r="L71" s="34">
        <f>(((VLOOKUP(B71,'Data qoq'!$A:$AT,MATCH($L$1,'Data qoq'!$A$1:$AT$1,),))/100+1)^4)-1</f>
        <v>5.6296621550893988E-2</v>
      </c>
      <c r="M71" s="34">
        <f>(((VLOOKUP(B71,'Data qoq'!$A:$AT,MATCH($M$1,'Data qoq'!$A$1:$AT$1,),))/100+1)^4)-1</f>
        <v>2.2040095561947082E-2</v>
      </c>
      <c r="N71" s="34">
        <f>(((VLOOKUP(B71,'Data qoq'!$A:$AT,MATCH($N$1,'Data qoq'!$A$1:$AT$1,),))/100+1)^4)-1</f>
        <v>-4.0093114761450388E-2</v>
      </c>
      <c r="O71" s="34">
        <f>(((VLOOKUP(B71,'Data qoq'!$A:$AT,MATCH($O$1,'Data qoq'!$A$1:$AT$1,),))/100+1)^4)-1</f>
        <v>6.9088686823250089E-2</v>
      </c>
      <c r="P71" s="34">
        <f>(((VLOOKUP(B71,'Data qoq'!$A:$AT,MATCH($P$1,'Data qoq'!$A$1:$AT$1,),))/100+1)^4)-1</f>
        <v>-2.180025621724524E-2</v>
      </c>
      <c r="Q71" s="34">
        <f>(((VLOOKUP(B71,'Data qoq'!$A:$AT,MATCH($Q$1,'Data qoq'!$A$1:$AT$1,),))/100+1)^4)-1</f>
        <v>3.3963589664647298E-2</v>
      </c>
      <c r="R71" s="34">
        <f>(((VLOOKUP(B71,'Data qoq'!$A:$AT,MATCH($R$1,'Data qoq'!$A$1:$AT$1,),))/100+1)^4)-1</f>
        <v>-5.9031549832626595E-3</v>
      </c>
      <c r="S71" s="34">
        <f>(((VLOOKUP(B71,'Data qoq'!$A:$AT,MATCH($S$1,'Data qoq'!$A$1:$AT$1,),))/100+1)^4)-1</f>
        <v>3.3938495330396057E-2</v>
      </c>
      <c r="T71" s="34">
        <f>(((VLOOKUP(B71,'Data qoq'!$A:$AT,MATCH($T$1,'Data qoq'!$A$1:$AT$1,),))/100+1)^4)-1</f>
        <v>-2.5508900501864051E-2</v>
      </c>
      <c r="U71" s="34">
        <f>(((VLOOKUP(B71,'Data qoq'!$A:$AT,MATCH($U$1,'Data qoq'!$A$1:$AT$1,),))/100+1)^4)-1</f>
        <v>1.4143577258909579E-2</v>
      </c>
      <c r="V71" s="34">
        <f>(((VLOOKUP(B71,'Data qoq'!$A:$AT,MATCH($V$1,'Data qoq'!$A$1:$AT$1,),))/100+1)^4)-1</f>
        <v>1.2595521905105924</v>
      </c>
      <c r="W71" s="34">
        <f>(((VLOOKUP(B71,'Data qoq'!$A:$AT,MATCH($W$1,'Data qoq'!$A$1:$AT$1,),))/100+1)^4)-1</f>
        <v>7.7802115968033325E-2</v>
      </c>
      <c r="X71" s="34">
        <f>(((VLOOKUP(B71,'Data qoq'!$A:$AT,MATCH($X$1,'Data qoq'!$A$1:$AT$1,),))/100+1)^4)-1</f>
        <v>7.4613222868712636E-2</v>
      </c>
      <c r="Y71" s="34">
        <f>(((VLOOKUP(B71,'Data qoq'!$A:$AT,MATCH($Y$1,'Data qoq'!$A$1:$AT$1,),))/100+1)^4)-1</f>
        <v>5.7964886966888951E-2</v>
      </c>
      <c r="Z71" s="34">
        <f>(((VLOOKUP(B71,'Data qoq'!$A:$AU,MATCH($Z$1,'Data qoq'!$A$1:$AU$1,),))/100+1)^4)-1</f>
        <v>5.9796603140844784E-2</v>
      </c>
      <c r="AA71" s="34">
        <f>(((VLOOKUP(B71,'Data qoq'!$A:$AU,MATCH($AA$1,'Data qoq'!$A$1:$AU$1,),))/100+1)^4)-1</f>
        <v>1.3452735901243518E-2</v>
      </c>
      <c r="AC71" s="28" t="str">
        <f t="shared" si="7"/>
        <v>2015-Q1</v>
      </c>
      <c r="AD71" s="33">
        <f t="shared" si="8"/>
        <v>4.3513452099215311E-3</v>
      </c>
      <c r="AE71" s="29"/>
    </row>
    <row r="72" spans="1:31" x14ac:dyDescent="0.2">
      <c r="A72" s="32">
        <v>42156</v>
      </c>
      <c r="B72" s="26" t="s">
        <v>321</v>
      </c>
      <c r="C72" s="34">
        <f>(((VLOOKUP(B72,'Data qoq'!$A:$AT,MATCH($C$1,'Data qoq'!$A$1:$AT$1,),))/100+1)^4)-1</f>
        <v>2.3402679862115416E-2</v>
      </c>
      <c r="D72" s="34">
        <f>(((VLOOKUP(B72,'Data qoq'!$A:$AT,MATCH($D$1,'Data qoq'!$A$1:$AT$1,),))/100+1)^4)-1</f>
        <v>7.3967432976000058E-2</v>
      </c>
      <c r="E72" s="34">
        <f>(((VLOOKUP(B72,'Data qoq'!$A:$AT,MATCH($E$1,'Data qoq'!$A$1:$AT$1,),))/100+1)^4)-1</f>
        <v>1.7924924054780744E-2</v>
      </c>
      <c r="F72" s="34">
        <f>(((VLOOKUP(B72,'Data qoq'!$A:$AT,MATCH($F$1,'Data qoq'!$A$1:$AT$1,),))/100+1)^4)-1</f>
        <v>3.5561371583214818E-3</v>
      </c>
      <c r="G72" s="34">
        <f>(((VLOOKUP(B72,'Data qoq'!$A:$AT,MATCH($G$1,'Data qoq'!$A$1:$AT$1,),))/100+1)^4)-1</f>
        <v>2.8578749480621113E-2</v>
      </c>
      <c r="H72" s="34">
        <f>(((VLOOKUP(B72,'Data qoq'!$A:$AT,MATCH($H$1,'Data qoq'!$A$1:$AT$1,),))/100+1)^4)-1</f>
        <v>9.0777497724325862E-4</v>
      </c>
      <c r="I72" s="34">
        <f>(((VLOOKUP(B72,'Data qoq'!$A:$AT,MATCH($I$1,'Data qoq'!$A$1:$AT$1,),))/100+1)^4)-1</f>
        <v>3.0207059612216369E-2</v>
      </c>
      <c r="J72" s="34">
        <f>(((VLOOKUP(B72,'Data qoq'!$A:$AT,MATCH($J$1,'Data qoq'!$A$1:$AT$1,),))/100+1)^4)-1</f>
        <v>1.5376080600174591E-2</v>
      </c>
      <c r="K72" s="34">
        <f>(((VLOOKUP(B72,'Data qoq'!$A:$AT,MATCH($K$1,'Data qoq'!$A$1:$AT$1,),))/100+1)^4)-1</f>
        <v>4.3606542458971775E-2</v>
      </c>
      <c r="L72" s="34">
        <f>(((VLOOKUP(B72,'Data qoq'!$A:$AT,MATCH($L$1,'Data qoq'!$A$1:$AT$1,),))/100+1)^4)-1</f>
        <v>3.9621488338724475E-2</v>
      </c>
      <c r="M72" s="34">
        <f>(((VLOOKUP(B72,'Data qoq'!$A:$AT,MATCH($M$1,'Data qoq'!$A$1:$AT$1,),))/100+1)^4)-1</f>
        <v>4.7355982007368347E-2</v>
      </c>
      <c r="N72" s="34">
        <f>(((VLOOKUP(B72,'Data qoq'!$A:$AT,MATCH($N$1,'Data qoq'!$A$1:$AT$1,),))/100+1)^4)-1</f>
        <v>-2.6537722883623105E-2</v>
      </c>
      <c r="O72" s="34">
        <f>(((VLOOKUP(B72,'Data qoq'!$A:$AT,MATCH($O$1,'Data qoq'!$A$1:$AT$1,),))/100+1)^4)-1</f>
        <v>8.8455796314929946E-2</v>
      </c>
      <c r="P72" s="34">
        <f>(((VLOOKUP(B72,'Data qoq'!$A:$AT,MATCH($P$1,'Data qoq'!$A$1:$AT$1,),))/100+1)^4)-1</f>
        <v>-1.0842517326931644E-2</v>
      </c>
      <c r="Q72" s="34">
        <f>(((VLOOKUP(B72,'Data qoq'!$A:$AT,MATCH($Q$1,'Data qoq'!$A$1:$AT$1,),))/100+1)^4)-1</f>
        <v>6.9624082157000444E-3</v>
      </c>
      <c r="R72" s="34">
        <f>(((VLOOKUP(B72,'Data qoq'!$A:$AT,MATCH($R$1,'Data qoq'!$A$1:$AT$1,),))/100+1)^4)-1</f>
        <v>2.8645320172020483E-2</v>
      </c>
      <c r="S72" s="34">
        <f>(((VLOOKUP(B72,'Data qoq'!$A:$AT,MATCH($S$1,'Data qoq'!$A$1:$AT$1,),))/100+1)^4)-1</f>
        <v>1.6892720819133622E-2</v>
      </c>
      <c r="T72" s="34">
        <f>(((VLOOKUP(B72,'Data qoq'!$A:$AT,MATCH($T$1,'Data qoq'!$A$1:$AT$1,),))/100+1)^4)-1</f>
        <v>-0.10060538536512798</v>
      </c>
      <c r="U72" s="34">
        <f>(((VLOOKUP(B72,'Data qoq'!$A:$AT,MATCH($U$1,'Data qoq'!$A$1:$AT$1,),))/100+1)^4)-1</f>
        <v>-5.6073489175468838E-3</v>
      </c>
      <c r="V72" s="34">
        <f>(((VLOOKUP(B72,'Data qoq'!$A:$AT,MATCH($V$1,'Data qoq'!$A$1:$AT$1,),))/100+1)^4)-1</f>
        <v>-7.6938555177065715E-2</v>
      </c>
      <c r="W72" s="34">
        <f>(((VLOOKUP(B72,'Data qoq'!$A:$AT,MATCH($W$1,'Data qoq'!$A$1:$AT$1,),))/100+1)^4)-1</f>
        <v>6.235810602809555E-2</v>
      </c>
      <c r="X72" s="34">
        <f>(((VLOOKUP(B72,'Data qoq'!$A:$AT,MATCH($X$1,'Data qoq'!$A$1:$AT$1,),))/100+1)^4)-1</f>
        <v>5.9395877778115835E-2</v>
      </c>
      <c r="Y72" s="34">
        <f>(((VLOOKUP(B72,'Data qoq'!$A:$AT,MATCH($Y$1,'Data qoq'!$A$1:$AT$1,),))/100+1)^4)-1</f>
        <v>3.1605772692674838E-2</v>
      </c>
      <c r="Z72" s="34">
        <f>(((VLOOKUP(B72,'Data qoq'!$A:$AU,MATCH($Z$1,'Data qoq'!$A$1:$AU$1,),))/100+1)^4)-1</f>
        <v>9.7460452647123219E-2</v>
      </c>
      <c r="AA72" s="34">
        <f>(((VLOOKUP(B72,'Data qoq'!$A:$AU,MATCH($AA$1,'Data qoq'!$A$1:$AU$1,),))/100+1)^4)-1</f>
        <v>2.7391056981294737E-2</v>
      </c>
      <c r="AC72" s="28" t="str">
        <f t="shared" si="7"/>
        <v>2015-Q2</v>
      </c>
      <c r="AD72" s="33">
        <f t="shared" si="8"/>
        <v>-1.2282135557435625E-2</v>
      </c>
      <c r="AE72" s="29"/>
    </row>
    <row r="73" spans="1:31" x14ac:dyDescent="0.2">
      <c r="A73" s="32">
        <v>42248</v>
      </c>
      <c r="B73" s="26" t="s">
        <v>322</v>
      </c>
      <c r="C73" s="34">
        <f>(((VLOOKUP(B73,'Data qoq'!$A:$AT,MATCH($C$1,'Data qoq'!$A$1:$AT$1,),))/100+1)^4)-1</f>
        <v>1.2997784220908359E-2</v>
      </c>
      <c r="D73" s="34">
        <f>(((VLOOKUP(B73,'Data qoq'!$A:$AT,MATCH($D$1,'Data qoq'!$A$1:$AT$1,),))/100+1)^4)-1</f>
        <v>6.9753735520999616E-2</v>
      </c>
      <c r="E73" s="34">
        <f>(((VLOOKUP(B73,'Data qoq'!$A:$AT,MATCH($E$1,'Data qoq'!$A$1:$AT$1,),))/100+1)^4)-1</f>
        <v>1.7596374540306714E-2</v>
      </c>
      <c r="F73" s="34">
        <f>(((VLOOKUP(B73,'Data qoq'!$A:$AT,MATCH($F$1,'Data qoq'!$A$1:$AT$1,),))/100+1)^4)-1</f>
        <v>4.3806076126415849E-3</v>
      </c>
      <c r="G73" s="34">
        <f>(((VLOOKUP(B73,'Data qoq'!$A:$AT,MATCH($G$1,'Data qoq'!$A$1:$AT$1,),))/100+1)^4)-1</f>
        <v>2.0207180190208174E-2</v>
      </c>
      <c r="H73" s="34">
        <f>(((VLOOKUP(B73,'Data qoq'!$A:$AT,MATCH($H$1,'Data qoq'!$A$1:$AT$1,),))/100+1)^4)-1</f>
        <v>1.4289685726351697E-2</v>
      </c>
      <c r="I73" s="34">
        <f>(((VLOOKUP(B73,'Data qoq'!$A:$AT,MATCH($I$1,'Data qoq'!$A$1:$AT$1,),))/100+1)^4)-1</f>
        <v>1.5577489898873642E-2</v>
      </c>
      <c r="J73" s="34">
        <f>(((VLOOKUP(B73,'Data qoq'!$A:$AT,MATCH($J$1,'Data qoq'!$A$1:$AT$1,),))/100+1)^4)-1</f>
        <v>9.1662394242157941E-3</v>
      </c>
      <c r="K73" s="34">
        <f>(((VLOOKUP(B73,'Data qoq'!$A:$AT,MATCH($K$1,'Data qoq'!$A$1:$AT$1,),))/100+1)^4)-1</f>
        <v>3.6901102404791386E-2</v>
      </c>
      <c r="L73" s="34">
        <f>(((VLOOKUP(B73,'Data qoq'!$A:$AT,MATCH($L$1,'Data qoq'!$A$1:$AT$1,),))/100+1)^4)-1</f>
        <v>5.7308789812412941E-2</v>
      </c>
      <c r="M73" s="34">
        <f>(((VLOOKUP(B73,'Data qoq'!$A:$AT,MATCH($M$1,'Data qoq'!$A$1:$AT$1,),))/100+1)^4)-1</f>
        <v>5.1070967475296492E-2</v>
      </c>
      <c r="N73" s="34">
        <f>(((VLOOKUP(B73,'Data qoq'!$A:$AT,MATCH($N$1,'Data qoq'!$A$1:$AT$1,),))/100+1)^4)-1</f>
        <v>7.763397326211452E-3</v>
      </c>
      <c r="O73" s="34">
        <f>(((VLOOKUP(B73,'Data qoq'!$A:$AT,MATCH($O$1,'Data qoq'!$A$1:$AT$1,),))/100+1)^4)-1</f>
        <v>7.5920894991795773E-2</v>
      </c>
      <c r="P73" s="34">
        <f>(((VLOOKUP(B73,'Data qoq'!$A:$AT,MATCH($P$1,'Data qoq'!$A$1:$AT$1,),))/100+1)^4)-1</f>
        <v>1.422331330626192E-2</v>
      </c>
      <c r="Q73" s="34">
        <f>(((VLOOKUP(B73,'Data qoq'!$A:$AT,MATCH($Q$1,'Data qoq'!$A$1:$AT$1,),))/100+1)^4)-1</f>
        <v>4.4021778190315164E-2</v>
      </c>
      <c r="R73" s="34">
        <f>(((VLOOKUP(B73,'Data qoq'!$A:$AT,MATCH($R$1,'Data qoq'!$A$1:$AT$1,),))/100+1)^4)-1</f>
        <v>2.519345859441513E-2</v>
      </c>
      <c r="S73" s="34">
        <f>(((VLOOKUP(B73,'Data qoq'!$A:$AT,MATCH($S$1,'Data qoq'!$A$1:$AT$1,),))/100+1)^4)-1</f>
        <v>6.1910540281637338E-2</v>
      </c>
      <c r="T73" s="34">
        <f>(((VLOOKUP(B73,'Data qoq'!$A:$AT,MATCH($T$1,'Data qoq'!$A$1:$AT$1,),))/100+1)^4)-1</f>
        <v>-5.8833798857304331E-2</v>
      </c>
      <c r="U73" s="34">
        <f>(((VLOOKUP(B73,'Data qoq'!$A:$AT,MATCH($U$1,'Data qoq'!$A$1:$AT$1,),))/100+1)^4)-1</f>
        <v>-6.2572651367163945E-2</v>
      </c>
      <c r="V73" s="34">
        <f>(((VLOOKUP(B73,'Data qoq'!$A:$AT,MATCH($V$1,'Data qoq'!$A$1:$AT$1,),))/100+1)^4)-1</f>
        <v>9.4541084461755798E-2</v>
      </c>
      <c r="W73" s="34">
        <f>(((VLOOKUP(B73,'Data qoq'!$A:$AT,MATCH($W$1,'Data qoq'!$A$1:$AT$1,),))/100+1)^4)-1</f>
        <v>5.7250151038428454E-2</v>
      </c>
      <c r="X73" s="34">
        <f>(((VLOOKUP(B73,'Data qoq'!$A:$AT,MATCH($X$1,'Data qoq'!$A$1:$AT$1,),))/100+1)^4)-1</f>
        <v>4.4590691753515044E-2</v>
      </c>
      <c r="Y73" s="34">
        <f>(((VLOOKUP(B73,'Data qoq'!$A:$AT,MATCH($Y$1,'Data qoq'!$A$1:$AT$1,),))/100+1)^4)-1</f>
        <v>5.1939620574214862E-2</v>
      </c>
      <c r="Z73" s="34">
        <f>(((VLOOKUP(B73,'Data qoq'!$A:$AU,MATCH($Z$1,'Data qoq'!$A$1:$AU$1,),))/100+1)^4)-1</f>
        <v>-2.9259474711422762E-3</v>
      </c>
      <c r="AA73" s="34">
        <f>(((VLOOKUP(B73,'Data qoq'!$A:$AU,MATCH($AA$1,'Data qoq'!$A$1:$AU$1,),))/100+1)^4)-1</f>
        <v>4.3407867512738063E-2</v>
      </c>
      <c r="AC73" s="28" t="str">
        <f t="shared" si="7"/>
        <v>2015-Q3</v>
      </c>
      <c r="AD73" s="33">
        <f t="shared" si="8"/>
        <v>2.0188846414330719E-3</v>
      </c>
      <c r="AE73" s="29"/>
    </row>
    <row r="74" spans="1:31" x14ac:dyDescent="0.2">
      <c r="A74" s="32">
        <v>42339</v>
      </c>
      <c r="B74" s="26" t="s">
        <v>323</v>
      </c>
      <c r="C74" s="34">
        <f>(((VLOOKUP(B74,'Data qoq'!$A:$AT,MATCH($C$1,'Data qoq'!$A$1:$AT$1,),))/100+1)^4)-1</f>
        <v>5.8622170837032694E-3</v>
      </c>
      <c r="D74" s="34">
        <f>(((VLOOKUP(B74,'Data qoq'!$A:$AT,MATCH($D$1,'Data qoq'!$A$1:$AT$1,),))/100+1)^4)-1</f>
        <v>6.5552449536000035E-2</v>
      </c>
      <c r="E74" s="34">
        <f>(((VLOOKUP(B74,'Data qoq'!$A:$AT,MATCH($E$1,'Data qoq'!$A$1:$AT$1,),))/100+1)^4)-1</f>
        <v>1.9003746437111779E-2</v>
      </c>
      <c r="F74" s="34">
        <f>(((VLOOKUP(B74,'Data qoq'!$A:$AT,MATCH($F$1,'Data qoq'!$A$1:$AT$1,),))/100+1)^4)-1</f>
        <v>-3.7248122712914E-3</v>
      </c>
      <c r="G74" s="34">
        <f>(((VLOOKUP(B74,'Data qoq'!$A:$AT,MATCH($G$1,'Data qoq'!$A$1:$AT$1,),))/100+1)^4)-1</f>
        <v>1.7273162740635062E-2</v>
      </c>
      <c r="H74" s="34">
        <f>(((VLOOKUP(B74,'Data qoq'!$A:$AT,MATCH($H$1,'Data qoq'!$A$1:$AT$1,),))/100+1)^4)-1</f>
        <v>5.5755563503194772E-3</v>
      </c>
      <c r="I74" s="34">
        <f>(((VLOOKUP(B74,'Data qoq'!$A:$AT,MATCH($I$1,'Data qoq'!$A$1:$AT$1,),))/100+1)^4)-1</f>
        <v>2.6505871319806529E-2</v>
      </c>
      <c r="J74" s="34">
        <f>(((VLOOKUP(B74,'Data qoq'!$A:$AT,MATCH($J$1,'Data qoq'!$A$1:$AT$1,),))/100+1)^4)-1</f>
        <v>2.1600071049004965E-2</v>
      </c>
      <c r="K74" s="34">
        <f>(((VLOOKUP(B74,'Data qoq'!$A:$AT,MATCH($K$1,'Data qoq'!$A$1:$AT$1,),))/100+1)^4)-1</f>
        <v>3.932959471339359E-2</v>
      </c>
      <c r="L74" s="34">
        <f>(((VLOOKUP(B74,'Data qoq'!$A:$AT,MATCH($L$1,'Data qoq'!$A$1:$AT$1,),))/100+1)^4)-1</f>
        <v>3.0169138751630076E-2</v>
      </c>
      <c r="M74" s="34">
        <f>(((VLOOKUP(B74,'Data qoq'!$A:$AT,MATCH($M$1,'Data qoq'!$A$1:$AT$1,),))/100+1)^4)-1</f>
        <v>-1.0400681994198968E-2</v>
      </c>
      <c r="N74" s="34">
        <f>(((VLOOKUP(B74,'Data qoq'!$A:$AT,MATCH($N$1,'Data qoq'!$A$1:$AT$1,),))/100+1)^4)-1</f>
        <v>-1.0267245114127355E-2</v>
      </c>
      <c r="O74" s="34">
        <f>(((VLOOKUP(B74,'Data qoq'!$A:$AT,MATCH($O$1,'Data qoq'!$A$1:$AT$1,),))/100+1)^4)-1</f>
        <v>8.3823012159742305E-2</v>
      </c>
      <c r="P74" s="34">
        <f>(((VLOOKUP(B74,'Data qoq'!$A:$AT,MATCH($P$1,'Data qoq'!$A$1:$AT$1,),))/100+1)^4)-1</f>
        <v>2.9984606924127188E-3</v>
      </c>
      <c r="Q74" s="34">
        <f>(((VLOOKUP(B74,'Data qoq'!$A:$AT,MATCH($Q$1,'Data qoq'!$A$1:$AT$1,),))/100+1)^4)-1</f>
        <v>2.2978223938719733E-2</v>
      </c>
      <c r="R74" s="34">
        <f>(((VLOOKUP(B74,'Data qoq'!$A:$AT,MATCH($R$1,'Data qoq'!$A$1:$AT$1,),))/100+1)^4)-1</f>
        <v>1.5801953195765828E-2</v>
      </c>
      <c r="S74" s="34">
        <f>(((VLOOKUP(B74,'Data qoq'!$A:$AT,MATCH($S$1,'Data qoq'!$A$1:$AT$1,),))/100+1)^4)-1</f>
        <v>2.6634585966872626E-2</v>
      </c>
      <c r="T74" s="34">
        <f>(((VLOOKUP(B74,'Data qoq'!$A:$AT,MATCH($T$1,'Data qoq'!$A$1:$AT$1,),))/100+1)^4)-1</f>
        <v>-3.0963601154554321E-2</v>
      </c>
      <c r="U74" s="34">
        <f>(((VLOOKUP(B74,'Data qoq'!$A:$AT,MATCH($U$1,'Data qoq'!$A$1:$AT$1,),))/100+1)^4)-1</f>
        <v>4.590724739055041E-2</v>
      </c>
      <c r="V74" s="34">
        <f>(((VLOOKUP(B74,'Data qoq'!$A:$AT,MATCH($V$1,'Data qoq'!$A$1:$AT$1,),))/100+1)^4)-1</f>
        <v>9.6686666381843756E-2</v>
      </c>
      <c r="W74" s="34">
        <f>(((VLOOKUP(B74,'Data qoq'!$A:$AT,MATCH($W$1,'Data qoq'!$A$1:$AT$1,),))/100+1)^4)-1</f>
        <v>4.749799531248744E-2</v>
      </c>
      <c r="X74" s="34">
        <f>(((VLOOKUP(B74,'Data qoq'!$A:$AT,MATCH($X$1,'Data qoq'!$A$1:$AT$1,),))/100+1)^4)-1</f>
        <v>2.5968984646334681E-2</v>
      </c>
      <c r="Y74" s="34">
        <f>(((VLOOKUP(B74,'Data qoq'!$A:$AT,MATCH($Y$1,'Data qoq'!$A$1:$AT$1,),))/100+1)^4)-1</f>
        <v>5.0438281052895828E-2</v>
      </c>
      <c r="Z74" s="34">
        <f>(((VLOOKUP(B74,'Data qoq'!$A:$AU,MATCH($Z$1,'Data qoq'!$A$1:$AU$1,),))/100+1)^4)-1</f>
        <v>-4.4091198113756502E-2</v>
      </c>
      <c r="AA74" s="34">
        <f>(((VLOOKUP(B74,'Data qoq'!$A:$AU,MATCH($AA$1,'Data qoq'!$A$1:$AU$1,),))/100+1)^4)-1</f>
        <v>4.3830013438291626E-2</v>
      </c>
      <c r="AC74" s="28" t="str">
        <f t="shared" si="7"/>
        <v>2015-Q4</v>
      </c>
      <c r="AD74" s="33">
        <f t="shared" si="8"/>
        <v>-7.5021248826947495E-3</v>
      </c>
      <c r="AE74" s="29"/>
    </row>
    <row r="75" spans="1:31" x14ac:dyDescent="0.2">
      <c r="A75" s="32">
        <v>42430</v>
      </c>
      <c r="B75" s="26" t="s">
        <v>324</v>
      </c>
      <c r="C75" s="34">
        <f>(((VLOOKUP(B75,'Data qoq'!$A:$AT,MATCH($C$1,'Data qoq'!$A$1:$AT$1,),))/100+1)^4)-1</f>
        <v>2.3776293810742199E-2</v>
      </c>
      <c r="D75" s="34">
        <f>(((VLOOKUP(B75,'Data qoq'!$A:$AT,MATCH($D$1,'Data qoq'!$A$1:$AT$1,),))/100+1)^4)-1</f>
        <v>6.5552449536000035E-2</v>
      </c>
      <c r="E75" s="34">
        <f>(((VLOOKUP(B75,'Data qoq'!$A:$AT,MATCH($E$1,'Data qoq'!$A$1:$AT$1,),))/100+1)^4)-1</f>
        <v>2.1590720203898517E-2</v>
      </c>
      <c r="F75" s="34">
        <f>(((VLOOKUP(B75,'Data qoq'!$A:$AT,MATCH($F$1,'Data qoq'!$A$1:$AT$1,),))/100+1)^4)-1</f>
        <v>2.898036316668251E-2</v>
      </c>
      <c r="G75" s="34">
        <f>(((VLOOKUP(B75,'Data qoq'!$A:$AT,MATCH($G$1,'Data qoq'!$A$1:$AT$1,),))/100+1)^4)-1</f>
        <v>3.3092082069765549E-2</v>
      </c>
      <c r="H75" s="34">
        <f>(((VLOOKUP(B75,'Data qoq'!$A:$AT,MATCH($H$1,'Data qoq'!$A$1:$AT$1,),))/100+1)^4)-1</f>
        <v>2.484579150263011E-2</v>
      </c>
      <c r="I75" s="34">
        <f>(((VLOOKUP(B75,'Data qoq'!$A:$AT,MATCH($I$1,'Data qoq'!$A$1:$AT$1,),))/100+1)^4)-1</f>
        <v>7.9860897221970539E-3</v>
      </c>
      <c r="J75" s="34">
        <f>(((VLOOKUP(B75,'Data qoq'!$A:$AT,MATCH($J$1,'Data qoq'!$A$1:$AT$1,),))/100+1)^4)-1</f>
        <v>1.1717107375035507E-2</v>
      </c>
      <c r="K75" s="34">
        <f>(((VLOOKUP(B75,'Data qoq'!$A:$AT,MATCH($K$1,'Data qoq'!$A$1:$AT$1,),))/100+1)^4)-1</f>
        <v>2.7382815578478992E-2</v>
      </c>
      <c r="L75" s="34">
        <f>(((VLOOKUP(B75,'Data qoq'!$A:$AT,MATCH($L$1,'Data qoq'!$A$1:$AT$1,),))/100+1)^4)-1</f>
        <v>-2.1240301267545503E-3</v>
      </c>
      <c r="M75" s="34">
        <f>(((VLOOKUP(B75,'Data qoq'!$A:$AT,MATCH($M$1,'Data qoq'!$A$1:$AT$1,),))/100+1)^4)-1</f>
        <v>2.3398172339426759E-2</v>
      </c>
      <c r="N75" s="34">
        <f>(((VLOOKUP(B75,'Data qoq'!$A:$AT,MATCH($N$1,'Data qoq'!$A$1:$AT$1,),))/100+1)^4)-1</f>
        <v>7.6241816544513341E-3</v>
      </c>
      <c r="O75" s="34">
        <f>(((VLOOKUP(B75,'Data qoq'!$A:$AT,MATCH($O$1,'Data qoq'!$A$1:$AT$1,),))/100+1)^4)-1</f>
        <v>0.12126716927876768</v>
      </c>
      <c r="P75" s="34">
        <f>(((VLOOKUP(B75,'Data qoq'!$A:$AT,MATCH($P$1,'Data qoq'!$A$1:$AT$1,),))/100+1)^4)-1</f>
        <v>2.212120648088356E-2</v>
      </c>
      <c r="Q75" s="34">
        <f>(((VLOOKUP(B75,'Data qoq'!$A:$AT,MATCH($Q$1,'Data qoq'!$A$1:$AT$1,),))/100+1)^4)-1</f>
        <v>3.3789545338927418E-2</v>
      </c>
      <c r="R75" s="34">
        <f>(((VLOOKUP(B75,'Data qoq'!$A:$AT,MATCH($R$1,'Data qoq'!$A$1:$AT$1,),))/100+1)^4)-1</f>
        <v>1.8382240250185422E-2</v>
      </c>
      <c r="S75" s="34">
        <f>(((VLOOKUP(B75,'Data qoq'!$A:$AT,MATCH($S$1,'Data qoq'!$A$1:$AT$1,),))/100+1)^4)-1</f>
        <v>1.2347869554163227E-2</v>
      </c>
      <c r="T75" s="34">
        <f>(((VLOOKUP(B75,'Data qoq'!$A:$AT,MATCH($T$1,'Data qoq'!$A$1:$AT$1,),))/100+1)^4)-1</f>
        <v>-6.1987315081204364E-2</v>
      </c>
      <c r="U75" s="34">
        <f>(((VLOOKUP(B75,'Data qoq'!$A:$AT,MATCH($U$1,'Data qoq'!$A$1:$AT$1,),))/100+1)^4)-1</f>
        <v>-2.3077010387427266E-2</v>
      </c>
      <c r="V75" s="34">
        <f>(((VLOOKUP(B75,'Data qoq'!$A:$AT,MATCH($V$1,'Data qoq'!$A$1:$AT$1,),))/100+1)^4)-1</f>
        <v>-0.14090688368498538</v>
      </c>
      <c r="W75" s="34">
        <f>(((VLOOKUP(B75,'Data qoq'!$A:$AT,MATCH($W$1,'Data qoq'!$A$1:$AT$1,),))/100+1)^4)-1</f>
        <v>1.4540133738314642E-2</v>
      </c>
      <c r="X75" s="34">
        <f>(((VLOOKUP(B75,'Data qoq'!$A:$AT,MATCH($X$1,'Data qoq'!$A$1:$AT$1,),))/100+1)^4)-1</f>
        <v>6.5498400605046303E-3</v>
      </c>
      <c r="Y75" s="34">
        <f>(((VLOOKUP(B75,'Data qoq'!$A:$AT,MATCH($Y$1,'Data qoq'!$A$1:$AT$1,),))/100+1)^4)-1</f>
        <v>-1.1698954601925604E-2</v>
      </c>
      <c r="Z75" s="34">
        <f>(((VLOOKUP(B75,'Data qoq'!$A:$AU,MATCH($Z$1,'Data qoq'!$A$1:$AU$1,),))/100+1)^4)-1</f>
        <v>-3.6369046540755234E-2</v>
      </c>
      <c r="AA75" s="34">
        <f>(((VLOOKUP(B75,'Data qoq'!$A:$AU,MATCH($AA$1,'Data qoq'!$A$1:$AU$1,),))/100+1)^4)-1</f>
        <v>4.8216443056640745E-2</v>
      </c>
      <c r="AC75" s="28" t="str">
        <f t="shared" si="7"/>
        <v>2016-Q1</v>
      </c>
      <c r="AD75" s="33">
        <f t="shared" ref="AD75:AD91" si="9">(VLOOKUP(AC75,B:Y,MATCH($AE$6,$B$1:$Y$1,),))-(VLOOKUP(AC75,B:Y,MATCH($AE$7,$B$1:$Y$1,),))</f>
        <v>1.3604630481701463E-2</v>
      </c>
      <c r="AE75" s="29"/>
    </row>
    <row r="76" spans="1:31" x14ac:dyDescent="0.2">
      <c r="A76" s="32">
        <v>42522</v>
      </c>
      <c r="B76" s="26" t="s">
        <v>325</v>
      </c>
      <c r="C76" s="34">
        <f>(((VLOOKUP(B76,'Data qoq'!$A:$AT,MATCH($C$1,'Data qoq'!$A$1:$AT$1,),))/100+1)^4)-1</f>
        <v>1.2150526358479352E-2</v>
      </c>
      <c r="D76" s="34">
        <f>(((VLOOKUP(B76,'Data qoq'!$A:$AT,MATCH($D$1,'Data qoq'!$A$1:$AT$1,),))/100+1)^4)-1</f>
        <v>7.3967432976000058E-2</v>
      </c>
      <c r="E76" s="34">
        <f>(((VLOOKUP(B76,'Data qoq'!$A:$AT,MATCH($E$1,'Data qoq'!$A$1:$AT$1,),))/100+1)^4)-1</f>
        <v>1.083285046361504E-2</v>
      </c>
      <c r="F76" s="34">
        <f>(((VLOOKUP(B76,'Data qoq'!$A:$AT,MATCH($F$1,'Data qoq'!$A$1:$AT$1,),))/100+1)^4)-1</f>
        <v>-9.0750450954423245E-3</v>
      </c>
      <c r="G76" s="34">
        <f>(((VLOOKUP(B76,'Data qoq'!$A:$AT,MATCH($G$1,'Data qoq'!$A$1:$AT$1,),))/100+1)^4)-1</f>
        <v>1.6659544101505608E-2</v>
      </c>
      <c r="H76" s="34">
        <f>(((VLOOKUP(B76,'Data qoq'!$A:$AT,MATCH($H$1,'Data qoq'!$A$1:$AT$1,),))/100+1)^4)-1</f>
        <v>-6.1063690385928515E-3</v>
      </c>
      <c r="I76" s="34">
        <f>(((VLOOKUP(B76,'Data qoq'!$A:$AT,MATCH($I$1,'Data qoq'!$A$1:$AT$1,),))/100+1)^4)-1</f>
        <v>1.8231362844070453E-2</v>
      </c>
      <c r="J76" s="34">
        <f>(((VLOOKUP(B76,'Data qoq'!$A:$AT,MATCH($J$1,'Data qoq'!$A$1:$AT$1,),))/100+1)^4)-1</f>
        <v>8.4764612428225306E-3</v>
      </c>
      <c r="K76" s="34">
        <f>(((VLOOKUP(B76,'Data qoq'!$A:$AT,MATCH($K$1,'Data qoq'!$A$1:$AT$1,),))/100+1)^4)-1</f>
        <v>1.6882202618370146E-2</v>
      </c>
      <c r="L76" s="34">
        <f>(((VLOOKUP(B76,'Data qoq'!$A:$AT,MATCH($L$1,'Data qoq'!$A$1:$AT$1,),))/100+1)^4)-1</f>
        <v>-1.0847565392917424E-3</v>
      </c>
      <c r="M76" s="34">
        <f>(((VLOOKUP(B76,'Data qoq'!$A:$AT,MATCH($M$1,'Data qoq'!$A$1:$AT$1,),))/100+1)^4)-1</f>
        <v>1.6019303480756975E-2</v>
      </c>
      <c r="N76" s="34">
        <f>(((VLOOKUP(B76,'Data qoq'!$A:$AT,MATCH($N$1,'Data qoq'!$A$1:$AT$1,),))/100+1)^4)-1</f>
        <v>2.1540749113497792E-3</v>
      </c>
      <c r="O76" s="34">
        <f>(((VLOOKUP(B76,'Data qoq'!$A:$AT,MATCH($O$1,'Data qoq'!$A$1:$AT$1,),))/100+1)^4)-1</f>
        <v>7.318738392484514E-2</v>
      </c>
      <c r="P76" s="34">
        <f>(((VLOOKUP(B76,'Data qoq'!$A:$AT,MATCH($P$1,'Data qoq'!$A$1:$AT$1,),))/100+1)^4)-1</f>
        <v>-1.9523875668778556E-2</v>
      </c>
      <c r="Q76" s="34">
        <f>(((VLOOKUP(B76,'Data qoq'!$A:$AT,MATCH($Q$1,'Data qoq'!$A$1:$AT$1,),))/100+1)^4)-1</f>
        <v>2.8546049651720251E-2</v>
      </c>
      <c r="R76" s="34">
        <f>(((VLOOKUP(B76,'Data qoq'!$A:$AT,MATCH($R$1,'Data qoq'!$A$1:$AT$1,),))/100+1)^4)-1</f>
        <v>1.9960612124273247E-2</v>
      </c>
      <c r="S76" s="34">
        <f>(((VLOOKUP(B76,'Data qoq'!$A:$AT,MATCH($S$1,'Data qoq'!$A$1:$AT$1,),))/100+1)^4)-1</f>
        <v>4.6644433202276847E-2</v>
      </c>
      <c r="T76" s="34">
        <f>(((VLOOKUP(B76,'Data qoq'!$A:$AT,MATCH($T$1,'Data qoq'!$A$1:$AT$1,),))/100+1)^4)-1</f>
        <v>2.3186317215513785E-2</v>
      </c>
      <c r="U76" s="34">
        <f>(((VLOOKUP(B76,'Data qoq'!$A:$AT,MATCH($U$1,'Data qoq'!$A$1:$AT$1,),))/100+1)^4)-1</f>
        <v>-1.3900866948002855E-2</v>
      </c>
      <c r="V76" s="34">
        <f>(((VLOOKUP(B76,'Data qoq'!$A:$AT,MATCH($V$1,'Data qoq'!$A$1:$AT$1,),))/100+1)^4)-1</f>
        <v>8.3257271036230041E-2</v>
      </c>
      <c r="W76" s="34">
        <f>(((VLOOKUP(B76,'Data qoq'!$A:$AT,MATCH($W$1,'Data qoq'!$A$1:$AT$1,),))/100+1)^4)-1</f>
        <v>5.8475678129921604E-2</v>
      </c>
      <c r="X76" s="34">
        <f>(((VLOOKUP(B76,'Data qoq'!$A:$AT,MATCH($X$1,'Data qoq'!$A$1:$AT$1,),))/100+1)^4)-1</f>
        <v>1.3516027002217212E-2</v>
      </c>
      <c r="Y76" s="34">
        <f>(((VLOOKUP(B76,'Data qoq'!$A:$AT,MATCH($Y$1,'Data qoq'!$A$1:$AT$1,),))/100+1)^4)-1</f>
        <v>5.3012529324610647E-2</v>
      </c>
      <c r="Z76" s="34">
        <f>(((VLOOKUP(B76,'Data qoq'!$A:$AU,MATCH($Z$1,'Data qoq'!$A$1:$AU$1,),))/100+1)^4)-1</f>
        <v>-6.1528026469004904E-2</v>
      </c>
      <c r="AA76" s="34">
        <f>(((VLOOKUP(B76,'Data qoq'!$A:$AU,MATCH($AA$1,'Data qoq'!$A$1:$AU$1,),))/100+1)^4)-1</f>
        <v>3.4960473498655942E-2</v>
      </c>
      <c r="AC76" s="28" t="str">
        <f t="shared" ref="AC76:AC85" si="10">B76</f>
        <v>2016-Q2</v>
      </c>
      <c r="AD76" s="33">
        <f t="shared" si="9"/>
        <v>-7.3985123804554132E-3</v>
      </c>
      <c r="AE76" s="29"/>
    </row>
    <row r="77" spans="1:31" x14ac:dyDescent="0.2">
      <c r="A77" s="32">
        <v>42614</v>
      </c>
      <c r="B77" s="26" t="s">
        <v>326</v>
      </c>
      <c r="C77" s="34">
        <f>(((VLOOKUP(B77,'Data qoq'!$A:$AT,MATCH($C$1,'Data qoq'!$A$1:$AT$1,),))/100+1)^4)-1</f>
        <v>2.4262289112386481E-2</v>
      </c>
      <c r="D77" s="34">
        <f>(((VLOOKUP(B77,'Data qoq'!$A:$AT,MATCH($D$1,'Data qoq'!$A$1:$AT$1,),))/100+1)^4)-1</f>
        <v>6.9753735520999616E-2</v>
      </c>
      <c r="E77" s="34">
        <f>(((VLOOKUP(B77,'Data qoq'!$A:$AT,MATCH($E$1,'Data qoq'!$A$1:$AT$1,),))/100+1)^4)-1</f>
        <v>1.788276669571176E-2</v>
      </c>
      <c r="F77" s="34">
        <f>(((VLOOKUP(B77,'Data qoq'!$A:$AT,MATCH($F$1,'Data qoq'!$A$1:$AT$1,),))/100+1)^4)-1</f>
        <v>7.6947708629264699E-3</v>
      </c>
      <c r="G77" s="34">
        <f>(((VLOOKUP(B77,'Data qoq'!$A:$AT,MATCH($G$1,'Data qoq'!$A$1:$AT$1,),))/100+1)^4)-1</f>
        <v>1.3811439745116116E-2</v>
      </c>
      <c r="H77" s="34">
        <f>(((VLOOKUP(B77,'Data qoq'!$A:$AT,MATCH($H$1,'Data qoq'!$A$1:$AT$1,),))/100+1)^4)-1</f>
        <v>8.3108441224843954E-3</v>
      </c>
      <c r="I77" s="34">
        <f>(((VLOOKUP(B77,'Data qoq'!$A:$AT,MATCH($I$1,'Data qoq'!$A$1:$AT$1,),))/100+1)^4)-1</f>
        <v>1.2276768464136723E-2</v>
      </c>
      <c r="J77" s="34">
        <f>(((VLOOKUP(B77,'Data qoq'!$A:$AT,MATCH($J$1,'Data qoq'!$A$1:$AT$1,),))/100+1)^4)-1</f>
        <v>2.141639132436568E-2</v>
      </c>
      <c r="K77" s="34">
        <f>(((VLOOKUP(B77,'Data qoq'!$A:$AT,MATCH($K$1,'Data qoq'!$A$1:$AT$1,),))/100+1)^4)-1</f>
        <v>3.5957719022935875E-2</v>
      </c>
      <c r="L77" s="34">
        <f>(((VLOOKUP(B77,'Data qoq'!$A:$AT,MATCH($L$1,'Data qoq'!$A$1:$AT$1,),))/100+1)^4)-1</f>
        <v>1.5988736204913367E-2</v>
      </c>
      <c r="M77" s="34">
        <f>(((VLOOKUP(B77,'Data qoq'!$A:$AT,MATCH($M$1,'Data qoq'!$A$1:$AT$1,),))/100+1)^4)-1</f>
        <v>4.2247636156577117E-2</v>
      </c>
      <c r="N77" s="34">
        <f>(((VLOOKUP(B77,'Data qoq'!$A:$AT,MATCH($N$1,'Data qoq'!$A$1:$AT$1,),))/100+1)^4)-1</f>
        <v>4.0367417018090102E-3</v>
      </c>
      <c r="O77" s="34">
        <f>(((VLOOKUP(B77,'Data qoq'!$A:$AT,MATCH($O$1,'Data qoq'!$A$1:$AT$1,),))/100+1)^4)-1</f>
        <v>9.4844004913106073E-2</v>
      </c>
      <c r="P77" s="34">
        <f>(((VLOOKUP(B77,'Data qoq'!$A:$AT,MATCH($P$1,'Data qoq'!$A$1:$AT$1,),))/100+1)^4)-1</f>
        <v>4.189098596035401E-2</v>
      </c>
      <c r="Q77" s="34">
        <f>(((VLOOKUP(B77,'Data qoq'!$A:$AT,MATCH($Q$1,'Data qoq'!$A$1:$AT$1,),))/100+1)^4)-1</f>
        <v>5.8647857621443311E-3</v>
      </c>
      <c r="R77" s="34">
        <f>(((VLOOKUP(B77,'Data qoq'!$A:$AT,MATCH($R$1,'Data qoq'!$A$1:$AT$1,),))/100+1)^4)-1</f>
        <v>2.2816223959083448E-2</v>
      </c>
      <c r="S77" s="34">
        <f>(((VLOOKUP(B77,'Data qoq'!$A:$AT,MATCH($S$1,'Data qoq'!$A$1:$AT$1,),))/100+1)^4)-1</f>
        <v>1.9908083514255104E-2</v>
      </c>
      <c r="T77" s="34">
        <f>(((VLOOKUP(B77,'Data qoq'!$A:$AT,MATCH($T$1,'Data qoq'!$A$1:$AT$1,),))/100+1)^4)-1</f>
        <v>-2.6062253087956733E-2</v>
      </c>
      <c r="U77" s="34">
        <f>(((VLOOKUP(B77,'Data qoq'!$A:$AT,MATCH($U$1,'Data qoq'!$A$1:$AT$1,),))/100+1)^4)-1</f>
        <v>2.0036284660668535E-2</v>
      </c>
      <c r="V77" s="34">
        <f>(((VLOOKUP(B77,'Data qoq'!$A:$AT,MATCH($V$1,'Data qoq'!$A$1:$AT$1,),))/100+1)^4)-1</f>
        <v>-6.8010226786614059E-2</v>
      </c>
      <c r="W77" s="34">
        <f>(((VLOOKUP(B77,'Data qoq'!$A:$AT,MATCH($W$1,'Data qoq'!$A$1:$AT$1,),))/100+1)^4)-1</f>
        <v>-0.10986646007848022</v>
      </c>
      <c r="X77" s="34">
        <f>(((VLOOKUP(B77,'Data qoq'!$A:$AT,MATCH($X$1,'Data qoq'!$A$1:$AT$1,),))/100+1)^4)-1</f>
        <v>3.2553819685360752E-2</v>
      </c>
      <c r="Y77" s="34">
        <f>(((VLOOKUP(B77,'Data qoq'!$A:$AT,MATCH($Y$1,'Data qoq'!$A$1:$AT$1,),))/100+1)^4)-1</f>
        <v>1.0820149621731057E-2</v>
      </c>
      <c r="Z77" s="34">
        <f>(((VLOOKUP(B77,'Data qoq'!$A:$AU,MATCH($Z$1,'Data qoq'!$A$1:$AU$1,),))/100+1)^4)-1</f>
        <v>1.2506986025133893E-2</v>
      </c>
      <c r="AA77" s="34">
        <f>(((VLOOKUP(B77,'Data qoq'!$A:$AU,MATCH($AA$1,'Data qoq'!$A$1:$AU$1,),))/100+1)^4)-1</f>
        <v>3.7588903165736154E-2</v>
      </c>
      <c r="AC77" s="28" t="str">
        <f t="shared" si="10"/>
        <v>2016-Q3</v>
      </c>
      <c r="AD77" s="33">
        <f t="shared" si="9"/>
        <v>5.6059982315750378E-3</v>
      </c>
      <c r="AE77" s="29"/>
    </row>
    <row r="78" spans="1:31" x14ac:dyDescent="0.2">
      <c r="A78" s="32">
        <v>42705</v>
      </c>
      <c r="B78" s="26" t="s">
        <v>327</v>
      </c>
      <c r="C78" s="34">
        <f>(((VLOOKUP(B78,'Data qoq'!$A:$AT,MATCH($C$1,'Data qoq'!$A$1:$AT$1,),))/100+1)^4)-1</f>
        <v>2.0024182259288148E-2</v>
      </c>
      <c r="D78" s="34">
        <f>(((VLOOKUP(B78,'Data qoq'!$A:$AT,MATCH($D$1,'Data qoq'!$A$1:$AT$1,),))/100+1)^4)-1</f>
        <v>6.5552449536000035E-2</v>
      </c>
      <c r="E78" s="34">
        <f>(((VLOOKUP(B78,'Data qoq'!$A:$AT,MATCH($E$1,'Data qoq'!$A$1:$AT$1,),))/100+1)^4)-1</f>
        <v>3.1175988780560493E-2</v>
      </c>
      <c r="F78" s="34">
        <f>(((VLOOKUP(B78,'Data qoq'!$A:$AT,MATCH($F$1,'Data qoq'!$A$1:$AT$1,),))/100+1)^4)-1</f>
        <v>1.2075395974630254E-2</v>
      </c>
      <c r="G78" s="34">
        <f>(((VLOOKUP(B78,'Data qoq'!$A:$AT,MATCH($G$1,'Data qoq'!$A$1:$AT$1,),))/100+1)^4)-1</f>
        <v>1.2578388582201727E-2</v>
      </c>
      <c r="H78" s="34">
        <f>(((VLOOKUP(B78,'Data qoq'!$A:$AT,MATCH($H$1,'Data qoq'!$A$1:$AT$1,),))/100+1)^4)-1</f>
        <v>2.1230530564971373E-2</v>
      </c>
      <c r="I78" s="34">
        <f>(((VLOOKUP(B78,'Data qoq'!$A:$AT,MATCH($I$1,'Data qoq'!$A$1:$AT$1,),))/100+1)^4)-1</f>
        <v>2.4081687415074438E-2</v>
      </c>
      <c r="J78" s="34">
        <f>(((VLOOKUP(B78,'Data qoq'!$A:$AT,MATCH($J$1,'Data qoq'!$A$1:$AT$1,),))/100+1)^4)-1</f>
        <v>1.1420666582713235E-2</v>
      </c>
      <c r="K78" s="34">
        <f>(((VLOOKUP(B78,'Data qoq'!$A:$AT,MATCH($K$1,'Data qoq'!$A$1:$AT$1,),))/100+1)^4)-1</f>
        <v>1.8712588202351998E-2</v>
      </c>
      <c r="L78" s="34">
        <f>(((VLOOKUP(B78,'Data qoq'!$A:$AT,MATCH($L$1,'Data qoq'!$A$1:$AT$1,),))/100+1)^4)-1</f>
        <v>3.4902533425988702E-2</v>
      </c>
      <c r="M78" s="34">
        <f>(((VLOOKUP(B78,'Data qoq'!$A:$AT,MATCH($M$1,'Data qoq'!$A$1:$AT$1,),))/100+1)^4)-1</f>
        <v>4.2863575131754761E-2</v>
      </c>
      <c r="N78" s="34">
        <f>(((VLOOKUP(B78,'Data qoq'!$A:$AT,MATCH($N$1,'Data qoq'!$A$1:$AT$1,),))/100+1)^4)-1</f>
        <v>3.3419546151049584E-2</v>
      </c>
      <c r="O78" s="34">
        <f>(((VLOOKUP(B78,'Data qoq'!$A:$AT,MATCH($O$1,'Data qoq'!$A$1:$AT$1,),))/100+1)^4)-1</f>
        <v>5.5619413322377742E-2</v>
      </c>
      <c r="P78" s="34">
        <f>(((VLOOKUP(B78,'Data qoq'!$A:$AT,MATCH($P$1,'Data qoq'!$A$1:$AT$1,),))/100+1)^4)-1</f>
        <v>2.2649190488048143E-2</v>
      </c>
      <c r="Q78" s="34">
        <f>(((VLOOKUP(B78,'Data qoq'!$A:$AT,MATCH($Q$1,'Data qoq'!$A$1:$AT$1,),))/100+1)^4)-1</f>
        <v>4.1418668737995157E-2</v>
      </c>
      <c r="R78" s="34">
        <f>(((VLOOKUP(B78,'Data qoq'!$A:$AT,MATCH($R$1,'Data qoq'!$A$1:$AT$1,),))/100+1)^4)-1</f>
        <v>1.2896248440284586E-2</v>
      </c>
      <c r="S78" s="34">
        <f>(((VLOOKUP(B78,'Data qoq'!$A:$AT,MATCH($S$1,'Data qoq'!$A$1:$AT$1,),))/100+1)^4)-1</f>
        <v>2.4303251944687077E-2</v>
      </c>
      <c r="T78" s="34">
        <f>(((VLOOKUP(B78,'Data qoq'!$A:$AT,MATCH($T$1,'Data qoq'!$A$1:$AT$1,),))/100+1)^4)-1</f>
        <v>-6.0791828541018056E-3</v>
      </c>
      <c r="U78" s="34">
        <f>(((VLOOKUP(B78,'Data qoq'!$A:$AT,MATCH($U$1,'Data qoq'!$A$1:$AT$1,),))/100+1)^4)-1</f>
        <v>1.7732280104531206E-2</v>
      </c>
      <c r="V78" s="34">
        <f>(((VLOOKUP(B78,'Data qoq'!$A:$AT,MATCH($V$1,'Data qoq'!$A$1:$AT$1,),))/100+1)^4)-1</f>
        <v>0.62448020829114292</v>
      </c>
      <c r="W78" s="34">
        <f>(((VLOOKUP(B78,'Data qoq'!$A:$AT,MATCH($W$1,'Data qoq'!$A$1:$AT$1,),))/100+1)^4)-1</f>
        <v>0.23927616567147192</v>
      </c>
      <c r="X78" s="34">
        <f>(((VLOOKUP(B78,'Data qoq'!$A:$AT,MATCH($X$1,'Data qoq'!$A$1:$AT$1,),))/100+1)^4)-1</f>
        <v>3.4488719434929926E-2</v>
      </c>
      <c r="Y78" s="34">
        <f>(((VLOOKUP(B78,'Data qoq'!$A:$AT,MATCH($Y$1,'Data qoq'!$A$1:$AT$1,),))/100+1)^4)-1</f>
        <v>9.448935802309677E-2</v>
      </c>
      <c r="Z78" s="34">
        <f>(((VLOOKUP(B78,'Data qoq'!$A:$AU,MATCH($Z$1,'Data qoq'!$A$1:$AU$1,),))/100+1)^4)-1</f>
        <v>2.6376167617235158E-2</v>
      </c>
      <c r="AA78" s="34">
        <f>(((VLOOKUP(B78,'Data qoq'!$A:$AU,MATCH($AA$1,'Data qoq'!$A$1:$AU$1,),))/100+1)^4)-1</f>
        <v>1.4633982539687951E-2</v>
      </c>
      <c r="AC78" s="28" t="str">
        <f t="shared" si="10"/>
        <v>2016-Q4</v>
      </c>
      <c r="AD78" s="33">
        <f t="shared" si="9"/>
        <v>7.0943013654860554E-3</v>
      </c>
      <c r="AE78" s="29"/>
    </row>
    <row r="79" spans="1:31" x14ac:dyDescent="0.2">
      <c r="A79" s="32">
        <v>42795</v>
      </c>
      <c r="B79" s="26" t="s">
        <v>328</v>
      </c>
      <c r="C79" s="34">
        <f>(((VLOOKUP(B79,'Data qoq'!$A:$AT,MATCH($C$1,'Data qoq'!$A$1:$AT$1,),))/100+1)^4)-1</f>
        <v>1.9011293952945207E-2</v>
      </c>
      <c r="D79" s="34">
        <f>(((VLOOKUP(B79,'Data qoq'!$A:$AT,MATCH($D$1,'Data qoq'!$A$1:$AT$1,),))/100+1)^4)-1</f>
        <v>7.3967432976000058E-2</v>
      </c>
      <c r="E79" s="34">
        <f>(((VLOOKUP(B79,'Data qoq'!$A:$AT,MATCH($E$1,'Data qoq'!$A$1:$AT$1,),))/100+1)^4)-1</f>
        <v>2.7825237099152966E-2</v>
      </c>
      <c r="F79" s="34">
        <f>(((VLOOKUP(B79,'Data qoq'!$A:$AT,MATCH($F$1,'Data qoq'!$A$1:$AT$1,),))/100+1)^4)-1</f>
        <v>3.0202064403796358E-2</v>
      </c>
      <c r="G79" s="34">
        <f>(((VLOOKUP(B79,'Data qoq'!$A:$AT,MATCH($G$1,'Data qoq'!$A$1:$AT$1,),))/100+1)^4)-1</f>
        <v>4.9650643474004497E-2</v>
      </c>
      <c r="H79" s="34">
        <f>(((VLOOKUP(B79,'Data qoq'!$A:$AT,MATCH($H$1,'Data qoq'!$A$1:$AT$1,),))/100+1)^4)-1</f>
        <v>3.2481790386367004E-2</v>
      </c>
      <c r="I79" s="34">
        <f>(((VLOOKUP(B79,'Data qoq'!$A:$AT,MATCH($I$1,'Data qoq'!$A$1:$AT$1,),))/100+1)^4)-1</f>
        <v>1.9992126131306742E-2</v>
      </c>
      <c r="J79" s="34">
        <f>(((VLOOKUP(B79,'Data qoq'!$A:$AT,MATCH($J$1,'Data qoq'!$A$1:$AT$1,),))/100+1)^4)-1</f>
        <v>2.2186379946942392E-2</v>
      </c>
      <c r="K79" s="34">
        <f>(((VLOOKUP(B79,'Data qoq'!$A:$AT,MATCH($K$1,'Data qoq'!$A$1:$AT$1,),))/100+1)^4)-1</f>
        <v>3.2131652176846215E-2</v>
      </c>
      <c r="L79" s="34">
        <f>(((VLOOKUP(B79,'Data qoq'!$A:$AT,MATCH($L$1,'Data qoq'!$A$1:$AT$1,),))/100+1)^4)-1</f>
        <v>1.8019635499394226E-2</v>
      </c>
      <c r="M79" s="34">
        <f>(((VLOOKUP(B79,'Data qoq'!$A:$AT,MATCH($M$1,'Data qoq'!$A$1:$AT$1,),))/100+1)^4)-1</f>
        <v>1.9337788015538981E-2</v>
      </c>
      <c r="N79" s="34">
        <f>(((VLOOKUP(B79,'Data qoq'!$A:$AT,MATCH($N$1,'Data qoq'!$A$1:$AT$1,),))/100+1)^4)-1</f>
        <v>8.096694283855177E-3</v>
      </c>
      <c r="O79" s="34">
        <f>(((VLOOKUP(B79,'Data qoq'!$A:$AT,MATCH($O$1,'Data qoq'!$A$1:$AT$1,),))/100+1)^4)-1</f>
        <v>3.2380316629881944E-2</v>
      </c>
      <c r="P79" s="34">
        <f>(((VLOOKUP(B79,'Data qoq'!$A:$AT,MATCH($P$1,'Data qoq'!$A$1:$AT$1,),))/100+1)^4)-1</f>
        <v>4.4190769982789702E-2</v>
      </c>
      <c r="Q79" s="34">
        <f>(((VLOOKUP(B79,'Data qoq'!$A:$AT,MATCH($Q$1,'Data qoq'!$A$1:$AT$1,),))/100+1)^4)-1</f>
        <v>9.4469345586642994E-3</v>
      </c>
      <c r="R79" s="34">
        <f>(((VLOOKUP(B79,'Data qoq'!$A:$AT,MATCH($R$1,'Data qoq'!$A$1:$AT$1,),))/100+1)^4)-1</f>
        <v>6.9254300383010392E-3</v>
      </c>
      <c r="S79" s="34">
        <f>(((VLOOKUP(B79,'Data qoq'!$A:$AT,MATCH($S$1,'Data qoq'!$A$1:$AT$1,),))/100+1)^4)-1</f>
        <v>3.9056983403072953E-2</v>
      </c>
      <c r="T79" s="34">
        <f>(((VLOOKUP(B79,'Data qoq'!$A:$AT,MATCH($T$1,'Data qoq'!$A$1:$AT$1,),))/100+1)^4)-1</f>
        <v>4.5532669554872118E-2</v>
      </c>
      <c r="U79" s="34">
        <f>(((VLOOKUP(B79,'Data qoq'!$A:$AT,MATCH($U$1,'Data qoq'!$A$1:$AT$1,),))/100+1)^4)-1</f>
        <v>-5.865833031575729E-3</v>
      </c>
      <c r="V79" s="34">
        <f>(((VLOOKUP(B79,'Data qoq'!$A:$AT,MATCH($V$1,'Data qoq'!$A$1:$AT$1,),))/100+1)^4)-1</f>
        <v>-0.19563542529622324</v>
      </c>
      <c r="W79" s="34">
        <f>(((VLOOKUP(B79,'Data qoq'!$A:$AT,MATCH($W$1,'Data qoq'!$A$1:$AT$1,),))/100+1)^4)-1</f>
        <v>5.5889182563230388E-2</v>
      </c>
      <c r="X79" s="34">
        <f>(((VLOOKUP(B79,'Data qoq'!$A:$AT,MATCH($X$1,'Data qoq'!$A$1:$AT$1,),))/100+1)^4)-1</f>
        <v>6.2852740087594006E-2</v>
      </c>
      <c r="Y79" s="34">
        <f>(((VLOOKUP(B79,'Data qoq'!$A:$AT,MATCH($Y$1,'Data qoq'!$A$1:$AT$1,),))/100+1)^4)-1</f>
        <v>3.8474080221084117E-2</v>
      </c>
      <c r="Z79" s="34">
        <f>(((VLOOKUP(B79,'Data qoq'!$A:$AU,MATCH($Z$1,'Data qoq'!$A$1:$AU$1,),))/100+1)^4)-1</f>
        <v>3.5325996977314089E-2</v>
      </c>
      <c r="AA79" s="34">
        <f>(((VLOOKUP(B79,'Data qoq'!$A:$AU,MATCH($AA$1,'Data qoq'!$A$1:$AU$1,),))/100+1)^4)-1</f>
        <v>4.1866133271603934E-2</v>
      </c>
      <c r="AC79" s="28" t="str">
        <f t="shared" si="10"/>
        <v>2017-Q1</v>
      </c>
      <c r="AD79" s="33">
        <f t="shared" si="9"/>
        <v>7.8331109678462241E-3</v>
      </c>
      <c r="AE79" s="29"/>
    </row>
    <row r="80" spans="1:31" x14ac:dyDescent="0.2">
      <c r="A80" s="32">
        <v>42887</v>
      </c>
      <c r="B80" s="26" t="s">
        <v>329</v>
      </c>
      <c r="C80" s="34">
        <f>(((VLOOKUP(B80,'Data qoq'!$A:$AT,MATCH($C$1,'Data qoq'!$A$1:$AT$1,),))/100+1)^4)-1</f>
        <v>2.257929747539289E-2</v>
      </c>
      <c r="D80" s="34">
        <f>(((VLOOKUP(B80,'Data qoq'!$A:$AT,MATCH($D$1,'Data qoq'!$A$1:$AT$1,),))/100+1)^4)-1</f>
        <v>7.3967432976000058E-2</v>
      </c>
      <c r="E80" s="34">
        <f>(((VLOOKUP(B80,'Data qoq'!$A:$AT,MATCH($E$1,'Data qoq'!$A$1:$AT$1,),))/100+1)^4)-1</f>
        <v>3.309993544729517E-2</v>
      </c>
      <c r="F80" s="34">
        <f>(((VLOOKUP(B80,'Data qoq'!$A:$AT,MATCH($F$1,'Data qoq'!$A$1:$AT$1,),))/100+1)^4)-1</f>
        <v>9.9547553041390291E-3</v>
      </c>
      <c r="G80" s="34">
        <f>(((VLOOKUP(B80,'Data qoq'!$A:$AT,MATCH($G$1,'Data qoq'!$A$1:$AT$1,),))/100+1)^4)-1</f>
        <v>3.1577935439518034E-2</v>
      </c>
      <c r="H80" s="34">
        <f>(((VLOOKUP(B80,'Data qoq'!$A:$AT,MATCH($H$1,'Data qoq'!$A$1:$AT$1,),))/100+1)^4)-1</f>
        <v>3.3650344512412111E-2</v>
      </c>
      <c r="I80" s="34">
        <f>(((VLOOKUP(B80,'Data qoq'!$A:$AT,MATCH($I$1,'Data qoq'!$A$1:$AT$1,),))/100+1)^4)-1</f>
        <v>1.1768408998998892E-2</v>
      </c>
      <c r="J80" s="34">
        <f>(((VLOOKUP(B80,'Data qoq'!$A:$AT,MATCH($J$1,'Data qoq'!$A$1:$AT$1,),))/100+1)^4)-1</f>
        <v>1.6198918293372833E-2</v>
      </c>
      <c r="K80" s="34">
        <f>(((VLOOKUP(B80,'Data qoq'!$A:$AT,MATCH($K$1,'Data qoq'!$A$1:$AT$1,),))/100+1)^4)-1</f>
        <v>4.3648256214300574E-2</v>
      </c>
      <c r="L80" s="34">
        <f>(((VLOOKUP(B80,'Data qoq'!$A:$AT,MATCH($L$1,'Data qoq'!$A$1:$AT$1,),))/100+1)^4)-1</f>
        <v>4.9444963827910415E-2</v>
      </c>
      <c r="M80" s="34">
        <f>(((VLOOKUP(B80,'Data qoq'!$A:$AT,MATCH($M$1,'Data qoq'!$A$1:$AT$1,),))/100+1)^4)-1</f>
        <v>1.4071706278693474E-2</v>
      </c>
      <c r="N80" s="34">
        <f>(((VLOOKUP(B80,'Data qoq'!$A:$AT,MATCH($N$1,'Data qoq'!$A$1:$AT$1,),))/100+1)^4)-1</f>
        <v>2.7908007098981225E-2</v>
      </c>
      <c r="O80" s="34">
        <f>(((VLOOKUP(B80,'Data qoq'!$A:$AT,MATCH($O$1,'Data qoq'!$A$1:$AT$1,),))/100+1)^4)-1</f>
        <v>8.4304920256202953E-2</v>
      </c>
      <c r="P80" s="34">
        <f>(((VLOOKUP(B80,'Data qoq'!$A:$AT,MATCH($P$1,'Data qoq'!$A$1:$AT$1,),))/100+1)^4)-1</f>
        <v>4.155403410310865E-2</v>
      </c>
      <c r="Q80" s="34">
        <f>(((VLOOKUP(B80,'Data qoq'!$A:$AT,MATCH($Q$1,'Data qoq'!$A$1:$AT$1,),))/100+1)^4)-1</f>
        <v>2.6849771366891151E-2</v>
      </c>
      <c r="R80" s="34">
        <f>(((VLOOKUP(B80,'Data qoq'!$A:$AT,MATCH($R$1,'Data qoq'!$A$1:$AT$1,),))/100+1)^4)-1</f>
        <v>1.2666963566535738E-2</v>
      </c>
      <c r="S80" s="34">
        <f>(((VLOOKUP(B80,'Data qoq'!$A:$AT,MATCH($S$1,'Data qoq'!$A$1:$AT$1,),))/100+1)^4)-1</f>
        <v>2.7122924075202226E-2</v>
      </c>
      <c r="T80" s="34">
        <f>(((VLOOKUP(B80,'Data qoq'!$A:$AT,MATCH($T$1,'Data qoq'!$A$1:$AT$1,),))/100+1)^4)-1</f>
        <v>2.9481892345766703E-2</v>
      </c>
      <c r="U80" s="34">
        <f>(((VLOOKUP(B80,'Data qoq'!$A:$AT,MATCH($U$1,'Data qoq'!$A$1:$AT$1,),))/100+1)^4)-1</f>
        <v>3.2875759941953353E-2</v>
      </c>
      <c r="V80" s="34">
        <f>(((VLOOKUP(B80,'Data qoq'!$A:$AT,MATCH($V$1,'Data qoq'!$A$1:$AT$1,),))/100+1)^4)-1</f>
        <v>0.16096344559911024</v>
      </c>
      <c r="W80" s="34">
        <f>(((VLOOKUP(B80,'Data qoq'!$A:$AT,MATCH($W$1,'Data qoq'!$A$1:$AT$1,),))/100+1)^4)-1</f>
        <v>9.4380364836343045E-2</v>
      </c>
      <c r="X80" s="34">
        <f>(((VLOOKUP(B80,'Data qoq'!$A:$AT,MATCH($X$1,'Data qoq'!$A$1:$AT$1,),))/100+1)^4)-1</f>
        <v>0.11754079190491296</v>
      </c>
      <c r="Y80" s="34">
        <f>(((VLOOKUP(B80,'Data qoq'!$A:$AT,MATCH($Y$1,'Data qoq'!$A$1:$AT$1,),))/100+1)^4)-1</f>
        <v>3.4671855485715719E-2</v>
      </c>
      <c r="Z80" s="34">
        <f>(((VLOOKUP(B80,'Data qoq'!$A:$AU,MATCH($Z$1,'Data qoq'!$A$1:$AU$1,),))/100+1)^4)-1</f>
        <v>4.2203100155294493E-2</v>
      </c>
      <c r="AA80" s="34">
        <f>(((VLOOKUP(B80,'Data qoq'!$A:$AU,MATCH($AA$1,'Data qoq'!$A$1:$AU$1,),))/100+1)^4)-1</f>
        <v>4.3203952995477302E-2</v>
      </c>
      <c r="AC80" s="28" t="str">
        <f t="shared" si="10"/>
        <v>2017-Q2</v>
      </c>
      <c r="AD80" s="33">
        <f t="shared" si="9"/>
        <v>2.1331526448296279E-2</v>
      </c>
      <c r="AE80" s="29"/>
    </row>
    <row r="81" spans="1:31" x14ac:dyDescent="0.2">
      <c r="A81" s="32">
        <v>42979</v>
      </c>
      <c r="B81" s="26" t="s">
        <v>330</v>
      </c>
      <c r="C81" s="34">
        <f>(((VLOOKUP(B81,'Data qoq'!$A:$AT,MATCH($C$1,'Data qoq'!$A$1:$AT$1,),))/100+1)^4)-1</f>
        <v>2.9077796050954952E-2</v>
      </c>
      <c r="D81" s="34">
        <f>(((VLOOKUP(B81,'Data qoq'!$A:$AT,MATCH($D$1,'Data qoq'!$A$1:$AT$1,),))/100+1)^4)-1</f>
        <v>6.5552449536000035E-2</v>
      </c>
      <c r="E81" s="34">
        <f>(((VLOOKUP(B81,'Data qoq'!$A:$AT,MATCH($E$1,'Data qoq'!$A$1:$AT$1,),))/100+1)^4)-1</f>
        <v>2.8007604438596623E-2</v>
      </c>
      <c r="F81" s="34">
        <f>(((VLOOKUP(B81,'Data qoq'!$A:$AT,MATCH($F$1,'Data qoq'!$A$1:$AT$1,),))/100+1)^4)-1</f>
        <v>3.204453368257143E-2</v>
      </c>
      <c r="G81" s="34">
        <f>(((VLOOKUP(B81,'Data qoq'!$A:$AT,MATCH($G$1,'Data qoq'!$A$1:$AT$1,),))/100+1)^4)-1</f>
        <v>3.5641809616862918E-2</v>
      </c>
      <c r="H81" s="34">
        <f>(((VLOOKUP(B81,'Data qoq'!$A:$AT,MATCH($H$1,'Data qoq'!$A$1:$AT$1,),))/100+1)^4)-1</f>
        <v>2.6148181301480777E-2</v>
      </c>
      <c r="I81" s="34">
        <f>(((VLOOKUP(B81,'Data qoq'!$A:$AT,MATCH($I$1,'Data qoq'!$A$1:$AT$1,),))/100+1)^4)-1</f>
        <v>1.7044236470439955E-2</v>
      </c>
      <c r="J81" s="34">
        <f>(((VLOOKUP(B81,'Data qoq'!$A:$AT,MATCH($J$1,'Data qoq'!$A$1:$AT$1,),))/100+1)^4)-1</f>
        <v>1.6541690726884273E-2</v>
      </c>
      <c r="K81" s="34">
        <f>(((VLOOKUP(B81,'Data qoq'!$A:$AT,MATCH($K$1,'Data qoq'!$A$1:$AT$1,),))/100+1)^4)-1</f>
        <v>2.3291962482883344E-2</v>
      </c>
      <c r="L81" s="34">
        <f>(((VLOOKUP(B81,'Data qoq'!$A:$AT,MATCH($L$1,'Data qoq'!$A$1:$AT$1,),))/100+1)^4)-1</f>
        <v>4.5122736790238038E-2</v>
      </c>
      <c r="M81" s="34">
        <f>(((VLOOKUP(B81,'Data qoq'!$A:$AT,MATCH($M$1,'Data qoq'!$A$1:$AT$1,),))/100+1)^4)-1</f>
        <v>-1.2335079825464779E-2</v>
      </c>
      <c r="N81" s="34">
        <f>(((VLOOKUP(B81,'Data qoq'!$A:$AT,MATCH($N$1,'Data qoq'!$A$1:$AT$1,),))/100+1)^4)-1</f>
        <v>2.7455643960640819E-2</v>
      </c>
      <c r="O81" s="34">
        <f>(((VLOOKUP(B81,'Data qoq'!$A:$AT,MATCH($O$1,'Data qoq'!$A$1:$AT$1,),))/100+1)^4)-1</f>
        <v>6.8138134560582264E-2</v>
      </c>
      <c r="P81" s="34">
        <f>(((VLOOKUP(B81,'Data qoq'!$A:$AT,MATCH($P$1,'Data qoq'!$A$1:$AT$1,),))/100+1)^4)-1</f>
        <v>1.6982007598784987E-2</v>
      </c>
      <c r="Q81" s="34">
        <f>(((VLOOKUP(B81,'Data qoq'!$A:$AT,MATCH($Q$1,'Data qoq'!$A$1:$AT$1,),))/100+1)^4)-1</f>
        <v>4.3380425408136469E-2</v>
      </c>
      <c r="R81" s="34">
        <f>(((VLOOKUP(B81,'Data qoq'!$A:$AT,MATCH($R$1,'Data qoq'!$A$1:$AT$1,),))/100+1)^4)-1</f>
        <v>2.6153345198106637E-2</v>
      </c>
      <c r="S81" s="34">
        <f>(((VLOOKUP(B81,'Data qoq'!$A:$AT,MATCH($S$1,'Data qoq'!$A$1:$AT$1,),))/100+1)^4)-1</f>
        <v>6.0615614541863261E-2</v>
      </c>
      <c r="T81" s="34">
        <f>(((VLOOKUP(B81,'Data qoq'!$A:$AT,MATCH($T$1,'Data qoq'!$A$1:$AT$1,),))/100+1)^4)-1</f>
        <v>1.1623711962401639E-2</v>
      </c>
      <c r="U81" s="34">
        <f>(((VLOOKUP(B81,'Data qoq'!$A:$AT,MATCH($U$1,'Data qoq'!$A$1:$AT$1,),))/100+1)^4)-1</f>
        <v>3.3010857749937061E-2</v>
      </c>
      <c r="V81" s="34">
        <f>(((VLOOKUP(B81,'Data qoq'!$A:$AT,MATCH($V$1,'Data qoq'!$A$1:$AT$1,),))/100+1)^4)-1</f>
        <v>0.10054880468155969</v>
      </c>
      <c r="W81" s="34">
        <f>(((VLOOKUP(B81,'Data qoq'!$A:$AT,MATCH($W$1,'Data qoq'!$A$1:$AT$1,),))/100+1)^4)-1</f>
        <v>6.2029533403227699E-2</v>
      </c>
      <c r="X81" s="34">
        <f>(((VLOOKUP(B81,'Data qoq'!$A:$AT,MATCH($X$1,'Data qoq'!$A$1:$AT$1,),))/100+1)^4)-1</f>
        <v>2.2783061897952761E-2</v>
      </c>
      <c r="Y81" s="34">
        <f>(((VLOOKUP(B81,'Data qoq'!$A:$AT,MATCH($Y$1,'Data qoq'!$A$1:$AT$1,),))/100+1)^4)-1</f>
        <v>4.7127730537681378E-2</v>
      </c>
      <c r="Z81" s="34">
        <f>(((VLOOKUP(B81,'Data qoq'!$A:$AU,MATCH($Z$1,'Data qoq'!$A$1:$AU$1,),))/100+1)^4)-1</f>
        <v>4.9919457031609049E-2</v>
      </c>
      <c r="AA81" s="34">
        <f>(((VLOOKUP(B81,'Data qoq'!$A:$AU,MATCH($AA$1,'Data qoq'!$A$1:$AU$1,),))/100+1)^4)-1</f>
        <v>3.9263200467814174E-2</v>
      </c>
      <c r="AC81" s="28" t="str">
        <f t="shared" si="10"/>
        <v>2017-Q3</v>
      </c>
      <c r="AD81" s="33">
        <f t="shared" si="9"/>
        <v>1.0963367968156668E-2</v>
      </c>
      <c r="AE81" s="29"/>
    </row>
    <row r="82" spans="1:31" x14ac:dyDescent="0.2">
      <c r="A82" s="32">
        <v>43070</v>
      </c>
      <c r="B82" s="26" t="s">
        <v>331</v>
      </c>
      <c r="C82" s="34">
        <f>(((VLOOKUP(B82,'Data qoq'!$A:$AT,MATCH($C$1,'Data qoq'!$A$1:$AT$1,),))/100+1)^4)-1</f>
        <v>3.8149939031334457E-2</v>
      </c>
      <c r="D82" s="34">
        <f>(((VLOOKUP(B82,'Data qoq'!$A:$AT,MATCH($D$1,'Data qoq'!$A$1:$AT$1,),))/100+1)^4)-1</f>
        <v>6.136355062499943E-2</v>
      </c>
      <c r="E82" s="34">
        <f>(((VLOOKUP(B82,'Data qoq'!$A:$AT,MATCH($E$1,'Data qoq'!$A$1:$AT$1,),))/100+1)^4)-1</f>
        <v>3.5669178760217912E-2</v>
      </c>
      <c r="F82" s="34">
        <f>(((VLOOKUP(B82,'Data qoq'!$A:$AT,MATCH($F$1,'Data qoq'!$A$1:$AT$1,),))/100+1)^4)-1</f>
        <v>1.6628284203715316E-2</v>
      </c>
      <c r="G82" s="34">
        <f>(((VLOOKUP(B82,'Data qoq'!$A:$AT,MATCH($G$1,'Data qoq'!$A$1:$AT$1,),))/100+1)^4)-1</f>
        <v>3.2606383287053786E-2</v>
      </c>
      <c r="H82" s="34">
        <f>(((VLOOKUP(B82,'Data qoq'!$A:$AT,MATCH($H$1,'Data qoq'!$A$1:$AT$1,),))/100+1)^4)-1</f>
        <v>3.3842755776427369E-2</v>
      </c>
      <c r="I82" s="34">
        <f>(((VLOOKUP(B82,'Data qoq'!$A:$AT,MATCH($I$1,'Data qoq'!$A$1:$AT$1,),))/100+1)^4)-1</f>
        <v>1.4275879578089956E-2</v>
      </c>
      <c r="J82" s="34">
        <f>(((VLOOKUP(B82,'Data qoq'!$A:$AT,MATCH($J$1,'Data qoq'!$A$1:$AT$1,),))/100+1)^4)-1</f>
        <v>2.2762459689325443E-2</v>
      </c>
      <c r="K82" s="34">
        <f>(((VLOOKUP(B82,'Data qoq'!$A:$AT,MATCH($K$1,'Data qoq'!$A$1:$AT$1,),))/100+1)^4)-1</f>
        <v>2.5257545016266869E-2</v>
      </c>
      <c r="L82" s="34">
        <f>(((VLOOKUP(B82,'Data qoq'!$A:$AT,MATCH($L$1,'Data qoq'!$A$1:$AT$1,),))/100+1)^4)-1</f>
        <v>5.9515124819375931E-3</v>
      </c>
      <c r="M82" s="34">
        <f>(((VLOOKUP(B82,'Data qoq'!$A:$AT,MATCH($M$1,'Data qoq'!$A$1:$AT$1,),))/100+1)^4)-1</f>
        <v>5.1328117797196926E-2</v>
      </c>
      <c r="N82" s="34">
        <f>(((VLOOKUP(B82,'Data qoq'!$A:$AT,MATCH($N$1,'Data qoq'!$A$1:$AT$1,),))/100+1)^4)-1</f>
        <v>8.4182145833899824E-4</v>
      </c>
      <c r="O82" s="34">
        <f>(((VLOOKUP(B82,'Data qoq'!$A:$AT,MATCH($O$1,'Data qoq'!$A$1:$AT$1,),))/100+1)^4)-1</f>
        <v>7.72293351422082E-2</v>
      </c>
      <c r="P82" s="34">
        <f>(((VLOOKUP(B82,'Data qoq'!$A:$AT,MATCH($P$1,'Data qoq'!$A$1:$AT$1,),))/100+1)^4)-1</f>
        <v>2.0881172423360184E-2</v>
      </c>
      <c r="Q82" s="34">
        <f>(((VLOOKUP(B82,'Data qoq'!$A:$AT,MATCH($Q$1,'Data qoq'!$A$1:$AT$1,),))/100+1)^4)-1</f>
        <v>1.8701683467249097E-2</v>
      </c>
      <c r="R82" s="34">
        <f>(((VLOOKUP(B82,'Data qoq'!$A:$AT,MATCH($R$1,'Data qoq'!$A$1:$AT$1,),))/100+1)^4)-1</f>
        <v>4.3210307094011302E-2</v>
      </c>
      <c r="S82" s="34">
        <f>(((VLOOKUP(B82,'Data qoq'!$A:$AT,MATCH($S$1,'Data qoq'!$A$1:$AT$1,),))/100+1)^4)-1</f>
        <v>-1.0587793524826195E-2</v>
      </c>
      <c r="T82" s="34">
        <f>(((VLOOKUP(B82,'Data qoq'!$A:$AT,MATCH($T$1,'Data qoq'!$A$1:$AT$1,),))/100+1)^4)-1</f>
        <v>1.7323307934843823E-2</v>
      </c>
      <c r="U82" s="34">
        <f>(((VLOOKUP(B82,'Data qoq'!$A:$AT,MATCH($U$1,'Data qoq'!$A$1:$AT$1,),))/100+1)^4)-1</f>
        <v>-1.4003915165979208E-2</v>
      </c>
      <c r="V82" s="34">
        <f>(((VLOOKUP(B82,'Data qoq'!$A:$AT,MATCH($V$1,'Data qoq'!$A$1:$AT$1,),))/100+1)^4)-1</f>
        <v>0.27429027756334934</v>
      </c>
      <c r="W82" s="34">
        <f>(((VLOOKUP(B82,'Data qoq'!$A:$AT,MATCH($W$1,'Data qoq'!$A$1:$AT$1,),))/100+1)^4)-1</f>
        <v>7.7464141986813617E-2</v>
      </c>
      <c r="X82" s="34">
        <f>(((VLOOKUP(B82,'Data qoq'!$A:$AT,MATCH($X$1,'Data qoq'!$A$1:$AT$1,),))/100+1)^4)-1</f>
        <v>3.5092933452663289E-2</v>
      </c>
      <c r="Y82" s="34">
        <f>(((VLOOKUP(B82,'Data qoq'!$A:$AT,MATCH($Y$1,'Data qoq'!$A$1:$AT$1,),))/100+1)^4)-1</f>
        <v>7.1676556595548169E-2</v>
      </c>
      <c r="Z82" s="34">
        <f>(((VLOOKUP(B82,'Data qoq'!$A:$AU,MATCH($Z$1,'Data qoq'!$A$1:$AU$1,),))/100+1)^4)-1</f>
        <v>4.4969713073533812E-2</v>
      </c>
      <c r="AA82" s="34">
        <f>(((VLOOKUP(B82,'Data qoq'!$A:$AU,MATCH($AA$1,'Data qoq'!$A$1:$AU$1,),))/100+1)^4)-1</f>
        <v>3.4065974379810182E-2</v>
      </c>
      <c r="AC82" s="28" t="str">
        <f t="shared" si="10"/>
        <v>2017-Q4</v>
      </c>
      <c r="AD82" s="33">
        <f t="shared" si="9"/>
        <v>2.1393299182127956E-2</v>
      </c>
      <c r="AE82" s="29"/>
    </row>
    <row r="83" spans="1:31" x14ac:dyDescent="0.2">
      <c r="A83" s="32">
        <v>43160</v>
      </c>
      <c r="B83" s="26" t="s">
        <v>332</v>
      </c>
      <c r="C83" s="34">
        <f>(((VLOOKUP(B83,'Data qoq'!$A:$AT,MATCH($C$1,'Data qoq'!$A$1:$AT$1,),))/100+1)^4)-1</f>
        <v>3.0865108355034421E-2</v>
      </c>
      <c r="D83" s="34">
        <f>(((VLOOKUP(B83,'Data qoq'!$A:$AT,MATCH($D$1,'Data qoq'!$A$1:$AT$1,),))/100+1)^4)-1</f>
        <v>8.2432159999999977E-2</v>
      </c>
      <c r="E83" s="34">
        <f>(((VLOOKUP(B83,'Data qoq'!$A:$AT,MATCH($E$1,'Data qoq'!$A$1:$AT$1,),))/100+1)^4)-1</f>
        <v>2.6447389522323839E-3</v>
      </c>
      <c r="F83" s="34">
        <f>(((VLOOKUP(B83,'Data qoq'!$A:$AT,MATCH($F$1,'Data qoq'!$A$1:$AT$1,),))/100+1)^4)-1</f>
        <v>-7.7027096596471445E-4</v>
      </c>
      <c r="G83" s="34">
        <f>(((VLOOKUP(B83,'Data qoq'!$A:$AT,MATCH($G$1,'Data qoq'!$A$1:$AT$1,),))/100+1)^4)-1</f>
        <v>-1.7183225281488745E-2</v>
      </c>
      <c r="H83" s="34">
        <f>(((VLOOKUP(B83,'Data qoq'!$A:$AT,MATCH($H$1,'Data qoq'!$A$1:$AT$1,),))/100+1)^4)-1</f>
        <v>7.9475107122450872E-4</v>
      </c>
      <c r="I83" s="34">
        <f>(((VLOOKUP(B83,'Data qoq'!$A:$AT,MATCH($I$1,'Data qoq'!$A$1:$AT$1,),))/100+1)^4)-1</f>
        <v>2.7636228156449061E-3</v>
      </c>
      <c r="J83" s="34">
        <f>(((VLOOKUP(B83,'Data qoq'!$A:$AT,MATCH($J$1,'Data qoq'!$A$1:$AT$1,),))/100+1)^4)-1</f>
        <v>3.9467916091995292E-4</v>
      </c>
      <c r="K83" s="34">
        <f>(((VLOOKUP(B83,'Data qoq'!$A:$AT,MATCH($K$1,'Data qoq'!$A$1:$AT$1,),))/100+1)^4)-1</f>
        <v>1.5199556378468815E-2</v>
      </c>
      <c r="L83" s="34">
        <f>(((VLOOKUP(B83,'Data qoq'!$A:$AT,MATCH($L$1,'Data qoq'!$A$1:$AT$1,),))/100+1)^4)-1</f>
        <v>1.0706126450214404E-2</v>
      </c>
      <c r="M83" s="34">
        <f>(((VLOOKUP(B83,'Data qoq'!$A:$AT,MATCH($M$1,'Data qoq'!$A$1:$AT$1,),))/100+1)^4)-1</f>
        <v>4.8120735660176939E-2</v>
      </c>
      <c r="N83" s="34">
        <f>(((VLOOKUP(B83,'Data qoq'!$A:$AT,MATCH($N$1,'Data qoq'!$A$1:$AT$1,),))/100+1)^4)-1</f>
        <v>5.5362979121653222E-2</v>
      </c>
      <c r="O83" s="34">
        <f>(((VLOOKUP(B83,'Data qoq'!$A:$AT,MATCH($O$1,'Data qoq'!$A$1:$AT$1,),))/100+1)^4)-1</f>
        <v>8.9617375764835305E-2</v>
      </c>
      <c r="P83" s="34">
        <f>(((VLOOKUP(B83,'Data qoq'!$A:$AT,MATCH($P$1,'Data qoq'!$A$1:$AT$1,),))/100+1)^4)-1</f>
        <v>2.6543951591453174E-2</v>
      </c>
      <c r="Q83" s="34">
        <f>(((VLOOKUP(B83,'Data qoq'!$A:$AT,MATCH($Q$1,'Data qoq'!$A$1:$AT$1,),))/100+1)^4)-1</f>
        <v>3.4317174651008475E-2</v>
      </c>
      <c r="R83" s="34">
        <f>(((VLOOKUP(B83,'Data qoq'!$A:$AT,MATCH($R$1,'Data qoq'!$A$1:$AT$1,),))/100+1)^4)-1</f>
        <v>4.3725952715043315E-2</v>
      </c>
      <c r="S83" s="34">
        <f>(((VLOOKUP(B83,'Data qoq'!$A:$AT,MATCH($S$1,'Data qoq'!$A$1:$AT$1,),))/100+1)^4)-1</f>
        <v>4.673827596304414E-2</v>
      </c>
      <c r="T83" s="34">
        <f>(((VLOOKUP(B83,'Data qoq'!$A:$AT,MATCH($T$1,'Data qoq'!$A$1:$AT$1,),))/100+1)^4)-1</f>
        <v>2.2157549969660462E-2</v>
      </c>
      <c r="U83" s="34">
        <f>(((VLOOKUP(B83,'Data qoq'!$A:$AT,MATCH($U$1,'Data qoq'!$A$1:$AT$1,),))/100+1)^4)-1</f>
        <v>3.0805325878488388E-2</v>
      </c>
      <c r="V83" s="34">
        <f>(((VLOOKUP(B83,'Data qoq'!$A:$AT,MATCH($V$1,'Data qoq'!$A$1:$AT$1,),))/100+1)^4)-1</f>
        <v>-6.5955447177200588E-3</v>
      </c>
      <c r="W83" s="34">
        <f>(((VLOOKUP(B83,'Data qoq'!$A:$AT,MATCH($W$1,'Data qoq'!$A$1:$AT$1,),))/100+1)^4)-1</f>
        <v>6.1006498101625839E-2</v>
      </c>
      <c r="X83" s="34">
        <f>(((VLOOKUP(B83,'Data qoq'!$A:$AT,MATCH($X$1,'Data qoq'!$A$1:$AT$1,),))/100+1)^4)-1</f>
        <v>1.9749323097369542E-2</v>
      </c>
      <c r="Y83" s="34">
        <f>(((VLOOKUP(B83,'Data qoq'!$A:$AT,MATCH($Y$1,'Data qoq'!$A$1:$AT$1,),))/100+1)^4)-1</f>
        <v>5.1925703089628295E-2</v>
      </c>
      <c r="Z83" s="34">
        <f>(((VLOOKUP(B83,'Data qoq'!$A:$AU,MATCH($Z$1,'Data qoq'!$A$1:$AU$1,),))/100+1)^4)-1</f>
        <v>-1.5400185418773971E-2</v>
      </c>
      <c r="AA83" s="34">
        <f>(((VLOOKUP(B83,'Data qoq'!$A:$AU,MATCH($AA$1,'Data qoq'!$A$1:$AU$1,),))/100+1)^4)-1</f>
        <v>2.6778680991244697E-2</v>
      </c>
      <c r="AC83" s="28" t="str">
        <f t="shared" si="10"/>
        <v>2018-Q1</v>
      </c>
      <c r="AD83" s="33">
        <f t="shared" si="9"/>
        <v>-1.1888386341252222E-4</v>
      </c>
      <c r="AE83" s="29"/>
    </row>
    <row r="84" spans="1:31" s="1" customFormat="1" x14ac:dyDescent="0.2">
      <c r="A84" s="32">
        <v>43252</v>
      </c>
      <c r="B84" s="26" t="s">
        <v>333</v>
      </c>
      <c r="C84" s="34">
        <f>(((VLOOKUP(B84,'Data qoq'!$A:$AT,MATCH($C$1,'Data qoq'!$A$1:$AT$1,),))/100+1)^4)-1</f>
        <v>3.3776005269686493E-2</v>
      </c>
      <c r="D84" s="34">
        <f>(((VLOOKUP(B84,'Data qoq'!$A:$AT,MATCH($D$1,'Data qoq'!$A$1:$AT$1,),))/100+1)^4)-1</f>
        <v>6.5552449536000035E-2</v>
      </c>
      <c r="E84" s="34">
        <f>(((VLOOKUP(B84,'Data qoq'!$A:$AT,MATCH($E$1,'Data qoq'!$A$1:$AT$1,),))/100+1)^4)-1</f>
        <v>2.0358566334312433E-2</v>
      </c>
      <c r="F84" s="34">
        <f>(((VLOOKUP(B84,'Data qoq'!$A:$AT,MATCH($F$1,'Data qoq'!$A$1:$AT$1,),))/100+1)^4)-1</f>
        <v>1.7859152554788871E-3</v>
      </c>
      <c r="G84" s="34">
        <f>(((VLOOKUP(B84,'Data qoq'!$A:$AT,MATCH($G$1,'Data qoq'!$A$1:$AT$1,),))/100+1)^4)-1</f>
        <v>2.2465912808874666E-2</v>
      </c>
      <c r="H84" s="34">
        <f>(((VLOOKUP(B84,'Data qoq'!$A:$AT,MATCH($H$1,'Data qoq'!$A$1:$AT$1,),))/100+1)^4)-1</f>
        <v>1.4545807000812871E-2</v>
      </c>
      <c r="I84" s="34">
        <f>(((VLOOKUP(B84,'Data qoq'!$A:$AT,MATCH($I$1,'Data qoq'!$A$1:$AT$1,),))/100+1)^4)-1</f>
        <v>1.5393347307986138E-2</v>
      </c>
      <c r="J84" s="34">
        <f>(((VLOOKUP(B84,'Data qoq'!$A:$AT,MATCH($J$1,'Data qoq'!$A$1:$AT$1,),))/100+1)^4)-1</f>
        <v>-6.8010791611161636E-4</v>
      </c>
      <c r="K84" s="34">
        <f>(((VLOOKUP(B84,'Data qoq'!$A:$AT,MATCH($K$1,'Data qoq'!$A$1:$AT$1,),))/100+1)^4)-1</f>
        <v>2.3654723521229215E-2</v>
      </c>
      <c r="L84" s="34">
        <f>(((VLOOKUP(B84,'Data qoq'!$A:$AT,MATCH($L$1,'Data qoq'!$A$1:$AT$1,),))/100+1)^4)-1</f>
        <v>3.5624783944654403E-2</v>
      </c>
      <c r="M84" s="34">
        <f>(((VLOOKUP(B84,'Data qoq'!$A:$AT,MATCH($M$1,'Data qoq'!$A$1:$AT$1,),))/100+1)^4)-1</f>
        <v>1.5572964943668666E-3</v>
      </c>
      <c r="N84" s="34">
        <f>(((VLOOKUP(B84,'Data qoq'!$A:$AT,MATCH($N$1,'Data qoq'!$A$1:$AT$1,),))/100+1)^4)-1</f>
        <v>2.2511396732091349E-2</v>
      </c>
      <c r="O84" s="34">
        <f>(((VLOOKUP(B84,'Data qoq'!$A:$AT,MATCH($O$1,'Data qoq'!$A$1:$AT$1,),))/100+1)^4)-1</f>
        <v>5.3939963071757191E-2</v>
      </c>
      <c r="P84" s="34">
        <f>(((VLOOKUP(B84,'Data qoq'!$A:$AT,MATCH($P$1,'Data qoq'!$A$1:$AT$1,),))/100+1)^4)-1</f>
        <v>2.6135689696653586E-2</v>
      </c>
      <c r="Q84" s="34">
        <f>(((VLOOKUP(B84,'Data qoq'!$A:$AT,MATCH($Q$1,'Data qoq'!$A$1:$AT$1,),))/100+1)^4)-1</f>
        <v>3.3648892555713017E-2</v>
      </c>
      <c r="R84" s="34">
        <f>(((VLOOKUP(B84,'Data qoq'!$A:$AT,MATCH($R$1,'Data qoq'!$A$1:$AT$1,),))/100+1)^4)-1</f>
        <v>3.735554492751203E-2</v>
      </c>
      <c r="S84" s="34">
        <f>(((VLOOKUP(B84,'Data qoq'!$A:$AT,MATCH($S$1,'Data qoq'!$A$1:$AT$1,),))/100+1)^4)-1</f>
        <v>2.558623700267848E-2</v>
      </c>
      <c r="T84" s="34">
        <f>(((VLOOKUP(B84,'Data qoq'!$A:$AT,MATCH($T$1,'Data qoq'!$A$1:$AT$1,),))/100+1)^4)-1</f>
        <v>6.6632327618363352E-3</v>
      </c>
      <c r="U84" s="34">
        <f>(((VLOOKUP(B84,'Data qoq'!$A:$AT,MATCH($U$1,'Data qoq'!$A$1:$AT$1,),))/100+1)^4)-1</f>
        <v>8.3747677214498495E-3</v>
      </c>
      <c r="V84" s="34">
        <f>(((VLOOKUP(B84,'Data qoq'!$A:$AT,MATCH($V$1,'Data qoq'!$A$1:$AT$1,),))/100+1)^4)-1</f>
        <v>0.14885129840394939</v>
      </c>
      <c r="W84" s="34">
        <f>(((VLOOKUP(B84,'Data qoq'!$A:$AT,MATCH($W$1,'Data qoq'!$A$1:$AT$1,),))/100+1)^4)-1</f>
        <v>2.0493472573291038E-2</v>
      </c>
      <c r="X84" s="34">
        <f>(((VLOOKUP(B84,'Data qoq'!$A:$AT,MATCH($X$1,'Data qoq'!$A$1:$AT$1,),))/100+1)^4)-1</f>
        <v>2.9714601732077517E-2</v>
      </c>
      <c r="Y84" s="34">
        <f>(((VLOOKUP(B84,'Data qoq'!$A:$AT,MATCH($Y$1,'Data qoq'!$A$1:$AT$1,),))/100+1)^4)-1</f>
        <v>5.1771423093596391E-2</v>
      </c>
      <c r="Z84" s="34">
        <f>(((VLOOKUP(B84,'Data qoq'!$A:$AU,MATCH($Z$1,'Data qoq'!$A$1:$AU$1,),))/100+1)^4)-1</f>
        <v>-0.17451346396806799</v>
      </c>
      <c r="AA84" s="34">
        <f>(((VLOOKUP(B84,'Data qoq'!$A:$AU,MATCH($AA$1,'Data qoq'!$A$1:$AU$1,),))/100+1)^4)-1</f>
        <v>4.6953302567109612E-2</v>
      </c>
      <c r="AC84" s="28" t="str">
        <f t="shared" si="10"/>
        <v>2018-Q2</v>
      </c>
      <c r="AD84" s="33">
        <f t="shared" si="9"/>
        <v>4.9652190263262952E-3</v>
      </c>
    </row>
    <row r="85" spans="1:31" s="1" customFormat="1" x14ac:dyDescent="0.2">
      <c r="A85" s="32">
        <v>43344</v>
      </c>
      <c r="B85" s="26" t="s">
        <v>334</v>
      </c>
      <c r="C85" s="34">
        <f>(((VLOOKUP(B85,'Data qoq'!$A:$AT,MATCH($C$1,'Data qoq'!$A$1:$AT$1,),))/100+1)^4)-1</f>
        <v>1.9417917649433347E-2</v>
      </c>
      <c r="D85" s="34">
        <f>(((VLOOKUP(B85,'Data qoq'!$A:$AT,MATCH($D$1,'Data qoq'!$A$1:$AT$1,),))/100+1)^4)-1</f>
        <v>5.302281656099983E-2</v>
      </c>
      <c r="E85" s="34">
        <f>(((VLOOKUP(B85,'Data qoq'!$A:$AT,MATCH($E$1,'Data qoq'!$A$1:$AT$1,),))/100+1)^4)-1</f>
        <v>2.9540267252765595E-3</v>
      </c>
      <c r="F85" s="34">
        <f>(((VLOOKUP(B85,'Data qoq'!$A:$AT,MATCH($F$1,'Data qoq'!$A$1:$AT$1,),))/100+1)^4)-1</f>
        <v>-2.6617131379073178E-2</v>
      </c>
      <c r="G85" s="34">
        <f>(((VLOOKUP(B85,'Data qoq'!$A:$AT,MATCH($G$1,'Data qoq'!$A$1:$AT$1,),))/100+1)^4)-1</f>
        <v>-1.6791491573780903E-2</v>
      </c>
      <c r="H85" s="34">
        <f>(((VLOOKUP(B85,'Data qoq'!$A:$AT,MATCH($H$1,'Data qoq'!$A$1:$AT$1,),))/100+1)^4)-1</f>
        <v>1.7512706507353037E-2</v>
      </c>
      <c r="I85" s="34">
        <f>(((VLOOKUP(B85,'Data qoq'!$A:$AT,MATCH($I$1,'Data qoq'!$A$1:$AT$1,),))/100+1)^4)-1</f>
        <v>2.4073231423574759E-2</v>
      </c>
      <c r="J85" s="34">
        <f>(((VLOOKUP(B85,'Data qoq'!$A:$AT,MATCH($J$1,'Data qoq'!$A$1:$AT$1,),))/100+1)^4)-1</f>
        <v>2.8512176403161504E-3</v>
      </c>
      <c r="K85" s="34">
        <f>(((VLOOKUP(B85,'Data qoq'!$A:$AT,MATCH($K$1,'Data qoq'!$A$1:$AT$1,),))/100+1)^4)-1</f>
        <v>2.0865508032032132E-2</v>
      </c>
      <c r="L85" s="34">
        <f>(((VLOOKUP(B85,'Data qoq'!$A:$AT,MATCH($L$1,'Data qoq'!$A$1:$AT$1,),))/100+1)^4)-1</f>
        <v>-1.5814253544639056E-2</v>
      </c>
      <c r="M85" s="34">
        <f>(((VLOOKUP(B85,'Data qoq'!$A:$AT,MATCH($M$1,'Data qoq'!$A$1:$AT$1,),))/100+1)^4)-1</f>
        <v>1.2476869352907594E-2</v>
      </c>
      <c r="N85" s="34">
        <f>(((VLOOKUP(B85,'Data qoq'!$A:$AT,MATCH($N$1,'Data qoq'!$A$1:$AT$1,),))/100+1)^4)-1</f>
        <v>9.6856150910435979E-3</v>
      </c>
      <c r="O85" s="34">
        <f>(((VLOOKUP(B85,'Data qoq'!$A:$AT,MATCH($O$1,'Data qoq'!$A$1:$AT$1,),))/100+1)^4)-1</f>
        <v>5.7562397057122405E-2</v>
      </c>
      <c r="P85" s="34">
        <f>(((VLOOKUP(B85,'Data qoq'!$A:$AT,MATCH($P$1,'Data qoq'!$A$1:$AT$1,),))/100+1)^4)-1</f>
        <v>2.7654612450926264E-2</v>
      </c>
      <c r="Q85" s="34">
        <f>(((VLOOKUP(B85,'Data qoq'!$A:$AT,MATCH($Q$1,'Data qoq'!$A$1:$AT$1,),))/100+1)^4)-1</f>
        <v>2.152897961420952E-2</v>
      </c>
      <c r="R85" s="34">
        <f>(((VLOOKUP(B85,'Data qoq'!$A:$AT,MATCH($R$1,'Data qoq'!$A$1:$AT$1,),))/100+1)^4)-1</f>
        <v>-7.8112801012195643E-3</v>
      </c>
      <c r="S85" s="34">
        <f>(((VLOOKUP(B85,'Data qoq'!$A:$AT,MATCH($S$1,'Data qoq'!$A$1:$AT$1,),))/100+1)^4)-1</f>
        <v>2.7816815425872221E-2</v>
      </c>
      <c r="T85" s="34">
        <f>(((VLOOKUP(B85,'Data qoq'!$A:$AT,MATCH($T$1,'Data qoq'!$A$1:$AT$1,),))/100+1)^4)-1</f>
        <v>3.438858432051628E-2</v>
      </c>
      <c r="U85" s="34">
        <f>(((VLOOKUP(B85,'Data qoq'!$A:$AT,MATCH($U$1,'Data qoq'!$A$1:$AT$1,),))/100+1)^4)-1</f>
        <v>3.6300860939104673E-3</v>
      </c>
      <c r="V85" s="34">
        <f>(((VLOOKUP(B85,'Data qoq'!$A:$AT,MATCH($V$1,'Data qoq'!$A$1:$AT$1,),))/100+1)^4)-1</f>
        <v>-6.0353933766946977E-2</v>
      </c>
      <c r="W85" s="34">
        <f>(((VLOOKUP(B85,'Data qoq'!$A:$AT,MATCH($W$1,'Data qoq'!$A$1:$AT$1,),))/100+1)^4)-1</f>
        <v>-6.2120062659730024E-2</v>
      </c>
      <c r="X85" s="34">
        <f>(((VLOOKUP(B85,'Data qoq'!$A:$AT,MATCH($X$1,'Data qoq'!$A$1:$AT$1,),))/100+1)^4)-1</f>
        <v>2.4682835938792058E-2</v>
      </c>
      <c r="Y85" s="34">
        <f>(((VLOOKUP(B85,'Data qoq'!$A:$AT,MATCH($Y$1,'Data qoq'!$A$1:$AT$1,),))/100+1)^4)-1</f>
        <v>5.9367099464139761E-2</v>
      </c>
      <c r="Z85" s="34">
        <f>(((VLOOKUP(B85,'Data qoq'!$A:$AU,MATCH($Z$1,'Data qoq'!$A$1:$AU$1,),))/100+1)^4)-1</f>
        <v>-4.0767033411065468E-3</v>
      </c>
      <c r="AA85" s="34">
        <f>(((VLOOKUP(B85,'Data qoq'!$A:$AU,MATCH($AA$1,'Data qoq'!$A$1:$AU$1,),))/100+1)^4)-1</f>
        <v>1.6222674850924879E-2</v>
      </c>
      <c r="AC85" s="28" t="str">
        <f t="shared" si="10"/>
        <v>2018-Q3</v>
      </c>
      <c r="AD85" s="33">
        <f t="shared" si="9"/>
        <v>-2.11192046982982E-2</v>
      </c>
    </row>
    <row r="86" spans="1:31" s="1" customFormat="1" x14ac:dyDescent="0.2">
      <c r="A86" s="32">
        <v>43435</v>
      </c>
      <c r="B86" s="26" t="s">
        <v>335</v>
      </c>
      <c r="C86" s="34">
        <f>(((VLOOKUP(B86,'Data qoq'!$A:$AT,MATCH($C$1,'Data qoq'!$A$1:$AT$1,),))/100+1)^4)-1</f>
        <v>8.9555932348708289E-3</v>
      </c>
      <c r="D86" s="34">
        <f>(((VLOOKUP(B86,'Data qoq'!$A:$AT,MATCH($D$1,'Data qoq'!$A$1:$AT$1,),))/100+1)^4)-1</f>
        <v>5.302281656099983E-2</v>
      </c>
      <c r="E86" s="34">
        <f>(((VLOOKUP(B86,'Data qoq'!$A:$AT,MATCH($E$1,'Data qoq'!$A$1:$AT$1,),))/100+1)^4)-1</f>
        <v>2.1732460141713705E-2</v>
      </c>
      <c r="F86" s="34">
        <f>(((VLOOKUP(B86,'Data qoq'!$A:$AT,MATCH($F$1,'Data qoq'!$A$1:$AT$1,),))/100+1)^4)-1</f>
        <v>1.7946133349734161E-2</v>
      </c>
      <c r="G86" s="34">
        <f>(((VLOOKUP(B86,'Data qoq'!$A:$AT,MATCH($G$1,'Data qoq'!$A$1:$AT$1,),))/100+1)^4)-1</f>
        <v>1.5551342854592365E-2</v>
      </c>
      <c r="H86" s="34">
        <f>(((VLOOKUP(B86,'Data qoq'!$A:$AT,MATCH($H$1,'Data qoq'!$A$1:$AT$1,),))/100+1)^4)-1</f>
        <v>2.6730303638978103E-2</v>
      </c>
      <c r="I86" s="34">
        <f>(((VLOOKUP(B86,'Data qoq'!$A:$AT,MATCH($I$1,'Data qoq'!$A$1:$AT$1,),))/100+1)^4)-1</f>
        <v>6.6867684232609914E-3</v>
      </c>
      <c r="J86" s="34">
        <f>(((VLOOKUP(B86,'Data qoq'!$A:$AT,MATCH($J$1,'Data qoq'!$A$1:$AT$1,),))/100+1)^4)-1</f>
        <v>8.78113729243446E-3</v>
      </c>
      <c r="K86" s="34">
        <f>(((VLOOKUP(B86,'Data qoq'!$A:$AT,MATCH($K$1,'Data qoq'!$A$1:$AT$1,),))/100+1)^4)-1</f>
        <v>2.727395262411747E-2</v>
      </c>
      <c r="L86" s="34">
        <f>(((VLOOKUP(B86,'Data qoq'!$A:$AT,MATCH($L$1,'Data qoq'!$A$1:$AT$1,),))/100+1)^4)-1</f>
        <v>5.5064237639033342E-2</v>
      </c>
      <c r="M86" s="34">
        <f>(((VLOOKUP(B86,'Data qoq'!$A:$AT,MATCH($M$1,'Data qoq'!$A$1:$AT$1,),))/100+1)^4)-1</f>
        <v>-1.2032315684216588E-2</v>
      </c>
      <c r="N86" s="34">
        <f>(((VLOOKUP(B86,'Data qoq'!$A:$AT,MATCH($N$1,'Data qoq'!$A$1:$AT$1,),))/100+1)^4)-1</f>
        <v>2.6820440574257365E-2</v>
      </c>
      <c r="O86" s="34">
        <f>(((VLOOKUP(B86,'Data qoq'!$A:$AT,MATCH($O$1,'Data qoq'!$A$1:$AT$1,),))/100+1)^4)-1</f>
        <v>6.3711161085765911E-2</v>
      </c>
      <c r="P86" s="34">
        <f>(((VLOOKUP(B86,'Data qoq'!$A:$AT,MATCH($P$1,'Data qoq'!$A$1:$AT$1,),))/100+1)^4)-1</f>
        <v>1.1103404317631016E-2</v>
      </c>
      <c r="Q86" s="34">
        <f>(((VLOOKUP(B86,'Data qoq'!$A:$AT,MATCH($Q$1,'Data qoq'!$A$1:$AT$1,),))/100+1)^4)-1</f>
        <v>5.7410082218123382E-3</v>
      </c>
      <c r="R86" s="34">
        <f>(((VLOOKUP(B86,'Data qoq'!$A:$AT,MATCH($R$1,'Data qoq'!$A$1:$AT$1,),))/100+1)^4)-1</f>
        <v>7.5703402945968001E-3</v>
      </c>
      <c r="S86" s="34">
        <f>(((VLOOKUP(B86,'Data qoq'!$A:$AT,MATCH($S$1,'Data qoq'!$A$1:$AT$1,),))/100+1)^4)-1</f>
        <v>3.3287644034490915E-2</v>
      </c>
      <c r="T86" s="34">
        <f>(((VLOOKUP(B86,'Data qoq'!$A:$AT,MATCH($T$1,'Data qoq'!$A$1:$AT$1,),))/100+1)^4)-1</f>
        <v>-1.3520534159618514E-2</v>
      </c>
      <c r="U86" s="34">
        <f>(((VLOOKUP(B86,'Data qoq'!$A:$AT,MATCH($U$1,'Data qoq'!$A$1:$AT$1,),))/100+1)^4)-1</f>
        <v>2.2655825463303136E-2</v>
      </c>
      <c r="V86" s="34">
        <f>(((VLOOKUP(B86,'Data qoq'!$A:$AT,MATCH($V$1,'Data qoq'!$A$1:$AT$1,),))/100+1)^4)-1</f>
        <v>8.8245359202550055E-2</v>
      </c>
      <c r="W86" s="34">
        <f>(((VLOOKUP(B86,'Data qoq'!$A:$AT,MATCH($W$1,'Data qoq'!$A$1:$AT$1,),))/100+1)^4)-1</f>
        <v>-0.11432251218349809</v>
      </c>
      <c r="X86" s="34">
        <f>(((VLOOKUP(B86,'Data qoq'!$A:$AT,MATCH($X$1,'Data qoq'!$A$1:$AT$1,),))/100+1)^4)-1</f>
        <v>2.8214195508903916E-2</v>
      </c>
      <c r="Y86" s="34">
        <f>(((VLOOKUP(B86,'Data qoq'!$A:$AT,MATCH($Y$1,'Data qoq'!$A$1:$AT$1,),))/100+1)^4)-1</f>
        <v>3.4261841188148345E-2</v>
      </c>
      <c r="Z86" s="34">
        <f>(((VLOOKUP(B86,'Data qoq'!$A:$AU,MATCH($Z$1,'Data qoq'!$A$1:$AU$1,),))/100+1)^4)-1</f>
        <v>-5.1355785360757245E-2</v>
      </c>
      <c r="AA86" s="34">
        <f>(((VLOOKUP(B86,'Data qoq'!$A:$AU,MATCH($AA$1,'Data qoq'!$A$1:$AU$1,),))/100+1)^4)-1</f>
        <v>4.4742538453982128E-2</v>
      </c>
      <c r="AC86" s="28" t="str">
        <f t="shared" ref="AC86:AC89" si="11">B86</f>
        <v>2018-Q4</v>
      </c>
      <c r="AD86" s="33">
        <f t="shared" si="9"/>
        <v>1.5045691718452714E-2</v>
      </c>
    </row>
    <row r="87" spans="1:31" s="1" customFormat="1" x14ac:dyDescent="0.2">
      <c r="A87" s="32">
        <v>43525</v>
      </c>
      <c r="B87" s="26" t="s">
        <v>336</v>
      </c>
      <c r="C87" s="34">
        <f>(((VLOOKUP(B87,'Data qoq'!$A:$AT,MATCH($C$1,'Data qoq'!$A$1:$AT$1,),))/100+1)^4)-1</f>
        <v>2.4126879304670057E-2</v>
      </c>
      <c r="D87" s="34">
        <f>(((VLOOKUP(B87,'Data qoq'!$A:$AT,MATCH($D$1,'Data qoq'!$A$1:$AT$1,),))/100+1)^4)-1</f>
        <v>8.2432159999999977E-2</v>
      </c>
      <c r="E87" s="34">
        <f>(((VLOOKUP(B87,'Data qoq'!$A:$AT,MATCH($E$1,'Data qoq'!$A$1:$AT$1,),))/100+1)^4)-1</f>
        <v>2.6979706358288613E-2</v>
      </c>
      <c r="F87" s="34">
        <f>(((VLOOKUP(B87,'Data qoq'!$A:$AT,MATCH($F$1,'Data qoq'!$A$1:$AT$1,),))/100+1)^4)-1</f>
        <v>1.1898592317211243E-2</v>
      </c>
      <c r="G87" s="34">
        <f>(((VLOOKUP(B87,'Data qoq'!$A:$AT,MATCH($G$1,'Data qoq'!$A$1:$AT$1,),))/100+1)^4)-1</f>
        <v>4.2839298504953716E-2</v>
      </c>
      <c r="H87" s="34">
        <f>(((VLOOKUP(B87,'Data qoq'!$A:$AT,MATCH($H$1,'Data qoq'!$A$1:$AT$1,),))/100+1)^4)-1</f>
        <v>2.6199631501755416E-2</v>
      </c>
      <c r="I87" s="34">
        <f>(((VLOOKUP(B87,'Data qoq'!$A:$AT,MATCH($I$1,'Data qoq'!$A$1:$AT$1,),))/100+1)^4)-1</f>
        <v>2.2278717466648112E-2</v>
      </c>
      <c r="J87" s="34">
        <f>(((VLOOKUP(B87,'Data qoq'!$A:$AT,MATCH($J$1,'Data qoq'!$A$1:$AT$1,),))/100+1)^4)-1</f>
        <v>1.7793928686899996E-3</v>
      </c>
      <c r="K87" s="34">
        <f>(((VLOOKUP(B87,'Data qoq'!$A:$AT,MATCH($K$1,'Data qoq'!$A$1:$AT$1,),))/100+1)^4)-1</f>
        <v>2.4270259559106888E-2</v>
      </c>
      <c r="L87" s="34">
        <f>(((VLOOKUP(B87,'Data qoq'!$A:$AT,MATCH($L$1,'Data qoq'!$A$1:$AT$1,),))/100+1)^4)-1</f>
        <v>2.0530344373689724E-2</v>
      </c>
      <c r="M87" s="34">
        <f>(((VLOOKUP(B87,'Data qoq'!$A:$AT,MATCH($M$1,'Data qoq'!$A$1:$AT$1,),))/100+1)^4)-1</f>
        <v>8.4706268370471349E-3</v>
      </c>
      <c r="N87" s="34">
        <f>(((VLOOKUP(B87,'Data qoq'!$A:$AT,MATCH($N$1,'Data qoq'!$A$1:$AT$1,),))/100+1)^4)-1</f>
        <v>-1.4985936144761292E-3</v>
      </c>
      <c r="O87" s="34">
        <f>(((VLOOKUP(B87,'Data qoq'!$A:$AT,MATCH($O$1,'Data qoq'!$A$1:$AT$1,),))/100+1)^4)-1</f>
        <v>4.1381074459749589E-2</v>
      </c>
      <c r="P87" s="34">
        <f>(((VLOOKUP(B87,'Data qoq'!$A:$AT,MATCH($P$1,'Data qoq'!$A$1:$AT$1,),))/100+1)^4)-1</f>
        <v>3.5340795321503471E-3</v>
      </c>
      <c r="Q87" s="34">
        <f>(((VLOOKUP(B87,'Data qoq'!$A:$AT,MATCH($Q$1,'Data qoq'!$A$1:$AT$1,),))/100+1)^4)-1</f>
        <v>1.6498214609643069E-2</v>
      </c>
      <c r="R87" s="34">
        <f>(((VLOOKUP(B87,'Data qoq'!$A:$AT,MATCH($R$1,'Data qoq'!$A$1:$AT$1,),))/100+1)^4)-1</f>
        <v>1.0684953461864932E-2</v>
      </c>
      <c r="S87" s="34">
        <f>(((VLOOKUP(B87,'Data qoq'!$A:$AT,MATCH($S$1,'Data qoq'!$A$1:$AT$1,),))/100+1)^4)-1</f>
        <v>-7.9636124615423132E-3</v>
      </c>
      <c r="T87" s="34">
        <f>(((VLOOKUP(B87,'Data qoq'!$A:$AT,MATCH($T$1,'Data qoq'!$A$1:$AT$1,),))/100+1)^4)-1</f>
        <v>2.8947964992698916E-2</v>
      </c>
      <c r="U87" s="34">
        <f>(((VLOOKUP(B87,'Data qoq'!$A:$AT,MATCH($U$1,'Data qoq'!$A$1:$AT$1,),))/100+1)^4)-1</f>
        <v>3.9128487765555331E-2</v>
      </c>
      <c r="V87" s="34">
        <f>(((VLOOKUP(B87,'Data qoq'!$A:$AT,MATCH($V$1,'Data qoq'!$A$1:$AT$1,),))/100+1)^4)-1</f>
        <v>4.1945202937727855E-2</v>
      </c>
      <c r="W87" s="34">
        <f>(((VLOOKUP(B87,'Data qoq'!$A:$AT,MATCH($W$1,'Data qoq'!$A$1:$AT$1,),))/100+1)^4)-1</f>
        <v>7.3373295447373144E-2</v>
      </c>
      <c r="X87" s="34">
        <f>(((VLOOKUP(B87,'Data qoq'!$A:$AT,MATCH($X$1,'Data qoq'!$A$1:$AT$1,),))/100+1)^4)-1</f>
        <v>3.6107165981579481E-2</v>
      </c>
      <c r="Y87" s="34">
        <f>(((VLOOKUP(B87,'Data qoq'!$A:$AT,MATCH($Y$1,'Data qoq'!$A$1:$AT$1,),))/100+1)^4)-1</f>
        <v>7.7116059688700833E-2</v>
      </c>
      <c r="Z87" s="34">
        <f>(((VLOOKUP(B87,'Data qoq'!$A:$AU,MATCH($Z$1,'Data qoq'!$A$1:$AU$1,),))/100+1)^4)-1</f>
        <v>-1.1597957561386707E-3</v>
      </c>
      <c r="AA87" s="34">
        <f>(((VLOOKUP(B87,'Data qoq'!$A:$AU,MATCH($AA$1,'Data qoq'!$A$1:$AU$1,),))/100+1)^4)-1</f>
        <v>1.0560431807733917E-2</v>
      </c>
      <c r="AC87" s="28" t="str">
        <f t="shared" si="11"/>
        <v>2019-Q1</v>
      </c>
      <c r="AD87" s="33">
        <f t="shared" si="9"/>
        <v>4.7009888916405007E-3</v>
      </c>
    </row>
    <row r="88" spans="1:31" s="1" customFormat="1" x14ac:dyDescent="0.2">
      <c r="A88" s="32">
        <v>43617</v>
      </c>
      <c r="B88" s="26" t="s">
        <v>337</v>
      </c>
      <c r="C88" s="34">
        <f>(((VLOOKUP(B88,'Data qoq'!$A:$AT,MATCH($C$1,'Data qoq'!$A$1:$AT$1,),))/100+1)^4)-1</f>
        <v>3.2096211881735615E-2</v>
      </c>
      <c r="D88" s="34">
        <f>(((VLOOKUP(B88,'Data qoq'!$A:$AT,MATCH($D$1,'Data qoq'!$A$1:$AT$1,),))/100+1)^4)-1</f>
        <v>4.8870932735999961E-2</v>
      </c>
      <c r="E88" s="34">
        <f>(((VLOOKUP(B88,'Data qoq'!$A:$AT,MATCH($E$1,'Data qoq'!$A$1:$AT$1,),))/100+1)^4)-1</f>
        <v>7.5053116316634583E-3</v>
      </c>
      <c r="F88" s="34">
        <f>(((VLOOKUP(B88,'Data qoq'!$A:$AT,MATCH($F$1,'Data qoq'!$A$1:$AT$1,),))/100+1)^4)-1</f>
        <v>8.1514856557296511E-3</v>
      </c>
      <c r="G88" s="34">
        <f>(((VLOOKUP(B88,'Data qoq'!$A:$AT,MATCH($G$1,'Data qoq'!$A$1:$AT$1,),))/100+1)^4)-1</f>
        <v>-1.9557546730093467E-2</v>
      </c>
      <c r="H88" s="34">
        <f>(((VLOOKUP(B88,'Data qoq'!$A:$AT,MATCH($H$1,'Data qoq'!$A$1:$AT$1,),))/100+1)^4)-1</f>
        <v>2.0929949155381822E-2</v>
      </c>
      <c r="I88" s="34">
        <f>(((VLOOKUP(B88,'Data qoq'!$A:$AT,MATCH($I$1,'Data qoq'!$A$1:$AT$1,),))/100+1)^4)-1</f>
        <v>5.5474003170521424E-3</v>
      </c>
      <c r="J88" s="34">
        <f>(((VLOOKUP(B88,'Data qoq'!$A:$AT,MATCH($J$1,'Data qoq'!$A$1:$AT$1,),))/100+1)^4)-1</f>
        <v>2.955116533988944E-3</v>
      </c>
      <c r="K88" s="34">
        <f>(((VLOOKUP(B88,'Data qoq'!$A:$AT,MATCH($K$1,'Data qoq'!$A$1:$AT$1,),))/100+1)^4)-1</f>
        <v>1.4703219479603513E-2</v>
      </c>
      <c r="L88" s="34">
        <f>(((VLOOKUP(B88,'Data qoq'!$A:$AT,MATCH($L$1,'Data qoq'!$A$1:$AT$1,),))/100+1)^4)-1</f>
        <v>7.2442168345057123E-3</v>
      </c>
      <c r="M88" s="34">
        <f>(((VLOOKUP(B88,'Data qoq'!$A:$AT,MATCH($M$1,'Data qoq'!$A$1:$AT$1,),))/100+1)^4)-1</f>
        <v>-7.2509506414193403E-3</v>
      </c>
      <c r="N88" s="34">
        <f>(((VLOOKUP(B88,'Data qoq'!$A:$AT,MATCH($N$1,'Data qoq'!$A$1:$AT$1,),))/100+1)^4)-1</f>
        <v>9.3613069399803184E-2</v>
      </c>
      <c r="O88" s="34">
        <f>(((VLOOKUP(B88,'Data qoq'!$A:$AT,MATCH($O$1,'Data qoq'!$A$1:$AT$1,),))/100+1)^4)-1</f>
        <v>5.6046048129713144E-2</v>
      </c>
      <c r="P88" s="34">
        <f>(((VLOOKUP(B88,'Data qoq'!$A:$AT,MATCH($P$1,'Data qoq'!$A$1:$AT$1,),))/100+1)^4)-1</f>
        <v>4.3456181781891479E-2</v>
      </c>
      <c r="Q88" s="34">
        <f>(((VLOOKUP(B88,'Data qoq'!$A:$AT,MATCH($Q$1,'Data qoq'!$A$1:$AT$1,),))/100+1)^4)-1</f>
        <v>2.2309797044163249E-2</v>
      </c>
      <c r="R88" s="34">
        <f>(((VLOOKUP(B88,'Data qoq'!$A:$AT,MATCH($R$1,'Data qoq'!$A$1:$AT$1,),))/100+1)^4)-1</f>
        <v>1.5958368931479727E-2</v>
      </c>
      <c r="S88" s="34">
        <f>(((VLOOKUP(B88,'Data qoq'!$A:$AT,MATCH($S$1,'Data qoq'!$A$1:$AT$1,),))/100+1)^4)-1</f>
        <v>4.2501995278037663E-2</v>
      </c>
      <c r="T88" s="34">
        <f>(((VLOOKUP(B88,'Data qoq'!$A:$AT,MATCH($T$1,'Data qoq'!$A$1:$AT$1,),))/100+1)^4)-1</f>
        <v>2.1733905257748765E-2</v>
      </c>
      <c r="U88" s="34">
        <f>(((VLOOKUP(B88,'Data qoq'!$A:$AT,MATCH($U$1,'Data qoq'!$A$1:$AT$1,),))/100+1)^4)-1</f>
        <v>2.5187608612453172E-2</v>
      </c>
      <c r="V88" s="34">
        <f>(((VLOOKUP(B88,'Data qoq'!$A:$AT,MATCH($V$1,'Data qoq'!$A$1:$AT$1,),))/100+1)^4)-1</f>
        <v>0.11686067814076129</v>
      </c>
      <c r="W88" s="34">
        <f>(((VLOOKUP(B88,'Data qoq'!$A:$AT,MATCH($W$1,'Data qoq'!$A$1:$AT$1,),))/100+1)^4)-1</f>
        <v>9.8650788952587609E-2</v>
      </c>
      <c r="X88" s="34">
        <f>(((VLOOKUP(B88,'Data qoq'!$A:$AT,MATCH($X$1,'Data qoq'!$A$1:$AT$1,),))/100+1)^4)-1</f>
        <v>3.1811700330879322E-2</v>
      </c>
      <c r="Y88" s="34">
        <f>(((VLOOKUP(B88,'Data qoq'!$A:$AT,MATCH($Y$1,'Data qoq'!$A$1:$AT$1,),))/100+1)^4)-1</f>
        <v>2.509656072126476E-2</v>
      </c>
      <c r="Z88" s="34">
        <f>(((VLOOKUP(B88,'Data qoq'!$A:$AU,MATCH($Z$1,'Data qoq'!$A$1:$AU$1,),))/100+1)^4)-1</f>
        <v>1.7736214191601984E-2</v>
      </c>
      <c r="AA88" s="34">
        <f>(((VLOOKUP(B88,'Data qoq'!$A:$AU,MATCH($AA$1,'Data qoq'!$A$1:$AU$1,),))/100+1)^4)-1</f>
        <v>1.7718141090405926E-2</v>
      </c>
      <c r="AC88" s="28" t="str">
        <f t="shared" si="11"/>
        <v>2019-Q2</v>
      </c>
      <c r="AD88" s="33">
        <f t="shared" si="9"/>
        <v>1.9579113146113158E-3</v>
      </c>
    </row>
    <row r="89" spans="1:31" s="1" customFormat="1" x14ac:dyDescent="0.2">
      <c r="A89" s="32">
        <v>43709</v>
      </c>
      <c r="B89" s="26" t="s">
        <v>338</v>
      </c>
      <c r="C89" s="34">
        <f>(((VLOOKUP(B89,'Data qoq'!$A:$AT,MATCH($C$1,'Data qoq'!$A$1:$AT$1,),))/100+1)^4)-1</f>
        <v>2.7703187490706105E-2</v>
      </c>
      <c r="D89" s="34">
        <f>(((VLOOKUP(B89,'Data qoq'!$A:$AT,MATCH($D$1,'Data qoq'!$A$1:$AT$1,),))/100+1)^4)-1</f>
        <v>4.8870932735999961E-2</v>
      </c>
      <c r="E89" s="34">
        <f>(((VLOOKUP(B89,'Data qoq'!$A:$AT,MATCH($E$1,'Data qoq'!$A$1:$AT$1,),))/100+1)^4)-1</f>
        <v>1.1097768447690948E-2</v>
      </c>
      <c r="F89" s="34">
        <f>(((VLOOKUP(B89,'Data qoq'!$A:$AT,MATCH($F$1,'Data qoq'!$A$1:$AT$1,),))/100+1)^4)-1</f>
        <v>4.8111688938190511E-3</v>
      </c>
      <c r="G89" s="34">
        <f>(((VLOOKUP(B89,'Data qoq'!$A:$AT,MATCH($G$1,'Data qoq'!$A$1:$AT$1,),))/100+1)^4)-1</f>
        <v>1.6539570803166814E-2</v>
      </c>
      <c r="H89" s="34">
        <f>(((VLOOKUP(B89,'Data qoq'!$A:$AT,MATCH($H$1,'Data qoq'!$A$1:$AT$1,),))/100+1)^4)-1</f>
        <v>6.4939532050309889E-3</v>
      </c>
      <c r="I89" s="34">
        <f>(((VLOOKUP(B89,'Data qoq'!$A:$AT,MATCH($I$1,'Data qoq'!$A$1:$AT$1,),))/100+1)^4)-1</f>
        <v>2.0040221324946428E-2</v>
      </c>
      <c r="J89" s="34">
        <f>(((VLOOKUP(B89,'Data qoq'!$A:$AT,MATCH($J$1,'Data qoq'!$A$1:$AT$1,),))/100+1)^4)-1</f>
        <v>7.5800988922791745E-3</v>
      </c>
      <c r="K89" s="34">
        <f>(((VLOOKUP(B89,'Data qoq'!$A:$AT,MATCH($K$1,'Data qoq'!$A$1:$AT$1,),))/100+1)^4)-1</f>
        <v>1.5246823718582991E-2</v>
      </c>
      <c r="L89" s="34">
        <f>(((VLOOKUP(B89,'Data qoq'!$A:$AT,MATCH($L$1,'Data qoq'!$A$1:$AT$1,),))/100+1)^4)-1</f>
        <v>2.572420948173626E-2</v>
      </c>
      <c r="M89" s="34">
        <f>(((VLOOKUP(B89,'Data qoq'!$A:$AT,MATCH($M$1,'Data qoq'!$A$1:$AT$1,),))/100+1)^4)-1</f>
        <v>5.9700442600434389E-3</v>
      </c>
      <c r="N89" s="34">
        <f>(((VLOOKUP(B89,'Data qoq'!$A:$AT,MATCH($N$1,'Data qoq'!$A$1:$AT$1,),))/100+1)^4)-1</f>
        <v>-3.8555487012599476E-2</v>
      </c>
      <c r="O89" s="34">
        <f>(((VLOOKUP(B89,'Data qoq'!$A:$AT,MATCH($O$1,'Data qoq'!$A$1:$AT$1,),))/100+1)^4)-1</f>
        <v>1.9461642131250345E-2</v>
      </c>
      <c r="P89" s="34">
        <f>(((VLOOKUP(B89,'Data qoq'!$A:$AT,MATCH($P$1,'Data qoq'!$A$1:$AT$1,),))/100+1)^4)-1</f>
        <v>1.82071737359355E-2</v>
      </c>
      <c r="Q89" s="34">
        <f>(((VLOOKUP(B89,'Data qoq'!$A:$AT,MATCH($Q$1,'Data qoq'!$A$1:$AT$1,),))/100+1)^4)-1</f>
        <v>3.2678294454689505E-2</v>
      </c>
      <c r="R89" s="34">
        <f>(((VLOOKUP(B89,'Data qoq'!$A:$AT,MATCH($R$1,'Data qoq'!$A$1:$AT$1,),))/100+1)^4)-1</f>
        <v>2.3161815294349575E-2</v>
      </c>
      <c r="S89" s="34">
        <f>(((VLOOKUP(B89,'Data qoq'!$A:$AT,MATCH($S$1,'Data qoq'!$A$1:$AT$1,),))/100+1)^4)-1</f>
        <v>1.6300197062462773E-2</v>
      </c>
      <c r="T89" s="34">
        <f>(((VLOOKUP(B89,'Data qoq'!$A:$AT,MATCH($T$1,'Data qoq'!$A$1:$AT$1,),))/100+1)^4)-1</f>
        <v>-1.1859508050822143E-3</v>
      </c>
      <c r="U89" s="34">
        <f>(((VLOOKUP(B89,'Data qoq'!$A:$AT,MATCH($U$1,'Data qoq'!$A$1:$AT$1,),))/100+1)^4)-1</f>
        <v>-2.3222220128826021E-2</v>
      </c>
      <c r="V89" s="34">
        <f>(((VLOOKUP(B89,'Data qoq'!$A:$AT,MATCH($V$1,'Data qoq'!$A$1:$AT$1,),))/100+1)^4)-1</f>
        <v>-1.6439340831699512E-2</v>
      </c>
      <c r="W89" s="34">
        <f>(((VLOOKUP(B89,'Data qoq'!$A:$AT,MATCH($W$1,'Data qoq'!$A$1:$AT$1,),))/100+1)^4)-1</f>
        <v>2.0265559202310435E-3</v>
      </c>
      <c r="X89" s="34">
        <f>(((VLOOKUP(B89,'Data qoq'!$A:$AT,MATCH($X$1,'Data qoq'!$A$1:$AT$1,),))/100+1)^4)-1</f>
        <v>2.212057459638106E-2</v>
      </c>
      <c r="Y89" s="34">
        <f>(((VLOOKUP(B89,'Data qoq'!$A:$AT,MATCH($Y$1,'Data qoq'!$A$1:$AT$1,),))/100+1)^4)-1</f>
        <v>4.8506664651802867E-2</v>
      </c>
      <c r="Z89" s="34">
        <f>(((VLOOKUP(B89,'Data qoq'!$A:$AU,MATCH($Z$1,'Data qoq'!$A$1:$AU$1,),))/100+1)^4)-1</f>
        <v>2.6294248607681148E-2</v>
      </c>
      <c r="AA89" s="34">
        <f>(((VLOOKUP(B89,'Data qoq'!$A:$AU,MATCH($AA$1,'Data qoq'!$A$1:$AU$1,),))/100+1)^4)-1</f>
        <v>3.5826910259245004E-2</v>
      </c>
      <c r="AC89" s="28" t="str">
        <f t="shared" si="11"/>
        <v>2019-Q3</v>
      </c>
      <c r="AD89" s="33">
        <f t="shared" si="9"/>
        <v>-8.9424528772554801E-3</v>
      </c>
    </row>
    <row r="90" spans="1:31" s="1" customFormat="1" x14ac:dyDescent="0.2">
      <c r="A90" s="32">
        <v>43800</v>
      </c>
      <c r="B90" s="26" t="s">
        <v>581</v>
      </c>
      <c r="C90" s="34">
        <f>(((VLOOKUP(B90,'Data qoq'!$A:$AT,MATCH($C$1,'Data qoq'!$A$1:$AT$1,),))/100+1)^4)-1</f>
        <v>1.8896349653914735E-2</v>
      </c>
      <c r="D90" s="34">
        <f>(((VLOOKUP(B90,'Data qoq'!$A:$AT,MATCH($D$1,'Data qoq'!$A$1:$AT$1,),))/100+1)^4)-1</f>
        <v>4.8870932735999961E-2</v>
      </c>
      <c r="E90" s="34">
        <f>(((VLOOKUP(B90,'Data qoq'!$A:$AT,MATCH($E$1,'Data qoq'!$A$1:$AT$1,),))/100+1)^4)-1</f>
        <v>-5.2025846835723755E-4</v>
      </c>
      <c r="F90" s="34">
        <f>(((VLOOKUP(B90,'Data qoq'!$A:$AT,MATCH($F$1,'Data qoq'!$A$1:$AT$1,),))/100+1)^4)-1</f>
        <v>-7.5207246388202087E-2</v>
      </c>
      <c r="G90" s="34">
        <f>(((VLOOKUP(B90,'Data qoq'!$A:$AT,MATCH($G$1,'Data qoq'!$A$1:$AT$1,),))/100+1)^4)-1</f>
        <v>-2.9733424310662837E-3</v>
      </c>
      <c r="H90" s="34">
        <f>(((VLOOKUP(B90,'Data qoq'!$A:$AT,MATCH($H$1,'Data qoq'!$A$1:$AT$1,),))/100+1)^4)-1</f>
        <v>-1.5179654894685757E-2</v>
      </c>
      <c r="I90" s="34">
        <f>(((VLOOKUP(B90,'Data qoq'!$A:$AT,MATCH($I$1,'Data qoq'!$A$1:$AT$1,),))/100+1)^4)-1</f>
        <v>6.9054430729220684E-4</v>
      </c>
      <c r="J90" s="34">
        <f>(((VLOOKUP(B90,'Data qoq'!$A:$AT,MATCH($J$1,'Data qoq'!$A$1:$AT$1,),))/100+1)^4)-1</f>
        <v>-1.6769837011406885E-2</v>
      </c>
      <c r="K90" s="34">
        <f>(((VLOOKUP(B90,'Data qoq'!$A:$AT,MATCH($K$1,'Data qoq'!$A$1:$AT$1,),))/100+1)^4)-1</f>
        <v>1.5148340874980404E-2</v>
      </c>
      <c r="L90" s="34">
        <f>(((VLOOKUP(B90,'Data qoq'!$A:$AT,MATCH($L$1,'Data qoq'!$A$1:$AT$1,),))/100+1)^4)-1</f>
        <v>3.77000355661683E-3</v>
      </c>
      <c r="M90" s="34">
        <f>(((VLOOKUP(B90,'Data qoq'!$A:$AT,MATCH($M$1,'Data qoq'!$A$1:$AT$1,),))/100+1)^4)-1</f>
        <v>-4.0775652015099806E-2</v>
      </c>
      <c r="N90" s="34">
        <f>(((VLOOKUP(B90,'Data qoq'!$A:$AT,MATCH($N$1,'Data qoq'!$A$1:$AT$1,),))/100+1)^4)-1</f>
        <v>-1.7997447573436021E-2</v>
      </c>
      <c r="O90" s="34">
        <f>(((VLOOKUP(B90,'Data qoq'!$A:$AT,MATCH($O$1,'Data qoq'!$A$1:$AT$1,),))/100+1)^4)-1</f>
        <v>1.6606019536265837E-2</v>
      </c>
      <c r="P90" s="34">
        <f>(((VLOOKUP(B90,'Data qoq'!$A:$AT,MATCH($P$1,'Data qoq'!$A$1:$AT$1,),))/100+1)^4)-1</f>
        <v>3.7816533988506151E-3</v>
      </c>
      <c r="Q90" s="34">
        <f>(((VLOOKUP(B90,'Data qoq'!$A:$AT,MATCH($Q$1,'Data qoq'!$A$1:$AT$1,),))/100+1)^4)-1</f>
        <v>1.4149790212898639E-2</v>
      </c>
      <c r="R90" s="34">
        <f>(((VLOOKUP(B90,'Data qoq'!$A:$AT,MATCH($R$1,'Data qoq'!$A$1:$AT$1,),))/100+1)^4)-1</f>
        <v>1.8607842847073286E-2</v>
      </c>
      <c r="S90" s="34">
        <f>(((VLOOKUP(B90,'Data qoq'!$A:$AT,MATCH($S$1,'Data qoq'!$A$1:$AT$1,),))/100+1)^4)-1</f>
        <v>5.2542847245506064E-2</v>
      </c>
      <c r="T90" s="34">
        <f>(((VLOOKUP(B90,'Data qoq'!$A:$AT,MATCH($T$1,'Data qoq'!$A$1:$AT$1,),))/100+1)^4)-1</f>
        <v>1.4072750445036419E-2</v>
      </c>
      <c r="U90" s="34">
        <f>(((VLOOKUP(B90,'Data qoq'!$A:$AT,MATCH($U$1,'Data qoq'!$A$1:$AT$1,),))/100+1)^4)-1</f>
        <v>-1.6726243680870168E-3</v>
      </c>
      <c r="V90" s="34">
        <f>(((VLOOKUP(B90,'Data qoq'!$A:$AT,MATCH($V$1,'Data qoq'!$A$1:$AT$1,),))/100+1)^4)-1</f>
        <v>6.8328883579645394E-2</v>
      </c>
      <c r="W90" s="34">
        <f>(((VLOOKUP(B90,'Data qoq'!$A:$AT,MATCH($W$1,'Data qoq'!$A$1:$AT$1,),))/100+1)^4)-1</f>
        <v>5.5712727097191328E-2</v>
      </c>
      <c r="X90" s="34">
        <f>(((VLOOKUP(B90,'Data qoq'!$A:$AT,MATCH($X$1,'Data qoq'!$A$1:$AT$1,),))/100+1)^4)-1</f>
        <v>2.5403768188025921E-2</v>
      </c>
      <c r="Y90" s="34">
        <f>(((VLOOKUP(B90,'Data qoq'!$A:$AT,MATCH($Y$1,'Data qoq'!$A$1:$AT$1,),))/100+1)^4)-1</f>
        <v>1.136636938337432E-2</v>
      </c>
      <c r="Z90" s="34">
        <f>(((VLOOKUP(B90,'Data qoq'!$A:$AU,MATCH($Z$1,'Data qoq'!$A$1:$AU$1,),))/100+1)^4)-1</f>
        <v>-6.3077730499868756E-2</v>
      </c>
      <c r="AA90" s="34">
        <f>(((VLOOKUP(B90,'Data qoq'!$A:$AU,MATCH($AA$1,'Data qoq'!$A$1:$AU$1,),))/100+1)^4)-1</f>
        <v>9.8449372373932142E-3</v>
      </c>
      <c r="AB90" s="73"/>
      <c r="AC90" s="28" t="str">
        <f t="shared" ref="AC90:AC91" si="12">B90</f>
        <v>2019-Q4</v>
      </c>
      <c r="AD90" s="33">
        <f t="shared" si="9"/>
        <v>-1.2108027756494444E-3</v>
      </c>
    </row>
    <row r="91" spans="1:31" s="1" customFormat="1" x14ac:dyDescent="0.2">
      <c r="A91" s="32">
        <v>43891</v>
      </c>
      <c r="B91" s="26" t="s">
        <v>582</v>
      </c>
      <c r="C91" s="34">
        <f>(((VLOOKUP(B91,'Data qoq'!$A:$AT,MATCH($C$1,'Data qoq'!$A$1:$AT$1,),))/100+1)^4)-1</f>
        <v>-5.1132545035958321E-2</v>
      </c>
      <c r="D91" s="34">
        <f>(((VLOOKUP(B91,'Data qoq'!$A:$AT,MATCH($D$1,'Data qoq'!$A$1:$AT$1,),))/100+1)^4)-1</f>
        <v>-0.30516272223899976</v>
      </c>
      <c r="E91" s="34">
        <f>(((VLOOKUP(B91,'Data qoq'!$A:$AT,MATCH($E$1,'Data qoq'!$A$1:$AT$1,),))/100+1)^4)-1</f>
        <v>-0.131913139816349</v>
      </c>
      <c r="F91" s="34">
        <f>(((VLOOKUP(B91,'Data qoq'!$A:$AT,MATCH($F$1,'Data qoq'!$A$1:$AT$1,),))/100+1)^4)-1</f>
        <v>-2.3203857728660515E-2</v>
      </c>
      <c r="G91" s="34">
        <f>(((VLOOKUP(B91,'Data qoq'!$A:$AT,MATCH($G$1,'Data qoq'!$A$1:$AT$1,),))/100+1)^4)-1</f>
        <v>-6.8713840793185432E-2</v>
      </c>
      <c r="H91" s="34">
        <f>(((VLOOKUP(B91,'Data qoq'!$A:$AT,MATCH($H$1,'Data qoq'!$A$1:$AT$1,),))/100+1)^4)-1</f>
        <v>-0.20912063488332044</v>
      </c>
      <c r="I91" s="34">
        <f>(((VLOOKUP(B91,'Data qoq'!$A:$AT,MATCH($I$1,'Data qoq'!$A$1:$AT$1,),))/100+1)^4)-1</f>
        <v>-0.10911817568156135</v>
      </c>
      <c r="J91" s="34">
        <f>(((VLOOKUP(B91,'Data qoq'!$A:$AT,MATCH($J$1,'Data qoq'!$A$1:$AT$1,),))/100+1)^4)-1</f>
        <v>-0.20749616889378708</v>
      </c>
      <c r="K91" s="34">
        <f>(((VLOOKUP(B91,'Data qoq'!$A:$AT,MATCH($K$1,'Data qoq'!$A$1:$AT$1,),))/100+1)^4)-1</f>
        <v>-0.19882807858069984</v>
      </c>
      <c r="L91" s="34">
        <f>(((VLOOKUP(B91,'Data qoq'!$A:$AT,MATCH($L$1,'Data qoq'!$A$1:$AT$1,),))/100+1)^4)-1</f>
        <v>-3.1191583400268175E-2</v>
      </c>
      <c r="M91" s="34">
        <f>(((VLOOKUP(B91,'Data qoq'!$A:$AT,MATCH($M$1,'Data qoq'!$A$1:$AT$1,),))/100+1)^4)-1</f>
        <v>-3.6290482008985325E-2</v>
      </c>
      <c r="N91" s="34">
        <f>(((VLOOKUP(B91,'Data qoq'!$A:$AT,MATCH($N$1,'Data qoq'!$A$1:$AT$1,),))/100+1)^4)-1</f>
        <v>-7.8954699083342295E-3</v>
      </c>
      <c r="O91" s="34">
        <f>(((VLOOKUP(B91,'Data qoq'!$A:$AT,MATCH($O$1,'Data qoq'!$A$1:$AT$1,),))/100+1)^4)-1</f>
        <v>2.577994429006103E-2</v>
      </c>
      <c r="P91" s="34">
        <f>(((VLOOKUP(B91,'Data qoq'!$A:$AT,MATCH($P$1,'Data qoq'!$A$1:$AT$1,),))/100+1)^4)-1</f>
        <v>-7.9051618338565999E-2</v>
      </c>
      <c r="Q91" s="34">
        <f>(((VLOOKUP(B91,'Data qoq'!$A:$AT,MATCH($Q$1,'Data qoq'!$A$1:$AT$1,),))/100+1)^4)-1</f>
        <v>-1.2996499110552562E-2</v>
      </c>
      <c r="R91" s="34">
        <f>(((VLOOKUP(B91,'Data qoq'!$A:$AT,MATCH($R$1,'Data qoq'!$A$1:$AT$1,),))/100+1)^4)-1</f>
        <v>-6.2044344548398689E-2</v>
      </c>
      <c r="S91" s="34">
        <f>(((VLOOKUP(B91,'Data qoq'!$A:$AT,MATCH($S$1,'Data qoq'!$A$1:$AT$1,),))/100+1)^4)-1</f>
        <v>-4.9513434502927223E-2</v>
      </c>
      <c r="T91" s="34">
        <f>(((VLOOKUP(B91,'Data qoq'!$A:$AT,MATCH($T$1,'Data qoq'!$A$1:$AT$1,),))/100+1)^4)-1</f>
        <v>-9.0389404198207179E-2</v>
      </c>
      <c r="U91" s="34">
        <f>(((VLOOKUP(B91,'Data qoq'!$A:$AT,MATCH($U$1,'Data qoq'!$A$1:$AT$1,),))/100+1)^4)-1</f>
        <v>-1.7102899670899729E-2</v>
      </c>
      <c r="V91" s="34">
        <f>(((VLOOKUP(B91,'Data qoq'!$A:$AT,MATCH($V$1,'Data qoq'!$A$1:$AT$1,),))/100+1)^4)-1</f>
        <v>0.10992786020895773</v>
      </c>
      <c r="W91" s="34">
        <f>(((VLOOKUP(B91,'Data qoq'!$A:$AT,MATCH($W$1,'Data qoq'!$A$1:$AT$1,),))/100+1)^4)-1</f>
        <v>1.7969552410650014E-2</v>
      </c>
      <c r="X91" s="34">
        <f>(((VLOOKUP(B91,'Data qoq'!$A:$AT,MATCH($X$1,'Data qoq'!$A$1:$AT$1,),))/100+1)^4)-1</f>
        <v>-0.12821994753186439</v>
      </c>
      <c r="Y91" s="34">
        <f>(((VLOOKUP(B91,'Data qoq'!$A:$AT,MATCH($Y$1,'Data qoq'!$A$1:$AT$1,),))/100+1)^4)-1</f>
        <v>-2.5624022187229478E-3</v>
      </c>
      <c r="Z91" s="34">
        <f>(((VLOOKUP(B91,'Data qoq'!$A:$AU,MATCH($Z$1,'Data qoq'!$A$1:$AU$1,),))/100+1)^4)-1</f>
        <v>-0.16188500228102609</v>
      </c>
      <c r="AA91" s="34">
        <f>(((VLOOKUP(B91,'Data qoq'!$A:$AU,MATCH($AA$1,'Data qoq'!$A$1:$AU$1,),))/100+1)^4)-1</f>
        <v>-5.5200749017234485E-2</v>
      </c>
      <c r="AB91" s="82"/>
      <c r="AC91" s="28" t="str">
        <f t="shared" si="12"/>
        <v>2020-Q1</v>
      </c>
      <c r="AD91" s="33">
        <f t="shared" si="9"/>
        <v>-2.2794964134787654E-2</v>
      </c>
    </row>
    <row r="92" spans="1:31" s="1" customFormat="1" x14ac:dyDescent="0.2">
      <c r="A92" s="32">
        <v>43983</v>
      </c>
      <c r="B92" s="26" t="s">
        <v>583</v>
      </c>
      <c r="C92" s="34">
        <f>(((VLOOKUP(B92,'Data qoq'!$A:$AT,MATCH($C$1,'Data qoq'!$A$1:$AT$1,),))/100+1)^4)-1</f>
        <v>-0.31235698460598726</v>
      </c>
      <c r="D92" s="34">
        <f>(((VLOOKUP(B92,'Data qoq'!$A:$AT,MATCH($D$1,'Data qoq'!$A$1:$AT$1,),))/100+1)^4)-1</f>
        <v>0.4641000000000004</v>
      </c>
      <c r="E92" s="34">
        <f>(((VLOOKUP(B92,'Data qoq'!$A:$AT,MATCH($E$1,'Data qoq'!$A$1:$AT$1,),))/100+1)^4)-1</f>
        <v>-0.39143602134189459</v>
      </c>
      <c r="F92" s="34">
        <f>(((VLOOKUP(B92,'Data qoq'!$A:$AT,MATCH($F$1,'Data qoq'!$A$1:$AT$1,),))/100+1)^4)-1</f>
        <v>-0.28149594242035636</v>
      </c>
      <c r="G92" s="34">
        <f>(((VLOOKUP(B92,'Data qoq'!$A:$AT,MATCH($G$1,'Data qoq'!$A$1:$AT$1,),))/100+1)^4)-1</f>
        <v>-0.34378964025626724</v>
      </c>
      <c r="H92" s="34">
        <f>(((VLOOKUP(B92,'Data qoq'!$A:$AT,MATCH($H$1,'Data qoq'!$A$1:$AT$1,),))/100+1)^4)-1</f>
        <v>-0.43990789866189506</v>
      </c>
      <c r="I92" s="34">
        <f>(((VLOOKUP(B92,'Data qoq'!$A:$AT,MATCH($I$1,'Data qoq'!$A$1:$AT$1,),))/100+1)^4)-1</f>
        <v>-0.57938310584959951</v>
      </c>
      <c r="J92" s="34">
        <f>(((VLOOKUP(B92,'Data qoq'!$A:$AT,MATCH($J$1,'Data qoq'!$A$1:$AT$1,),))/100+1)^4)-1</f>
        <v>-0.42869365791278102</v>
      </c>
      <c r="K92" s="34">
        <f>(((VLOOKUP(B92,'Data qoq'!$A:$AT,MATCH($K$1,'Data qoq'!$A$1:$AT$1,),))/100+1)^4)-1</f>
        <v>-0.54015627283445999</v>
      </c>
      <c r="L92" s="34">
        <f>(((VLOOKUP(B92,'Data qoq'!$A:$AT,MATCH($L$1,'Data qoq'!$A$1:$AT$1,),))/100+1)^4)-1</f>
        <v>-0.28671516835864141</v>
      </c>
      <c r="M92" s="34">
        <f>(((VLOOKUP(B92,'Data qoq'!$A:$AT,MATCH($M$1,'Data qoq'!$A$1:$AT$1,),))/100+1)^4)-1</f>
        <v>-0.53240984463931063</v>
      </c>
      <c r="N92" s="34">
        <f>(((VLOOKUP(B92,'Data qoq'!$A:$AT,MATCH($N$1,'Data qoq'!$A$1:$AT$1,),))/100+1)^4)-1</f>
        <v>-0.16424951153473633</v>
      </c>
      <c r="O92" s="34">
        <f>(((VLOOKUP(B92,'Data qoq'!$A:$AT,MATCH($O$1,'Data qoq'!$A$1:$AT$1,),))/100+1)^4)-1</f>
        <v>-0.67491481677996212</v>
      </c>
      <c r="P92" s="34">
        <f>(((VLOOKUP(B92,'Data qoq'!$A:$AT,MATCH($P$1,'Data qoq'!$A$1:$AT$1,),))/100+1)^4)-1</f>
        <v>-0.38043670467671298</v>
      </c>
      <c r="Q92" s="34">
        <f>(((VLOOKUP(B92,'Data qoq'!$A:$AT,MATCH($Q$1,'Data qoq'!$A$1:$AT$1,),))/100+1)^4)-1</f>
        <v>-0.25122788299402754</v>
      </c>
      <c r="R92" s="34">
        <f>(((VLOOKUP(B92,'Data qoq'!$A:$AT,MATCH($R$1,'Data qoq'!$A$1:$AT$1,),))/100+1)^4)-1</f>
        <v>-0.22482504645374302</v>
      </c>
      <c r="S92" s="34">
        <f>(((VLOOKUP(B92,'Data qoq'!$A:$AT,MATCH($S$1,'Data qoq'!$A$1:$AT$1,),))/100+1)^4)-1</f>
        <v>-0.12019736350249632</v>
      </c>
      <c r="T92" s="34">
        <f>(((VLOOKUP(B92,'Data qoq'!$A:$AT,MATCH($T$1,'Data qoq'!$A$1:$AT$1,),))/100+1)^4)-1</f>
        <v>-0.31307338536038298</v>
      </c>
      <c r="U92" s="34">
        <f>(((VLOOKUP(B92,'Data qoq'!$A:$AT,MATCH($U$1,'Data qoq'!$A$1:$AT$1,),))/100+1)^4)-1</f>
        <v>-0.42685147024469039</v>
      </c>
      <c r="V92" s="34">
        <f>(((VLOOKUP(B92,'Data qoq'!$A:$AT,MATCH($V$1,'Data qoq'!$A$1:$AT$1,),))/100+1)^4)-1</f>
        <v>-0.11198338743644287</v>
      </c>
      <c r="W92" s="34">
        <f>(((VLOOKUP(B92,'Data qoq'!$A:$AT,MATCH($W$1,'Data qoq'!$A$1:$AT$1,),))/100+1)^4)-1</f>
        <v>-0.36606244941348087</v>
      </c>
      <c r="X92" s="34">
        <f>(((VLOOKUP(B92,'Data qoq'!$A:$AT,MATCH($X$1,'Data qoq'!$A$1:$AT$1,),))/100+1)^4)-1</f>
        <v>-0.31152954077584927</v>
      </c>
      <c r="Y92" s="34">
        <f>(((VLOOKUP(B92,'Data qoq'!$A:$AT,MATCH($Y$1,'Data qoq'!$A$1:$AT$1,),))/100+1)^4)-1</f>
        <v>-0.32139163447683683</v>
      </c>
      <c r="Z92" s="34">
        <f>(((VLOOKUP(B92,'Data qoq'!$A:$AU,MATCH($Z$1,'Data qoq'!$A$1:$AU$1,),))/100+1)^4)-1</f>
        <v>-0.48945578436622494</v>
      </c>
      <c r="AA92" s="34">
        <f>(((VLOOKUP(B92,'Data qoq'!$A:$AU,MATCH($AA$1,'Data qoq'!$A$1:$AU$1,),))/100+1)^4)-1</f>
        <v>-0.34115795317482744</v>
      </c>
      <c r="AC92" s="28" t="str">
        <f t="shared" ref="AC92:AC93" si="13">B92</f>
        <v>2020-Q2</v>
      </c>
      <c r="AD92" s="33">
        <f t="shared" ref="AD92:AD93" si="14">(VLOOKUP(AC92,B:Y,MATCH($AE$6,$B$1:$Y$1,),))-(VLOOKUP(AC92,B:Y,MATCH($AE$7,$B$1:$Y$1,),))</f>
        <v>0.18794708450770492</v>
      </c>
    </row>
    <row r="93" spans="1:31" s="1" customFormat="1" x14ac:dyDescent="0.2">
      <c r="A93" s="32">
        <v>44075</v>
      </c>
      <c r="B93" s="26" t="s">
        <v>584</v>
      </c>
      <c r="C93" s="34">
        <f>(((VLOOKUP(B93,'Data qoq'!$A:$AT,MATCH($C$1,'Data qoq'!$A$1:$AT$1,),))/100+1)^4)-1</f>
        <v>0.33783279298685187</v>
      </c>
      <c r="D93" s="34">
        <f>(((VLOOKUP(B93,'Data qoq'!$A:$AT,MATCH($D$1,'Data qoq'!$A$1:$AT$1,),))/100+1)^4)-1</f>
        <v>0.11679242265599998</v>
      </c>
      <c r="E93" s="34">
        <f>(((VLOOKUP(B93,'Data qoq'!$A:$AT,MATCH($E$1,'Data qoq'!$A$1:$AT$1,),))/100+1)^4)-1</f>
        <v>0.60918561386173153</v>
      </c>
      <c r="F93" s="34">
        <f>(((VLOOKUP(B93,'Data qoq'!$A:$AT,MATCH($F$1,'Data qoq'!$A$1:$AT$1,),))/100+1)^4)-1</f>
        <v>0.23244801150245431</v>
      </c>
      <c r="G93" s="34">
        <f>(((VLOOKUP(B93,'Data qoq'!$A:$AT,MATCH($G$1,'Data qoq'!$A$1:$AT$1,),))/100+1)^4)-1</f>
        <v>0.41381361997255861</v>
      </c>
      <c r="H93" s="34">
        <f>(((VLOOKUP(B93,'Data qoq'!$A:$AT,MATCH($H$1,'Data qoq'!$A$1:$AT$1,),))/100+1)^4)-1</f>
        <v>0.97797774867558052</v>
      </c>
      <c r="I93" s="34">
        <f>(((VLOOKUP(B93,'Data qoq'!$A:$AT,MATCH($I$1,'Data qoq'!$A$1:$AT$1,),))/100+1)^4)-1</f>
        <v>0.87056006335791247</v>
      </c>
      <c r="J93" s="34">
        <f>(((VLOOKUP(B93,'Data qoq'!$A:$AT,MATCH($J$1,'Data qoq'!$A$1:$AT$1,),))/100+1)^4)-1</f>
        <v>0.81171047370785976</v>
      </c>
      <c r="K93" s="34">
        <f>(((VLOOKUP(B93,'Data qoq'!$A:$AT,MATCH($K$1,'Data qoq'!$A$1:$AT$1,),))/100+1)^4)-1</f>
        <v>0.86100877895409256</v>
      </c>
      <c r="L93" s="34">
        <f>(((VLOOKUP(B93,'Data qoq'!$A:$AT,MATCH($L$1,'Data qoq'!$A$1:$AT$1,),))/100+1)^4)-1</f>
        <v>0.33564589311008275</v>
      </c>
      <c r="M93" s="34">
        <f>(((VLOOKUP(B93,'Data qoq'!$A:$AT,MATCH($M$1,'Data qoq'!$A$1:$AT$1,),))/100+1)^4)-1</f>
        <v>0.6109950192040543</v>
      </c>
      <c r="N93" s="34">
        <f>(((VLOOKUP(B93,'Data qoq'!$A:$AT,MATCH($N$1,'Data qoq'!$A$1:$AT$1,),))/100+1)^4)-1</f>
        <v>9.7820848376353187E-2</v>
      </c>
      <c r="O93" s="34">
        <f>(((VLOOKUP(B93,'Data qoq'!$A:$AT,MATCH($O$1,'Data qoq'!$A$1:$AT$1,),))/100+1)^4)-1</f>
        <v>1.1561106121778986</v>
      </c>
      <c r="P93" s="34">
        <f>(((VLOOKUP(B93,'Data qoq'!$A:$AT,MATCH($P$1,'Data qoq'!$A$1:$AT$1,),))/100+1)^4)-1</f>
        <v>0.4165562239749081</v>
      </c>
      <c r="Q93" s="34">
        <f>(((VLOOKUP(B93,'Data qoq'!$A:$AT,MATCH($Q$1,'Data qoq'!$A$1:$AT$1,),))/100+1)^4)-1</f>
        <v>0.15004676042607468</v>
      </c>
      <c r="R93" s="34">
        <f>(((VLOOKUP(B93,'Data qoq'!$A:$AT,MATCH($R$1,'Data qoq'!$A$1:$AT$1,),))/100+1)^4)-1</f>
        <v>0.28019763264354403</v>
      </c>
      <c r="S93" s="34">
        <f>(((VLOOKUP(B93,'Data qoq'!$A:$AT,MATCH($S$1,'Data qoq'!$A$1:$AT$1,),))/100+1)^4)-1</f>
        <v>9.2374698097843932E-2</v>
      </c>
      <c r="T93" s="34">
        <f>(((VLOOKUP(B93,'Data qoq'!$A:$AT,MATCH($T$1,'Data qoq'!$A$1:$AT$1,),))/100+1)^4)-1</f>
        <v>0.34615722083898648</v>
      </c>
      <c r="U93" s="34">
        <f>(((VLOOKUP(B93,'Data qoq'!$A:$AT,MATCH($U$1,'Data qoq'!$A$1:$AT$1,),))/100+1)^4)-1</f>
        <v>0.16481714596082697</v>
      </c>
      <c r="V93" s="34">
        <f>(((VLOOKUP(B93,'Data qoq'!$A:$AT,MATCH($V$1,'Data qoq'!$A$1:$AT$1,),))/100+1)^4)-1</f>
        <v>0.45607698476273573</v>
      </c>
      <c r="W93" s="34">
        <f>(((VLOOKUP(B93,'Data qoq'!$A:$AT,MATCH($W$1,'Data qoq'!$A$1:$AT$1,),))/100+1)^4)-1</f>
        <v>0.83577482774931511</v>
      </c>
      <c r="X93" s="34">
        <f>(((VLOOKUP(B93,'Data qoq'!$A:$AT,MATCH($X$1,'Data qoq'!$A$1:$AT$1,),))/100+1)^4)-1</f>
        <v>0.29871750482305748</v>
      </c>
      <c r="Y93" s="34">
        <f>(((VLOOKUP(B93,'Data qoq'!$A:$AT,MATCH($Y$1,'Data qoq'!$A$1:$AT$1,),))/100+1)^4)-1</f>
        <v>0.34448400860525763</v>
      </c>
      <c r="Z93" s="34">
        <f>(((VLOOKUP(B93,'Data qoq'!$A:$AU,MATCH($Z$1,'Data qoq'!$A$1:$AU$1,),))/100+1)^4)-1</f>
        <v>0.62345236694927153</v>
      </c>
      <c r="AA93" s="34">
        <f>(((VLOOKUP(B93,'Data qoq'!$A:$AU,MATCH($AA$1,'Data qoq'!$A$1:$AU$1,),))/100+1)^4)-1</f>
        <v>0.68453894654680703</v>
      </c>
      <c r="AC93" s="28" t="str">
        <f t="shared" si="13"/>
        <v>2020-Q3</v>
      </c>
      <c r="AD93" s="33">
        <f t="shared" si="14"/>
        <v>-0.26137444949618094</v>
      </c>
    </row>
    <row r="94" spans="1:31" s="1" customFormat="1" x14ac:dyDescent="0.2">
      <c r="A94" s="32">
        <v>44166</v>
      </c>
      <c r="B94" s="26" t="s">
        <v>585</v>
      </c>
      <c r="C94" s="34">
        <f>(((VLOOKUP(B94,'Data qoq'!$A:$AT,MATCH($C$1,'Data qoq'!$A$1:$AT$1,),))/100+1)^4)-1</f>
        <v>4.5362940383817607E-2</v>
      </c>
      <c r="D94" s="34">
        <f>(((VLOOKUP(B94,'Data qoq'!$A:$AT,MATCH($D$1,'Data qoq'!$A$1:$AT$1,),))/100+1)^4)-1</f>
        <v>0.12550880999999992</v>
      </c>
      <c r="E94" s="34">
        <f>(((VLOOKUP(B94,'Data qoq'!$A:$AT,MATCH($E$1,'Data qoq'!$A$1:$AT$1,),))/100+1)^4)-1</f>
        <v>-1.6825938668331264E-2</v>
      </c>
      <c r="F94" s="34">
        <f>(((VLOOKUP(B94,'Data qoq'!$A:$AT,MATCH($F$1,'Data qoq'!$A$1:$AT$1,),))/100+1)^4)-1</f>
        <v>0.11891482865369984</v>
      </c>
      <c r="G94" s="34">
        <f>(((VLOOKUP(B94,'Data qoq'!$A:$AT,MATCH($G$1,'Data qoq'!$A$1:$AT$1,),))/100+1)^4)-1</f>
        <v>3.0068670378135431E-2</v>
      </c>
      <c r="H94" s="34">
        <f>(((VLOOKUP(B94,'Data qoq'!$A:$AT,MATCH($H$1,'Data qoq'!$A$1:$AT$1,),))/100+1)^4)-1</f>
        <v>-4.2862844238334086E-2</v>
      </c>
      <c r="I94" s="34">
        <f>(((VLOOKUP(B94,'Data qoq'!$A:$AT,MATCH($I$1,'Data qoq'!$A$1:$AT$1,),))/100+1)^4)-1</f>
        <v>5.163387128342678E-2</v>
      </c>
      <c r="J94" s="34">
        <f>(((VLOOKUP(B94,'Data qoq'!$A:$AT,MATCH($J$1,'Data qoq'!$A$1:$AT$1,),))/100+1)^4)-1</f>
        <v>-6.9153385402851431E-2</v>
      </c>
      <c r="K94" s="34">
        <f>(((VLOOKUP(B94,'Data qoq'!$A:$AT,MATCH($K$1,'Data qoq'!$A$1:$AT$1,),))/100+1)^4)-1</f>
        <v>8.9345842637398309E-3</v>
      </c>
      <c r="L94" s="34">
        <f>(((VLOOKUP(B94,'Data qoq'!$A:$AT,MATCH($L$1,'Data qoq'!$A$1:$AT$1,),))/100+1)^4)-1</f>
        <v>6.2231184460868061E-3</v>
      </c>
      <c r="M94" s="34">
        <f>(((VLOOKUP(B94,'Data qoq'!$A:$AT,MATCH($M$1,'Data qoq'!$A$1:$AT$1,),))/100+1)^4)-1</f>
        <v>0.14057706445145901</v>
      </c>
      <c r="N94" s="34">
        <f>(((VLOOKUP(B94,'Data qoq'!$A:$AT,MATCH($N$1,'Data qoq'!$A$1:$AT$1,),))/100+1)^4)-1</f>
        <v>4.3050415574094725E-2</v>
      </c>
      <c r="O94" s="34">
        <f>(((VLOOKUP(B94,'Data qoq'!$A:$AT,MATCH($O$1,'Data qoq'!$A$1:$AT$1,),))/100+1)^4)-1</f>
        <v>0.39167797427372197</v>
      </c>
      <c r="P94" s="34">
        <f>(((VLOOKUP(B94,'Data qoq'!$A:$AT,MATCH($P$1,'Data qoq'!$A$1:$AT$1,),))/100+1)^4)-1</f>
        <v>9.2621819167536534E-2</v>
      </c>
      <c r="Q94" s="34">
        <f>(((VLOOKUP(B94,'Data qoq'!$A:$AT,MATCH($Q$1,'Data qoq'!$A$1:$AT$1,),))/100+1)^4)-1</f>
        <v>0.13343936184850769</v>
      </c>
      <c r="R94" s="34">
        <f>(((VLOOKUP(B94,'Data qoq'!$A:$AT,MATCH($R$1,'Data qoq'!$A$1:$AT$1,),))/100+1)^4)-1</f>
        <v>-2.3550938927376919E-3</v>
      </c>
      <c r="S94" s="34">
        <f>(((VLOOKUP(B94,'Data qoq'!$A:$AT,MATCH($S$1,'Data qoq'!$A$1:$AT$1,),))/100+1)^4)-1</f>
        <v>4.6477628667257465E-2</v>
      </c>
      <c r="T94" s="34">
        <f>(((VLOOKUP(B94,'Data qoq'!$A:$AT,MATCH($T$1,'Data qoq'!$A$1:$AT$1,),))/100+1)^4)-1</f>
        <v>0.13072771481569623</v>
      </c>
      <c r="U94" s="34">
        <f>(((VLOOKUP(B94,'Data qoq'!$A:$AT,MATCH($U$1,'Data qoq'!$A$1:$AT$1,),))/100+1)^4)-1</f>
        <v>0.14750708306701155</v>
      </c>
      <c r="V94" s="34">
        <f>(((VLOOKUP(B94,'Data qoq'!$A:$AT,MATCH($V$1,'Data qoq'!$A$1:$AT$1,),))/100+1)^4)-1</f>
        <v>-0.1708298513830534</v>
      </c>
      <c r="W94" s="34">
        <f>(((VLOOKUP(B94,'Data qoq'!$A:$AT,MATCH($W$1,'Data qoq'!$A$1:$AT$1,),))/100+1)^4)-1</f>
        <v>4.897560754633079E-2</v>
      </c>
      <c r="X94" s="34">
        <f>(((VLOOKUP(B94,'Data qoq'!$A:$AT,MATCH($X$1,'Data qoq'!$A$1:$AT$1,),))/100+1)^4)-1</f>
        <v>2.9813309683982991E-2</v>
      </c>
      <c r="Y94" s="34">
        <f>(((VLOOKUP(B94,'Data qoq'!$A:$AT,MATCH($Y$1,'Data qoq'!$A$1:$AT$1,),))/100+1)^4)-1</f>
        <v>-1.2423091980356959E-2</v>
      </c>
      <c r="Z94" s="34">
        <f>(((VLOOKUP(B94,'Data qoq'!$A:$AU,MATCH($Z$1,'Data qoq'!$A$1:$AU$1,),))/100+1)^4)-1</f>
        <v>0.19339572664391347</v>
      </c>
      <c r="AA94" s="34">
        <f>(((VLOOKUP(B94,'Data qoq'!$A:$AU,MATCH($AA$1,'Data qoq'!$A$1:$AU$1,),))/100+1)^4)-1</f>
        <v>-4.1102456403003362E-2</v>
      </c>
      <c r="AB94" s="87"/>
      <c r="AC94" s="28" t="str">
        <f t="shared" ref="AC94:AC96" si="15">B94</f>
        <v>2020-Q4</v>
      </c>
      <c r="AD94" s="33">
        <f t="shared" ref="AD94:AD96" si="16">(VLOOKUP(AC94,B:Y,MATCH($AE$6,$B$1:$Y$1,),))-(VLOOKUP(AC94,B:Y,MATCH($AE$7,$B$1:$Y$1,),))</f>
        <v>-6.8459809951758044E-2</v>
      </c>
    </row>
    <row r="95" spans="1:31" s="1" customFormat="1" x14ac:dyDescent="0.2">
      <c r="A95" s="32">
        <v>44256</v>
      </c>
      <c r="B95" s="26" t="s">
        <v>586</v>
      </c>
      <c r="C95" s="34">
        <f>(((VLOOKUP(B95,'Data qoq'!$A:$AT,MATCH($C$1,'Data qoq'!$A$1:$AT$1,),))/100+1)^4)-1</f>
        <v>6.2781766718929433E-2</v>
      </c>
      <c r="D95" s="34">
        <f>(((VLOOKUP(B95,'Data qoq'!$A:$AT,MATCH($D$1,'Data qoq'!$A$1:$AT$1,),))/100+1)^4)-1</f>
        <v>1.6096256256000085E-2</v>
      </c>
      <c r="E95" s="34">
        <f>(((VLOOKUP(B95,'Data qoq'!$A:$AT,MATCH($E$1,'Data qoq'!$A$1:$AT$1,),))/100+1)^4)-1</f>
        <v>-1.1449589148260331E-2</v>
      </c>
      <c r="F95" s="34">
        <f>(((VLOOKUP(B95,'Data qoq'!$A:$AT,MATCH($F$1,'Data qoq'!$A$1:$AT$1,),))/100+1)^4)-1</f>
        <v>-4.1643035545715468E-2</v>
      </c>
      <c r="G95" s="34">
        <f>(((VLOOKUP(B95,'Data qoq'!$A:$AT,MATCH($G$1,'Data qoq'!$A$1:$AT$1,),))/100+1)^4)-1</f>
        <v>-7.7740101566782016E-2</v>
      </c>
      <c r="H95" s="34">
        <f>(((VLOOKUP(B95,'Data qoq'!$A:$AT,MATCH($H$1,'Data qoq'!$A$1:$AT$1,),))/100+1)^4)-1</f>
        <v>1.8444336750023105E-3</v>
      </c>
      <c r="I95" s="34">
        <f>(((VLOOKUP(B95,'Data qoq'!$A:$AT,MATCH($I$1,'Data qoq'!$A$1:$AT$1,),))/100+1)^4)-1</f>
        <v>-6.1945084715683052E-2</v>
      </c>
      <c r="J95" s="34">
        <f>(((VLOOKUP(B95,'Data qoq'!$A:$AT,MATCH($J$1,'Data qoq'!$A$1:$AT$1,),))/100+1)^4)-1</f>
        <v>9.1190341868683245E-3</v>
      </c>
      <c r="K95" s="34">
        <f>(((VLOOKUP(B95,'Data qoq'!$A:$AT,MATCH($K$1,'Data qoq'!$A$1:$AT$1,),))/100+1)^4)-1</f>
        <v>-2.5042729058748381E-2</v>
      </c>
      <c r="L95" s="34">
        <f>(((VLOOKUP(B95,'Data qoq'!$A:$AT,MATCH($L$1,'Data qoq'!$A$1:$AT$1,),))/100+1)^4)-1</f>
        <v>3.302440206543289E-2</v>
      </c>
      <c r="M95" s="34">
        <f>(((VLOOKUP(B95,'Data qoq'!$A:$AT,MATCH($M$1,'Data qoq'!$A$1:$AT$1,),))/100+1)^4)-1</f>
        <v>4.5160505596665512E-2</v>
      </c>
      <c r="N95" s="34">
        <f>(((VLOOKUP(B95,'Data qoq'!$A:$AT,MATCH($N$1,'Data qoq'!$A$1:$AT$1,),))/100+1)^4)-1</f>
        <v>3.9542144307383786E-2</v>
      </c>
      <c r="O95" s="34">
        <f>(((VLOOKUP(B95,'Data qoq'!$A:$AT,MATCH($O$1,'Data qoq'!$A$1:$AT$1,),))/100+1)^4)-1</f>
        <v>9.4112516589222039E-2</v>
      </c>
      <c r="P95" s="34">
        <f>(((VLOOKUP(B95,'Data qoq'!$A:$AT,MATCH($P$1,'Data qoq'!$A$1:$AT$1,),))/100+1)^4)-1</f>
        <v>5.5265149696078764E-2</v>
      </c>
      <c r="Q95" s="34">
        <f>(((VLOOKUP(B95,'Data qoq'!$A:$AT,MATCH($Q$1,'Data qoq'!$A$1:$AT$1,),))/100+1)^4)-1</f>
        <v>7.7955342401275995E-2</v>
      </c>
      <c r="R95" s="34">
        <f>(((VLOOKUP(B95,'Data qoq'!$A:$AT,MATCH($R$1,'Data qoq'!$A$1:$AT$1,),))/100+1)^4)-1</f>
        <v>-1.7828353183179435E-2</v>
      </c>
      <c r="S95" s="34">
        <f>(((VLOOKUP(B95,'Data qoq'!$A:$AT,MATCH($S$1,'Data qoq'!$A$1:$AT$1,),))/100+1)^4)-1</f>
        <v>7.1454881525572667E-2</v>
      </c>
      <c r="T95" s="34">
        <f>(((VLOOKUP(B95,'Data qoq'!$A:$AT,MATCH($T$1,'Data qoq'!$A$1:$AT$1,),))/100+1)^4)-1</f>
        <v>4.9313853287625387E-2</v>
      </c>
      <c r="U95" s="34">
        <f>(((VLOOKUP(B95,'Data qoq'!$A:$AT,MATCH($U$1,'Data qoq'!$A$1:$AT$1,),))/100+1)^4)-1</f>
        <v>0.19146804920834248</v>
      </c>
      <c r="V95" s="34">
        <f>(((VLOOKUP(B95,'Data qoq'!$A:$AT,MATCH($V$1,'Data qoq'!$A$1:$AT$1,),))/100+1)^4)-1</f>
        <v>0.39751969432969081</v>
      </c>
      <c r="W95" s="34">
        <f>(((VLOOKUP(B95,'Data qoq'!$A:$AT,MATCH($W$1,'Data qoq'!$A$1:$AT$1,),))/100+1)^4)-1</f>
        <v>8.9704809117660433E-2</v>
      </c>
      <c r="X95" s="34">
        <f>(((VLOOKUP(B95,'Data qoq'!$A:$AT,MATCH($X$1,'Data qoq'!$A$1:$AT$1,),))/100+1)^4)-1</f>
        <v>-1.6804906007090836E-2</v>
      </c>
      <c r="Y95" s="34">
        <f>(((VLOOKUP(B95,'Data qoq'!$A:$AT,MATCH($Y$1,'Data qoq'!$A$1:$AT$1,),))/100+1)^4)-1</f>
        <v>5.2663086317049412E-2</v>
      </c>
      <c r="Z95" s="34">
        <f>(((VLOOKUP(B95,'Data qoq'!$A:$AU,MATCH($Z$1,'Data qoq'!$A$1:$AU$1,),))/100+1)^4)-1</f>
        <v>0.11623293631181064</v>
      </c>
      <c r="AA95" s="34">
        <f>(((VLOOKUP(B95,'Data qoq'!$A:$AU,MATCH($AA$1,'Data qoq'!$A$1:$AU$1,),))/100+1)^4)-1</f>
        <v>5.5140559527110833E-2</v>
      </c>
      <c r="AB95" s="87"/>
      <c r="AC95" s="28" t="str">
        <f t="shared" si="15"/>
        <v>2021-Q1</v>
      </c>
      <c r="AD95" s="33">
        <f t="shared" si="16"/>
        <v>5.0495495567422721E-2</v>
      </c>
    </row>
    <row r="96" spans="1:31" s="1" customFormat="1" x14ac:dyDescent="0.2">
      <c r="A96" s="32">
        <v>44348</v>
      </c>
      <c r="B96" s="26" t="s">
        <v>587</v>
      </c>
      <c r="C96" s="34">
        <f>(((VLOOKUP(B96,'Data qoq'!$A:$AT,MATCH($C$1,'Data qoq'!$A$1:$AT$1,),))/100+1)^4)-1</f>
        <v>6.5564452112124139E-2</v>
      </c>
      <c r="D96" s="34">
        <f>(((VLOOKUP(B96,'Data qoq'!$A:$AT,MATCH($D$1,'Data qoq'!$A$1:$AT$1,),))/100+1)^4)-1</f>
        <v>5.302281656099983E-2</v>
      </c>
      <c r="E96" s="34">
        <f>(((VLOOKUP(B96,'Data qoq'!$A:$AT,MATCH($E$1,'Data qoq'!$A$1:$AT$1,),))/100+1)^4)-1</f>
        <v>9.2157020730453398E-2</v>
      </c>
      <c r="F96" s="34">
        <f>(((VLOOKUP(B96,'Data qoq'!$A:$AT,MATCH($F$1,'Data qoq'!$A$1:$AT$1,),))/100+1)^4)-1</f>
        <v>1.8793289167554184E-2</v>
      </c>
      <c r="G96" s="34">
        <f>(((VLOOKUP(B96,'Data qoq'!$A:$AT,MATCH($G$1,'Data qoq'!$A$1:$AT$1,),))/100+1)^4)-1</f>
        <v>6.6941360274562545E-2</v>
      </c>
      <c r="H96" s="34">
        <f>(((VLOOKUP(B96,'Data qoq'!$A:$AT,MATCH($H$1,'Data qoq'!$A$1:$AT$1,),))/100+1)^4)-1</f>
        <v>4.5005857882395528E-2</v>
      </c>
      <c r="I96" s="34">
        <f>(((VLOOKUP(B96,'Data qoq'!$A:$AT,MATCH($I$1,'Data qoq'!$A$1:$AT$1,),))/100+1)^4)-1</f>
        <v>0.20701912714209225</v>
      </c>
      <c r="J96" s="34">
        <f>(((VLOOKUP(B96,'Data qoq'!$A:$AT,MATCH($J$1,'Data qoq'!$A$1:$AT$1,),))/100+1)^4)-1</f>
        <v>0.1115744765761415</v>
      </c>
      <c r="K96" s="34">
        <f>(((VLOOKUP(B96,'Data qoq'!$A:$AT,MATCH($K$1,'Data qoq'!$A$1:$AT$1,),))/100+1)^4)-1</f>
        <v>4.2971421102016016E-2</v>
      </c>
      <c r="L96" s="34">
        <f>(((VLOOKUP(B96,'Data qoq'!$A:$AT,MATCH($L$1,'Data qoq'!$A$1:$AT$1,),))/100+1)^4)-1</f>
        <v>3.5902437133473519E-2</v>
      </c>
      <c r="M96" s="34">
        <f>(((VLOOKUP(B96,'Data qoq'!$A:$AT,MATCH($M$1,'Data qoq'!$A$1:$AT$1,),))/100+1)^4)-1</f>
        <v>6.0287757837859113E-2</v>
      </c>
      <c r="N96" s="34">
        <f>(((VLOOKUP(B96,'Data qoq'!$A:$AT,MATCH($N$1,'Data qoq'!$A$1:$AT$1,),))/100+1)^4)-1</f>
        <v>0.14570888910445912</v>
      </c>
      <c r="O96" s="34">
        <f>(((VLOOKUP(B96,'Data qoq'!$A:$AT,MATCH($O$1,'Data qoq'!$A$1:$AT$1,),))/100+1)^4)-1</f>
        <v>-0.34928001806822107</v>
      </c>
      <c r="P96" s="34">
        <f>(((VLOOKUP(B96,'Data qoq'!$A:$AT,MATCH($P$1,'Data qoq'!$A$1:$AT$1,),))/100+1)^4)-1</f>
        <v>-1.1490780995384142E-2</v>
      </c>
      <c r="Q96" s="34">
        <f>(((VLOOKUP(B96,'Data qoq'!$A:$AT,MATCH($Q$1,'Data qoq'!$A$1:$AT$1,),))/100+1)^4)-1</f>
        <v>2.6940592397060925E-2</v>
      </c>
      <c r="R96" s="34">
        <f>(((VLOOKUP(B96,'Data qoq'!$A:$AT,MATCH($R$1,'Data qoq'!$A$1:$AT$1,),))/100+1)^4)-1</f>
        <v>7.3745429427317655E-2</v>
      </c>
      <c r="S96" s="34">
        <f>(((VLOOKUP(B96,'Data qoq'!$A:$AT,MATCH($S$1,'Data qoq'!$A$1:$AT$1,),))/100+1)^4)-1</f>
        <v>3.1186696754773591E-2</v>
      </c>
      <c r="T96" s="34">
        <f>(((VLOOKUP(B96,'Data qoq'!$A:$AT,MATCH($T$1,'Data qoq'!$A$1:$AT$1,),))/100+1)^4)-1</f>
        <v>-2.1586679535586795E-3</v>
      </c>
      <c r="U96" s="34">
        <f>(((VLOOKUP(B96,'Data qoq'!$A:$AT,MATCH($U$1,'Data qoq'!$A$1:$AT$1,),))/100+1)^4)-1</f>
        <v>0.14460658690806816</v>
      </c>
      <c r="V96" s="34">
        <f>(((VLOOKUP(B96,'Data qoq'!$A:$AT,MATCH($V$1,'Data qoq'!$A$1:$AT$1,),))/100+1)^4)-1</f>
        <v>0.27580750134086518</v>
      </c>
      <c r="W96" s="34">
        <f>(((VLOOKUP(B96,'Data qoq'!$A:$AT,MATCH($W$1,'Data qoq'!$A$1:$AT$1,),))/100+1)^4)-1</f>
        <v>3.6514336763441513E-2</v>
      </c>
      <c r="X96" s="34">
        <f>(((VLOOKUP(B96,'Data qoq'!$A:$AT,MATCH($X$1,'Data qoq'!$A$1:$AT$1,),))/100+1)^4)-1</f>
        <v>4.1608296204297179E-2</v>
      </c>
      <c r="Y96" s="34">
        <f>(((VLOOKUP(B96,'Data qoq'!$A:$AT,MATCH($Y$1,'Data qoq'!$A$1:$AT$1,),))/100+1)^4)-1</f>
        <v>8.4698362624784362E-2</v>
      </c>
      <c r="Z96" s="34">
        <f>(((VLOOKUP(B96,'Data qoq'!$A:$AU,MATCH($Z$1,'Data qoq'!$A$1:$AU$1,),))/100+1)^4)-1</f>
        <v>-5.455422044472269E-2</v>
      </c>
      <c r="AA96" s="34">
        <f>(((VLOOKUP(B96,'Data qoq'!$A:$AU,MATCH($AA$1,'Data qoq'!$A$1:$AU$1,),))/100+1)^4)-1</f>
        <v>0.11465298837168958</v>
      </c>
      <c r="AB96" s="87"/>
      <c r="AC96" s="28" t="str">
        <f t="shared" si="15"/>
        <v>2021-Q2</v>
      </c>
      <c r="AD96" s="33">
        <f t="shared" si="16"/>
        <v>-0.11486210641163885</v>
      </c>
    </row>
    <row r="97" s="1" customFormat="1" x14ac:dyDescent="0.2"/>
    <row r="98" s="1" customFormat="1" x14ac:dyDescent="0.2"/>
    <row r="99" s="1" customFormat="1" x14ac:dyDescent="0.2"/>
    <row r="100" s="1" customFormat="1" x14ac:dyDescent="0.2"/>
    <row r="101" s="1" customFormat="1" x14ac:dyDescent="0.2"/>
    <row r="102" s="1" customFormat="1" x14ac:dyDescent="0.2"/>
    <row r="103" s="1" customFormat="1" x14ac:dyDescent="0.2"/>
    <row r="104" s="1" customFormat="1" x14ac:dyDescent="0.2"/>
    <row r="105" s="1" customFormat="1" x14ac:dyDescent="0.2"/>
    <row r="106" s="1" customFormat="1" x14ac:dyDescent="0.2"/>
    <row r="107" s="1" customFormat="1" x14ac:dyDescent="0.2"/>
    <row r="108" s="1" customFormat="1" x14ac:dyDescent="0.2"/>
    <row r="109" s="1" customFormat="1" x14ac:dyDescent="0.2"/>
    <row r="110" s="1" customFormat="1" x14ac:dyDescent="0.2"/>
    <row r="111" s="1" customFormat="1" x14ac:dyDescent="0.2"/>
    <row r="112" s="1" customFormat="1" x14ac:dyDescent="0.2"/>
    <row r="113" s="1" customFormat="1" x14ac:dyDescent="0.2"/>
    <row r="114" s="1" customFormat="1" x14ac:dyDescent="0.2"/>
    <row r="115" s="1" customFormat="1" x14ac:dyDescent="0.2"/>
    <row r="116" s="1" customFormat="1" x14ac:dyDescent="0.2"/>
    <row r="117" s="1" customFormat="1" x14ac:dyDescent="0.2"/>
    <row r="118" s="1" customFormat="1" x14ac:dyDescent="0.2"/>
    <row r="119" s="1" customFormat="1" x14ac:dyDescent="0.2"/>
    <row r="120" s="1" customFormat="1" x14ac:dyDescent="0.2"/>
    <row r="121" s="1" customFormat="1" x14ac:dyDescent="0.2"/>
    <row r="122" s="1" customFormat="1" x14ac:dyDescent="0.2"/>
    <row r="123" s="1" customFormat="1" x14ac:dyDescent="0.2"/>
    <row r="124" s="1" customFormat="1" x14ac:dyDescent="0.2"/>
    <row r="125" s="1" customFormat="1" x14ac:dyDescent="0.2"/>
    <row r="126" s="1" customFormat="1" x14ac:dyDescent="0.2"/>
    <row r="127" s="1" customFormat="1" x14ac:dyDescent="0.2"/>
    <row r="128" s="1" customFormat="1" x14ac:dyDescent="0.2"/>
    <row r="129" s="1" customFormat="1" x14ac:dyDescent="0.2"/>
    <row r="130" s="1" customFormat="1" x14ac:dyDescent="0.2"/>
    <row r="131" s="1" customFormat="1" x14ac:dyDescent="0.2"/>
    <row r="132" s="1" customFormat="1" x14ac:dyDescent="0.2"/>
    <row r="133" s="1" customFormat="1" x14ac:dyDescent="0.2"/>
    <row r="134" s="1" customFormat="1" x14ac:dyDescent="0.2"/>
    <row r="135" s="1" customFormat="1" x14ac:dyDescent="0.2"/>
    <row r="136" s="1" customFormat="1" x14ac:dyDescent="0.2"/>
    <row r="137" s="1" customFormat="1" x14ac:dyDescent="0.2"/>
    <row r="138" s="1" customFormat="1" x14ac:dyDescent="0.2"/>
    <row r="139" s="1" customFormat="1" x14ac:dyDescent="0.2"/>
    <row r="140" s="1" customFormat="1" x14ac:dyDescent="0.2"/>
    <row r="141" s="1" customFormat="1" x14ac:dyDescent="0.2"/>
    <row r="142" s="1" customFormat="1" x14ac:dyDescent="0.2"/>
    <row r="143" s="1" customFormat="1" x14ac:dyDescent="0.2"/>
    <row r="144" s="1" customFormat="1" x14ac:dyDescent="0.2"/>
    <row r="145" s="1" customFormat="1" x14ac:dyDescent="0.2"/>
    <row r="146" s="1" customFormat="1" x14ac:dyDescent="0.2"/>
    <row r="147" s="1" customFormat="1" x14ac:dyDescent="0.2"/>
    <row r="148" s="1" customFormat="1" x14ac:dyDescent="0.2"/>
    <row r="149" s="1" customFormat="1" x14ac:dyDescent="0.2"/>
    <row r="150" s="1" customFormat="1" x14ac:dyDescent="0.2"/>
    <row r="151" s="1" customFormat="1" x14ac:dyDescent="0.2"/>
    <row r="152" s="1" customFormat="1" x14ac:dyDescent="0.2"/>
    <row r="153" s="1" customFormat="1" x14ac:dyDescent="0.2"/>
    <row r="154" s="1" customFormat="1" x14ac:dyDescent="0.2"/>
    <row r="155" s="1" customFormat="1" x14ac:dyDescent="0.2"/>
    <row r="156" s="1" customFormat="1" x14ac:dyDescent="0.2"/>
    <row r="157" s="1" customFormat="1" x14ac:dyDescent="0.2"/>
    <row r="158" s="1" customFormat="1" x14ac:dyDescent="0.2"/>
    <row r="159" s="1" customFormat="1" x14ac:dyDescent="0.2"/>
    <row r="160" s="1" customFormat="1" x14ac:dyDescent="0.2"/>
    <row r="161" s="1" customFormat="1" x14ac:dyDescent="0.2"/>
    <row r="162" s="1" customFormat="1" x14ac:dyDescent="0.2"/>
    <row r="163" s="1" customFormat="1" x14ac:dyDescent="0.2"/>
    <row r="164" s="1" customFormat="1" x14ac:dyDescent="0.2"/>
    <row r="165" s="1" customFormat="1" x14ac:dyDescent="0.2"/>
    <row r="166" s="1" customFormat="1" x14ac:dyDescent="0.2"/>
    <row r="167" s="1" customFormat="1" x14ac:dyDescent="0.2"/>
    <row r="168" s="1" customFormat="1" x14ac:dyDescent="0.2"/>
    <row r="169" s="1" customFormat="1" x14ac:dyDescent="0.2"/>
    <row r="170" s="1" customFormat="1" x14ac:dyDescent="0.2"/>
    <row r="171" s="1" customFormat="1" x14ac:dyDescent="0.2"/>
    <row r="172" s="1" customFormat="1" x14ac:dyDescent="0.2"/>
    <row r="173" s="1" customFormat="1" x14ac:dyDescent="0.2"/>
    <row r="174" s="1" customFormat="1" x14ac:dyDescent="0.2"/>
    <row r="175" s="1" customFormat="1" x14ac:dyDescent="0.2"/>
    <row r="176" s="1" customFormat="1" x14ac:dyDescent="0.2"/>
    <row r="177" s="1" customFormat="1" x14ac:dyDescent="0.2"/>
    <row r="178" s="1" customFormat="1" x14ac:dyDescent="0.2"/>
    <row r="179" s="1" customFormat="1" x14ac:dyDescent="0.2"/>
    <row r="180" s="1" customFormat="1" x14ac:dyDescent="0.2"/>
    <row r="181" s="1" customFormat="1" x14ac:dyDescent="0.2"/>
    <row r="182" s="1" customFormat="1" x14ac:dyDescent="0.2"/>
    <row r="183" s="1" customFormat="1" x14ac:dyDescent="0.2"/>
    <row r="184" s="1" customFormat="1" x14ac:dyDescent="0.2"/>
    <row r="185" s="1" customFormat="1" x14ac:dyDescent="0.2"/>
    <row r="186" s="1" customFormat="1" x14ac:dyDescent="0.2"/>
    <row r="187" s="1" customFormat="1" x14ac:dyDescent="0.2"/>
    <row r="188" s="1" customFormat="1" x14ac:dyDescent="0.2"/>
    <row r="189" s="1" customFormat="1" x14ac:dyDescent="0.2"/>
    <row r="190" s="1" customFormat="1" x14ac:dyDescent="0.2"/>
    <row r="191" s="1" customFormat="1" x14ac:dyDescent="0.2"/>
    <row r="192" s="1" customFormat="1" x14ac:dyDescent="0.2"/>
    <row r="193" s="1" customFormat="1" x14ac:dyDescent="0.2"/>
    <row r="194" s="1" customFormat="1" x14ac:dyDescent="0.2"/>
    <row r="195" s="1" customFormat="1" x14ac:dyDescent="0.2"/>
    <row r="196" s="1" customFormat="1" x14ac:dyDescent="0.2"/>
    <row r="197" s="1" customFormat="1" x14ac:dyDescent="0.2"/>
    <row r="198" s="1" customFormat="1" x14ac:dyDescent="0.2"/>
    <row r="199" s="1" customFormat="1" x14ac:dyDescent="0.2"/>
    <row r="200" s="1" customFormat="1" x14ac:dyDescent="0.2"/>
    <row r="201" s="1" customFormat="1" x14ac:dyDescent="0.2"/>
    <row r="202" s="1" customFormat="1" x14ac:dyDescent="0.2"/>
    <row r="203" s="1" customFormat="1" x14ac:dyDescent="0.2"/>
    <row r="204" s="1" customFormat="1" x14ac:dyDescent="0.2"/>
    <row r="205" s="1" customFormat="1" x14ac:dyDescent="0.2"/>
    <row r="206" s="1" customFormat="1" x14ac:dyDescent="0.2"/>
    <row r="207" s="1" customFormat="1" x14ac:dyDescent="0.2"/>
    <row r="208" s="1" customFormat="1" x14ac:dyDescent="0.2"/>
    <row r="209" s="1" customFormat="1" x14ac:dyDescent="0.2"/>
    <row r="210" s="1" customFormat="1" x14ac:dyDescent="0.2"/>
    <row r="211" s="1" customFormat="1" x14ac:dyDescent="0.2"/>
    <row r="212" s="1" customFormat="1" x14ac:dyDescent="0.2"/>
    <row r="213" s="1" customFormat="1" x14ac:dyDescent="0.2"/>
    <row r="214" s="1" customFormat="1" x14ac:dyDescent="0.2"/>
    <row r="215" s="1" customFormat="1" x14ac:dyDescent="0.2"/>
    <row r="216" s="1" customFormat="1" x14ac:dyDescent="0.2"/>
    <row r="217" s="1" customFormat="1" x14ac:dyDescent="0.2"/>
    <row r="218" s="1" customFormat="1" x14ac:dyDescent="0.2"/>
    <row r="219" s="1" customFormat="1" x14ac:dyDescent="0.2"/>
    <row r="220" s="1" customFormat="1" x14ac:dyDescent="0.2"/>
    <row r="221" s="1" customFormat="1" x14ac:dyDescent="0.2"/>
    <row r="222" s="1" customFormat="1" x14ac:dyDescent="0.2"/>
    <row r="223" s="1" customFormat="1" x14ac:dyDescent="0.2"/>
    <row r="224" s="1" customFormat="1" x14ac:dyDescent="0.2"/>
    <row r="225" s="1" customFormat="1" x14ac:dyDescent="0.2"/>
    <row r="226" s="1" customFormat="1" x14ac:dyDescent="0.2"/>
    <row r="227" s="1" customFormat="1" x14ac:dyDescent="0.2"/>
    <row r="228" s="1" customFormat="1" x14ac:dyDescent="0.2"/>
    <row r="229" s="1" customFormat="1" x14ac:dyDescent="0.2"/>
    <row r="230" s="1" customFormat="1" x14ac:dyDescent="0.2"/>
    <row r="231" s="1" customFormat="1" x14ac:dyDescent="0.2"/>
    <row r="232" s="1" customFormat="1" x14ac:dyDescent="0.2"/>
    <row r="233" s="1" customFormat="1" x14ac:dyDescent="0.2"/>
    <row r="234" s="1" customFormat="1" x14ac:dyDescent="0.2"/>
    <row r="235" s="1" customFormat="1" x14ac:dyDescent="0.2"/>
    <row r="236" s="1" customFormat="1" x14ac:dyDescent="0.2"/>
    <row r="237" s="1" customFormat="1" x14ac:dyDescent="0.2"/>
    <row r="238" s="1" customFormat="1" x14ac:dyDescent="0.2"/>
    <row r="239" s="1" customFormat="1" x14ac:dyDescent="0.2"/>
    <row r="240" s="1" customFormat="1" x14ac:dyDescent="0.2"/>
    <row r="241" s="1" customFormat="1" x14ac:dyDescent="0.2"/>
    <row r="242" s="1" customFormat="1" x14ac:dyDescent="0.2"/>
    <row r="243" s="1" customFormat="1" x14ac:dyDescent="0.2"/>
    <row r="244" s="1" customFormat="1" x14ac:dyDescent="0.2"/>
    <row r="245" s="1" customFormat="1" x14ac:dyDescent="0.2"/>
    <row r="246" s="1" customFormat="1" x14ac:dyDescent="0.2"/>
    <row r="247" s="1" customFormat="1" x14ac:dyDescent="0.2"/>
    <row r="248" s="1" customFormat="1" x14ac:dyDescent="0.2"/>
    <row r="249" s="1" customFormat="1" x14ac:dyDescent="0.2"/>
    <row r="250" s="1" customFormat="1" x14ac:dyDescent="0.2"/>
    <row r="251" s="1" customFormat="1" x14ac:dyDescent="0.2"/>
    <row r="252" s="1" customFormat="1" x14ac:dyDescent="0.2"/>
    <row r="253" s="1" customFormat="1" x14ac:dyDescent="0.2"/>
    <row r="254" s="1" customFormat="1" x14ac:dyDescent="0.2"/>
    <row r="255" s="1" customFormat="1" x14ac:dyDescent="0.2"/>
    <row r="256" s="1" customFormat="1" x14ac:dyDescent="0.2"/>
    <row r="257" s="1" customFormat="1" x14ac:dyDescent="0.2"/>
    <row r="258" s="1" customFormat="1" x14ac:dyDescent="0.2"/>
    <row r="259" s="1" customFormat="1" x14ac:dyDescent="0.2"/>
    <row r="260" s="1" customFormat="1" x14ac:dyDescent="0.2"/>
    <row r="261" s="1" customFormat="1" x14ac:dyDescent="0.2"/>
    <row r="262" s="1" customFormat="1" x14ac:dyDescent="0.2"/>
    <row r="263" s="1" customFormat="1" x14ac:dyDescent="0.2"/>
    <row r="264" s="1" customFormat="1" x14ac:dyDescent="0.2"/>
    <row r="265" s="1" customFormat="1" x14ac:dyDescent="0.2"/>
    <row r="266" s="1" customFormat="1" x14ac:dyDescent="0.2"/>
    <row r="267" s="1" customFormat="1" x14ac:dyDescent="0.2"/>
    <row r="268" s="1" customFormat="1" x14ac:dyDescent="0.2"/>
    <row r="269" s="1" customFormat="1" x14ac:dyDescent="0.2"/>
    <row r="270" s="1" customFormat="1" x14ac:dyDescent="0.2"/>
    <row r="271" s="1" customFormat="1" x14ac:dyDescent="0.2"/>
    <row r="272" s="1" customFormat="1" x14ac:dyDescent="0.2"/>
    <row r="273" s="1" customFormat="1" x14ac:dyDescent="0.2"/>
    <row r="274" s="1" customFormat="1" x14ac:dyDescent="0.2"/>
    <row r="275" s="1" customFormat="1" x14ac:dyDescent="0.2"/>
    <row r="276" s="1" customFormat="1" x14ac:dyDescent="0.2"/>
    <row r="277" s="1" customFormat="1" x14ac:dyDescent="0.2"/>
    <row r="278" s="1" customFormat="1" x14ac:dyDescent="0.2"/>
    <row r="279" s="1" customFormat="1" x14ac:dyDescent="0.2"/>
    <row r="280" s="1" customFormat="1" x14ac:dyDescent="0.2"/>
    <row r="281" s="1" customFormat="1" x14ac:dyDescent="0.2"/>
    <row r="282" s="1" customFormat="1" x14ac:dyDescent="0.2"/>
    <row r="283" s="1" customFormat="1" x14ac:dyDescent="0.2"/>
    <row r="284" s="1" customFormat="1" x14ac:dyDescent="0.2"/>
    <row r="285" s="1" customFormat="1" x14ac:dyDescent="0.2"/>
    <row r="286" s="1" customFormat="1" x14ac:dyDescent="0.2"/>
    <row r="287" s="1" customFormat="1" x14ac:dyDescent="0.2"/>
    <row r="288" s="1" customFormat="1" x14ac:dyDescent="0.2"/>
    <row r="289" s="1" customFormat="1" x14ac:dyDescent="0.2"/>
    <row r="290" s="1" customFormat="1" x14ac:dyDescent="0.2"/>
    <row r="291" s="1" customFormat="1" x14ac:dyDescent="0.2"/>
    <row r="292" s="1" customFormat="1" x14ac:dyDescent="0.2"/>
    <row r="293" s="1" customFormat="1" x14ac:dyDescent="0.2"/>
    <row r="294" s="1" customFormat="1" x14ac:dyDescent="0.2"/>
    <row r="295" s="1" customFormat="1" x14ac:dyDescent="0.2"/>
    <row r="296" s="1" customFormat="1" x14ac:dyDescent="0.2"/>
    <row r="297" s="1" customFormat="1" x14ac:dyDescent="0.2"/>
    <row r="298" s="1" customFormat="1" x14ac:dyDescent="0.2"/>
    <row r="299" s="1" customFormat="1" x14ac:dyDescent="0.2"/>
    <row r="300" s="1" customFormat="1" x14ac:dyDescent="0.2"/>
    <row r="301" s="1" customFormat="1" x14ac:dyDescent="0.2"/>
    <row r="302" s="1" customFormat="1" x14ac:dyDescent="0.2"/>
    <row r="303" s="1" customFormat="1" x14ac:dyDescent="0.2"/>
    <row r="304" s="1" customFormat="1" x14ac:dyDescent="0.2"/>
    <row r="305" s="1" customFormat="1" x14ac:dyDescent="0.2"/>
    <row r="306" s="1" customFormat="1" x14ac:dyDescent="0.2"/>
    <row r="307" s="1" customFormat="1" x14ac:dyDescent="0.2"/>
    <row r="308" s="1" customFormat="1" x14ac:dyDescent="0.2"/>
    <row r="309" s="1" customFormat="1" x14ac:dyDescent="0.2"/>
    <row r="310" s="1" customFormat="1" x14ac:dyDescent="0.2"/>
    <row r="311" s="1" customFormat="1" x14ac:dyDescent="0.2"/>
    <row r="312" s="1" customFormat="1" x14ac:dyDescent="0.2"/>
    <row r="313" s="1" customFormat="1" x14ac:dyDescent="0.2"/>
    <row r="314" s="1" customFormat="1" x14ac:dyDescent="0.2"/>
    <row r="315" s="1" customFormat="1" x14ac:dyDescent="0.2"/>
    <row r="316" s="1" customFormat="1" x14ac:dyDescent="0.2"/>
    <row r="317" s="1" customFormat="1" x14ac:dyDescent="0.2"/>
    <row r="318" s="1" customFormat="1" x14ac:dyDescent="0.2"/>
    <row r="319" s="1" customFormat="1" x14ac:dyDescent="0.2"/>
    <row r="320" s="1" customFormat="1" x14ac:dyDescent="0.2"/>
    <row r="321" s="1" customFormat="1" x14ac:dyDescent="0.2"/>
    <row r="322" s="1" customFormat="1" x14ac:dyDescent="0.2"/>
    <row r="323" s="1" customFormat="1" x14ac:dyDescent="0.2"/>
    <row r="324" s="1" customFormat="1" x14ac:dyDescent="0.2"/>
    <row r="325" s="1" customFormat="1" x14ac:dyDescent="0.2"/>
    <row r="326" s="1" customFormat="1" x14ac:dyDescent="0.2"/>
    <row r="327" s="1" customFormat="1" x14ac:dyDescent="0.2"/>
    <row r="328" s="1" customFormat="1" x14ac:dyDescent="0.2"/>
    <row r="329" s="1" customFormat="1" x14ac:dyDescent="0.2"/>
    <row r="330" s="1" customFormat="1" x14ac:dyDescent="0.2"/>
    <row r="331" s="1" customFormat="1" x14ac:dyDescent="0.2"/>
    <row r="332" s="1" customFormat="1" x14ac:dyDescent="0.2"/>
    <row r="333" s="1" customFormat="1" x14ac:dyDescent="0.2"/>
    <row r="334" s="1" customFormat="1" x14ac:dyDescent="0.2"/>
    <row r="335" s="1" customFormat="1" x14ac:dyDescent="0.2"/>
    <row r="336" s="1" customFormat="1" x14ac:dyDescent="0.2"/>
    <row r="337" s="1" customFormat="1" x14ac:dyDescent="0.2"/>
    <row r="338" s="1" customFormat="1" x14ac:dyDescent="0.2"/>
    <row r="339" s="1" customFormat="1" x14ac:dyDescent="0.2"/>
    <row r="340" s="1" customFormat="1" x14ac:dyDescent="0.2"/>
    <row r="341" s="1" customFormat="1" x14ac:dyDescent="0.2"/>
    <row r="342" s="1" customFormat="1" x14ac:dyDescent="0.2"/>
    <row r="343" s="1" customFormat="1" x14ac:dyDescent="0.2"/>
    <row r="344" s="1" customFormat="1" x14ac:dyDescent="0.2"/>
    <row r="345" s="1" customFormat="1" x14ac:dyDescent="0.2"/>
    <row r="346" s="1" customFormat="1" x14ac:dyDescent="0.2"/>
    <row r="347" s="1" customFormat="1" x14ac:dyDescent="0.2"/>
    <row r="348" s="1" customFormat="1" x14ac:dyDescent="0.2"/>
    <row r="349" s="1" customFormat="1" x14ac:dyDescent="0.2"/>
    <row r="350" s="1" customFormat="1" x14ac:dyDescent="0.2"/>
    <row r="351" s="1" customFormat="1" x14ac:dyDescent="0.2"/>
    <row r="352" s="1" customFormat="1" x14ac:dyDescent="0.2"/>
    <row r="353" s="1" customFormat="1" x14ac:dyDescent="0.2"/>
    <row r="354" s="1" customFormat="1" x14ac:dyDescent="0.2"/>
    <row r="355" s="1" customFormat="1" x14ac:dyDescent="0.2"/>
    <row r="356" s="1" customFormat="1" x14ac:dyDescent="0.2"/>
    <row r="357" s="1" customFormat="1" x14ac:dyDescent="0.2"/>
    <row r="358" s="1" customFormat="1" x14ac:dyDescent="0.2"/>
    <row r="359" s="1" customFormat="1" x14ac:dyDescent="0.2"/>
    <row r="360" s="1" customFormat="1" x14ac:dyDescent="0.2"/>
    <row r="361" s="1" customFormat="1" x14ac:dyDescent="0.2"/>
    <row r="362" s="1" customFormat="1" x14ac:dyDescent="0.2"/>
    <row r="363" s="1" customFormat="1" x14ac:dyDescent="0.2"/>
    <row r="364" s="1" customFormat="1" x14ac:dyDescent="0.2"/>
    <row r="365" s="1" customFormat="1" x14ac:dyDescent="0.2"/>
    <row r="366" s="1" customFormat="1" x14ac:dyDescent="0.2"/>
    <row r="367" s="1" customFormat="1" x14ac:dyDescent="0.2"/>
    <row r="368" s="1" customFormat="1" x14ac:dyDescent="0.2"/>
    <row r="369" s="1" customFormat="1" x14ac:dyDescent="0.2"/>
    <row r="370" s="1" customFormat="1" x14ac:dyDescent="0.2"/>
    <row r="371" s="1" customFormat="1" x14ac:dyDescent="0.2"/>
    <row r="372" s="1" customFormat="1" x14ac:dyDescent="0.2"/>
    <row r="373" s="1" customFormat="1" x14ac:dyDescent="0.2"/>
    <row r="374" s="1" customFormat="1" x14ac:dyDescent="0.2"/>
    <row r="375" s="1" customFormat="1" x14ac:dyDescent="0.2"/>
    <row r="376" s="1" customFormat="1" x14ac:dyDescent="0.2"/>
    <row r="377" s="1" customFormat="1" x14ac:dyDescent="0.2"/>
  </sheetData>
  <phoneticPr fontId="8" type="noConversion"/>
  <conditionalFormatting sqref="C11:C96">
    <cfRule type="colorScale" priority="26">
      <colorScale>
        <cfvo type="min"/>
        <cfvo type="percentile" val="50"/>
        <cfvo type="max"/>
        <color rgb="FFF8696B"/>
        <color rgb="FFFFEB84"/>
        <color rgb="FF63BE7B"/>
      </colorScale>
    </cfRule>
  </conditionalFormatting>
  <conditionalFormatting sqref="D11:D96">
    <cfRule type="colorScale" priority="27">
      <colorScale>
        <cfvo type="min"/>
        <cfvo type="percentile" val="50"/>
        <cfvo type="max"/>
        <color rgb="FFF8696B"/>
        <color rgb="FFFFEB84"/>
        <color rgb="FF63BE7B"/>
      </colorScale>
    </cfRule>
  </conditionalFormatting>
  <conditionalFormatting sqref="E11:E96">
    <cfRule type="colorScale" priority="28">
      <colorScale>
        <cfvo type="min"/>
        <cfvo type="percentile" val="50"/>
        <cfvo type="max"/>
        <color rgb="FFF8696B"/>
        <color rgb="FFFFEB84"/>
        <color rgb="FF63BE7B"/>
      </colorScale>
    </cfRule>
  </conditionalFormatting>
  <conditionalFormatting sqref="F11:F96">
    <cfRule type="colorScale" priority="29">
      <colorScale>
        <cfvo type="min"/>
        <cfvo type="percentile" val="50"/>
        <cfvo type="max"/>
        <color rgb="FFF8696B"/>
        <color rgb="FFFFEB84"/>
        <color rgb="FF63BE7B"/>
      </colorScale>
    </cfRule>
  </conditionalFormatting>
  <conditionalFormatting sqref="G11:G96">
    <cfRule type="colorScale" priority="30">
      <colorScale>
        <cfvo type="min"/>
        <cfvo type="percentile" val="50"/>
        <cfvo type="max"/>
        <color rgb="FFF8696B"/>
        <color rgb="FFFFEB84"/>
        <color rgb="FF63BE7B"/>
      </colorScale>
    </cfRule>
  </conditionalFormatting>
  <conditionalFormatting sqref="H11:H96">
    <cfRule type="colorScale" priority="31">
      <colorScale>
        <cfvo type="min"/>
        <cfvo type="percentile" val="50"/>
        <cfvo type="max"/>
        <color rgb="FFF8696B"/>
        <color rgb="FFFFEB84"/>
        <color rgb="FF63BE7B"/>
      </colorScale>
    </cfRule>
  </conditionalFormatting>
  <conditionalFormatting sqref="I11:I96">
    <cfRule type="colorScale" priority="32">
      <colorScale>
        <cfvo type="min"/>
        <cfvo type="percentile" val="50"/>
        <cfvo type="max"/>
        <color rgb="FFF8696B"/>
        <color rgb="FFFFEB84"/>
        <color rgb="FF63BE7B"/>
      </colorScale>
    </cfRule>
  </conditionalFormatting>
  <conditionalFormatting sqref="J11:J96">
    <cfRule type="colorScale" priority="33">
      <colorScale>
        <cfvo type="min"/>
        <cfvo type="percentile" val="50"/>
        <cfvo type="max"/>
        <color rgb="FFF8696B"/>
        <color rgb="FFFFEB84"/>
        <color rgb="FF63BE7B"/>
      </colorScale>
    </cfRule>
  </conditionalFormatting>
  <conditionalFormatting sqref="K11:K96">
    <cfRule type="colorScale" priority="34">
      <colorScale>
        <cfvo type="min"/>
        <cfvo type="percentile" val="50"/>
        <cfvo type="max"/>
        <color rgb="FFF8696B"/>
        <color rgb="FFFFEB84"/>
        <color rgb="FF63BE7B"/>
      </colorScale>
    </cfRule>
  </conditionalFormatting>
  <conditionalFormatting sqref="L11:L96">
    <cfRule type="colorScale" priority="35">
      <colorScale>
        <cfvo type="min"/>
        <cfvo type="percentile" val="50"/>
        <cfvo type="max"/>
        <color rgb="FFF8696B"/>
        <color rgb="FFFFEB84"/>
        <color rgb="FF63BE7B"/>
      </colorScale>
    </cfRule>
  </conditionalFormatting>
  <conditionalFormatting sqref="M11:M96">
    <cfRule type="colorScale" priority="36">
      <colorScale>
        <cfvo type="min"/>
        <cfvo type="percentile" val="50"/>
        <cfvo type="max"/>
        <color rgb="FFF8696B"/>
        <color rgb="FFFFEB84"/>
        <color rgb="FF63BE7B"/>
      </colorScale>
    </cfRule>
  </conditionalFormatting>
  <conditionalFormatting sqref="N11:N96">
    <cfRule type="colorScale" priority="37">
      <colorScale>
        <cfvo type="min"/>
        <cfvo type="percentile" val="50"/>
        <cfvo type="max"/>
        <color rgb="FFF8696B"/>
        <color rgb="FFFFEB84"/>
        <color rgb="FF63BE7B"/>
      </colorScale>
    </cfRule>
  </conditionalFormatting>
  <conditionalFormatting sqref="O11:O96">
    <cfRule type="colorScale" priority="38">
      <colorScale>
        <cfvo type="min"/>
        <cfvo type="percentile" val="50"/>
        <cfvo type="max"/>
        <color rgb="FFF8696B"/>
        <color rgb="FFFFEB84"/>
        <color rgb="FF63BE7B"/>
      </colorScale>
    </cfRule>
  </conditionalFormatting>
  <conditionalFormatting sqref="P11:P96">
    <cfRule type="colorScale" priority="39">
      <colorScale>
        <cfvo type="min"/>
        <cfvo type="percentile" val="50"/>
        <cfvo type="max"/>
        <color rgb="FFF8696B"/>
        <color rgb="FFFFEB84"/>
        <color rgb="FF63BE7B"/>
      </colorScale>
    </cfRule>
  </conditionalFormatting>
  <conditionalFormatting sqref="Q11:Q96">
    <cfRule type="colorScale" priority="40">
      <colorScale>
        <cfvo type="min"/>
        <cfvo type="percentile" val="50"/>
        <cfvo type="max"/>
        <color rgb="FFF8696B"/>
        <color rgb="FFFFEB84"/>
        <color rgb="FF63BE7B"/>
      </colorScale>
    </cfRule>
  </conditionalFormatting>
  <conditionalFormatting sqref="R11:R96">
    <cfRule type="colorScale" priority="41">
      <colorScale>
        <cfvo type="min"/>
        <cfvo type="percentile" val="50"/>
        <cfvo type="max"/>
        <color rgb="FFF8696B"/>
        <color rgb="FFFFEB84"/>
        <color rgb="FF63BE7B"/>
      </colorScale>
    </cfRule>
  </conditionalFormatting>
  <conditionalFormatting sqref="S11:S96">
    <cfRule type="colorScale" priority="42">
      <colorScale>
        <cfvo type="min"/>
        <cfvo type="percentile" val="50"/>
        <cfvo type="max"/>
        <color rgb="FFF8696B"/>
        <color rgb="FFFFEB84"/>
        <color rgb="FF63BE7B"/>
      </colorScale>
    </cfRule>
  </conditionalFormatting>
  <conditionalFormatting sqref="T11:T96">
    <cfRule type="colorScale" priority="43">
      <colorScale>
        <cfvo type="min"/>
        <cfvo type="percentile" val="50"/>
        <cfvo type="max"/>
        <color rgb="FFF8696B"/>
        <color rgb="FFFFEB84"/>
        <color rgb="FF63BE7B"/>
      </colorScale>
    </cfRule>
  </conditionalFormatting>
  <conditionalFormatting sqref="U11:U96">
    <cfRule type="colorScale" priority="44">
      <colorScale>
        <cfvo type="min"/>
        <cfvo type="percentile" val="50"/>
        <cfvo type="max"/>
        <color rgb="FFF8696B"/>
        <color rgb="FFFFEB84"/>
        <color rgb="FF63BE7B"/>
      </colorScale>
    </cfRule>
  </conditionalFormatting>
  <conditionalFormatting sqref="V11:V96">
    <cfRule type="colorScale" priority="45">
      <colorScale>
        <cfvo type="min"/>
        <cfvo type="percentile" val="50"/>
        <cfvo type="max"/>
        <color rgb="FFF8696B"/>
        <color rgb="FFFFEB84"/>
        <color rgb="FF63BE7B"/>
      </colorScale>
    </cfRule>
  </conditionalFormatting>
  <conditionalFormatting sqref="W11:W96">
    <cfRule type="colorScale" priority="46">
      <colorScale>
        <cfvo type="min"/>
        <cfvo type="percentile" val="50"/>
        <cfvo type="max"/>
        <color rgb="FFF8696B"/>
        <color rgb="FFFFEB84"/>
        <color rgb="FF63BE7B"/>
      </colorScale>
    </cfRule>
  </conditionalFormatting>
  <conditionalFormatting sqref="X11:X96">
    <cfRule type="colorScale" priority="47">
      <colorScale>
        <cfvo type="min"/>
        <cfvo type="percentile" val="50"/>
        <cfvo type="max"/>
        <color rgb="FFF8696B"/>
        <color rgb="FFFFEB84"/>
        <color rgb="FF63BE7B"/>
      </colorScale>
    </cfRule>
  </conditionalFormatting>
  <conditionalFormatting sqref="Y11:Y96">
    <cfRule type="colorScale" priority="48">
      <colorScale>
        <cfvo type="min"/>
        <cfvo type="percentile" val="50"/>
        <cfvo type="max"/>
        <color rgb="FFF8696B"/>
        <color rgb="FFFFEB84"/>
        <color rgb="FF63BE7B"/>
      </colorScale>
    </cfRule>
  </conditionalFormatting>
  <conditionalFormatting sqref="Z11:Z96">
    <cfRule type="colorScale" priority="49">
      <colorScale>
        <cfvo type="min"/>
        <cfvo type="percentile" val="50"/>
        <cfvo type="max"/>
        <color rgb="FFF8696B"/>
        <color rgb="FFFFEB84"/>
        <color rgb="FF63BE7B"/>
      </colorScale>
    </cfRule>
  </conditionalFormatting>
  <conditionalFormatting sqref="AA11:AA96">
    <cfRule type="colorScale" priority="50">
      <colorScale>
        <cfvo type="min"/>
        <cfvo type="percentile" val="50"/>
        <cfvo type="max"/>
        <color rgb="FFF8696B"/>
        <color rgb="FFFFEB84"/>
        <color rgb="FF63BE7B"/>
      </colorScale>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CA822-BE35-4817-9926-5144D93DCE57}">
  <sheetPr codeName="Sheet1">
    <tabColor rgb="FF7030A0"/>
  </sheetPr>
  <dimension ref="B1:M213"/>
  <sheetViews>
    <sheetView zoomScale="180" zoomScaleNormal="180" workbookViewId="0">
      <selection activeCell="C29" sqref="C29"/>
    </sheetView>
  </sheetViews>
  <sheetFormatPr baseColWidth="10" defaultColWidth="9.1640625" defaultRowHeight="15" x14ac:dyDescent="0.2"/>
  <cols>
    <col min="1" max="1" width="9.1640625" style="1"/>
    <col min="2" max="2" width="31.83203125" style="1" customWidth="1"/>
    <col min="3" max="3" width="13.83203125" style="1" customWidth="1"/>
    <col min="4" max="4" width="12.33203125" style="1" customWidth="1"/>
    <col min="5" max="5" width="18.33203125" style="1" customWidth="1"/>
    <col min="6" max="16384" width="9.1640625" style="1"/>
  </cols>
  <sheetData>
    <row r="1" spans="2:5" ht="16" thickBot="1" x14ac:dyDescent="0.25"/>
    <row r="2" spans="2:5" ht="17" thickBot="1" x14ac:dyDescent="0.25">
      <c r="B2" s="67" t="s">
        <v>553</v>
      </c>
      <c r="C2" s="68" t="s">
        <v>554</v>
      </c>
      <c r="D2" s="67" t="s">
        <v>555</v>
      </c>
      <c r="E2" s="69" t="s">
        <v>556</v>
      </c>
    </row>
    <row r="3" spans="2:5" ht="16" x14ac:dyDescent="0.2">
      <c r="B3" s="70" t="s">
        <v>389</v>
      </c>
      <c r="C3" s="35">
        <f>VLOOKUP(B3,$B$33:$L$213,2,FALSE)/$C$30</f>
        <v>0.2472163512061494</v>
      </c>
      <c r="D3" s="36">
        <f>VLOOKUP(B3,$B$33:$L$213,3,FALSE)</f>
        <v>0.122</v>
      </c>
      <c r="E3" s="37">
        <f>VLOOKUP(B3,$B$33:$L$213,4,FALSE)</f>
        <v>6.6000000000000003E-2</v>
      </c>
    </row>
    <row r="4" spans="2:5" ht="16" x14ac:dyDescent="0.2">
      <c r="B4" s="70" t="s">
        <v>391</v>
      </c>
      <c r="C4" s="36">
        <f t="shared" ref="C4:C27" si="0">VLOOKUP(B4,$B$33:$L$213,2,FALSE)/$C$30</f>
        <v>0.17384373782338147</v>
      </c>
      <c r="D4" s="36">
        <f t="shared" ref="D4:D27" si="1">VLOOKUP(B4,$B$33:$L$213,3,FALSE)</f>
        <v>7.9000000000000001E-2</v>
      </c>
      <c r="E4" s="37">
        <f t="shared" ref="E4:E27" si="2">VLOOKUP(B4,$B$33:$L$213,4,FALSE)</f>
        <v>1.2999999999999999E-2</v>
      </c>
    </row>
    <row r="5" spans="2:5" ht="16" x14ac:dyDescent="0.2">
      <c r="B5" s="70" t="s">
        <v>390</v>
      </c>
      <c r="C5" s="36">
        <f t="shared" si="0"/>
        <v>0.15270807996127098</v>
      </c>
      <c r="D5" s="36">
        <f t="shared" si="1"/>
        <v>0.14299999999999999</v>
      </c>
      <c r="E5" s="37">
        <f t="shared" si="2"/>
        <v>2.1999999999999999E-2</v>
      </c>
    </row>
    <row r="6" spans="2:5" ht="16" x14ac:dyDescent="0.2">
      <c r="B6" s="70" t="s">
        <v>392</v>
      </c>
      <c r="C6" s="36">
        <f t="shared" si="0"/>
        <v>5.9805646408709306E-2</v>
      </c>
      <c r="D6" s="36">
        <f t="shared" si="1"/>
        <v>7.5999999999999998E-2</v>
      </c>
      <c r="E6" s="37">
        <f t="shared" si="2"/>
        <v>5.0000000000000001E-3</v>
      </c>
    </row>
    <row r="7" spans="2:5" ht="16" x14ac:dyDescent="0.2">
      <c r="B7" s="70" t="s">
        <v>345</v>
      </c>
      <c r="C7" s="36">
        <f t="shared" si="0"/>
        <v>4.4939840124688574E-2</v>
      </c>
      <c r="D7" s="36">
        <f t="shared" si="1"/>
        <v>9.4E-2</v>
      </c>
      <c r="E7" s="37">
        <f t="shared" si="2"/>
        <v>1.6E-2</v>
      </c>
    </row>
    <row r="8" spans="2:5" ht="16" x14ac:dyDescent="0.2">
      <c r="B8" s="70" t="s">
        <v>393</v>
      </c>
      <c r="C8" s="36">
        <f t="shared" si="0"/>
        <v>3.1975062285248726E-2</v>
      </c>
      <c r="D8" s="36">
        <f t="shared" si="1"/>
        <v>0.222</v>
      </c>
      <c r="E8" s="37">
        <f t="shared" si="2"/>
        <v>4.8000000000000001E-2</v>
      </c>
    </row>
    <row r="9" spans="2:5" ht="16" x14ac:dyDescent="0.2">
      <c r="B9" s="70" t="s">
        <v>353</v>
      </c>
      <c r="C9" s="36">
        <f t="shared" si="0"/>
        <v>3.0971413727550742E-2</v>
      </c>
      <c r="D9" s="36">
        <f t="shared" si="1"/>
        <v>0.20100000000000001</v>
      </c>
      <c r="E9" s="37">
        <f t="shared" si="2"/>
        <v>2.1000000000000001E-2</v>
      </c>
    </row>
    <row r="10" spans="2:5" ht="16" x14ac:dyDescent="0.2">
      <c r="B10" s="70" t="s">
        <v>346</v>
      </c>
      <c r="C10" s="36">
        <f t="shared" si="0"/>
        <v>3.0735261125739453E-2</v>
      </c>
      <c r="D10" s="36">
        <f t="shared" si="1"/>
        <v>0.187</v>
      </c>
      <c r="E10" s="37">
        <f t="shared" si="2"/>
        <v>1.0999999999999999E-2</v>
      </c>
    </row>
    <row r="11" spans="2:5" ht="16" x14ac:dyDescent="0.2">
      <c r="B11" s="70" t="s">
        <v>358</v>
      </c>
      <c r="C11" s="36">
        <f t="shared" si="0"/>
        <v>1.7062025480865734E-2</v>
      </c>
      <c r="D11" s="36">
        <f t="shared" si="1"/>
        <v>0.124</v>
      </c>
      <c r="E11" s="37">
        <f t="shared" si="2"/>
        <v>-1E-3</v>
      </c>
    </row>
    <row r="12" spans="2:5" ht="16" x14ac:dyDescent="0.2">
      <c r="B12" s="70" t="s">
        <v>394</v>
      </c>
      <c r="C12" s="36">
        <f t="shared" si="0"/>
        <v>2.2269190350804689E-2</v>
      </c>
      <c r="D12" s="36">
        <f t="shared" si="1"/>
        <v>0.17299999999999999</v>
      </c>
      <c r="E12" s="37">
        <f t="shared" si="2"/>
        <v>2.7E-2</v>
      </c>
    </row>
    <row r="13" spans="2:5" ht="16" x14ac:dyDescent="0.2">
      <c r="B13" s="70" t="s">
        <v>354</v>
      </c>
      <c r="C13" s="36">
        <f t="shared" si="0"/>
        <v>1.9399936238797513E-2</v>
      </c>
      <c r="D13" s="36">
        <f t="shared" si="1"/>
        <v>0.127</v>
      </c>
      <c r="E13" s="37">
        <f t="shared" si="2"/>
        <v>-3.0000000000000001E-3</v>
      </c>
    </row>
    <row r="14" spans="2:5" ht="16" x14ac:dyDescent="0.2">
      <c r="B14" s="70" t="s">
        <v>352</v>
      </c>
      <c r="C14" s="36">
        <f t="shared" si="0"/>
        <v>1.7522523054397752E-2</v>
      </c>
      <c r="D14" s="36">
        <f t="shared" si="1"/>
        <v>0.105</v>
      </c>
      <c r="E14" s="37">
        <f t="shared" si="2"/>
        <v>0</v>
      </c>
    </row>
    <row r="15" spans="2:5" ht="16" x14ac:dyDescent="0.2">
      <c r="B15" s="70" t="s">
        <v>395</v>
      </c>
      <c r="C15" s="36">
        <f t="shared" si="0"/>
        <v>1.9258244677710736E-2</v>
      </c>
      <c r="D15" s="36">
        <f t="shared" si="1"/>
        <v>0.06</v>
      </c>
      <c r="E15" s="37">
        <f t="shared" si="2"/>
        <v>8.0000000000000002E-3</v>
      </c>
    </row>
    <row r="16" spans="2:5" ht="16" x14ac:dyDescent="0.2">
      <c r="B16" s="70" t="s">
        <v>355</v>
      </c>
      <c r="C16" s="36">
        <f t="shared" si="0"/>
        <v>1.5715955650541381E-2</v>
      </c>
      <c r="D16" s="36">
        <f t="shared" si="1"/>
        <v>9.6000000000000002E-2</v>
      </c>
      <c r="E16" s="37">
        <f t="shared" si="2"/>
        <v>7.0000000000000001E-3</v>
      </c>
    </row>
    <row r="17" spans="2:12" ht="16" x14ac:dyDescent="0.2">
      <c r="B17" s="70" t="s">
        <v>349</v>
      </c>
      <c r="C17" s="36">
        <f t="shared" si="0"/>
        <v>1.5125574146013154E-2</v>
      </c>
      <c r="D17" s="36">
        <f t="shared" si="1"/>
        <v>0.17499999999999999</v>
      </c>
      <c r="E17" s="37">
        <f t="shared" si="2"/>
        <v>1.0999999999999999E-2</v>
      </c>
    </row>
    <row r="18" spans="2:12" ht="16" x14ac:dyDescent="0.2">
      <c r="B18" s="70" t="s">
        <v>351</v>
      </c>
      <c r="C18" s="36">
        <f t="shared" si="0"/>
        <v>1.2705009977447427E-2</v>
      </c>
      <c r="D18" s="36">
        <f t="shared" si="1"/>
        <v>0.19600000000000001</v>
      </c>
      <c r="E18" s="37">
        <f t="shared" si="2"/>
        <v>1.4999999999999999E-2</v>
      </c>
    </row>
    <row r="19" spans="2:12" ht="16" x14ac:dyDescent="0.2">
      <c r="B19" s="70" t="s">
        <v>396</v>
      </c>
      <c r="C19" s="36">
        <f t="shared" si="0"/>
        <v>1.2492472635817264E-2</v>
      </c>
      <c r="D19" s="36">
        <f t="shared" si="1"/>
        <v>7.0699999999999999E-2</v>
      </c>
      <c r="E19" s="37">
        <f t="shared" si="2"/>
        <v>3.3099999999999997E-2</v>
      </c>
    </row>
    <row r="20" spans="2:12" ht="16" x14ac:dyDescent="0.2">
      <c r="B20" s="70" t="s">
        <v>361</v>
      </c>
      <c r="C20" s="36">
        <f t="shared" si="0"/>
        <v>8.5014936652064565E-3</v>
      </c>
      <c r="D20" s="36">
        <f t="shared" si="1"/>
        <v>0.217</v>
      </c>
      <c r="E20" s="37">
        <f t="shared" si="2"/>
        <v>8.9999999999999993E-3</v>
      </c>
    </row>
    <row r="21" spans="2:12" ht="16" x14ac:dyDescent="0.2">
      <c r="B21" s="70" t="s">
        <v>399</v>
      </c>
      <c r="C21" s="36">
        <f t="shared" si="0"/>
        <v>7.2144619853349232E-3</v>
      </c>
      <c r="D21" s="36">
        <f t="shared" si="1"/>
        <v>7.4300000000000005E-2</v>
      </c>
      <c r="E21" s="37">
        <f t="shared" si="2"/>
        <v>-1.0699999999999999E-2</v>
      </c>
    </row>
    <row r="22" spans="2:12" ht="16" x14ac:dyDescent="0.2">
      <c r="B22" s="70" t="s">
        <v>363</v>
      </c>
      <c r="C22" s="36">
        <f t="shared" si="0"/>
        <v>7.0137322737953266E-3</v>
      </c>
      <c r="D22" s="36">
        <f t="shared" si="1"/>
        <v>0.111</v>
      </c>
      <c r="E22" s="37">
        <f t="shared" si="2"/>
        <v>2.1000000000000001E-2</v>
      </c>
    </row>
    <row r="23" spans="2:12" ht="16" x14ac:dyDescent="0.2">
      <c r="B23" s="70" t="s">
        <v>360</v>
      </c>
      <c r="C23" s="36">
        <f t="shared" si="0"/>
        <v>4.947397007946535E-3</v>
      </c>
      <c r="D23" s="36">
        <f t="shared" si="1"/>
        <v>0.216</v>
      </c>
      <c r="E23" s="37">
        <f t="shared" si="2"/>
        <v>6.3E-2</v>
      </c>
    </row>
    <row r="24" spans="2:12" ht="16" x14ac:dyDescent="0.2">
      <c r="B24" s="70" t="s">
        <v>413</v>
      </c>
      <c r="C24" s="36">
        <f t="shared" si="0"/>
        <v>4.1562857918787119E-3</v>
      </c>
      <c r="D24" s="36">
        <f t="shared" si="1"/>
        <v>8.5000000000000006E-2</v>
      </c>
      <c r="E24" s="37">
        <f t="shared" si="2"/>
        <v>2.3E-2</v>
      </c>
      <c r="H24" s="72" t="s">
        <v>576</v>
      </c>
    </row>
    <row r="25" spans="2:12" ht="16" x14ac:dyDescent="0.2">
      <c r="B25" s="70" t="s">
        <v>422</v>
      </c>
      <c r="C25" s="36">
        <f t="shared" si="0"/>
        <v>2.8810617420977434E-3</v>
      </c>
      <c r="D25" s="36">
        <f t="shared" si="1"/>
        <v>8.2000000000000003E-2</v>
      </c>
      <c r="E25" s="37">
        <f t="shared" si="2"/>
        <v>0.01</v>
      </c>
      <c r="H25" s="1" t="s">
        <v>579</v>
      </c>
    </row>
    <row r="26" spans="2:12" ht="16" x14ac:dyDescent="0.2">
      <c r="B26" s="70" t="s">
        <v>365</v>
      </c>
      <c r="C26" s="36">
        <f t="shared" si="0"/>
        <v>2.503217579199679E-3</v>
      </c>
      <c r="D26" s="36">
        <f t="shared" si="1"/>
        <v>0.17399999999999999</v>
      </c>
      <c r="E26" s="37">
        <f t="shared" si="2"/>
        <v>2.8000000000000001E-2</v>
      </c>
      <c r="H26" s="1" t="s">
        <v>580</v>
      </c>
    </row>
    <row r="27" spans="2:12" ht="17" thickBot="1" x14ac:dyDescent="0.25">
      <c r="B27" s="71" t="s">
        <v>359</v>
      </c>
      <c r="C27" s="38">
        <f t="shared" si="0"/>
        <v>2.2316420871166948E-3</v>
      </c>
      <c r="D27" s="38">
        <f t="shared" si="1"/>
        <v>0.16200000000000001</v>
      </c>
      <c r="E27" s="39">
        <f t="shared" si="2"/>
        <v>3.4000000000000002E-2</v>
      </c>
    </row>
    <row r="29" spans="2:12" x14ac:dyDescent="0.2">
      <c r="C29" s="1">
        <f>SUM(C33:C213)</f>
        <v>97624</v>
      </c>
    </row>
    <row r="30" spans="2:12" x14ac:dyDescent="0.2">
      <c r="B30" s="1" t="s">
        <v>557</v>
      </c>
      <c r="C30" s="1">
        <f>C29-VLOOKUP("Euro Area",B33:C213,2,)</f>
        <v>84691</v>
      </c>
    </row>
    <row r="31" spans="2:12" x14ac:dyDescent="0.2">
      <c r="B31" s="123"/>
      <c r="C31" s="110" t="s">
        <v>379</v>
      </c>
      <c r="D31" s="110" t="s">
        <v>380</v>
      </c>
      <c r="E31" s="110" t="s">
        <v>381</v>
      </c>
      <c r="F31" s="110" t="s">
        <v>382</v>
      </c>
      <c r="G31" s="110" t="s">
        <v>383</v>
      </c>
      <c r="H31" s="110" t="s">
        <v>384</v>
      </c>
      <c r="I31" s="110" t="s">
        <v>385</v>
      </c>
      <c r="J31" s="110" t="s">
        <v>386</v>
      </c>
      <c r="K31" s="110" t="s">
        <v>387</v>
      </c>
      <c r="L31" s="110" t="s">
        <v>388</v>
      </c>
    </row>
    <row r="32" spans="2:12" ht="16" thickBot="1" x14ac:dyDescent="0.25">
      <c r="B32" s="124"/>
      <c r="C32" s="110"/>
      <c r="D32" s="110"/>
      <c r="E32" s="110"/>
      <c r="F32" s="110"/>
      <c r="G32" s="110"/>
      <c r="H32" s="110"/>
      <c r="I32" s="110"/>
      <c r="J32" s="110"/>
      <c r="K32" s="110"/>
      <c r="L32" s="110"/>
    </row>
    <row r="33" spans="2:13" x14ac:dyDescent="0.2">
      <c r="B33" s="80" t="s">
        <v>389</v>
      </c>
      <c r="C33" s="80">
        <v>20937</v>
      </c>
      <c r="D33" s="80">
        <v>0.122</v>
      </c>
      <c r="E33" s="80">
        <v>6.6000000000000003E-2</v>
      </c>
      <c r="F33" s="80">
        <v>2.5000000000000001E-3</v>
      </c>
      <c r="G33" s="80">
        <v>5.2999999999999999E-2</v>
      </c>
      <c r="H33" s="80">
        <v>5.1999999999999998E-2</v>
      </c>
      <c r="I33" s="80">
        <v>-0.14899999999999999</v>
      </c>
      <c r="J33" s="80">
        <v>1.0760000000000001</v>
      </c>
      <c r="K33" s="80">
        <v>-3.1</v>
      </c>
      <c r="L33" s="80">
        <v>98.56</v>
      </c>
      <c r="M33" s="80">
        <v>329.48</v>
      </c>
    </row>
    <row r="34" spans="2:13" x14ac:dyDescent="0.2">
      <c r="B34" s="80" t="s">
        <v>391</v>
      </c>
      <c r="C34" s="80">
        <v>14723</v>
      </c>
      <c r="D34" s="80">
        <v>7.9000000000000001E-2</v>
      </c>
      <c r="E34" s="80">
        <v>1.2999999999999999E-2</v>
      </c>
      <c r="F34" s="80">
        <v>3.85E-2</v>
      </c>
      <c r="G34" s="80">
        <v>8.0000000000000002E-3</v>
      </c>
      <c r="H34" s="80">
        <v>5.0999999999999997E-2</v>
      </c>
      <c r="I34" s="80">
        <v>-3.6999999999999998E-2</v>
      </c>
      <c r="J34" s="80">
        <v>0.66800000000000004</v>
      </c>
      <c r="K34" s="80">
        <v>1.9</v>
      </c>
      <c r="L34" s="80">
        <v>7.08</v>
      </c>
      <c r="M34" s="80">
        <v>1443.5</v>
      </c>
    </row>
    <row r="35" spans="2:13" x14ac:dyDescent="0.2">
      <c r="B35" s="80" t="s">
        <v>390</v>
      </c>
      <c r="C35" s="80">
        <v>12933</v>
      </c>
      <c r="D35" s="80">
        <v>0.14299999999999999</v>
      </c>
      <c r="E35" s="80">
        <v>2.1999999999999999E-2</v>
      </c>
      <c r="F35" s="80">
        <v>0</v>
      </c>
      <c r="G35" s="80">
        <v>0.03</v>
      </c>
      <c r="H35" s="80">
        <v>7.5999999999999998E-2</v>
      </c>
      <c r="I35" s="80">
        <v>-7.1999999999999995E-2</v>
      </c>
      <c r="J35" s="80">
        <v>0.98</v>
      </c>
      <c r="K35" s="80">
        <v>3</v>
      </c>
      <c r="L35" s="80">
        <v>1.1100000000000001</v>
      </c>
      <c r="M35" s="80">
        <v>342.41</v>
      </c>
    </row>
    <row r="36" spans="2:13" x14ac:dyDescent="0.2">
      <c r="B36" s="80" t="s">
        <v>392</v>
      </c>
      <c r="C36" s="80">
        <v>5065</v>
      </c>
      <c r="D36" s="80">
        <v>7.5999999999999998E-2</v>
      </c>
      <c r="E36" s="80">
        <v>5.0000000000000001E-3</v>
      </c>
      <c r="F36" s="80">
        <v>-1E-3</v>
      </c>
      <c r="G36" s="80">
        <v>-4.0000000000000001E-3</v>
      </c>
      <c r="H36" s="80">
        <v>2.8000000000000001E-2</v>
      </c>
      <c r="I36" s="80">
        <v>-0.126</v>
      </c>
      <c r="J36" s="80">
        <v>2.6619999999999999</v>
      </c>
      <c r="K36" s="80">
        <v>3.2</v>
      </c>
      <c r="L36" s="80">
        <v>108.19</v>
      </c>
      <c r="M36" s="80">
        <v>125.67</v>
      </c>
    </row>
    <row r="37" spans="2:13" x14ac:dyDescent="0.2">
      <c r="B37" s="80" t="s">
        <v>345</v>
      </c>
      <c r="C37" s="80">
        <v>3806</v>
      </c>
      <c r="D37" s="80">
        <v>9.4E-2</v>
      </c>
      <c r="E37" s="80">
        <v>1.6E-2</v>
      </c>
      <c r="F37" s="80">
        <v>0</v>
      </c>
      <c r="G37" s="80">
        <v>3.9E-2</v>
      </c>
      <c r="H37" s="80">
        <v>3.5999999999999997E-2</v>
      </c>
      <c r="I37" s="80">
        <v>-4.2000000000000003E-2</v>
      </c>
      <c r="J37" s="80">
        <v>0.69799999999999995</v>
      </c>
      <c r="K37" s="80">
        <v>7</v>
      </c>
      <c r="L37" s="80">
        <v>1.1100000000000001</v>
      </c>
      <c r="M37" s="80">
        <v>83.17</v>
      </c>
    </row>
    <row r="38" spans="2:13" x14ac:dyDescent="0.2">
      <c r="B38" s="80" t="s">
        <v>393</v>
      </c>
      <c r="C38" s="80">
        <v>2708</v>
      </c>
      <c r="D38" s="80">
        <v>0.222</v>
      </c>
      <c r="E38" s="80">
        <v>4.8000000000000001E-2</v>
      </c>
      <c r="F38" s="80">
        <v>1E-3</v>
      </c>
      <c r="G38" s="80">
        <v>3.2000000000000001E-2</v>
      </c>
      <c r="H38" s="80">
        <v>4.5999999999999999E-2</v>
      </c>
      <c r="I38" s="80">
        <v>-0.14199999999999999</v>
      </c>
      <c r="J38" s="80">
        <v>0.97199999999999998</v>
      </c>
      <c r="K38" s="80">
        <v>-3.5</v>
      </c>
      <c r="L38" s="80">
        <v>1.25</v>
      </c>
      <c r="M38" s="80">
        <v>67.2</v>
      </c>
    </row>
    <row r="39" spans="2:13" x14ac:dyDescent="0.2">
      <c r="B39" s="80" t="s">
        <v>353</v>
      </c>
      <c r="C39" s="80">
        <v>2623</v>
      </c>
      <c r="D39" s="80">
        <v>0.20100000000000001</v>
      </c>
      <c r="E39" s="80">
        <v>2.1000000000000001E-2</v>
      </c>
      <c r="F39" s="80">
        <v>0.04</v>
      </c>
      <c r="G39" s="80">
        <v>5.2999999999999999E-2</v>
      </c>
      <c r="H39" s="80">
        <v>7.0000000000000007E-2</v>
      </c>
      <c r="I39" s="80">
        <v>-9.4E-2</v>
      </c>
      <c r="J39" s="80">
        <v>0.69620000000000004</v>
      </c>
      <c r="K39" s="80">
        <v>0.9</v>
      </c>
      <c r="L39" s="80">
        <v>71.010000000000005</v>
      </c>
      <c r="M39" s="80">
        <v>1347.12</v>
      </c>
    </row>
    <row r="40" spans="2:13" x14ac:dyDescent="0.2">
      <c r="B40" s="80" t="s">
        <v>346</v>
      </c>
      <c r="C40" s="80">
        <v>2603</v>
      </c>
      <c r="D40" s="80">
        <v>0.187</v>
      </c>
      <c r="E40" s="80">
        <v>1.0999999999999999E-2</v>
      </c>
      <c r="F40" s="80">
        <v>0</v>
      </c>
      <c r="G40" s="80">
        <v>1.9E-2</v>
      </c>
      <c r="H40" s="80">
        <v>0.08</v>
      </c>
      <c r="I40" s="80">
        <v>-9.1999999999999998E-2</v>
      </c>
      <c r="J40" s="80">
        <v>1.157</v>
      </c>
      <c r="K40" s="80">
        <v>-1.9</v>
      </c>
      <c r="L40" s="80">
        <v>1.1100000000000001</v>
      </c>
      <c r="M40" s="80">
        <v>67.290000000000006</v>
      </c>
    </row>
    <row r="41" spans="2:13" x14ac:dyDescent="0.2">
      <c r="B41" s="80" t="s">
        <v>394</v>
      </c>
      <c r="C41" s="80">
        <v>1886</v>
      </c>
      <c r="D41" s="80">
        <v>0.17299999999999999</v>
      </c>
      <c r="E41" s="80">
        <v>2.7E-2</v>
      </c>
      <c r="F41" s="80">
        <v>0</v>
      </c>
      <c r="G41" s="80">
        <v>0.02</v>
      </c>
      <c r="H41" s="80">
        <v>9.2999999999999999E-2</v>
      </c>
      <c r="I41" s="80">
        <v>-9.5000000000000001E-2</v>
      </c>
      <c r="J41" s="80">
        <v>1.5580000000000001</v>
      </c>
      <c r="K41" s="80">
        <v>3.6</v>
      </c>
      <c r="L41" s="80">
        <v>1.1100000000000001</v>
      </c>
      <c r="M41" s="80">
        <v>59.64</v>
      </c>
    </row>
    <row r="42" spans="2:13" x14ac:dyDescent="0.2">
      <c r="B42" s="80" t="s">
        <v>354</v>
      </c>
      <c r="C42" s="80">
        <v>1643</v>
      </c>
      <c r="D42" s="80">
        <v>0.127</v>
      </c>
      <c r="E42" s="80">
        <v>-3.0000000000000001E-3</v>
      </c>
      <c r="F42" s="80">
        <v>2.5000000000000001E-3</v>
      </c>
      <c r="G42" s="80">
        <v>4.1000000000000002E-2</v>
      </c>
      <c r="H42" s="80">
        <v>7.0999999999999994E-2</v>
      </c>
      <c r="I42" s="80">
        <v>-0.159</v>
      </c>
      <c r="J42" s="80">
        <v>1.1779999999999999</v>
      </c>
      <c r="K42" s="80">
        <v>-1.9</v>
      </c>
      <c r="L42" s="80">
        <v>1.33</v>
      </c>
      <c r="M42" s="80">
        <v>38.01</v>
      </c>
    </row>
    <row r="43" spans="2:13" x14ac:dyDescent="0.2">
      <c r="B43" s="80" t="s">
        <v>395</v>
      </c>
      <c r="C43" s="80">
        <v>1631</v>
      </c>
      <c r="D43" s="80">
        <v>0.06</v>
      </c>
      <c r="E43" s="80">
        <v>8.0000000000000002E-3</v>
      </c>
      <c r="F43" s="80">
        <v>7.4999999999999997E-3</v>
      </c>
      <c r="G43" s="80">
        <v>2.5999999999999999E-2</v>
      </c>
      <c r="H43" s="80">
        <v>2.8000000000000001E-2</v>
      </c>
      <c r="I43" s="80">
        <v>-6.0999999999999999E-2</v>
      </c>
      <c r="J43" s="80">
        <v>0.42599999999999999</v>
      </c>
      <c r="K43" s="80">
        <v>3.5</v>
      </c>
      <c r="L43" s="80">
        <v>1145.8499999999999</v>
      </c>
      <c r="M43" s="80">
        <v>51.78</v>
      </c>
    </row>
    <row r="44" spans="2:13" x14ac:dyDescent="0.2">
      <c r="B44" s="80" t="s">
        <v>352</v>
      </c>
      <c r="C44" s="80">
        <v>1484</v>
      </c>
      <c r="D44" s="80">
        <v>0.105</v>
      </c>
      <c r="E44" s="80">
        <v>0</v>
      </c>
      <c r="F44" s="80">
        <v>6.7500000000000004E-2</v>
      </c>
      <c r="G44" s="80">
        <v>6.6799999999999998E-2</v>
      </c>
      <c r="H44" s="80">
        <v>4.4999999999999998E-2</v>
      </c>
      <c r="I44" s="80">
        <v>-3.7999999999999999E-2</v>
      </c>
      <c r="J44" s="80">
        <v>0.17799999999999999</v>
      </c>
      <c r="K44" s="80">
        <v>2.4</v>
      </c>
      <c r="L44" s="80">
        <v>64.349999999999994</v>
      </c>
      <c r="M44" s="80">
        <v>146.19999999999999</v>
      </c>
    </row>
    <row r="45" spans="2:13" x14ac:dyDescent="0.2">
      <c r="B45" s="80" t="s">
        <v>358</v>
      </c>
      <c r="C45" s="80">
        <v>1445</v>
      </c>
      <c r="D45" s="80">
        <v>0.124</v>
      </c>
      <c r="E45" s="80">
        <v>-1E-3</v>
      </c>
      <c r="F45" s="80">
        <v>6.25E-2</v>
      </c>
      <c r="G45" s="80">
        <v>9.6799999999999997E-2</v>
      </c>
      <c r="H45" s="80">
        <v>0.14099999999999999</v>
      </c>
      <c r="I45" s="80">
        <v>-0.13400000000000001</v>
      </c>
      <c r="J45" s="80">
        <v>0.88829999999999998</v>
      </c>
      <c r="K45" s="80">
        <v>-0.72</v>
      </c>
      <c r="L45" s="80">
        <v>4.07</v>
      </c>
      <c r="M45" s="80">
        <v>211.82</v>
      </c>
    </row>
    <row r="46" spans="2:13" x14ac:dyDescent="0.2">
      <c r="B46" s="80" t="s">
        <v>355</v>
      </c>
      <c r="C46" s="80">
        <v>1331</v>
      </c>
      <c r="D46" s="80">
        <v>9.6000000000000002E-2</v>
      </c>
      <c r="E46" s="80">
        <v>7.0000000000000001E-3</v>
      </c>
      <c r="F46" s="80">
        <v>1E-3</v>
      </c>
      <c r="G46" s="80">
        <v>3.7999999999999999E-2</v>
      </c>
      <c r="H46" s="80">
        <v>4.4999999999999998E-2</v>
      </c>
      <c r="I46" s="80">
        <v>-4.2999999999999997E-2</v>
      </c>
      <c r="J46" s="80">
        <v>0.248</v>
      </c>
      <c r="K46" s="80">
        <v>2.5</v>
      </c>
      <c r="L46" s="80">
        <v>0.68</v>
      </c>
      <c r="M46" s="80">
        <v>25.68</v>
      </c>
    </row>
    <row r="47" spans="2:13" x14ac:dyDescent="0.2">
      <c r="B47" s="80" t="s">
        <v>349</v>
      </c>
      <c r="C47" s="80">
        <v>1281</v>
      </c>
      <c r="D47" s="80">
        <v>0.17499999999999999</v>
      </c>
      <c r="E47" s="80">
        <v>1.0999999999999999E-2</v>
      </c>
      <c r="F47" s="80">
        <v>0</v>
      </c>
      <c r="G47" s="80">
        <v>3.3000000000000002E-2</v>
      </c>
      <c r="H47" s="80">
        <v>0.15260000000000001</v>
      </c>
      <c r="I47" s="80">
        <v>-0.11</v>
      </c>
      <c r="J47" s="80">
        <v>1.2</v>
      </c>
      <c r="K47" s="80">
        <v>0.7</v>
      </c>
      <c r="L47" s="80">
        <v>1.1100000000000001</v>
      </c>
      <c r="M47" s="80">
        <v>47.33</v>
      </c>
    </row>
    <row r="48" spans="2:13" x14ac:dyDescent="0.2">
      <c r="B48" s="80" t="s">
        <v>351</v>
      </c>
      <c r="C48" s="80">
        <v>1076</v>
      </c>
      <c r="D48" s="80">
        <v>0.19600000000000001</v>
      </c>
      <c r="E48" s="80">
        <v>1.4999999999999999E-2</v>
      </c>
      <c r="F48" s="80">
        <v>4.4999999999999998E-2</v>
      </c>
      <c r="G48" s="80">
        <v>5.5899999999999998E-2</v>
      </c>
      <c r="H48" s="80">
        <v>4.2999999999999997E-2</v>
      </c>
      <c r="I48" s="80">
        <v>-4.5999999999999999E-2</v>
      </c>
      <c r="J48" s="80">
        <v>0.52100000000000002</v>
      </c>
      <c r="K48" s="80">
        <v>2.4</v>
      </c>
      <c r="L48" s="80">
        <v>19.36</v>
      </c>
      <c r="M48" s="80">
        <v>126.01</v>
      </c>
    </row>
    <row r="49" spans="2:13" x14ac:dyDescent="0.2">
      <c r="B49" s="80" t="s">
        <v>396</v>
      </c>
      <c r="C49" s="80">
        <v>1058</v>
      </c>
      <c r="D49" s="80">
        <v>7.0699999999999999E-2</v>
      </c>
      <c r="E49" s="80">
        <v>3.3099999999999997E-2</v>
      </c>
      <c r="F49" s="80">
        <v>3.5000000000000003E-2</v>
      </c>
      <c r="G49" s="80">
        <v>1.5900000000000001E-2</v>
      </c>
      <c r="H49" s="80">
        <v>6.2600000000000003E-2</v>
      </c>
      <c r="I49" s="80">
        <v>-6.5000000000000002E-2</v>
      </c>
      <c r="J49" s="80">
        <v>0.38500000000000001</v>
      </c>
      <c r="K49" s="80">
        <v>-0.44</v>
      </c>
      <c r="L49" s="80">
        <v>14462</v>
      </c>
      <c r="M49" s="80">
        <v>270.2</v>
      </c>
    </row>
    <row r="50" spans="2:13" x14ac:dyDescent="0.2">
      <c r="B50" s="80" t="s">
        <v>397</v>
      </c>
      <c r="C50" s="80">
        <v>912</v>
      </c>
      <c r="D50" s="80">
        <v>0.104</v>
      </c>
      <c r="E50" s="80">
        <v>3.7999999999999999E-2</v>
      </c>
      <c r="F50" s="80">
        <v>0</v>
      </c>
      <c r="G50" s="80">
        <v>2.4E-2</v>
      </c>
      <c r="H50" s="80">
        <v>3.2000000000000001E-2</v>
      </c>
      <c r="I50" s="80">
        <v>-4.2999999999999997E-2</v>
      </c>
      <c r="J50" s="80">
        <v>0.54500000000000004</v>
      </c>
      <c r="K50" s="80">
        <v>7.8</v>
      </c>
      <c r="L50" s="80">
        <v>1.1100000000000001</v>
      </c>
      <c r="M50" s="80">
        <v>17.41</v>
      </c>
    </row>
    <row r="51" spans="2:13" x14ac:dyDescent="0.2">
      <c r="B51" s="80" t="s">
        <v>356</v>
      </c>
      <c r="C51" s="80">
        <v>748</v>
      </c>
      <c r="D51" s="80">
        <v>7.6999999999999999E-2</v>
      </c>
      <c r="E51" s="80">
        <v>1.7999999999999999E-2</v>
      </c>
      <c r="F51" s="80">
        <v>-7.4999999999999997E-3</v>
      </c>
      <c r="G51" s="80">
        <v>8.9999999999999993E-3</v>
      </c>
      <c r="H51" s="80">
        <v>2.7E-2</v>
      </c>
      <c r="I51" s="80">
        <v>-2.5999999999999999E-2</v>
      </c>
      <c r="J51" s="80">
        <v>0.42899999999999999</v>
      </c>
      <c r="K51" s="80">
        <v>3.8</v>
      </c>
      <c r="L51" s="80">
        <v>0.92</v>
      </c>
      <c r="M51" s="80">
        <v>8.61</v>
      </c>
    </row>
    <row r="52" spans="2:13" x14ac:dyDescent="0.2">
      <c r="B52" s="80" t="s">
        <v>361</v>
      </c>
      <c r="C52" s="80">
        <v>720</v>
      </c>
      <c r="D52" s="80">
        <v>0.217</v>
      </c>
      <c r="E52" s="80">
        <v>8.9999999999999993E-3</v>
      </c>
      <c r="F52" s="80">
        <v>0.18</v>
      </c>
      <c r="G52" s="80">
        <v>0.1925</v>
      </c>
      <c r="H52" s="80">
        <v>0.12</v>
      </c>
      <c r="I52" s="80">
        <v>-3.4000000000000002E-2</v>
      </c>
      <c r="J52" s="80">
        <v>0.39500000000000002</v>
      </c>
      <c r="K52" s="80">
        <v>-5.0999999999999996</v>
      </c>
      <c r="L52" s="80">
        <v>8.6199999999999992</v>
      </c>
      <c r="M52" s="80">
        <v>83.61</v>
      </c>
    </row>
    <row r="53" spans="2:13" x14ac:dyDescent="0.2">
      <c r="B53" s="80" t="s">
        <v>398</v>
      </c>
      <c r="C53" s="80">
        <v>700</v>
      </c>
      <c r="D53" s="80">
        <v>1.7999999999999999E-2</v>
      </c>
      <c r="E53" s="80">
        <v>6.0000000000000001E-3</v>
      </c>
      <c r="F53" s="80">
        <v>0.01</v>
      </c>
      <c r="G53" s="80">
        <v>3.0000000000000001E-3</v>
      </c>
      <c r="H53" s="80">
        <v>6.5000000000000002E-2</v>
      </c>
      <c r="I53" s="80">
        <v>-0.112</v>
      </c>
      <c r="J53" s="80">
        <v>0.32500000000000001</v>
      </c>
      <c r="K53" s="80">
        <v>-2.8</v>
      </c>
      <c r="L53" s="80">
        <v>3.75</v>
      </c>
      <c r="M53" s="80">
        <v>35</v>
      </c>
    </row>
    <row r="54" spans="2:13" x14ac:dyDescent="0.2">
      <c r="B54" s="80" t="s">
        <v>399</v>
      </c>
      <c r="C54" s="80">
        <v>611</v>
      </c>
      <c r="D54" s="80">
        <v>7.4300000000000005E-2</v>
      </c>
      <c r="E54" s="80">
        <v>-1.0699999999999999E-2</v>
      </c>
      <c r="F54" s="80">
        <v>1.1299999999999999E-2</v>
      </c>
      <c r="G54" s="80">
        <v>2.3599999999999999E-2</v>
      </c>
      <c r="H54" s="80">
        <v>4.0800000000000003E-2</v>
      </c>
      <c r="I54" s="80">
        <v>-4.4999999999999998E-2</v>
      </c>
      <c r="J54" s="80">
        <v>0.28199999999999997</v>
      </c>
      <c r="K54" s="80">
        <v>9.5</v>
      </c>
      <c r="L54" s="80">
        <v>28.02</v>
      </c>
      <c r="M54" s="80">
        <v>23.55</v>
      </c>
    </row>
    <row r="55" spans="2:13" x14ac:dyDescent="0.2">
      <c r="B55" s="80" t="s">
        <v>363</v>
      </c>
      <c r="C55" s="80">
        <v>594</v>
      </c>
      <c r="D55" s="80">
        <v>0.111</v>
      </c>
      <c r="E55" s="80">
        <v>2.1000000000000001E-2</v>
      </c>
      <c r="F55" s="80">
        <v>1E-3</v>
      </c>
      <c r="G55" s="80">
        <v>5.5E-2</v>
      </c>
      <c r="H55" s="80">
        <v>5.8000000000000003E-2</v>
      </c>
      <c r="I55" s="80">
        <v>-7.0000000000000007E-2</v>
      </c>
      <c r="J55" s="80">
        <v>0.57499999999999996</v>
      </c>
      <c r="K55" s="80">
        <v>3.6</v>
      </c>
      <c r="L55" s="80">
        <v>3.89</v>
      </c>
      <c r="M55" s="80">
        <v>37.96</v>
      </c>
    </row>
    <row r="56" spans="2:13" x14ac:dyDescent="0.2">
      <c r="B56" s="80" t="s">
        <v>350</v>
      </c>
      <c r="C56" s="80">
        <v>538</v>
      </c>
      <c r="D56" s="80">
        <v>9.7000000000000003E-2</v>
      </c>
      <c r="E56" s="80">
        <v>8.9999999999999993E-3</v>
      </c>
      <c r="F56" s="80">
        <v>0</v>
      </c>
      <c r="G56" s="80">
        <v>2.1000000000000001E-2</v>
      </c>
      <c r="H56" s="80">
        <v>8.5000000000000006E-2</v>
      </c>
      <c r="I56" s="80">
        <v>-3.1E-2</v>
      </c>
      <c r="J56" s="80">
        <v>0.39900000000000002</v>
      </c>
      <c r="K56" s="80">
        <v>5.2</v>
      </c>
      <c r="L56" s="80">
        <v>8.65</v>
      </c>
      <c r="M56" s="80">
        <v>10.33</v>
      </c>
    </row>
    <row r="57" spans="2:13" x14ac:dyDescent="0.2">
      <c r="B57" s="80" t="s">
        <v>400</v>
      </c>
      <c r="C57" s="80">
        <v>515</v>
      </c>
      <c r="D57" s="80">
        <v>0.14899999999999999</v>
      </c>
      <c r="E57" s="80">
        <v>1.7000000000000001E-2</v>
      </c>
      <c r="F57" s="80">
        <v>0</v>
      </c>
      <c r="G57" s="80">
        <v>2.7300000000000001E-2</v>
      </c>
      <c r="H57" s="80">
        <v>5.8999999999999997E-2</v>
      </c>
      <c r="I57" s="80">
        <v>-9.4E-2</v>
      </c>
      <c r="J57" s="80">
        <v>1.141</v>
      </c>
      <c r="K57" s="80">
        <v>-0.2</v>
      </c>
      <c r="L57" s="80">
        <v>1.1100000000000001</v>
      </c>
      <c r="M57" s="80">
        <v>11.52</v>
      </c>
    </row>
    <row r="58" spans="2:13" x14ac:dyDescent="0.2">
      <c r="B58" s="80" t="s">
        <v>401</v>
      </c>
      <c r="C58" s="80">
        <v>502</v>
      </c>
      <c r="D58" s="80">
        <v>7.4999999999999997E-2</v>
      </c>
      <c r="E58" s="80">
        <v>4.0000000000000001E-3</v>
      </c>
      <c r="F58" s="80">
        <v>5.0000000000000001E-3</v>
      </c>
      <c r="G58" s="80">
        <v>-2.0000000000000001E-4</v>
      </c>
      <c r="H58" s="80">
        <v>1.9E-2</v>
      </c>
      <c r="I58" s="80">
        <v>-6.0999999999999999E-2</v>
      </c>
      <c r="J58" s="80">
        <v>0.505</v>
      </c>
      <c r="K58" s="80">
        <v>4.2</v>
      </c>
      <c r="L58" s="80">
        <v>32.64</v>
      </c>
      <c r="M58" s="80">
        <v>66.650000000000006</v>
      </c>
    </row>
    <row r="59" spans="2:13" x14ac:dyDescent="0.2">
      <c r="B59" s="80" t="s">
        <v>402</v>
      </c>
      <c r="C59" s="80">
        <v>482</v>
      </c>
      <c r="D59" s="80">
        <v>-0.26800000000000002</v>
      </c>
      <c r="E59" s="80">
        <v>-0.23699999999999999</v>
      </c>
      <c r="F59" s="80">
        <v>0.54059999999999997</v>
      </c>
      <c r="G59" s="80">
        <v>27.195</v>
      </c>
      <c r="H59" s="80">
        <v>6.4000000000000001E-2</v>
      </c>
      <c r="I59" s="80">
        <v>-0.29899999999999999</v>
      </c>
      <c r="J59" s="80">
        <v>3.5</v>
      </c>
      <c r="K59" s="80">
        <v>-3.5</v>
      </c>
      <c r="L59" s="80">
        <v>971748.8</v>
      </c>
      <c r="M59" s="80">
        <v>32.6</v>
      </c>
    </row>
    <row r="60" spans="2:13" x14ac:dyDescent="0.2">
      <c r="B60" s="80" t="s">
        <v>407</v>
      </c>
      <c r="C60" s="80">
        <v>432</v>
      </c>
      <c r="D60" s="80">
        <v>0.05</v>
      </c>
      <c r="E60" s="80">
        <v>-0.13900000000000001</v>
      </c>
      <c r="F60" s="80">
        <v>0.115</v>
      </c>
      <c r="G60" s="80">
        <v>0.1701</v>
      </c>
      <c r="H60" s="80">
        <v>0.33300000000000002</v>
      </c>
      <c r="I60" s="80">
        <v>-3.7999999999999999E-2</v>
      </c>
      <c r="J60" s="80">
        <v>0.3498</v>
      </c>
      <c r="K60" s="80">
        <v>-4.2</v>
      </c>
      <c r="L60" s="80">
        <v>411</v>
      </c>
      <c r="M60" s="80">
        <v>206.14</v>
      </c>
    </row>
    <row r="61" spans="2:13" x14ac:dyDescent="0.2">
      <c r="B61" s="80" t="s">
        <v>403</v>
      </c>
      <c r="C61" s="80">
        <v>429</v>
      </c>
      <c r="D61" s="80">
        <v>0.12</v>
      </c>
      <c r="E61" s="80">
        <v>3.5999999999999997E-2</v>
      </c>
      <c r="F61" s="80">
        <v>0</v>
      </c>
      <c r="G61" s="80">
        <v>3.2000000000000001E-2</v>
      </c>
      <c r="H61" s="80">
        <v>6.9000000000000006E-2</v>
      </c>
      <c r="I61" s="80">
        <v>-8.8999999999999996E-2</v>
      </c>
      <c r="J61" s="80">
        <v>0.83899999999999997</v>
      </c>
      <c r="K61" s="80">
        <v>2.5</v>
      </c>
      <c r="L61" s="80">
        <v>1.1100000000000001</v>
      </c>
      <c r="M61" s="80">
        <v>8.9</v>
      </c>
    </row>
    <row r="62" spans="2:13" x14ac:dyDescent="0.2">
      <c r="B62" s="80" t="s">
        <v>406</v>
      </c>
      <c r="C62" s="80">
        <v>421</v>
      </c>
      <c r="D62" s="80">
        <v>-6.0999999999999999E-2</v>
      </c>
      <c r="E62" s="80">
        <v>0.02</v>
      </c>
      <c r="F62" s="80">
        <v>1.4999999999999999E-2</v>
      </c>
      <c r="G62" s="80">
        <v>-2.0000000000000001E-4</v>
      </c>
      <c r="H62" s="80">
        <v>0.05</v>
      </c>
      <c r="I62" s="80">
        <v>-8.0000000000000002E-3</v>
      </c>
      <c r="J62" s="80">
        <v>0.36899999999999999</v>
      </c>
      <c r="K62" s="80">
        <v>5.9</v>
      </c>
      <c r="L62" s="80">
        <v>3.67</v>
      </c>
      <c r="M62" s="80">
        <v>9.9</v>
      </c>
    </row>
    <row r="63" spans="2:13" x14ac:dyDescent="0.2">
      <c r="B63" s="80" t="s">
        <v>360</v>
      </c>
      <c r="C63" s="80">
        <v>419</v>
      </c>
      <c r="D63" s="80">
        <v>0.216</v>
      </c>
      <c r="E63" s="80">
        <v>6.3E-2</v>
      </c>
      <c r="F63" s="80">
        <v>0</v>
      </c>
      <c r="G63" s="80">
        <v>2.8000000000000001E-2</v>
      </c>
      <c r="H63" s="80">
        <v>6.4000000000000001E-2</v>
      </c>
      <c r="I63" s="80">
        <v>-0.05</v>
      </c>
      <c r="J63" s="80">
        <v>0.59499999999999997</v>
      </c>
      <c r="K63" s="80">
        <v>4.5999999999999996</v>
      </c>
      <c r="L63" s="80">
        <v>1.1100000000000001</v>
      </c>
      <c r="M63" s="80">
        <v>4.96</v>
      </c>
    </row>
    <row r="64" spans="2:13" x14ac:dyDescent="0.2">
      <c r="B64" s="80" t="s">
        <v>408</v>
      </c>
      <c r="C64" s="80">
        <v>402</v>
      </c>
      <c r="D64" s="80">
        <v>0.15</v>
      </c>
      <c r="E64" s="80">
        <v>3.9199999999999999E-2</v>
      </c>
      <c r="F64" s="80">
        <v>1E-3</v>
      </c>
      <c r="G64" s="80">
        <v>2.1999999999999999E-2</v>
      </c>
      <c r="H64" s="80">
        <v>0.05</v>
      </c>
      <c r="I64" s="80">
        <v>-0.11700000000000001</v>
      </c>
      <c r="J64" s="80">
        <v>0.71099999999999997</v>
      </c>
      <c r="K64" s="80">
        <v>4.9000000000000004</v>
      </c>
      <c r="L64" s="80">
        <v>3.28</v>
      </c>
      <c r="M64" s="80">
        <v>9.2899999999999991</v>
      </c>
    </row>
    <row r="65" spans="2:13" x14ac:dyDescent="0.2">
      <c r="B65" s="80" t="s">
        <v>364</v>
      </c>
      <c r="C65" s="80">
        <v>383</v>
      </c>
      <c r="D65" s="80">
        <v>0.17899999999999999</v>
      </c>
      <c r="E65" s="80">
        <v>-1.4E-2</v>
      </c>
      <c r="F65" s="80">
        <v>0.38</v>
      </c>
      <c r="G65" s="80">
        <v>0.51400000000000001</v>
      </c>
      <c r="H65" s="80">
        <v>9.6000000000000002E-2</v>
      </c>
      <c r="I65" s="80">
        <v>-8.5000000000000006E-2</v>
      </c>
      <c r="J65" s="80">
        <v>1.02</v>
      </c>
      <c r="K65" s="80">
        <v>1</v>
      </c>
      <c r="L65" s="80">
        <v>96.12</v>
      </c>
      <c r="M65" s="80">
        <v>45.38</v>
      </c>
    </row>
    <row r="66" spans="2:13" x14ac:dyDescent="0.2">
      <c r="B66" s="80" t="s">
        <v>420</v>
      </c>
      <c r="C66" s="80">
        <v>363</v>
      </c>
      <c r="D66" s="80">
        <v>2.9000000000000001E-2</v>
      </c>
      <c r="E66" s="80">
        <v>2.9000000000000001E-2</v>
      </c>
      <c r="F66" s="80">
        <v>8.2500000000000004E-2</v>
      </c>
      <c r="G66" s="80">
        <v>5.7000000000000002E-2</v>
      </c>
      <c r="H66" s="80">
        <v>7.2999999999999995E-2</v>
      </c>
      <c r="I66" s="80">
        <v>-0.09</v>
      </c>
      <c r="J66" s="80">
        <v>0.88</v>
      </c>
      <c r="K66" s="80">
        <v>-3.5</v>
      </c>
      <c r="L66" s="80">
        <v>15.64</v>
      </c>
      <c r="M66" s="80">
        <v>100.5</v>
      </c>
    </row>
    <row r="67" spans="2:13" x14ac:dyDescent="0.2">
      <c r="B67" s="80" t="s">
        <v>405</v>
      </c>
      <c r="C67" s="80">
        <v>362</v>
      </c>
      <c r="D67" s="80">
        <v>6.0999999999999999E-2</v>
      </c>
      <c r="E67" s="80">
        <v>1.0999999999999999E-2</v>
      </c>
      <c r="F67" s="80">
        <v>2.5000000000000001E-3</v>
      </c>
      <c r="G67" s="80">
        <v>3.4000000000000002E-2</v>
      </c>
      <c r="H67" s="80">
        <v>5.0999999999999997E-2</v>
      </c>
      <c r="I67" s="80">
        <v>-3.4000000000000002E-2</v>
      </c>
      <c r="J67" s="80">
        <v>0.46</v>
      </c>
      <c r="K67" s="80">
        <v>2</v>
      </c>
      <c r="L67" s="80">
        <v>8.93</v>
      </c>
      <c r="M67" s="80">
        <v>5.37</v>
      </c>
    </row>
    <row r="68" spans="2:13" x14ac:dyDescent="0.2">
      <c r="B68" s="80" t="s">
        <v>414</v>
      </c>
      <c r="C68" s="80">
        <v>361</v>
      </c>
      <c r="D68" s="80">
        <v>0.11799999999999999</v>
      </c>
      <c r="E68" s="80">
        <v>-1.2999999999999999E-2</v>
      </c>
      <c r="F68" s="80">
        <v>0.02</v>
      </c>
      <c r="G68" s="80">
        <v>4.9000000000000002E-2</v>
      </c>
      <c r="H68" s="80">
        <v>6.9000000000000006E-2</v>
      </c>
      <c r="I68" s="80">
        <v>-7.4999999999999997E-2</v>
      </c>
      <c r="J68" s="80">
        <v>0.53500000000000003</v>
      </c>
      <c r="K68" s="80">
        <v>3.6</v>
      </c>
      <c r="L68" s="80">
        <v>50.07</v>
      </c>
      <c r="M68" s="80">
        <v>109.6</v>
      </c>
    </row>
    <row r="69" spans="2:13" x14ac:dyDescent="0.2">
      <c r="B69" s="80" t="s">
        <v>413</v>
      </c>
      <c r="C69" s="80">
        <v>352</v>
      </c>
      <c r="D69" s="80">
        <v>8.5000000000000006E-2</v>
      </c>
      <c r="E69" s="80">
        <v>2.3E-2</v>
      </c>
      <c r="F69" s="80">
        <v>-5.0000000000000001E-3</v>
      </c>
      <c r="G69" s="80">
        <v>1.7999999999999999E-2</v>
      </c>
      <c r="H69" s="80">
        <v>3.7999999999999999E-2</v>
      </c>
      <c r="I69" s="80">
        <v>-3.5000000000000003E-2</v>
      </c>
      <c r="J69" s="80">
        <v>0.42199999999999999</v>
      </c>
      <c r="K69" s="80">
        <v>7.8</v>
      </c>
      <c r="L69" s="80">
        <v>6.31</v>
      </c>
      <c r="M69" s="80">
        <v>5.82</v>
      </c>
    </row>
    <row r="70" spans="2:13" x14ac:dyDescent="0.2">
      <c r="B70" s="80" t="s">
        <v>411</v>
      </c>
      <c r="C70" s="80">
        <v>347</v>
      </c>
      <c r="D70" s="80">
        <v>7.5999999999999998E-2</v>
      </c>
      <c r="E70" s="80">
        <v>-8.9999999999999993E-3</v>
      </c>
      <c r="F70" s="80">
        <v>8.6E-3</v>
      </c>
      <c r="G70" s="80">
        <v>1.6E-2</v>
      </c>
      <c r="H70" s="80">
        <v>4.7E-2</v>
      </c>
      <c r="I70" s="80">
        <v>-0.12</v>
      </c>
      <c r="J70" s="80">
        <v>0.38400000000000001</v>
      </c>
      <c r="K70" s="80">
        <v>6.6</v>
      </c>
      <c r="L70" s="80">
        <v>7.83</v>
      </c>
      <c r="M70" s="80">
        <v>7.47</v>
      </c>
    </row>
    <row r="71" spans="2:13" x14ac:dyDescent="0.2">
      <c r="B71" s="80" t="s">
        <v>410</v>
      </c>
      <c r="C71" s="80">
        <v>340</v>
      </c>
      <c r="D71" s="80">
        <v>0.14699999999999999</v>
      </c>
      <c r="E71" s="80">
        <v>-1.7999999999999999E-2</v>
      </c>
      <c r="F71" s="80">
        <v>2.2000000000000001E-3</v>
      </c>
      <c r="G71" s="80">
        <v>2.4E-2</v>
      </c>
      <c r="H71" s="80">
        <v>2.7E-2</v>
      </c>
      <c r="I71" s="80">
        <v>-0.13900000000000001</v>
      </c>
      <c r="J71" s="80">
        <v>1.31</v>
      </c>
      <c r="K71" s="80">
        <v>17.600000000000001</v>
      </c>
      <c r="L71" s="80">
        <v>1.37</v>
      </c>
      <c r="M71" s="80">
        <v>5.7</v>
      </c>
    </row>
    <row r="72" spans="2:13" x14ac:dyDescent="0.2">
      <c r="B72" s="80" t="s">
        <v>412</v>
      </c>
      <c r="C72" s="80">
        <v>337</v>
      </c>
      <c r="D72" s="80">
        <v>0.161</v>
      </c>
      <c r="E72" s="80">
        <v>-0.02</v>
      </c>
      <c r="F72" s="80">
        <v>1.7500000000000002E-2</v>
      </c>
      <c r="G72" s="80">
        <v>0.02</v>
      </c>
      <c r="H72" s="80">
        <v>4.8000000000000001E-2</v>
      </c>
      <c r="I72" s="80">
        <v>-3.2000000000000001E-2</v>
      </c>
      <c r="J72" s="80">
        <v>0.60699999999999998</v>
      </c>
      <c r="K72" s="80">
        <v>1</v>
      </c>
      <c r="L72" s="80">
        <v>4.1900000000000004</v>
      </c>
      <c r="M72" s="80">
        <v>32.729999999999997</v>
      </c>
    </row>
    <row r="73" spans="2:13" x14ac:dyDescent="0.2">
      <c r="B73" s="80" t="s">
        <v>419</v>
      </c>
      <c r="C73" s="80">
        <v>324</v>
      </c>
      <c r="D73" s="80">
        <v>5.4699999999999999E-2</v>
      </c>
      <c r="E73" s="80">
        <v>5.4699999999999999E-2</v>
      </c>
      <c r="F73" s="80">
        <v>4.7500000000000001E-2</v>
      </c>
      <c r="G73" s="80">
        <v>5.5399999999999998E-2</v>
      </c>
      <c r="H73" s="80">
        <v>5.2999999999999999E-2</v>
      </c>
      <c r="I73" s="80">
        <v>-5.3499999999999999E-2</v>
      </c>
      <c r="J73" s="80">
        <v>0.317</v>
      </c>
      <c r="K73" s="80">
        <v>-1.5</v>
      </c>
      <c r="L73" s="80">
        <v>84.8</v>
      </c>
      <c r="M73" s="80">
        <v>165</v>
      </c>
    </row>
    <row r="74" spans="2:13" x14ac:dyDescent="0.2">
      <c r="B74" s="80" t="s">
        <v>409</v>
      </c>
      <c r="C74" s="80">
        <v>302</v>
      </c>
      <c r="D74" s="80">
        <v>0.193</v>
      </c>
      <c r="E74" s="80">
        <v>1.2E-2</v>
      </c>
      <c r="F74" s="80">
        <v>3.5000000000000003E-2</v>
      </c>
      <c r="G74" s="80">
        <v>4.9000000000000002E-2</v>
      </c>
      <c r="H74" s="80">
        <v>0.34399999999999997</v>
      </c>
      <c r="I74" s="80">
        <v>-0.123</v>
      </c>
      <c r="J74" s="80">
        <v>0.83</v>
      </c>
      <c r="K74" s="80">
        <v>2.2000000000000002</v>
      </c>
      <c r="L74" s="80">
        <v>14.73</v>
      </c>
      <c r="M74" s="80">
        <v>59.3</v>
      </c>
    </row>
    <row r="75" spans="2:13" x14ac:dyDescent="0.2">
      <c r="B75" s="80" t="s">
        <v>421</v>
      </c>
      <c r="C75" s="80">
        <v>271</v>
      </c>
      <c r="D75" s="80">
        <v>6.6100000000000006E-2</v>
      </c>
      <c r="E75" s="80">
        <v>6.88E-2</v>
      </c>
      <c r="F75" s="80">
        <v>0.04</v>
      </c>
      <c r="G75" s="80">
        <v>2.8199999999999999E-2</v>
      </c>
      <c r="H75" s="80">
        <v>2.6200000000000001E-2</v>
      </c>
      <c r="I75" s="80">
        <v>-5.8000000000000003E-2</v>
      </c>
      <c r="J75" s="80">
        <v>0.46700000000000003</v>
      </c>
      <c r="K75" s="80">
        <v>5</v>
      </c>
      <c r="L75" s="80">
        <v>23170</v>
      </c>
      <c r="M75" s="80">
        <v>97.58</v>
      </c>
    </row>
    <row r="76" spans="2:13" x14ac:dyDescent="0.2">
      <c r="B76" s="80" t="s">
        <v>415</v>
      </c>
      <c r="C76" s="80">
        <v>271</v>
      </c>
      <c r="D76" s="80">
        <v>0.17599999999999999</v>
      </c>
      <c r="E76" s="80">
        <v>-2.4E-2</v>
      </c>
      <c r="F76" s="80">
        <v>1.7500000000000002E-2</v>
      </c>
      <c r="G76" s="80">
        <v>4.4400000000000002E-2</v>
      </c>
      <c r="H76" s="80">
        <v>0.14299999999999999</v>
      </c>
      <c r="I76" s="80">
        <v>-7.8E-2</v>
      </c>
      <c r="J76" s="80">
        <v>0.628</v>
      </c>
      <c r="K76" s="80">
        <v>-3.4</v>
      </c>
      <c r="L76" s="80">
        <v>3354</v>
      </c>
      <c r="M76" s="80">
        <v>50.88</v>
      </c>
    </row>
    <row r="77" spans="2:13" x14ac:dyDescent="0.2">
      <c r="B77" s="80" t="s">
        <v>418</v>
      </c>
      <c r="C77" s="80">
        <v>271</v>
      </c>
      <c r="D77" s="80">
        <v>7.4999999999999997E-2</v>
      </c>
      <c r="E77" s="80">
        <v>2.1000000000000001E-2</v>
      </c>
      <c r="F77" s="80">
        <v>0</v>
      </c>
      <c r="G77" s="80">
        <v>2.1999999999999999E-2</v>
      </c>
      <c r="H77" s="80">
        <v>6.5000000000000002E-2</v>
      </c>
      <c r="I77" s="80">
        <v>-5.3999999999999999E-2</v>
      </c>
      <c r="J77" s="80">
        <v>0.69199999999999995</v>
      </c>
      <c r="K77" s="80">
        <v>0.3</v>
      </c>
      <c r="L77" s="80">
        <v>1.1100000000000001</v>
      </c>
      <c r="M77" s="80">
        <v>5.53</v>
      </c>
    </row>
    <row r="78" spans="2:13" x14ac:dyDescent="0.2">
      <c r="B78" s="80" t="s">
        <v>416</v>
      </c>
      <c r="C78" s="80">
        <v>264</v>
      </c>
      <c r="D78" s="80">
        <v>3.9399999999999998E-2</v>
      </c>
      <c r="E78" s="80">
        <v>5.79E-2</v>
      </c>
      <c r="F78" s="80">
        <v>7.2499999999999995E-2</v>
      </c>
      <c r="G78" s="80">
        <v>8.4000000000000005E-2</v>
      </c>
      <c r="H78" s="80">
        <v>4.3999999999999997E-2</v>
      </c>
      <c r="I78" s="80">
        <v>-8.1000000000000003E-2</v>
      </c>
      <c r="J78" s="80">
        <v>0.87</v>
      </c>
      <c r="K78" s="80">
        <v>-0.6</v>
      </c>
      <c r="L78" s="80">
        <v>159</v>
      </c>
      <c r="M78" s="80">
        <v>221</v>
      </c>
    </row>
    <row r="79" spans="2:13" x14ac:dyDescent="0.2">
      <c r="B79" s="80" t="s">
        <v>417</v>
      </c>
      <c r="C79" s="80">
        <v>253</v>
      </c>
      <c r="D79" s="80">
        <v>0.18099999999999999</v>
      </c>
      <c r="E79" s="80">
        <v>0.01</v>
      </c>
      <c r="F79" s="80">
        <v>1.4999999999999999E-2</v>
      </c>
      <c r="G79" s="80">
        <v>4.8000000000000001E-2</v>
      </c>
      <c r="H79" s="80">
        <v>8.8999999999999996E-2</v>
      </c>
      <c r="I79" s="80">
        <v>-7.0999999999999994E-2</v>
      </c>
      <c r="J79" s="80">
        <v>0.33</v>
      </c>
      <c r="K79" s="80">
        <v>1.4</v>
      </c>
      <c r="L79" s="80">
        <v>749.27</v>
      </c>
      <c r="M79" s="80">
        <v>19.46</v>
      </c>
    </row>
    <row r="80" spans="2:13" x14ac:dyDescent="0.2">
      <c r="B80" s="80" t="s">
        <v>423</v>
      </c>
      <c r="C80" s="80">
        <v>249</v>
      </c>
      <c r="D80" s="80">
        <v>0.13</v>
      </c>
      <c r="E80" s="80">
        <v>1.7999999999999999E-2</v>
      </c>
      <c r="F80" s="80">
        <v>1.2500000000000001E-2</v>
      </c>
      <c r="G80" s="80">
        <v>5.2499999999999998E-2</v>
      </c>
      <c r="H80" s="80">
        <v>5.0999999999999997E-2</v>
      </c>
      <c r="I80" s="80">
        <v>-9.1999999999999998E-2</v>
      </c>
      <c r="J80" s="80">
        <v>0.47299999999999998</v>
      </c>
      <c r="K80" s="80">
        <v>-5.0999999999999996</v>
      </c>
      <c r="L80" s="80">
        <v>4.18</v>
      </c>
      <c r="M80" s="80">
        <v>19.329999999999998</v>
      </c>
    </row>
    <row r="81" spans="2:13" x14ac:dyDescent="0.2">
      <c r="B81" s="80" t="s">
        <v>422</v>
      </c>
      <c r="C81" s="80">
        <v>244</v>
      </c>
      <c r="D81" s="80">
        <v>8.2000000000000003E-2</v>
      </c>
      <c r="E81" s="80">
        <v>0.01</v>
      </c>
      <c r="F81" s="80">
        <v>7.4999999999999997E-3</v>
      </c>
      <c r="G81" s="80">
        <v>4.1000000000000002E-2</v>
      </c>
      <c r="H81" s="80">
        <v>3.5999999999999997E-2</v>
      </c>
      <c r="I81" s="80">
        <v>-6.2E-2</v>
      </c>
      <c r="J81" s="80">
        <v>0.38100000000000001</v>
      </c>
      <c r="K81" s="80">
        <v>3.6</v>
      </c>
      <c r="L81" s="80">
        <v>21.77</v>
      </c>
      <c r="M81" s="80">
        <v>10.7</v>
      </c>
    </row>
    <row r="82" spans="2:13" x14ac:dyDescent="0.2">
      <c r="B82" s="80" t="s">
        <v>424</v>
      </c>
      <c r="C82" s="80">
        <v>231</v>
      </c>
      <c r="D82" s="80">
        <v>0.155</v>
      </c>
      <c r="E82" s="80">
        <v>4.9000000000000002E-2</v>
      </c>
      <c r="F82" s="80">
        <v>0</v>
      </c>
      <c r="G82" s="80">
        <v>1.4999999999999999E-2</v>
      </c>
      <c r="H82" s="80">
        <v>6.7000000000000004E-2</v>
      </c>
      <c r="I82" s="80">
        <v>-5.7000000000000002E-2</v>
      </c>
      <c r="J82" s="80">
        <v>1.3360000000000001</v>
      </c>
      <c r="K82" s="80">
        <v>-1.2</v>
      </c>
      <c r="L82" s="80">
        <v>1.1100000000000001</v>
      </c>
      <c r="M82" s="80">
        <v>10.3</v>
      </c>
    </row>
    <row r="83" spans="2:13" x14ac:dyDescent="0.2">
      <c r="B83" s="80" t="s">
        <v>365</v>
      </c>
      <c r="C83" s="80">
        <v>212</v>
      </c>
      <c r="D83" s="80">
        <v>0.17399999999999999</v>
      </c>
      <c r="E83" s="80">
        <v>2.8000000000000001E-2</v>
      </c>
      <c r="F83" s="80">
        <v>2.5000000000000001E-3</v>
      </c>
      <c r="G83" s="80">
        <v>3.3000000000000002E-2</v>
      </c>
      <c r="H83" s="80">
        <v>0.04</v>
      </c>
      <c r="I83" s="80">
        <v>-7.4999999999999997E-2</v>
      </c>
      <c r="J83" s="80">
        <v>0.27</v>
      </c>
      <c r="K83" s="80">
        <v>-2.7</v>
      </c>
      <c r="L83" s="80">
        <v>0.63</v>
      </c>
      <c r="M83" s="80">
        <v>5.1100000000000003</v>
      </c>
    </row>
    <row r="84" spans="2:13" x14ac:dyDescent="0.2">
      <c r="B84" s="80" t="s">
        <v>426</v>
      </c>
      <c r="C84" s="80">
        <v>202</v>
      </c>
      <c r="D84" s="80">
        <v>0.41899999999999998</v>
      </c>
      <c r="E84" s="80">
        <v>0</v>
      </c>
      <c r="F84" s="80">
        <v>0.01</v>
      </c>
      <c r="G84" s="80">
        <v>4.9500000000000002E-2</v>
      </c>
      <c r="H84" s="80">
        <v>9.5000000000000001E-2</v>
      </c>
      <c r="I84" s="80">
        <v>-8.8999999999999996E-2</v>
      </c>
      <c r="J84" s="80">
        <v>0.35399999999999998</v>
      </c>
      <c r="K84" s="80">
        <v>0.7</v>
      </c>
      <c r="L84" s="80">
        <v>3.96</v>
      </c>
      <c r="M84" s="80">
        <v>32.630000000000003</v>
      </c>
    </row>
    <row r="85" spans="2:13" x14ac:dyDescent="0.2">
      <c r="B85" s="80" t="s">
        <v>404</v>
      </c>
      <c r="C85" s="80">
        <v>192</v>
      </c>
      <c r="D85" s="80">
        <v>-3.9E-2</v>
      </c>
      <c r="E85" s="80"/>
      <c r="F85" s="80">
        <v>0.18</v>
      </c>
      <c r="G85" s="80">
        <v>0.432</v>
      </c>
      <c r="H85" s="80">
        <v>9.4E-2</v>
      </c>
      <c r="I85" s="80">
        <v>-9.5000000000000001E-2</v>
      </c>
      <c r="J85" s="80">
        <v>0.45400000000000001</v>
      </c>
      <c r="K85" s="80">
        <v>-0.5</v>
      </c>
      <c r="L85" s="80">
        <v>42000</v>
      </c>
      <c r="M85" s="80">
        <v>84</v>
      </c>
    </row>
    <row r="86" spans="2:13" x14ac:dyDescent="0.2">
      <c r="B86" s="80" t="s">
        <v>359</v>
      </c>
      <c r="C86" s="80">
        <v>189</v>
      </c>
      <c r="D86" s="80">
        <v>0.16200000000000001</v>
      </c>
      <c r="E86" s="80">
        <v>3.4000000000000002E-2</v>
      </c>
      <c r="F86" s="80">
        <v>0</v>
      </c>
      <c r="G86" s="80">
        <v>1.9E-2</v>
      </c>
      <c r="H86" s="80">
        <v>0.14199999999999999</v>
      </c>
      <c r="I86" s="80">
        <v>-9.7000000000000003E-2</v>
      </c>
      <c r="J86" s="80">
        <v>2.056</v>
      </c>
      <c r="K86" s="80">
        <v>-6.7</v>
      </c>
      <c r="L86" s="80">
        <v>1.1100000000000001</v>
      </c>
      <c r="M86" s="80">
        <v>10.72</v>
      </c>
    </row>
    <row r="87" spans="2:13" x14ac:dyDescent="0.2">
      <c r="B87" s="80" t="s">
        <v>429</v>
      </c>
      <c r="C87" s="80">
        <v>170</v>
      </c>
      <c r="D87" s="80">
        <v>2.3E-2</v>
      </c>
      <c r="E87" s="80">
        <v>1.26E-2</v>
      </c>
      <c r="F87" s="80">
        <v>9.5000000000000001E-2</v>
      </c>
      <c r="G87" s="80">
        <v>8.6999999999999994E-2</v>
      </c>
      <c r="H87" s="80">
        <v>4.9000000000000002E-2</v>
      </c>
      <c r="I87" s="80">
        <v>-0.04</v>
      </c>
      <c r="J87" s="80">
        <v>0.23400000000000001</v>
      </c>
      <c r="K87" s="80">
        <v>-3.7</v>
      </c>
      <c r="L87" s="80">
        <v>427.38</v>
      </c>
      <c r="M87" s="80">
        <v>18.88</v>
      </c>
    </row>
    <row r="88" spans="2:13" x14ac:dyDescent="0.2">
      <c r="B88" s="80" t="s">
        <v>425</v>
      </c>
      <c r="C88" s="80">
        <v>167</v>
      </c>
      <c r="D88" s="80">
        <v>-0.109</v>
      </c>
      <c r="E88" s="80"/>
      <c r="F88" s="80">
        <v>0.04</v>
      </c>
      <c r="G88" s="80">
        <v>7.3999999999999996E-2</v>
      </c>
      <c r="H88" s="80">
        <v>0.13739999999999999</v>
      </c>
      <c r="I88" s="80">
        <v>-0.17499999999999999</v>
      </c>
      <c r="J88" s="80">
        <v>0.68300000000000005</v>
      </c>
      <c r="K88" s="80">
        <v>-12.6</v>
      </c>
      <c r="L88" s="80">
        <v>1193.81</v>
      </c>
      <c r="M88" s="80">
        <v>40.200000000000003</v>
      </c>
    </row>
    <row r="89" spans="2:13" x14ac:dyDescent="0.2">
      <c r="B89" s="80" t="s">
        <v>432</v>
      </c>
      <c r="C89" s="80">
        <v>156</v>
      </c>
      <c r="D89" s="80">
        <v>5.7000000000000002E-2</v>
      </c>
      <c r="E89" s="80">
        <v>-7.0000000000000001E-3</v>
      </c>
      <c r="F89" s="80">
        <v>8.5000000000000006E-2</v>
      </c>
      <c r="G89" s="80">
        <v>0.10199999999999999</v>
      </c>
      <c r="H89" s="80">
        <v>9.2999999999999999E-2</v>
      </c>
      <c r="I89" s="80">
        <v>-6.0999999999999999E-2</v>
      </c>
      <c r="J89" s="80">
        <v>0.60799999999999998</v>
      </c>
      <c r="K89" s="80">
        <v>4.3</v>
      </c>
      <c r="L89" s="80">
        <v>27.25</v>
      </c>
      <c r="M89" s="80">
        <v>44.13</v>
      </c>
    </row>
    <row r="90" spans="2:13" x14ac:dyDescent="0.2">
      <c r="B90" s="80" t="s">
        <v>430</v>
      </c>
      <c r="C90" s="80">
        <v>155</v>
      </c>
      <c r="D90" s="80">
        <v>0.17899999999999999</v>
      </c>
      <c r="E90" s="80">
        <v>2.7E-2</v>
      </c>
      <c r="F90" s="80">
        <v>1.6500000000000001E-2</v>
      </c>
      <c r="G90" s="80">
        <v>4.9000000000000002E-2</v>
      </c>
      <c r="H90" s="80">
        <v>4.1000000000000002E-2</v>
      </c>
      <c r="I90" s="80">
        <v>-8.1000000000000003E-2</v>
      </c>
      <c r="J90" s="80">
        <v>0.80400000000000005</v>
      </c>
      <c r="K90" s="80">
        <v>0</v>
      </c>
      <c r="L90" s="80">
        <v>302.98</v>
      </c>
      <c r="M90" s="80">
        <v>9.77</v>
      </c>
    </row>
    <row r="91" spans="2:13" x14ac:dyDescent="0.2">
      <c r="B91" s="80" t="s">
        <v>427</v>
      </c>
      <c r="C91" s="80">
        <v>146</v>
      </c>
      <c r="D91" s="80">
        <v>-2.5000000000000001E-2</v>
      </c>
      <c r="E91" s="80">
        <v>-1.0999999999999999E-2</v>
      </c>
      <c r="F91" s="80">
        <v>2.5000000000000001E-2</v>
      </c>
      <c r="G91" s="80">
        <v>2.9499999999999998E-2</v>
      </c>
      <c r="H91" s="80">
        <v>1E-3</v>
      </c>
      <c r="I91" s="80">
        <v>-2.1000000000000001E-2</v>
      </c>
      <c r="J91" s="80">
        <v>0.71799999999999997</v>
      </c>
      <c r="K91" s="80">
        <v>-2.5</v>
      </c>
      <c r="L91" s="80">
        <v>3.7</v>
      </c>
      <c r="M91" s="80">
        <v>2.88</v>
      </c>
    </row>
    <row r="92" spans="2:13" ht="16" thickBot="1" x14ac:dyDescent="0.25">
      <c r="B92" s="80" t="s">
        <v>428</v>
      </c>
      <c r="C92" s="80">
        <v>145</v>
      </c>
      <c r="D92" s="80">
        <v>-3.9E-2</v>
      </c>
      <c r="E92" s="80">
        <v>8.0000000000000002E-3</v>
      </c>
      <c r="F92" s="80">
        <v>0.03</v>
      </c>
      <c r="G92" s="80">
        <v>4.1200000000000001E-2</v>
      </c>
      <c r="H92" s="80">
        <v>0.114</v>
      </c>
      <c r="I92" s="80">
        <v>-0.115</v>
      </c>
      <c r="J92" s="80">
        <v>0.57199999999999995</v>
      </c>
      <c r="K92" s="80">
        <v>-10.8</v>
      </c>
      <c r="L92" s="80">
        <v>134.37</v>
      </c>
      <c r="M92" s="80">
        <v>44.23</v>
      </c>
    </row>
    <row r="93" spans="2:13" x14ac:dyDescent="0.2">
      <c r="B93" s="80" t="s">
        <v>431</v>
      </c>
      <c r="C93" s="80">
        <v>136</v>
      </c>
      <c r="D93" s="80">
        <v>-0.112</v>
      </c>
      <c r="E93" s="98">
        <v>4.7E-2</v>
      </c>
      <c r="F93" s="80">
        <v>1.4999999999999999E-2</v>
      </c>
      <c r="G93" s="80">
        <v>3.1E-2</v>
      </c>
      <c r="H93" s="80">
        <v>2.3E-2</v>
      </c>
      <c r="I93" s="80">
        <v>-9.4E-2</v>
      </c>
      <c r="J93" s="80">
        <v>0.115</v>
      </c>
      <c r="K93" s="80">
        <v>0.8</v>
      </c>
      <c r="L93" s="80">
        <v>0.3</v>
      </c>
      <c r="M93" s="80">
        <v>4.2699999999999996</v>
      </c>
    </row>
    <row r="94" spans="2:13" ht="16" thickBot="1" x14ac:dyDescent="0.25">
      <c r="B94" s="80" t="s">
        <v>433</v>
      </c>
      <c r="C94" s="80">
        <v>113</v>
      </c>
      <c r="D94" s="80">
        <v>0.01</v>
      </c>
      <c r="E94" s="80">
        <v>1.0999999999999999E-2</v>
      </c>
      <c r="F94" s="80">
        <v>1.4999999999999999E-2</v>
      </c>
      <c r="G94" s="80">
        <v>8.0000000000000002E-3</v>
      </c>
      <c r="H94" s="80">
        <v>0.128</v>
      </c>
      <c r="I94" s="80">
        <v>-7.5999999999999998E-2</v>
      </c>
      <c r="J94" s="80">
        <v>0.77400000000000002</v>
      </c>
      <c r="K94" s="80">
        <v>-1.5</v>
      </c>
      <c r="L94" s="80">
        <v>8.9600000000000009</v>
      </c>
      <c r="M94" s="80">
        <v>35.950000000000003</v>
      </c>
    </row>
    <row r="95" spans="2:13" x14ac:dyDescent="0.2">
      <c r="B95" s="80" t="s">
        <v>441</v>
      </c>
      <c r="C95" s="80">
        <v>108</v>
      </c>
      <c r="D95" s="80">
        <v>6.0999999999999999E-2</v>
      </c>
      <c r="E95" s="78"/>
      <c r="F95" s="80">
        <v>7.0000000000000007E-2</v>
      </c>
      <c r="G95" s="80">
        <v>0.30399999999999999</v>
      </c>
      <c r="H95" s="80">
        <v>0.191</v>
      </c>
      <c r="I95" s="80">
        <v>-0.04</v>
      </c>
      <c r="J95" s="80">
        <v>0.59</v>
      </c>
      <c r="K95" s="80">
        <v>-4.4000000000000004</v>
      </c>
      <c r="L95" s="80">
        <v>31.69</v>
      </c>
      <c r="M95" s="80">
        <v>115</v>
      </c>
    </row>
    <row r="96" spans="2:13" ht="16" thickBot="1" x14ac:dyDescent="0.25">
      <c r="B96" s="80" t="s">
        <v>436</v>
      </c>
      <c r="C96" s="80">
        <v>105</v>
      </c>
      <c r="D96" s="80">
        <v>9.6000000000000002E-2</v>
      </c>
      <c r="E96" s="80">
        <v>0.02</v>
      </c>
      <c r="F96" s="80">
        <v>0</v>
      </c>
      <c r="G96" s="80">
        <v>3.7999999999999999E-2</v>
      </c>
      <c r="H96" s="80">
        <v>7.3700000000000002E-2</v>
      </c>
      <c r="I96" s="80">
        <v>-6.2E-2</v>
      </c>
      <c r="J96" s="80">
        <v>0.60599999999999998</v>
      </c>
      <c r="K96" s="80">
        <v>-0.4</v>
      </c>
      <c r="L96" s="80">
        <v>1.1100000000000001</v>
      </c>
      <c r="M96" s="80">
        <v>5.46</v>
      </c>
    </row>
    <row r="97" spans="2:13" ht="16" thickBot="1" x14ac:dyDescent="0.25">
      <c r="B97" s="80" t="s">
        <v>438</v>
      </c>
      <c r="C97" s="80">
        <v>103</v>
      </c>
      <c r="D97" s="80">
        <v>-0.11</v>
      </c>
      <c r="E97" s="78"/>
      <c r="F97" s="80">
        <v>2.2499999999999999E-2</v>
      </c>
      <c r="G97" s="80">
        <v>4.2000000000000003E-2</v>
      </c>
      <c r="H97" s="80">
        <v>3.8699999999999998E-2</v>
      </c>
      <c r="I97" s="80">
        <v>-0.17699999999999999</v>
      </c>
      <c r="J97" s="80">
        <v>0.184</v>
      </c>
      <c r="K97" s="80">
        <v>0.2</v>
      </c>
      <c r="L97" s="80">
        <v>1</v>
      </c>
      <c r="M97" s="80">
        <v>11.28</v>
      </c>
    </row>
    <row r="98" spans="2:13" x14ac:dyDescent="0.2">
      <c r="B98" s="80" t="s">
        <v>437</v>
      </c>
      <c r="C98" s="80">
        <v>103</v>
      </c>
      <c r="D98" s="80">
        <v>-3.2000000000000001E-2</v>
      </c>
      <c r="E98" s="78"/>
      <c r="F98" s="78"/>
      <c r="G98" s="80">
        <v>2.9000000000000001E-2</v>
      </c>
      <c r="H98" s="80">
        <v>9.0999999999999998E-2</v>
      </c>
      <c r="I98" s="78"/>
      <c r="J98" s="78"/>
      <c r="K98" s="78"/>
      <c r="L98" s="80">
        <v>98.56</v>
      </c>
      <c r="M98" s="80">
        <v>3.19</v>
      </c>
    </row>
    <row r="99" spans="2:13" x14ac:dyDescent="0.2">
      <c r="B99" s="80" t="s">
        <v>440</v>
      </c>
      <c r="C99" s="80">
        <v>99</v>
      </c>
      <c r="D99" s="80">
        <v>-1.0999999999999999E-2</v>
      </c>
      <c r="E99" s="80">
        <v>3.49E-2</v>
      </c>
      <c r="F99" s="80">
        <v>7.0000000000000007E-2</v>
      </c>
      <c r="G99" s="80">
        <v>6.5699999999999995E-2</v>
      </c>
      <c r="H99" s="80">
        <v>7.1999999999999995E-2</v>
      </c>
      <c r="I99" s="80">
        <v>-7.8E-2</v>
      </c>
      <c r="J99" s="80">
        <v>0.65600000000000003</v>
      </c>
      <c r="K99" s="80">
        <v>-4.8</v>
      </c>
      <c r="L99" s="80">
        <v>107.9</v>
      </c>
      <c r="M99" s="80">
        <v>53.7</v>
      </c>
    </row>
    <row r="100" spans="2:13" x14ac:dyDescent="0.2">
      <c r="B100" s="80" t="s">
        <v>434</v>
      </c>
      <c r="C100" s="80">
        <v>99</v>
      </c>
      <c r="D100" s="80">
        <v>-5.6000000000000001E-2</v>
      </c>
      <c r="E100" s="80">
        <v>6.7999999999999996E-3</v>
      </c>
      <c r="F100" s="80">
        <v>9.3299999999999994E-2</v>
      </c>
      <c r="G100" s="80">
        <v>8.8999999999999999E-3</v>
      </c>
      <c r="H100" s="80">
        <v>7.2999999999999995E-2</v>
      </c>
      <c r="I100" s="80">
        <v>-8.8999999999999996E-2</v>
      </c>
      <c r="J100" s="80">
        <v>0.68899999999999995</v>
      </c>
      <c r="K100" s="80">
        <v>2.6</v>
      </c>
      <c r="L100" s="80">
        <v>98.56</v>
      </c>
      <c r="M100" s="80">
        <v>17.559999999999999</v>
      </c>
    </row>
    <row r="101" spans="2:13" ht="16" thickBot="1" x14ac:dyDescent="0.25">
      <c r="B101" s="80" t="s">
        <v>439</v>
      </c>
      <c r="C101" s="80">
        <v>81</v>
      </c>
      <c r="D101" s="80">
        <v>4.2999999999999997E-2</v>
      </c>
      <c r="E101" s="80">
        <v>1.4E-2</v>
      </c>
      <c r="F101" s="80">
        <v>0.05</v>
      </c>
      <c r="G101" s="80">
        <v>0.06</v>
      </c>
      <c r="H101" s="80">
        <v>5.7000000000000002E-2</v>
      </c>
      <c r="I101" s="80">
        <v>-0.111</v>
      </c>
      <c r="J101" s="80">
        <v>1.01</v>
      </c>
      <c r="K101" s="80">
        <v>-1.3</v>
      </c>
      <c r="L101" s="80">
        <v>199</v>
      </c>
      <c r="M101" s="80">
        <v>21.92</v>
      </c>
    </row>
    <row r="102" spans="2:13" x14ac:dyDescent="0.2">
      <c r="B102" s="80" t="s">
        <v>442</v>
      </c>
      <c r="C102" s="80">
        <v>79</v>
      </c>
      <c r="D102" s="80">
        <v>3.1E-2</v>
      </c>
      <c r="E102" s="97">
        <v>-7.0000000000000001E-3</v>
      </c>
      <c r="F102" s="80">
        <v>0.03</v>
      </c>
      <c r="G102" s="80">
        <v>7.9000000000000001E-2</v>
      </c>
      <c r="H102" s="80">
        <v>0.08</v>
      </c>
      <c r="I102" s="80">
        <v>-7.9100000000000004E-2</v>
      </c>
      <c r="J102" s="80">
        <v>0.69099999999999995</v>
      </c>
      <c r="K102" s="80">
        <v>-2</v>
      </c>
      <c r="L102" s="80">
        <v>52.98</v>
      </c>
      <c r="M102" s="80">
        <v>10.45</v>
      </c>
    </row>
    <row r="103" spans="2:13" ht="16" thickBot="1" x14ac:dyDescent="0.25">
      <c r="B103" s="80" t="s">
        <v>444</v>
      </c>
      <c r="C103" s="80">
        <v>78</v>
      </c>
      <c r="D103" s="80">
        <v>4.82E-2</v>
      </c>
      <c r="E103" s="80"/>
      <c r="F103" s="80">
        <v>1.7500000000000002E-2</v>
      </c>
      <c r="G103" s="80">
        <v>3.6200000000000003E-2</v>
      </c>
      <c r="H103" s="80">
        <v>0.02</v>
      </c>
      <c r="I103" s="80">
        <v>-4.9000000000000002E-2</v>
      </c>
      <c r="J103" s="80">
        <v>0.31259999999999999</v>
      </c>
      <c r="K103" s="80">
        <v>5.5</v>
      </c>
      <c r="L103" s="80">
        <v>7.7</v>
      </c>
      <c r="M103" s="80">
        <v>17.920000000000002</v>
      </c>
    </row>
    <row r="104" spans="2:13" ht="16" thickBot="1" x14ac:dyDescent="0.25">
      <c r="B104" s="80" t="s">
        <v>446</v>
      </c>
      <c r="C104" s="80">
        <v>76</v>
      </c>
      <c r="D104" s="80">
        <v>-0.1</v>
      </c>
      <c r="E104" s="78"/>
      <c r="F104" s="80">
        <v>7.0000000000000007E-2</v>
      </c>
      <c r="G104" s="80">
        <v>2.64E-2</v>
      </c>
      <c r="H104" s="80">
        <v>1.7899999999999999E-2</v>
      </c>
      <c r="I104" s="80">
        <v>-5.6000000000000001E-2</v>
      </c>
      <c r="J104" s="80">
        <v>0.42399999999999999</v>
      </c>
      <c r="K104" s="80">
        <v>-4</v>
      </c>
      <c r="L104" s="80">
        <v>1500</v>
      </c>
      <c r="M104" s="80">
        <v>54.53</v>
      </c>
    </row>
    <row r="105" spans="2:13" x14ac:dyDescent="0.2">
      <c r="B105" s="80" t="s">
        <v>443</v>
      </c>
      <c r="C105" s="80">
        <v>76</v>
      </c>
      <c r="D105" s="80">
        <v>-6.3E-2</v>
      </c>
      <c r="E105" s="78"/>
      <c r="F105" s="80">
        <v>5.0000000000000001E-3</v>
      </c>
      <c r="G105" s="80">
        <v>2.1899999999999999E-2</v>
      </c>
      <c r="H105" s="80">
        <v>0.05</v>
      </c>
      <c r="I105" s="80">
        <v>-7.0000000000000007E-2</v>
      </c>
      <c r="J105" s="80">
        <v>0.55900000000000005</v>
      </c>
      <c r="K105" s="80">
        <v>-5.2</v>
      </c>
      <c r="L105" s="80">
        <v>0.38</v>
      </c>
      <c r="M105" s="80">
        <v>4.5</v>
      </c>
    </row>
    <row r="106" spans="2:13" x14ac:dyDescent="0.2">
      <c r="B106" s="80" t="s">
        <v>447</v>
      </c>
      <c r="C106" s="80">
        <v>73</v>
      </c>
      <c r="D106" s="80">
        <v>4.87E-2</v>
      </c>
      <c r="E106" s="80">
        <v>1.4E-2</v>
      </c>
      <c r="F106" s="80">
        <v>0</v>
      </c>
      <c r="G106" s="80">
        <v>2.5000000000000001E-2</v>
      </c>
      <c r="H106" s="80">
        <v>5.5E-2</v>
      </c>
      <c r="I106" s="80">
        <v>-4.1000000000000002E-2</v>
      </c>
      <c r="J106" s="80">
        <v>0.249</v>
      </c>
      <c r="K106" s="80">
        <v>4.3</v>
      </c>
      <c r="L106" s="80">
        <v>1.1100000000000001</v>
      </c>
      <c r="M106" s="80">
        <v>0.63</v>
      </c>
    </row>
    <row r="107" spans="2:13" x14ac:dyDescent="0.2">
      <c r="B107" s="80" t="s">
        <v>448</v>
      </c>
      <c r="C107" s="80">
        <v>72</v>
      </c>
      <c r="D107" s="80">
        <v>3.9E-2</v>
      </c>
      <c r="E107" s="80">
        <v>8.9999999999999993E-3</v>
      </c>
      <c r="F107" s="80">
        <v>0.13500000000000001</v>
      </c>
      <c r="G107" s="80">
        <v>9.7000000000000003E-2</v>
      </c>
      <c r="H107" s="80">
        <v>4.4999999999999998E-2</v>
      </c>
      <c r="I107" s="80">
        <v>-0.13800000000000001</v>
      </c>
      <c r="J107" s="80">
        <v>0.78</v>
      </c>
      <c r="K107" s="80">
        <v>-2.5</v>
      </c>
      <c r="L107" s="80">
        <v>5.88</v>
      </c>
      <c r="M107" s="80">
        <v>30.96</v>
      </c>
    </row>
    <row r="108" spans="2:13" ht="16" thickBot="1" x14ac:dyDescent="0.25">
      <c r="B108" s="80" t="s">
        <v>449</v>
      </c>
      <c r="C108" s="80">
        <v>69</v>
      </c>
      <c r="D108" s="80">
        <v>9.9000000000000005E-2</v>
      </c>
      <c r="E108" s="80">
        <v>6.0000000000000001E-3</v>
      </c>
      <c r="F108" s="80">
        <v>0</v>
      </c>
      <c r="G108" s="80">
        <v>3.6999999999999998E-2</v>
      </c>
      <c r="H108" s="80">
        <v>0.05</v>
      </c>
      <c r="I108" s="80">
        <v>-3.4000000000000002E-2</v>
      </c>
      <c r="J108" s="80">
        <v>0.23899999999999999</v>
      </c>
      <c r="K108" s="80">
        <v>-0.7</v>
      </c>
      <c r="L108" s="80">
        <v>1.66</v>
      </c>
      <c r="M108" s="80">
        <v>6.95</v>
      </c>
    </row>
    <row r="109" spans="2:13" x14ac:dyDescent="0.2">
      <c r="B109" s="80" t="s">
        <v>445</v>
      </c>
      <c r="C109" s="80">
        <v>65</v>
      </c>
      <c r="D109" s="80">
        <v>4.8000000000000001E-2</v>
      </c>
      <c r="E109" s="78"/>
      <c r="F109" s="78"/>
      <c r="G109" s="80">
        <v>0.52429999999999999</v>
      </c>
      <c r="H109" s="80">
        <v>0.09</v>
      </c>
      <c r="I109" s="80">
        <v>-0.114</v>
      </c>
      <c r="J109" s="80">
        <v>0.30009999999999998</v>
      </c>
      <c r="K109" s="80">
        <v>-0.62</v>
      </c>
      <c r="L109" s="80">
        <v>436.5</v>
      </c>
      <c r="M109" s="80">
        <v>17.5</v>
      </c>
    </row>
    <row r="110" spans="2:13" x14ac:dyDescent="0.2">
      <c r="B110" s="80" t="s">
        <v>455</v>
      </c>
      <c r="C110" s="80">
        <v>62</v>
      </c>
      <c r="D110" s="80">
        <v>4.9000000000000002E-2</v>
      </c>
      <c r="E110" s="80">
        <v>1.4999999999999999E-2</v>
      </c>
      <c r="F110" s="80">
        <v>0.05</v>
      </c>
      <c r="G110" s="80">
        <v>3.7999999999999999E-2</v>
      </c>
      <c r="H110" s="80">
        <v>9.5000000000000001E-2</v>
      </c>
      <c r="I110" s="80">
        <v>-2.5999999999999999E-2</v>
      </c>
      <c r="J110" s="80">
        <v>0.378</v>
      </c>
      <c r="K110" s="80">
        <v>-2.1</v>
      </c>
      <c r="L110" s="80">
        <v>2314</v>
      </c>
      <c r="M110" s="80">
        <v>59.73</v>
      </c>
    </row>
    <row r="111" spans="2:13" ht="16" thickBot="1" x14ac:dyDescent="0.25">
      <c r="B111" s="80" t="s">
        <v>435</v>
      </c>
      <c r="C111" s="80">
        <v>62</v>
      </c>
      <c r="D111" s="80">
        <v>-3.4000000000000002E-2</v>
      </c>
      <c r="E111" s="80">
        <v>2E-3</v>
      </c>
      <c r="F111" s="80">
        <v>0.2</v>
      </c>
      <c r="G111" s="80">
        <v>0.26090000000000002</v>
      </c>
      <c r="H111" s="80">
        <v>0.316</v>
      </c>
      <c r="I111" s="80">
        <v>-2.5000000000000001E-2</v>
      </c>
      <c r="J111" s="80">
        <v>1.2</v>
      </c>
      <c r="K111" s="80">
        <v>1.5</v>
      </c>
      <c r="L111" s="80">
        <v>456.04</v>
      </c>
      <c r="M111" s="80">
        <v>33</v>
      </c>
    </row>
    <row r="112" spans="2:13" ht="16" thickBot="1" x14ac:dyDescent="0.25">
      <c r="B112" s="80" t="s">
        <v>452</v>
      </c>
      <c r="C112" s="80">
        <v>62</v>
      </c>
      <c r="D112" s="80">
        <v>-1.2999999999999999E-2</v>
      </c>
      <c r="E112" s="91">
        <v>5.0000000000000001E-3</v>
      </c>
      <c r="F112" s="80">
        <v>7.4999999999999997E-3</v>
      </c>
      <c r="G112" s="80">
        <v>1.72E-2</v>
      </c>
      <c r="H112" s="80">
        <v>0.18099999999999999</v>
      </c>
      <c r="I112" s="80">
        <v>-7.3999999999999996E-2</v>
      </c>
      <c r="J112" s="80">
        <v>0.79259999999999997</v>
      </c>
      <c r="K112" s="80">
        <v>-2.4</v>
      </c>
      <c r="L112" s="80">
        <v>566.57000000000005</v>
      </c>
      <c r="M112" s="80">
        <v>5.16</v>
      </c>
    </row>
    <row r="113" spans="2:13" ht="16" thickBot="1" x14ac:dyDescent="0.25">
      <c r="B113" s="80" t="s">
        <v>465</v>
      </c>
      <c r="C113" s="80">
        <v>61</v>
      </c>
      <c r="D113" s="80">
        <v>3.5000000000000003E-2</v>
      </c>
      <c r="E113" s="78"/>
      <c r="F113" s="80">
        <v>0.04</v>
      </c>
      <c r="G113" s="80">
        <v>4.7E-2</v>
      </c>
      <c r="H113" s="80">
        <v>3.5000000000000003E-2</v>
      </c>
      <c r="I113" s="80">
        <v>-5.5E-2</v>
      </c>
      <c r="J113" s="80">
        <v>0.3</v>
      </c>
      <c r="K113" s="80">
        <v>-3.7</v>
      </c>
      <c r="L113" s="80">
        <v>588.96</v>
      </c>
      <c r="M113" s="80">
        <v>26.37</v>
      </c>
    </row>
    <row r="114" spans="2:13" x14ac:dyDescent="0.2">
      <c r="B114" s="80" t="s">
        <v>453</v>
      </c>
      <c r="C114" s="80">
        <v>60</v>
      </c>
      <c r="D114" s="80">
        <v>1.15E-2</v>
      </c>
      <c r="E114" s="78"/>
      <c r="F114" s="80">
        <v>9.2499999999999999E-2</v>
      </c>
      <c r="G114" s="80">
        <v>9.8000000000000004E-2</v>
      </c>
      <c r="H114" s="80">
        <v>2E-3</v>
      </c>
      <c r="I114" s="80">
        <v>-2.5999999999999999E-2</v>
      </c>
      <c r="J114" s="80">
        <v>0.373</v>
      </c>
      <c r="K114" s="80">
        <v>-0.4</v>
      </c>
      <c r="L114" s="80">
        <v>2.57</v>
      </c>
      <c r="M114" s="80">
        <v>9.35</v>
      </c>
    </row>
    <row r="115" spans="2:13" x14ac:dyDescent="0.2">
      <c r="B115" s="80" t="s">
        <v>461</v>
      </c>
      <c r="C115" s="80">
        <v>58</v>
      </c>
      <c r="D115" s="80">
        <v>6.2E-2</v>
      </c>
      <c r="E115" s="80"/>
      <c r="F115" s="80">
        <v>0.14000000000000001</v>
      </c>
      <c r="G115" s="80">
        <v>0.111</v>
      </c>
      <c r="H115" s="80">
        <v>0.10199999999999999</v>
      </c>
      <c r="I115" s="80">
        <v>-4.3999999999999997E-2</v>
      </c>
      <c r="J115" s="80">
        <v>0.40400000000000003</v>
      </c>
      <c r="K115" s="80">
        <v>-5.4</v>
      </c>
      <c r="L115" s="80">
        <v>9527.2999999999993</v>
      </c>
      <c r="M115" s="80">
        <v>34.549999999999997</v>
      </c>
    </row>
    <row r="116" spans="2:13" x14ac:dyDescent="0.2">
      <c r="B116" s="80" t="s">
        <v>451</v>
      </c>
      <c r="C116" s="80">
        <v>56</v>
      </c>
      <c r="D116" s="80">
        <v>0.161</v>
      </c>
      <c r="E116" s="80">
        <v>-2E-3</v>
      </c>
      <c r="F116" s="80">
        <v>2.5000000000000001E-2</v>
      </c>
      <c r="G116" s="80">
        <v>3.1E-2</v>
      </c>
      <c r="H116" s="80">
        <v>7.2999999999999995E-2</v>
      </c>
      <c r="I116" s="80">
        <v>-7.3999999999999996E-2</v>
      </c>
      <c r="J116" s="80">
        <v>0.88700000000000001</v>
      </c>
      <c r="K116" s="80">
        <v>-0.3</v>
      </c>
      <c r="L116" s="80">
        <v>6.68</v>
      </c>
      <c r="M116" s="80">
        <v>4.0599999999999996</v>
      </c>
    </row>
    <row r="117" spans="2:13" x14ac:dyDescent="0.2">
      <c r="B117" s="80" t="s">
        <v>459</v>
      </c>
      <c r="C117" s="80">
        <v>56</v>
      </c>
      <c r="D117" s="80">
        <v>7.8E-2</v>
      </c>
      <c r="E117" s="80">
        <v>0.01</v>
      </c>
      <c r="F117" s="80">
        <v>0</v>
      </c>
      <c r="G117" s="80">
        <v>5.2999999999999999E-2</v>
      </c>
      <c r="H117" s="80">
        <v>0.122</v>
      </c>
      <c r="I117" s="80">
        <v>-7.3999999999999996E-2</v>
      </c>
      <c r="J117" s="80">
        <v>0.47299999999999998</v>
      </c>
      <c r="K117" s="80">
        <v>8.3000000000000007</v>
      </c>
      <c r="L117" s="80">
        <v>1.1100000000000001</v>
      </c>
      <c r="M117" s="80">
        <v>2.79</v>
      </c>
    </row>
    <row r="118" spans="2:13" x14ac:dyDescent="0.2">
      <c r="B118" s="80" t="s">
        <v>457</v>
      </c>
      <c r="C118" s="80">
        <v>55</v>
      </c>
      <c r="D118" s="80">
        <v>0.69499999999999995</v>
      </c>
      <c r="E118" s="80"/>
      <c r="F118" s="80">
        <v>5.0000000000000001E-3</v>
      </c>
      <c r="G118" s="80">
        <v>4.0000000000000001E-3</v>
      </c>
      <c r="H118" s="80">
        <v>2.8000000000000001E-2</v>
      </c>
      <c r="I118" s="80"/>
      <c r="J118" s="80"/>
      <c r="K118" s="80">
        <v>33.6</v>
      </c>
      <c r="L118" s="80">
        <v>8.0299999999999994</v>
      </c>
      <c r="M118" s="80">
        <v>0.68</v>
      </c>
    </row>
    <row r="119" spans="2:13" x14ac:dyDescent="0.2">
      <c r="B119" s="80" t="s">
        <v>454</v>
      </c>
      <c r="C119" s="80">
        <v>54</v>
      </c>
      <c r="D119" s="80">
        <v>-2.8000000000000001E-2</v>
      </c>
      <c r="E119" s="80">
        <v>7.8E-2</v>
      </c>
      <c r="F119" s="80">
        <v>0.05</v>
      </c>
      <c r="G119" s="80">
        <v>7.5899999999999995E-2</v>
      </c>
      <c r="H119" s="80">
        <v>0.104</v>
      </c>
      <c r="I119" s="80">
        <v>-5.0999999999999997E-2</v>
      </c>
      <c r="J119" s="80">
        <v>0.73</v>
      </c>
      <c r="K119" s="80">
        <v>-0.6</v>
      </c>
      <c r="L119" s="80">
        <v>37.81</v>
      </c>
      <c r="M119" s="80">
        <v>3.53</v>
      </c>
    </row>
    <row r="120" spans="2:13" ht="16" thickBot="1" x14ac:dyDescent="0.25">
      <c r="B120" s="80" t="s">
        <v>458</v>
      </c>
      <c r="C120" s="80">
        <v>53</v>
      </c>
      <c r="D120" s="80">
        <v>0.16300000000000001</v>
      </c>
      <c r="E120" s="80">
        <v>1.9E-2</v>
      </c>
      <c r="F120" s="80">
        <v>0</v>
      </c>
      <c r="G120" s="80">
        <v>2.1000000000000001E-2</v>
      </c>
      <c r="H120" s="80">
        <v>7.2999999999999995E-2</v>
      </c>
      <c r="I120" s="80">
        <v>-8.4000000000000005E-2</v>
      </c>
      <c r="J120" s="80">
        <v>0.80800000000000005</v>
      </c>
      <c r="K120" s="80">
        <v>7.1</v>
      </c>
      <c r="L120" s="80">
        <v>1.1100000000000001</v>
      </c>
      <c r="M120" s="80">
        <v>2.1</v>
      </c>
    </row>
    <row r="121" spans="2:13" x14ac:dyDescent="0.2">
      <c r="B121" s="80" t="s">
        <v>450</v>
      </c>
      <c r="C121" s="80">
        <v>53</v>
      </c>
      <c r="D121" s="80">
        <v>0.40400000000000003</v>
      </c>
      <c r="E121" s="78"/>
      <c r="F121" s="80">
        <v>1.3599999999999999E-2</v>
      </c>
      <c r="G121" s="80">
        <v>2.3900000000000001E-2</v>
      </c>
      <c r="H121" s="80">
        <v>0.185</v>
      </c>
      <c r="I121" s="80">
        <v>-9.2299999999999993E-2</v>
      </c>
      <c r="J121" s="80">
        <v>0.69820000000000004</v>
      </c>
      <c r="K121" s="80">
        <v>2.2999999999999998</v>
      </c>
      <c r="L121" s="80">
        <v>1</v>
      </c>
      <c r="M121" s="80">
        <v>4.3</v>
      </c>
    </row>
    <row r="122" spans="2:13" x14ac:dyDescent="0.2">
      <c r="B122" s="80" t="s">
        <v>460</v>
      </c>
      <c r="C122" s="80">
        <v>53</v>
      </c>
      <c r="D122" s="80">
        <v>0.13700000000000001</v>
      </c>
      <c r="E122" s="80">
        <v>1.2999999999999999E-2</v>
      </c>
      <c r="F122" s="80">
        <v>0.01</v>
      </c>
      <c r="G122" s="80">
        <v>4.2999999999999997E-2</v>
      </c>
      <c r="H122" s="80">
        <v>0.111</v>
      </c>
      <c r="I122" s="80">
        <v>-8.4000000000000005E-2</v>
      </c>
      <c r="J122" s="80">
        <v>0.57399999999999995</v>
      </c>
      <c r="K122" s="80">
        <v>-4.3</v>
      </c>
      <c r="L122" s="80">
        <v>105.49</v>
      </c>
      <c r="M122" s="80">
        <v>6.93</v>
      </c>
    </row>
    <row r="123" spans="2:13" ht="16" thickBot="1" x14ac:dyDescent="0.25">
      <c r="B123" s="80" t="s">
        <v>464</v>
      </c>
      <c r="C123" s="80">
        <v>50</v>
      </c>
      <c r="D123" s="80">
        <v>-2.4E-2</v>
      </c>
      <c r="E123" s="80"/>
      <c r="F123" s="80">
        <v>8.5000000000000006E-2</v>
      </c>
      <c r="G123" s="80">
        <v>6.2300000000000001E-2</v>
      </c>
      <c r="H123" s="80">
        <v>0.46100000000000002</v>
      </c>
      <c r="I123" s="80">
        <v>-1.2E-2</v>
      </c>
      <c r="J123" s="80">
        <v>0.152</v>
      </c>
      <c r="K123" s="80">
        <v>-5.4</v>
      </c>
      <c r="L123" s="80">
        <v>1666.65</v>
      </c>
      <c r="M123" s="80">
        <v>89.39</v>
      </c>
    </row>
    <row r="124" spans="2:13" ht="16" thickBot="1" x14ac:dyDescent="0.25">
      <c r="B124" s="80" t="s">
        <v>469</v>
      </c>
      <c r="C124" s="80">
        <v>45</v>
      </c>
      <c r="D124" s="80">
        <v>5.8999999999999997E-2</v>
      </c>
      <c r="E124" s="78"/>
      <c r="F124" s="78"/>
      <c r="G124" s="80">
        <v>0.1</v>
      </c>
      <c r="H124" s="80">
        <v>4.3799999999999999E-2</v>
      </c>
      <c r="I124" s="80">
        <v>1E-3</v>
      </c>
      <c r="J124" s="80">
        <v>0.309</v>
      </c>
      <c r="K124" s="80">
        <v>0.5</v>
      </c>
      <c r="L124" s="80">
        <v>3.5</v>
      </c>
      <c r="M124" s="80">
        <v>6</v>
      </c>
    </row>
    <row r="125" spans="2:13" x14ac:dyDescent="0.2">
      <c r="B125" s="80" t="s">
        <v>466</v>
      </c>
      <c r="C125" s="80">
        <v>44</v>
      </c>
      <c r="D125" s="80">
        <v>3.0000000000000001E-3</v>
      </c>
      <c r="E125" s="78"/>
      <c r="F125" s="80">
        <v>2.5000000000000001E-2</v>
      </c>
      <c r="G125" s="80">
        <v>2.01E-2</v>
      </c>
      <c r="H125" s="80">
        <v>0.25</v>
      </c>
      <c r="I125" s="80">
        <v>-7.0000000000000007E-2</v>
      </c>
      <c r="J125" s="80">
        <v>0.92400000000000004</v>
      </c>
      <c r="K125" s="80">
        <v>-8</v>
      </c>
      <c r="L125" s="80">
        <v>0.71</v>
      </c>
      <c r="M125" s="80">
        <v>10.86</v>
      </c>
    </row>
    <row r="126" spans="2:13" ht="16" thickBot="1" x14ac:dyDescent="0.25">
      <c r="B126" s="80" t="s">
        <v>463</v>
      </c>
      <c r="C126" s="80">
        <v>43</v>
      </c>
      <c r="D126" s="80">
        <v>0.35520000000000002</v>
      </c>
      <c r="E126" s="80"/>
      <c r="F126" s="80">
        <v>6.5000000000000002E-2</v>
      </c>
      <c r="G126" s="80">
        <v>4.8000000000000001E-2</v>
      </c>
      <c r="H126" s="80">
        <v>6.2700000000000006E-2</v>
      </c>
      <c r="I126" s="80">
        <v>-2.4E-2</v>
      </c>
      <c r="J126" s="80">
        <v>0.20100000000000001</v>
      </c>
      <c r="K126" s="80">
        <v>-0.5</v>
      </c>
      <c r="L126" s="80">
        <v>1.7</v>
      </c>
      <c r="M126" s="80">
        <v>10.07</v>
      </c>
    </row>
    <row r="127" spans="2:13" x14ac:dyDescent="0.2">
      <c r="B127" s="80" t="s">
        <v>472</v>
      </c>
      <c r="C127" s="80">
        <v>40</v>
      </c>
      <c r="D127" s="80">
        <v>8.0000000000000002E-3</v>
      </c>
      <c r="E127" s="79">
        <v>2.7E-2</v>
      </c>
      <c r="F127" s="80">
        <v>3.2500000000000001E-2</v>
      </c>
      <c r="G127" s="80">
        <v>2.3900000000000001E-2</v>
      </c>
      <c r="H127" s="80">
        <v>3.5999999999999997E-2</v>
      </c>
      <c r="I127" s="80">
        <v>-4.9000000000000002E-2</v>
      </c>
      <c r="J127" s="80">
        <v>0.432</v>
      </c>
      <c r="K127" s="80">
        <v>-5.2</v>
      </c>
      <c r="L127" s="80">
        <v>551.32000000000005</v>
      </c>
      <c r="M127" s="80">
        <v>26.54</v>
      </c>
    </row>
    <row r="128" spans="2:13" x14ac:dyDescent="0.2">
      <c r="B128" s="80" t="s">
        <v>470</v>
      </c>
      <c r="C128" s="80">
        <v>39</v>
      </c>
      <c r="D128" s="80">
        <v>0.16200000000000001</v>
      </c>
      <c r="E128" s="80">
        <v>-0.02</v>
      </c>
      <c r="F128" s="80">
        <v>6.25E-2</v>
      </c>
      <c r="G128" s="80">
        <v>6.2E-2</v>
      </c>
      <c r="H128" s="80">
        <v>0.17799999999999999</v>
      </c>
      <c r="I128" s="80">
        <v>-0.11</v>
      </c>
      <c r="J128" s="80">
        <v>0.876</v>
      </c>
      <c r="K128" s="80">
        <v>-6.9</v>
      </c>
      <c r="L128" s="80">
        <v>2.8</v>
      </c>
      <c r="M128" s="80">
        <v>11.81</v>
      </c>
    </row>
    <row r="129" spans="2:13" x14ac:dyDescent="0.2">
      <c r="B129" s="80" t="s">
        <v>473</v>
      </c>
      <c r="C129" s="80">
        <v>38</v>
      </c>
      <c r="D129" s="80">
        <v>-2.1100000000000001E-2</v>
      </c>
      <c r="E129" s="80">
        <v>-1E-3</v>
      </c>
      <c r="F129" s="80">
        <v>0.01</v>
      </c>
      <c r="G129" s="80">
        <v>3.0000000000000001E-3</v>
      </c>
      <c r="H129" s="80">
        <v>4.9000000000000002E-2</v>
      </c>
      <c r="I129" s="80">
        <v>-0.13100000000000001</v>
      </c>
      <c r="J129" s="80">
        <v>1.2829999999999999</v>
      </c>
      <c r="K129" s="80">
        <v>-2.1</v>
      </c>
      <c r="L129" s="80">
        <v>0.38</v>
      </c>
      <c r="M129" s="80">
        <v>1.7</v>
      </c>
    </row>
    <row r="130" spans="2:13" x14ac:dyDescent="0.2">
      <c r="B130" s="80" t="s">
        <v>471</v>
      </c>
      <c r="C130" s="80">
        <v>37</v>
      </c>
      <c r="D130" s="80">
        <v>-0.21679999999999999</v>
      </c>
      <c r="E130" s="80">
        <v>-6.2E-2</v>
      </c>
      <c r="F130" s="80">
        <v>4.1000000000000002E-2</v>
      </c>
      <c r="G130" s="80">
        <v>2E-3</v>
      </c>
      <c r="H130" s="80">
        <v>5.6000000000000001E-2</v>
      </c>
      <c r="I130" s="80">
        <v>-9.7000000000000003E-2</v>
      </c>
      <c r="J130" s="80">
        <v>0.67300000000000004</v>
      </c>
      <c r="K130" s="80">
        <v>-0.5</v>
      </c>
      <c r="L130" s="80">
        <v>6.83</v>
      </c>
      <c r="M130" s="80">
        <v>11.68</v>
      </c>
    </row>
    <row r="131" spans="2:13" x14ac:dyDescent="0.2">
      <c r="B131" s="80" t="s">
        <v>478</v>
      </c>
      <c r="C131" s="80">
        <v>37</v>
      </c>
      <c r="D131" s="80">
        <v>6.2E-2</v>
      </c>
      <c r="E131" s="80">
        <v>-2E-3</v>
      </c>
      <c r="F131" s="80">
        <v>6.5000000000000002E-2</v>
      </c>
      <c r="G131" s="80">
        <v>1.9E-2</v>
      </c>
      <c r="H131" s="80">
        <v>2.4400000000000002E-2</v>
      </c>
      <c r="I131" s="80">
        <v>-6.6000000000000003E-2</v>
      </c>
      <c r="J131" s="80">
        <v>0.498</v>
      </c>
      <c r="K131" s="80">
        <v>-6.4</v>
      </c>
      <c r="L131" s="80">
        <v>3665</v>
      </c>
      <c r="M131" s="80">
        <v>45.74</v>
      </c>
    </row>
    <row r="132" spans="2:13" ht="16" thickBot="1" x14ac:dyDescent="0.25">
      <c r="B132" s="80" t="s">
        <v>467</v>
      </c>
      <c r="C132" s="80">
        <v>35</v>
      </c>
      <c r="D132" s="80">
        <v>6.9000000000000006E-2</v>
      </c>
      <c r="E132" s="80">
        <v>5.0000000000000001E-3</v>
      </c>
      <c r="F132" s="80">
        <v>1.4999999999999999E-2</v>
      </c>
      <c r="G132" s="80">
        <v>5.6000000000000001E-2</v>
      </c>
      <c r="H132" s="80">
        <v>8.5999999999999993E-2</v>
      </c>
      <c r="I132" s="80">
        <v>-7.2999999999999995E-2</v>
      </c>
      <c r="J132" s="80">
        <v>0.33900000000000002</v>
      </c>
      <c r="K132" s="80">
        <v>2.2000000000000002</v>
      </c>
      <c r="L132" s="80">
        <v>6838.31</v>
      </c>
      <c r="M132" s="80">
        <v>7.25</v>
      </c>
    </row>
    <row r="133" spans="2:13" x14ac:dyDescent="0.2">
      <c r="B133" s="80" t="s">
        <v>477</v>
      </c>
      <c r="C133" s="80">
        <v>34</v>
      </c>
      <c r="D133" s="80">
        <v>0.04</v>
      </c>
      <c r="E133" s="78"/>
      <c r="F133" s="80">
        <v>0.05</v>
      </c>
      <c r="G133" s="80">
        <v>4.3499999999999997E-2</v>
      </c>
      <c r="H133" s="80">
        <v>4.4400000000000002E-2</v>
      </c>
      <c r="I133" s="80">
        <v>-5.3999999999999999E-2</v>
      </c>
      <c r="J133" s="80">
        <v>0.377</v>
      </c>
      <c r="K133" s="80">
        <v>-0.9</v>
      </c>
      <c r="L133" s="80">
        <v>113.59</v>
      </c>
      <c r="M133" s="80">
        <v>29.13</v>
      </c>
    </row>
    <row r="134" spans="2:13" ht="16" thickBot="1" x14ac:dyDescent="0.25">
      <c r="B134" s="80" t="s">
        <v>474</v>
      </c>
      <c r="C134" s="80">
        <v>34</v>
      </c>
      <c r="D134" s="80">
        <v>0.111</v>
      </c>
      <c r="E134" s="80">
        <v>4.3999999999999997E-2</v>
      </c>
      <c r="F134" s="80">
        <v>0</v>
      </c>
      <c r="G134" s="80">
        <v>3.6999999999999998E-2</v>
      </c>
      <c r="H134" s="80">
        <v>7.9000000000000001E-2</v>
      </c>
      <c r="I134" s="80">
        <v>-4.4999999999999998E-2</v>
      </c>
      <c r="J134" s="80">
        <v>0.435</v>
      </c>
      <c r="K134" s="80">
        <v>3</v>
      </c>
      <c r="L134" s="80">
        <v>1.1100000000000001</v>
      </c>
      <c r="M134" s="80">
        <v>1.91</v>
      </c>
    </row>
    <row r="135" spans="2:13" x14ac:dyDescent="0.2">
      <c r="B135" s="80" t="s">
        <v>456</v>
      </c>
      <c r="C135" s="80">
        <v>33</v>
      </c>
      <c r="D135" s="80">
        <v>-0.20300000000000001</v>
      </c>
      <c r="E135" s="78"/>
      <c r="F135" s="80">
        <v>0.1</v>
      </c>
      <c r="G135" s="80">
        <v>1.3774999999999999</v>
      </c>
      <c r="H135" s="80">
        <v>6.6000000000000003E-2</v>
      </c>
      <c r="I135" s="80">
        <v>-0.16500000000000001</v>
      </c>
      <c r="J135" s="80">
        <v>1.7170000000000001</v>
      </c>
      <c r="K135" s="80">
        <v>-22.2</v>
      </c>
      <c r="L135" s="80">
        <v>1512</v>
      </c>
      <c r="M135" s="80">
        <v>6.8</v>
      </c>
    </row>
    <row r="136" spans="2:13" x14ac:dyDescent="0.2">
      <c r="B136" s="80" t="s">
        <v>476</v>
      </c>
      <c r="C136" s="80">
        <v>31</v>
      </c>
      <c r="D136" s="80">
        <v>0.129</v>
      </c>
      <c r="E136" s="80">
        <v>4.2999999999999997E-2</v>
      </c>
      <c r="F136" s="80">
        <v>0</v>
      </c>
      <c r="G136" s="80">
        <v>0.05</v>
      </c>
      <c r="H136" s="80">
        <v>6.9000000000000006E-2</v>
      </c>
      <c r="I136" s="80">
        <v>-4.9000000000000002E-2</v>
      </c>
      <c r="J136" s="80">
        <v>0.182</v>
      </c>
      <c r="K136" s="80">
        <v>-0.6</v>
      </c>
      <c r="L136" s="80">
        <v>1.1100000000000001</v>
      </c>
      <c r="M136" s="80">
        <v>1.33</v>
      </c>
    </row>
    <row r="137" spans="2:13" x14ac:dyDescent="0.2">
      <c r="B137" s="80" t="s">
        <v>468</v>
      </c>
      <c r="C137" s="80">
        <v>26</v>
      </c>
      <c r="D137" s="80">
        <v>-8.4000000000000005E-2</v>
      </c>
      <c r="E137" s="80"/>
      <c r="F137" s="80">
        <v>0.19600000000000001</v>
      </c>
      <c r="G137" s="80">
        <v>3.8759999999999999</v>
      </c>
      <c r="H137" s="80">
        <v>0.17699999999999999</v>
      </c>
      <c r="I137" s="80">
        <v>-0.124</v>
      </c>
      <c r="J137" s="80">
        <v>2.5939999999999999</v>
      </c>
      <c r="K137" s="80">
        <v>-12.6</v>
      </c>
      <c r="L137" s="80">
        <v>45.11</v>
      </c>
      <c r="M137" s="80">
        <v>43.85</v>
      </c>
    </row>
    <row r="138" spans="2:13" x14ac:dyDescent="0.2">
      <c r="B138" s="80" t="s">
        <v>481</v>
      </c>
      <c r="C138" s="80">
        <v>25</v>
      </c>
      <c r="D138" s="80">
        <v>3.3000000000000002E-2</v>
      </c>
      <c r="E138" s="80">
        <v>3.6999999999999998E-2</v>
      </c>
      <c r="F138" s="80">
        <v>3.8699999999999998E-2</v>
      </c>
      <c r="G138" s="80">
        <v>4.2999999999999997E-2</v>
      </c>
      <c r="H138" s="80">
        <v>6.9000000000000006E-2</v>
      </c>
      <c r="I138" s="80">
        <v>-9.1999999999999998E-2</v>
      </c>
      <c r="J138" s="80">
        <v>0.90169999999999995</v>
      </c>
      <c r="K138" s="80">
        <v>0.5</v>
      </c>
      <c r="L138" s="80">
        <v>98.56</v>
      </c>
      <c r="M138" s="80">
        <v>6.49</v>
      </c>
    </row>
    <row r="139" spans="2:13" ht="16" thickBot="1" x14ac:dyDescent="0.25">
      <c r="B139" s="80" t="s">
        <v>483</v>
      </c>
      <c r="C139" s="80">
        <v>25</v>
      </c>
      <c r="D139" s="80">
        <v>-3.1E-2</v>
      </c>
      <c r="E139" s="80"/>
      <c r="F139" s="80">
        <v>6.1000000000000004E-3</v>
      </c>
      <c r="G139" s="80">
        <v>2.7E-2</v>
      </c>
      <c r="H139" s="80">
        <v>3.0999999999999999E-3</v>
      </c>
      <c r="I139" s="80">
        <v>-2.5999999999999999E-2</v>
      </c>
      <c r="J139" s="80">
        <v>0.315</v>
      </c>
      <c r="K139" s="80">
        <v>-11.9</v>
      </c>
      <c r="L139" s="80">
        <v>4061</v>
      </c>
      <c r="M139" s="80">
        <v>16.71</v>
      </c>
    </row>
    <row r="140" spans="2:13" x14ac:dyDescent="0.2">
      <c r="B140" s="80" t="s">
        <v>462</v>
      </c>
      <c r="C140" s="80">
        <v>25</v>
      </c>
      <c r="D140" s="80">
        <v>-0.60299999999999998</v>
      </c>
      <c r="E140" s="78"/>
      <c r="F140" s="80">
        <v>0.03</v>
      </c>
      <c r="G140" s="80">
        <v>2.0799999999999999E-2</v>
      </c>
      <c r="H140" s="80">
        <v>0.18629999999999999</v>
      </c>
      <c r="I140" s="80">
        <v>-1.03</v>
      </c>
      <c r="J140" s="80">
        <v>1.55</v>
      </c>
      <c r="K140" s="80">
        <v>9.3000000000000007</v>
      </c>
      <c r="L140" s="80">
        <v>1.39</v>
      </c>
      <c r="M140" s="80">
        <v>6.87</v>
      </c>
    </row>
    <row r="141" spans="2:13" ht="16" thickBot="1" x14ac:dyDescent="0.25">
      <c r="B141" s="80" t="s">
        <v>485</v>
      </c>
      <c r="C141" s="80">
        <v>25</v>
      </c>
      <c r="D141" s="80">
        <v>5.0999999999999997E-2</v>
      </c>
      <c r="E141" s="80">
        <v>8.9999999999999993E-3</v>
      </c>
      <c r="F141" s="80">
        <v>0.04</v>
      </c>
      <c r="G141" s="80">
        <v>2.5999999999999999E-2</v>
      </c>
      <c r="H141" s="80">
        <v>0.22600000000000001</v>
      </c>
      <c r="I141" s="80">
        <v>-0.06</v>
      </c>
      <c r="J141" s="80">
        <v>0.47699999999999998</v>
      </c>
      <c r="K141" s="80">
        <v>-10.3</v>
      </c>
      <c r="L141" s="80">
        <v>588.96</v>
      </c>
      <c r="M141" s="80">
        <v>16.7</v>
      </c>
    </row>
    <row r="142" spans="2:13" x14ac:dyDescent="0.2">
      <c r="B142" s="80" t="s">
        <v>487</v>
      </c>
      <c r="C142" s="80">
        <v>24</v>
      </c>
      <c r="D142" s="80">
        <v>-3.7999999999999999E-2</v>
      </c>
      <c r="E142" s="78"/>
      <c r="F142" s="80">
        <v>0.03</v>
      </c>
      <c r="G142" s="80">
        <v>3.3000000000000002E-2</v>
      </c>
      <c r="H142" s="80">
        <v>2.7E-2</v>
      </c>
      <c r="I142" s="80">
        <v>-8.1000000000000003E-2</v>
      </c>
      <c r="J142" s="80">
        <v>0.48899999999999999</v>
      </c>
      <c r="K142" s="80">
        <v>16.899999999999999</v>
      </c>
      <c r="L142" s="80">
        <v>3.41</v>
      </c>
      <c r="M142" s="80">
        <v>8.9499999999999993</v>
      </c>
    </row>
    <row r="143" spans="2:13" x14ac:dyDescent="0.2">
      <c r="B143" s="80" t="s">
        <v>486</v>
      </c>
      <c r="C143" s="80">
        <v>24</v>
      </c>
      <c r="D143" s="80">
        <v>1.2999999999999999E-2</v>
      </c>
      <c r="E143" s="80">
        <v>6.2E-2</v>
      </c>
      <c r="F143" s="80">
        <v>0.03</v>
      </c>
      <c r="G143" s="80">
        <v>4.48E-2</v>
      </c>
      <c r="H143" s="80">
        <v>0.109</v>
      </c>
      <c r="I143" s="80">
        <v>-6.9000000000000006E-2</v>
      </c>
      <c r="J143" s="80">
        <v>0.54859999999999998</v>
      </c>
      <c r="K143" s="80">
        <v>4</v>
      </c>
      <c r="L143" s="80">
        <v>24.6</v>
      </c>
      <c r="M143" s="80">
        <v>9.3000000000000007</v>
      </c>
    </row>
    <row r="144" spans="2:13" ht="16" thickBot="1" x14ac:dyDescent="0.25">
      <c r="B144" s="80" t="s">
        <v>484</v>
      </c>
      <c r="C144" s="80">
        <v>24</v>
      </c>
      <c r="D144" s="80">
        <v>0.129</v>
      </c>
      <c r="E144" s="80">
        <v>2E-3</v>
      </c>
      <c r="F144" s="80">
        <v>0</v>
      </c>
      <c r="G144" s="80">
        <v>5.04E-2</v>
      </c>
      <c r="H144" s="80">
        <v>5.1999999999999998E-2</v>
      </c>
      <c r="I144" s="80">
        <v>-5.7000000000000002E-2</v>
      </c>
      <c r="J144" s="80">
        <v>1.1819999999999999</v>
      </c>
      <c r="K144" s="80">
        <v>-11.9</v>
      </c>
      <c r="L144" s="80">
        <v>1.1100000000000001</v>
      </c>
      <c r="M144" s="80">
        <v>0.89</v>
      </c>
    </row>
    <row r="145" spans="2:13" ht="16" thickBot="1" x14ac:dyDescent="0.25">
      <c r="B145" s="80" t="s">
        <v>479</v>
      </c>
      <c r="C145" s="80">
        <v>23</v>
      </c>
      <c r="D145" s="80">
        <v>-5.0000000000000001E-3</v>
      </c>
      <c r="E145" s="78"/>
      <c r="F145" s="80">
        <v>0.27</v>
      </c>
      <c r="G145" s="80">
        <v>7.7000000000000002E-3</v>
      </c>
      <c r="H145" s="80">
        <v>0.13420000000000001</v>
      </c>
      <c r="I145" s="80">
        <v>-4.3999999999999997E-2</v>
      </c>
      <c r="J145" s="80">
        <v>0.81699999999999995</v>
      </c>
      <c r="K145" s="80">
        <v>-0.01</v>
      </c>
      <c r="L145" s="80">
        <v>246.5</v>
      </c>
      <c r="M145" s="80">
        <v>29.82</v>
      </c>
    </row>
    <row r="146" spans="2:13" x14ac:dyDescent="0.2">
      <c r="B146" s="80" t="s">
        <v>488</v>
      </c>
      <c r="C146" s="80">
        <v>22</v>
      </c>
      <c r="D146" s="80">
        <v>-7.6999999999999999E-2</v>
      </c>
      <c r="E146" s="99">
        <v>5.0999999999999997E-2</v>
      </c>
      <c r="F146" s="80">
        <v>3.5000000000000003E-2</v>
      </c>
      <c r="G146" s="80">
        <v>1.7999999999999999E-2</v>
      </c>
      <c r="H146" s="80">
        <v>5.0999999999999997E-2</v>
      </c>
      <c r="I146" s="80">
        <v>-0.112</v>
      </c>
      <c r="J146" s="80">
        <v>0.82699999999999996</v>
      </c>
      <c r="K146" s="80">
        <v>2.2999999999999998</v>
      </c>
      <c r="L146" s="80">
        <v>6.74</v>
      </c>
      <c r="M146" s="80">
        <v>1.37</v>
      </c>
    </row>
    <row r="147" spans="2:13" ht="16" thickBot="1" x14ac:dyDescent="0.25">
      <c r="B147" s="80" t="s">
        <v>482</v>
      </c>
      <c r="C147" s="80">
        <v>22</v>
      </c>
      <c r="D147" s="80">
        <v>7.2999999999999995E-2</v>
      </c>
      <c r="E147" s="80">
        <v>4.2000000000000003E-2</v>
      </c>
      <c r="F147" s="80">
        <v>1.2500000000000001E-2</v>
      </c>
      <c r="G147" s="80">
        <v>4.3999999999999997E-2</v>
      </c>
      <c r="H147" s="80">
        <v>5.0999999999999997E-2</v>
      </c>
      <c r="I147" s="80">
        <v>-7.2999999999999995E-2</v>
      </c>
      <c r="J147" s="80">
        <v>0.79900000000000004</v>
      </c>
      <c r="K147" s="80">
        <v>1</v>
      </c>
      <c r="L147" s="80">
        <v>124.24</v>
      </c>
      <c r="M147" s="80">
        <v>0.36</v>
      </c>
    </row>
    <row r="148" spans="2:13" ht="16" thickBot="1" x14ac:dyDescent="0.25">
      <c r="B148" s="80" t="s">
        <v>489</v>
      </c>
      <c r="C148" s="80">
        <v>20</v>
      </c>
      <c r="D148" s="80">
        <v>1.4999999999999999E-2</v>
      </c>
      <c r="E148" s="100">
        <v>4.5999999999999999E-2</v>
      </c>
      <c r="F148" s="80">
        <v>3.0200000000000001E-2</v>
      </c>
      <c r="G148" s="80">
        <v>2.3E-2</v>
      </c>
      <c r="H148" s="80">
        <v>0.32540000000000002</v>
      </c>
      <c r="I148" s="80">
        <v>1.9E-2</v>
      </c>
      <c r="J148" s="80">
        <v>0.246</v>
      </c>
      <c r="K148" s="80">
        <v>-3.1</v>
      </c>
      <c r="L148" s="80">
        <v>1.77</v>
      </c>
      <c r="M148" s="80">
        <v>3.28</v>
      </c>
    </row>
    <row r="149" spans="2:13" ht="16" thickBot="1" x14ac:dyDescent="0.25">
      <c r="B149" s="80" t="s">
        <v>491</v>
      </c>
      <c r="C149" s="80">
        <v>20</v>
      </c>
      <c r="D149" s="80">
        <v>-1.9300000000000001E-2</v>
      </c>
      <c r="E149" s="78"/>
      <c r="F149" s="80">
        <v>0.15</v>
      </c>
      <c r="G149" s="80">
        <v>1.5599999999999999E-2</v>
      </c>
      <c r="H149" s="80">
        <v>0.112</v>
      </c>
      <c r="I149" s="80">
        <v>-3.4000000000000002E-2</v>
      </c>
      <c r="J149" s="80">
        <v>7.8E-2</v>
      </c>
      <c r="K149" s="80">
        <v>-21.2</v>
      </c>
      <c r="L149" s="80">
        <v>78.400000000000006</v>
      </c>
      <c r="M149" s="80">
        <v>33.200000000000003</v>
      </c>
    </row>
    <row r="150" spans="2:13" ht="16" thickBot="1" x14ac:dyDescent="0.25">
      <c r="B150" s="80" t="s">
        <v>492</v>
      </c>
      <c r="C150" s="80">
        <v>19</v>
      </c>
      <c r="D150" s="80">
        <v>4.0000000000000001E-3</v>
      </c>
      <c r="E150" s="78"/>
      <c r="F150" s="80">
        <v>0.03</v>
      </c>
      <c r="G150" s="80">
        <v>4.7E-2</v>
      </c>
      <c r="H150" s="80">
        <v>0.01</v>
      </c>
      <c r="I150" s="80">
        <v>-5.2200000000000003E-2</v>
      </c>
      <c r="J150" s="80">
        <v>0.55659999999999998</v>
      </c>
      <c r="K150" s="80">
        <v>-0.6</v>
      </c>
      <c r="L150" s="80">
        <v>9485</v>
      </c>
      <c r="M150" s="80">
        <v>7.3</v>
      </c>
    </row>
    <row r="151" spans="2:13" ht="16" thickBot="1" x14ac:dyDescent="0.25">
      <c r="B151" s="80" t="s">
        <v>480</v>
      </c>
      <c r="C151" s="80">
        <v>19</v>
      </c>
      <c r="D151" s="80">
        <v>7.0000000000000001E-3</v>
      </c>
      <c r="E151" s="78"/>
      <c r="F151" s="80">
        <v>8.5000000000000006E-2</v>
      </c>
      <c r="G151" s="80">
        <v>0.24399999999999999</v>
      </c>
      <c r="H151" s="80">
        <v>0.122</v>
      </c>
      <c r="I151" s="80">
        <v>-0.11</v>
      </c>
      <c r="J151" s="80">
        <v>0.96</v>
      </c>
      <c r="K151" s="80">
        <v>12.2</v>
      </c>
      <c r="L151" s="80">
        <v>22.64</v>
      </c>
      <c r="M151" s="80">
        <v>17.88</v>
      </c>
    </row>
    <row r="152" spans="2:13" ht="16" thickBot="1" x14ac:dyDescent="0.25">
      <c r="B152" s="80" t="s">
        <v>475</v>
      </c>
      <c r="C152" s="80">
        <v>17</v>
      </c>
      <c r="D152" s="80">
        <v>-4.1000000000000002E-2</v>
      </c>
      <c r="E152" s="78"/>
      <c r="F152" s="80">
        <v>0.4</v>
      </c>
      <c r="G152" s="80">
        <v>0.51549999999999996</v>
      </c>
      <c r="H152" s="80">
        <v>5.7000000000000002E-2</v>
      </c>
      <c r="I152" s="80">
        <v>-1.4999999999999999E-2</v>
      </c>
      <c r="J152" s="80">
        <v>0.77200000000000002</v>
      </c>
      <c r="K152" s="80">
        <v>-1.9</v>
      </c>
      <c r="L152" s="80">
        <v>16.36</v>
      </c>
      <c r="M152" s="80">
        <v>14.86</v>
      </c>
    </row>
    <row r="153" spans="2:13" ht="16" thickBot="1" x14ac:dyDescent="0.25">
      <c r="B153" s="80" t="s">
        <v>493</v>
      </c>
      <c r="C153" s="80">
        <v>17</v>
      </c>
      <c r="D153" s="80">
        <v>2.9000000000000001E-2</v>
      </c>
      <c r="E153" s="78"/>
      <c r="F153" s="80">
        <v>0.04</v>
      </c>
      <c r="G153" s="80">
        <v>0.02</v>
      </c>
      <c r="H153" s="80">
        <v>7.4999999999999997E-2</v>
      </c>
      <c r="I153" s="80">
        <v>-6.0999999999999999E-2</v>
      </c>
      <c r="J153" s="78"/>
      <c r="K153" s="80">
        <v>-1.7</v>
      </c>
      <c r="L153" s="80">
        <v>588.96</v>
      </c>
      <c r="M153" s="80">
        <v>20.25</v>
      </c>
    </row>
    <row r="154" spans="2:13" x14ac:dyDescent="0.2">
      <c r="B154" s="80" t="s">
        <v>501</v>
      </c>
      <c r="C154" s="80">
        <v>17</v>
      </c>
      <c r="D154" s="80">
        <v>0.14699999999999999</v>
      </c>
      <c r="E154" s="78"/>
      <c r="F154" s="80">
        <v>0.04</v>
      </c>
      <c r="G154" s="80">
        <v>3.5000000000000003E-2</v>
      </c>
      <c r="H154" s="80">
        <v>0.05</v>
      </c>
      <c r="I154" s="80">
        <v>-5.3999999999999999E-2</v>
      </c>
      <c r="J154" s="80">
        <v>0.25</v>
      </c>
      <c r="K154" s="80">
        <v>1.2</v>
      </c>
      <c r="L154" s="80">
        <v>588.96</v>
      </c>
      <c r="M154" s="80">
        <v>21.51</v>
      </c>
    </row>
    <row r="155" spans="2:13" ht="16" thickBot="1" x14ac:dyDescent="0.25">
      <c r="B155" s="80" t="s">
        <v>490</v>
      </c>
      <c r="C155" s="80">
        <v>16</v>
      </c>
      <c r="D155" s="80">
        <v>7.0000000000000001E-3</v>
      </c>
      <c r="E155" s="80">
        <v>0.05</v>
      </c>
      <c r="F155" s="80">
        <v>3.7499999999999999E-2</v>
      </c>
      <c r="G155" s="80">
        <v>8.7999999999999995E-2</v>
      </c>
      <c r="H155" s="80">
        <v>0.23300000000000001</v>
      </c>
      <c r="I155" s="80">
        <v>-5.6000000000000001E-2</v>
      </c>
      <c r="J155" s="80">
        <v>0.182</v>
      </c>
      <c r="K155" s="80">
        <v>-11.2</v>
      </c>
      <c r="L155" s="80">
        <v>11.03</v>
      </c>
      <c r="M155" s="80">
        <v>2.37</v>
      </c>
    </row>
    <row r="156" spans="2:13" ht="16" thickBot="1" x14ac:dyDescent="0.25">
      <c r="B156" s="80" t="s">
        <v>517</v>
      </c>
      <c r="C156" s="80">
        <v>16</v>
      </c>
      <c r="D156" s="80">
        <v>3.9E-2</v>
      </c>
      <c r="E156" s="78"/>
      <c r="F156" s="80">
        <v>0.04</v>
      </c>
      <c r="G156" s="80">
        <v>1.4E-2</v>
      </c>
      <c r="H156" s="80">
        <v>2.5000000000000001E-2</v>
      </c>
      <c r="I156" s="80">
        <v>-3.6999999999999998E-2</v>
      </c>
      <c r="J156" s="80">
        <v>0.46100000000000002</v>
      </c>
      <c r="K156" s="80">
        <v>-5.5</v>
      </c>
      <c r="L156" s="80">
        <v>588.96</v>
      </c>
      <c r="M156" s="80">
        <v>12.11</v>
      </c>
    </row>
    <row r="157" spans="2:13" ht="16" thickBot="1" x14ac:dyDescent="0.25">
      <c r="B157" s="80" t="s">
        <v>515</v>
      </c>
      <c r="C157" s="80">
        <v>16</v>
      </c>
      <c r="D157" s="80">
        <v>7.0000000000000007E-2</v>
      </c>
      <c r="E157" s="78"/>
      <c r="F157" s="80">
        <v>0.115</v>
      </c>
      <c r="G157" s="80">
        <v>0.1348</v>
      </c>
      <c r="H157" s="80">
        <v>4.3999999999999997E-2</v>
      </c>
      <c r="I157" s="80">
        <v>-3.1E-2</v>
      </c>
      <c r="J157" s="80">
        <v>0.4</v>
      </c>
      <c r="K157" s="80">
        <v>-13.3</v>
      </c>
      <c r="L157" s="80">
        <v>9537</v>
      </c>
      <c r="M157" s="80">
        <v>12.56</v>
      </c>
    </row>
    <row r="158" spans="2:13" x14ac:dyDescent="0.2">
      <c r="B158" s="80" t="s">
        <v>495</v>
      </c>
      <c r="C158" s="80">
        <v>16</v>
      </c>
      <c r="D158" s="80">
        <v>0.29899999999999999</v>
      </c>
      <c r="E158" s="78"/>
      <c r="F158" s="80">
        <v>0.1</v>
      </c>
      <c r="G158" s="80">
        <v>0.128</v>
      </c>
      <c r="H158" s="80">
        <v>0.185</v>
      </c>
      <c r="I158" s="80">
        <v>-9.2999999999999999E-2</v>
      </c>
      <c r="J158" s="80">
        <v>0.624</v>
      </c>
      <c r="K158" s="80">
        <v>-12.3</v>
      </c>
      <c r="L158" s="80">
        <v>2.89</v>
      </c>
      <c r="M158" s="80">
        <v>3.73</v>
      </c>
    </row>
    <row r="159" spans="2:13" ht="16" thickBot="1" x14ac:dyDescent="0.25">
      <c r="B159" s="80" t="s">
        <v>494</v>
      </c>
      <c r="C159" s="80">
        <v>16</v>
      </c>
      <c r="D159" s="80">
        <v>-1.7999999999999999E-2</v>
      </c>
      <c r="E159" s="80"/>
      <c r="F159" s="80">
        <v>3.2500000000000001E-2</v>
      </c>
      <c r="G159" s="80">
        <v>8.9999999999999993E-3</v>
      </c>
      <c r="H159" s="80">
        <v>0.20499999999999999</v>
      </c>
      <c r="I159" s="80">
        <v>-0.05</v>
      </c>
      <c r="J159" s="80">
        <v>0.72499999999999998</v>
      </c>
      <c r="K159" s="80">
        <v>-9.5</v>
      </c>
      <c r="L159" s="80">
        <v>551.32000000000005</v>
      </c>
      <c r="M159" s="80">
        <v>2.2200000000000002</v>
      </c>
    </row>
    <row r="160" spans="2:13" x14ac:dyDescent="0.2">
      <c r="B160" s="80" t="s">
        <v>499</v>
      </c>
      <c r="C160" s="80">
        <v>16</v>
      </c>
      <c r="D160" s="80">
        <v>-0.06</v>
      </c>
      <c r="E160" s="78"/>
      <c r="F160" s="78"/>
      <c r="G160" s="80">
        <v>2.5499999999999998E-2</v>
      </c>
      <c r="H160" s="80">
        <v>0.26400000000000001</v>
      </c>
      <c r="I160" s="80">
        <v>-5.0000000000000001E-3</v>
      </c>
      <c r="J160" s="80">
        <v>0.16400000000000001</v>
      </c>
      <c r="K160" s="80">
        <v>-10.7</v>
      </c>
      <c r="L160" s="80"/>
      <c r="M160" s="80">
        <v>5.0999999999999996</v>
      </c>
    </row>
    <row r="161" spans="2:13" x14ac:dyDescent="0.2">
      <c r="B161" s="80" t="s">
        <v>497</v>
      </c>
      <c r="C161" s="80">
        <v>15</v>
      </c>
      <c r="D161" s="80">
        <v>0.13400000000000001</v>
      </c>
      <c r="E161" s="80">
        <v>-5.0000000000000001E-3</v>
      </c>
      <c r="F161" s="80">
        <v>0</v>
      </c>
      <c r="G161" s="80">
        <v>4.0000000000000001E-3</v>
      </c>
      <c r="H161" s="80">
        <v>3.5000000000000003E-2</v>
      </c>
      <c r="I161" s="80">
        <v>-0.10100000000000001</v>
      </c>
      <c r="J161" s="80">
        <v>0.54300000000000004</v>
      </c>
      <c r="K161" s="80">
        <v>-4</v>
      </c>
      <c r="L161" s="80">
        <v>1.1100000000000001</v>
      </c>
      <c r="M161" s="80">
        <v>0.51</v>
      </c>
    </row>
    <row r="162" spans="2:13" ht="16" thickBot="1" x14ac:dyDescent="0.25">
      <c r="B162" s="80" t="s">
        <v>500</v>
      </c>
      <c r="C162" s="80">
        <v>15</v>
      </c>
      <c r="D162" s="80">
        <v>5.5300000000000002E-2</v>
      </c>
      <c r="E162" s="80">
        <v>2.3E-2</v>
      </c>
      <c r="F162" s="80">
        <v>5.0000000000000001E-3</v>
      </c>
      <c r="G162" s="80">
        <v>2.4E-2</v>
      </c>
      <c r="H162" s="80">
        <v>0.121</v>
      </c>
      <c r="I162" s="80">
        <v>-6.9000000000000006E-2</v>
      </c>
      <c r="J162" s="80">
        <v>0.65900000000000003</v>
      </c>
      <c r="K162" s="80">
        <v>-8.9</v>
      </c>
      <c r="L162" s="80">
        <v>109.97</v>
      </c>
      <c r="M162" s="80">
        <v>2.85</v>
      </c>
    </row>
    <row r="163" spans="2:13" x14ac:dyDescent="0.2">
      <c r="B163" s="80" t="s">
        <v>511</v>
      </c>
      <c r="C163" s="80">
        <v>14</v>
      </c>
      <c r="D163" s="80">
        <v>-0.04</v>
      </c>
      <c r="E163" s="78"/>
      <c r="F163" s="80">
        <v>9.5000000000000001E-2</v>
      </c>
      <c r="G163" s="80">
        <v>6.25E-2</v>
      </c>
      <c r="H163" s="80">
        <v>1.9E-2</v>
      </c>
      <c r="I163" s="80">
        <v>-6.3E-2</v>
      </c>
      <c r="J163" s="80">
        <v>0.44800000000000001</v>
      </c>
      <c r="K163" s="80">
        <v>-3.5</v>
      </c>
      <c r="L163" s="80">
        <v>3680.5</v>
      </c>
      <c r="M163" s="80">
        <v>27.69</v>
      </c>
    </row>
    <row r="164" spans="2:13" x14ac:dyDescent="0.2">
      <c r="B164" s="80" t="s">
        <v>496</v>
      </c>
      <c r="C164" s="80">
        <v>14</v>
      </c>
      <c r="D164" s="80">
        <v>-6.7000000000000004E-2</v>
      </c>
      <c r="E164" s="80">
        <v>6.0000000000000001E-3</v>
      </c>
      <c r="F164" s="80">
        <v>5.0000000000000001E-3</v>
      </c>
      <c r="G164" s="80">
        <v>5.2999999999999999E-2</v>
      </c>
      <c r="H164" s="80">
        <v>8.8999999999999996E-2</v>
      </c>
      <c r="I164" s="80">
        <v>-3.9E-2</v>
      </c>
      <c r="J164" s="80">
        <v>1.101</v>
      </c>
      <c r="K164" s="80">
        <v>0.2</v>
      </c>
      <c r="L164" s="80">
        <v>133.91</v>
      </c>
      <c r="M164" s="80">
        <v>2.96</v>
      </c>
    </row>
    <row r="165" spans="2:13" x14ac:dyDescent="0.2">
      <c r="B165" s="80" t="s">
        <v>504</v>
      </c>
      <c r="C165" s="80">
        <v>14</v>
      </c>
      <c r="D165" s="80">
        <v>1.9699999999999999E-2</v>
      </c>
      <c r="E165" s="80">
        <v>0.02</v>
      </c>
      <c r="F165" s="80">
        <v>0.13250000000000001</v>
      </c>
      <c r="G165" s="80">
        <v>5.6099999999999997E-2</v>
      </c>
      <c r="H165" s="80">
        <v>0.25040000000000001</v>
      </c>
      <c r="I165" s="80">
        <v>-0.11700000000000001</v>
      </c>
      <c r="J165" s="80">
        <v>1.22</v>
      </c>
      <c r="K165" s="80">
        <v>-30.8</v>
      </c>
      <c r="L165" s="80">
        <v>63</v>
      </c>
      <c r="M165" s="80">
        <v>30.83</v>
      </c>
    </row>
    <row r="166" spans="2:13" x14ac:dyDescent="0.2">
      <c r="B166" s="80" t="s">
        <v>520</v>
      </c>
      <c r="C166" s="80">
        <v>14</v>
      </c>
      <c r="D166" s="80">
        <v>0.03</v>
      </c>
      <c r="E166" s="80"/>
      <c r="F166" s="80">
        <v>0.04</v>
      </c>
      <c r="G166" s="80">
        <v>3.9E-2</v>
      </c>
      <c r="H166" s="80">
        <v>7.0000000000000001E-3</v>
      </c>
      <c r="I166" s="80">
        <v>-5.7000000000000002E-2</v>
      </c>
      <c r="J166" s="80">
        <v>0.39800000000000002</v>
      </c>
      <c r="K166" s="80">
        <v>-12</v>
      </c>
      <c r="L166" s="80">
        <v>588.96</v>
      </c>
      <c r="M166" s="80">
        <v>24.2</v>
      </c>
    </row>
    <row r="167" spans="2:13" ht="16" thickBot="1" x14ac:dyDescent="0.25">
      <c r="B167" s="80" t="s">
        <v>505</v>
      </c>
      <c r="C167" s="80">
        <v>13</v>
      </c>
      <c r="D167" s="80">
        <v>6.3E-2</v>
      </c>
      <c r="E167" s="80">
        <v>6.0999999999999999E-2</v>
      </c>
      <c r="F167" s="80">
        <v>0.06</v>
      </c>
      <c r="G167" s="80">
        <v>8.8999999999999996E-2</v>
      </c>
      <c r="H167" s="80">
        <v>8.4000000000000005E-2</v>
      </c>
      <c r="I167" s="80">
        <v>-0.115</v>
      </c>
      <c r="J167" s="80">
        <v>0.66</v>
      </c>
      <c r="K167" s="80">
        <v>-12.3</v>
      </c>
      <c r="L167" s="80">
        <v>2728</v>
      </c>
      <c r="M167" s="80">
        <v>3.27</v>
      </c>
    </row>
    <row r="168" spans="2:13" x14ac:dyDescent="0.2">
      <c r="B168" s="80" t="s">
        <v>506</v>
      </c>
      <c r="C168" s="80">
        <v>13</v>
      </c>
      <c r="D168" s="80">
        <v>3.4000000000000002E-2</v>
      </c>
      <c r="E168" s="78"/>
      <c r="F168" s="93">
        <v>9.5899999999999999E-2</v>
      </c>
      <c r="G168" s="80">
        <v>4.1200000000000001E-2</v>
      </c>
      <c r="H168" s="80">
        <v>4.9000000000000002E-2</v>
      </c>
      <c r="I168" s="80">
        <v>-0.01</v>
      </c>
      <c r="J168" s="80">
        <v>0.64800000000000002</v>
      </c>
      <c r="K168" s="80">
        <v>7.6</v>
      </c>
      <c r="L168" s="80">
        <v>33.47</v>
      </c>
      <c r="M168" s="80">
        <v>6.67</v>
      </c>
    </row>
    <row r="169" spans="2:13" ht="16" thickBot="1" x14ac:dyDescent="0.25">
      <c r="B169" s="80" t="s">
        <v>510</v>
      </c>
      <c r="C169" s="80">
        <v>13</v>
      </c>
      <c r="D169" s="80">
        <v>0.13100000000000001</v>
      </c>
      <c r="E169" s="80"/>
      <c r="F169" s="80">
        <v>7.2499999999999995E-2</v>
      </c>
      <c r="G169" s="80">
        <v>8.7999999999999995E-2</v>
      </c>
      <c r="H169" s="80">
        <v>0.17</v>
      </c>
      <c r="I169" s="80">
        <v>-5.3999999999999999E-2</v>
      </c>
      <c r="J169" s="80">
        <v>0.62790000000000001</v>
      </c>
      <c r="K169" s="80">
        <v>-4</v>
      </c>
      <c r="L169" s="80">
        <v>495.16</v>
      </c>
      <c r="M169" s="80">
        <v>2.96</v>
      </c>
    </row>
    <row r="170" spans="2:13" ht="16" thickBot="1" x14ac:dyDescent="0.25">
      <c r="B170" s="80" t="s">
        <v>516</v>
      </c>
      <c r="C170" s="80">
        <v>13</v>
      </c>
      <c r="D170" s="80">
        <v>-3.3000000000000002E-2</v>
      </c>
      <c r="E170" s="78"/>
      <c r="F170" s="80">
        <v>0.17</v>
      </c>
      <c r="G170" s="80">
        <v>0.122</v>
      </c>
      <c r="H170" s="80">
        <v>0.14499999999999999</v>
      </c>
      <c r="I170" s="80">
        <v>-5.8999999999999997E-2</v>
      </c>
      <c r="J170" s="80">
        <v>0.54400000000000004</v>
      </c>
      <c r="K170" s="80">
        <v>5.5</v>
      </c>
      <c r="L170" s="80">
        <v>88.71</v>
      </c>
      <c r="M170" s="80">
        <v>11.4</v>
      </c>
    </row>
    <row r="171" spans="2:13" x14ac:dyDescent="0.2">
      <c r="B171" s="80" t="s">
        <v>502</v>
      </c>
      <c r="C171" s="80">
        <v>12</v>
      </c>
      <c r="D171" s="80">
        <v>-1.4E-2</v>
      </c>
      <c r="E171" s="78"/>
      <c r="F171" s="80">
        <v>5.5E-2</v>
      </c>
      <c r="G171" s="80">
        <v>1.7000000000000001E-2</v>
      </c>
      <c r="H171" s="80">
        <v>8.4000000000000005E-2</v>
      </c>
      <c r="I171" s="80">
        <v>-2.7E-2</v>
      </c>
      <c r="J171" s="80">
        <v>3.2000000000000001E-2</v>
      </c>
      <c r="K171" s="80">
        <v>1</v>
      </c>
      <c r="L171" s="80">
        <v>1.35</v>
      </c>
      <c r="M171" s="80">
        <v>0.45</v>
      </c>
    </row>
    <row r="172" spans="2:13" x14ac:dyDescent="0.2">
      <c r="B172" s="80" t="s">
        <v>525</v>
      </c>
      <c r="C172" s="80">
        <v>12</v>
      </c>
      <c r="D172" s="80">
        <v>8.9999999999999993E-3</v>
      </c>
      <c r="E172" s="80"/>
      <c r="F172" s="80">
        <v>0.12</v>
      </c>
      <c r="G172" s="80">
        <v>8.4000000000000005E-2</v>
      </c>
      <c r="H172" s="80">
        <v>0.06</v>
      </c>
      <c r="I172" s="80">
        <v>-5.7000000000000002E-2</v>
      </c>
      <c r="J172" s="80">
        <v>0.50700000000000001</v>
      </c>
      <c r="K172" s="80">
        <v>-12.1</v>
      </c>
      <c r="L172" s="80">
        <v>734.11</v>
      </c>
      <c r="M172" s="80">
        <v>19.13</v>
      </c>
    </row>
    <row r="173" spans="2:13" x14ac:dyDescent="0.2">
      <c r="B173" s="80" t="s">
        <v>512</v>
      </c>
      <c r="C173" s="80">
        <v>12</v>
      </c>
      <c r="D173" s="80">
        <v>0.215</v>
      </c>
      <c r="E173" s="80">
        <v>2.5000000000000001E-2</v>
      </c>
      <c r="F173" s="80">
        <v>4.65E-2</v>
      </c>
      <c r="G173" s="80">
        <v>4.5999999999999999E-2</v>
      </c>
      <c r="H173" s="80">
        <v>3.5999999999999997E-2</v>
      </c>
      <c r="I173" s="80">
        <v>-0.08</v>
      </c>
      <c r="J173" s="80">
        <v>0.32900000000000001</v>
      </c>
      <c r="K173" s="80">
        <v>-6.7</v>
      </c>
      <c r="L173" s="80">
        <v>17.97</v>
      </c>
      <c r="M173" s="80">
        <v>2.61</v>
      </c>
    </row>
    <row r="174" spans="2:13" x14ac:dyDescent="0.2">
      <c r="B174" s="80" t="s">
        <v>507</v>
      </c>
      <c r="C174" s="80">
        <v>12</v>
      </c>
      <c r="D174" s="80">
        <v>0.13100000000000001</v>
      </c>
      <c r="E174" s="80">
        <v>3.9E-2</v>
      </c>
      <c r="F174" s="80">
        <v>1.2500000000000001E-2</v>
      </c>
      <c r="G174" s="80">
        <v>3.5999999999999997E-2</v>
      </c>
      <c r="H174" s="80">
        <v>0.159</v>
      </c>
      <c r="I174" s="80">
        <v>-8.1000000000000003E-2</v>
      </c>
      <c r="J174" s="80">
        <v>0.51200000000000001</v>
      </c>
      <c r="K174" s="80">
        <v>-3.5</v>
      </c>
      <c r="L174" s="80">
        <v>51.93</v>
      </c>
      <c r="M174" s="80">
        <v>2.08</v>
      </c>
    </row>
    <row r="175" spans="2:13" x14ac:dyDescent="0.2">
      <c r="B175" s="80" t="s">
        <v>503</v>
      </c>
      <c r="C175" s="80">
        <v>11</v>
      </c>
      <c r="D175" s="80">
        <v>-8.6999999999999994E-2</v>
      </c>
      <c r="E175" s="80">
        <v>-2.5999999999999999E-2</v>
      </c>
      <c r="F175" s="80">
        <v>1.8499999999999999E-2</v>
      </c>
      <c r="G175" s="80">
        <v>0.06</v>
      </c>
      <c r="H175" s="80">
        <v>9.8000000000000004E-2</v>
      </c>
      <c r="I175" s="80">
        <v>-0.13600000000000001</v>
      </c>
      <c r="J175" s="80">
        <v>0.73399999999999999</v>
      </c>
      <c r="K175" s="80">
        <v>-10.1</v>
      </c>
      <c r="L175" s="80">
        <v>42.9</v>
      </c>
      <c r="M175" s="80">
        <v>1.27</v>
      </c>
    </row>
    <row r="176" spans="2:13" ht="16" thickBot="1" x14ac:dyDescent="0.25">
      <c r="B176" s="80" t="s">
        <v>498</v>
      </c>
      <c r="C176" s="80">
        <v>11</v>
      </c>
      <c r="D176" s="80">
        <v>1.6E-2</v>
      </c>
      <c r="E176" s="80">
        <v>2.2499999999999999E-2</v>
      </c>
      <c r="F176" s="80">
        <v>3.7499999999999999E-2</v>
      </c>
      <c r="G176" s="80">
        <v>3.4000000000000002E-2</v>
      </c>
      <c r="H176" s="80">
        <v>0.33400000000000002</v>
      </c>
      <c r="I176" s="80">
        <v>-9.5000000000000001E-2</v>
      </c>
      <c r="J176" s="80">
        <v>0.69599999999999995</v>
      </c>
      <c r="K176" s="80">
        <v>1.9</v>
      </c>
      <c r="L176" s="80">
        <v>14.72</v>
      </c>
      <c r="M176" s="80">
        <v>2.5</v>
      </c>
    </row>
    <row r="177" spans="2:13" ht="16" thickBot="1" x14ac:dyDescent="0.25">
      <c r="B177" s="80" t="s">
        <v>513</v>
      </c>
      <c r="C177" s="80">
        <v>11</v>
      </c>
      <c r="D177" s="80">
        <v>-7.9000000000000001E-2</v>
      </c>
      <c r="E177" s="78"/>
      <c r="F177" s="80">
        <v>3.2500000000000001E-2</v>
      </c>
      <c r="G177" s="80">
        <v>1.0999999999999999E-2</v>
      </c>
      <c r="H177" s="80">
        <v>0.10299999999999999</v>
      </c>
      <c r="I177" s="80">
        <v>-0.02</v>
      </c>
      <c r="J177" s="80">
        <v>1.0167999999999999</v>
      </c>
      <c r="K177" s="80">
        <v>8.1999999999999993</v>
      </c>
      <c r="L177" s="80">
        <v>551.32000000000005</v>
      </c>
      <c r="M177" s="80">
        <v>5.52</v>
      </c>
    </row>
    <row r="178" spans="2:13" ht="16" thickBot="1" x14ac:dyDescent="0.25">
      <c r="B178" s="80" t="s">
        <v>509</v>
      </c>
      <c r="C178" s="80">
        <v>11</v>
      </c>
      <c r="D178" s="80">
        <v>-0.14799999999999999</v>
      </c>
      <c r="E178" s="78"/>
      <c r="F178" s="80">
        <v>0.04</v>
      </c>
      <c r="G178" s="80">
        <v>2.7E-2</v>
      </c>
      <c r="H178" s="80">
        <v>0.25600000000000001</v>
      </c>
      <c r="I178" s="80">
        <v>-6.4000000000000001E-2</v>
      </c>
      <c r="J178" s="80">
        <v>0.83799999999999997</v>
      </c>
      <c r="K178" s="80">
        <v>-17.600000000000001</v>
      </c>
      <c r="L178" s="80">
        <v>1</v>
      </c>
      <c r="M178" s="80">
        <v>0.39</v>
      </c>
    </row>
    <row r="179" spans="2:13" ht="16" thickBot="1" x14ac:dyDescent="0.25">
      <c r="B179" s="80" t="s">
        <v>514</v>
      </c>
      <c r="C179" s="80">
        <v>10</v>
      </c>
      <c r="D179" s="80">
        <v>-8.9999999999999993E-3</v>
      </c>
      <c r="E179" s="78"/>
      <c r="F179" s="80">
        <v>3.2500000000000001E-2</v>
      </c>
      <c r="G179" s="80">
        <v>-7.0000000000000001E-3</v>
      </c>
      <c r="H179" s="80">
        <v>2.3E-2</v>
      </c>
      <c r="I179" s="80">
        <v>-8.0000000000000002E-3</v>
      </c>
      <c r="J179" s="80">
        <v>0.43</v>
      </c>
      <c r="K179" s="80">
        <v>-13.3</v>
      </c>
      <c r="L179" s="80">
        <v>551.32000000000005</v>
      </c>
      <c r="M179" s="80">
        <v>16.420000000000002</v>
      </c>
    </row>
    <row r="180" spans="2:13" x14ac:dyDescent="0.2">
      <c r="B180" s="80" t="s">
        <v>508</v>
      </c>
      <c r="C180" s="80">
        <v>10</v>
      </c>
      <c r="D180" s="80">
        <v>-5.8000000000000003E-2</v>
      </c>
      <c r="E180" s="78"/>
      <c r="F180" s="80">
        <v>3.2500000000000001E-2</v>
      </c>
      <c r="G180" s="80">
        <v>0.03</v>
      </c>
      <c r="H180" s="80">
        <v>9.1999999999999998E-2</v>
      </c>
      <c r="I180" s="80">
        <v>-2.8000000000000001E-2</v>
      </c>
      <c r="J180" s="80">
        <v>0.51100000000000001</v>
      </c>
      <c r="K180" s="80">
        <v>-8.4</v>
      </c>
      <c r="L180" s="80">
        <v>551.32000000000005</v>
      </c>
      <c r="M180" s="80">
        <v>1.4</v>
      </c>
    </row>
    <row r="181" spans="2:13" ht="16" thickBot="1" x14ac:dyDescent="0.25">
      <c r="B181" s="80" t="s">
        <v>518</v>
      </c>
      <c r="C181" s="80">
        <v>10</v>
      </c>
      <c r="D181" s="80">
        <v>0.20599999999999999</v>
      </c>
      <c r="E181" s="80">
        <v>4.4999999999999998E-2</v>
      </c>
      <c r="F181" s="80">
        <v>4.4999999999999998E-2</v>
      </c>
      <c r="G181" s="80">
        <v>-1.7999999999999999E-2</v>
      </c>
      <c r="H181" s="80">
        <v>0.17</v>
      </c>
      <c r="I181" s="80">
        <v>-8.3000000000000004E-2</v>
      </c>
      <c r="J181" s="80">
        <v>0.61</v>
      </c>
      <c r="K181" s="80">
        <v>-8.6999999999999993</v>
      </c>
      <c r="L181" s="80">
        <v>934.59</v>
      </c>
      <c r="M181" s="80">
        <v>12.66</v>
      </c>
    </row>
    <row r="182" spans="2:13" ht="16" thickBot="1" x14ac:dyDescent="0.25">
      <c r="B182" s="80" t="s">
        <v>519</v>
      </c>
      <c r="C182" s="80">
        <v>10</v>
      </c>
      <c r="D182" s="94">
        <v>-1.2E-2</v>
      </c>
      <c r="E182" s="78"/>
      <c r="F182" s="80">
        <v>2.5000000000000001E-3</v>
      </c>
      <c r="G182" s="80">
        <v>5.0000000000000001E-3</v>
      </c>
      <c r="H182" s="80">
        <v>0.16500000000000001</v>
      </c>
      <c r="I182" s="78"/>
      <c r="J182" s="78"/>
      <c r="K182" s="78"/>
      <c r="L182" s="80">
        <v>107</v>
      </c>
      <c r="M182" s="80">
        <v>0.27</v>
      </c>
    </row>
    <row r="183" spans="2:13" ht="16" thickBot="1" x14ac:dyDescent="0.25">
      <c r="B183" s="80" t="s">
        <v>529</v>
      </c>
      <c r="C183" s="80">
        <v>8</v>
      </c>
      <c r="D183" s="80">
        <v>-3.5999999999999997E-2</v>
      </c>
      <c r="E183" s="78"/>
      <c r="F183" s="80">
        <v>0.05</v>
      </c>
      <c r="G183" s="80">
        <v>3.5000000000000003E-2</v>
      </c>
      <c r="H183" s="80">
        <v>0.107</v>
      </c>
      <c r="I183" s="80">
        <v>2.1999999999999999E-2</v>
      </c>
      <c r="J183" s="80">
        <v>0.53100000000000003</v>
      </c>
      <c r="K183" s="80">
        <v>-7</v>
      </c>
      <c r="L183" s="80">
        <v>357.3</v>
      </c>
      <c r="M183" s="80">
        <v>4.6500000000000004</v>
      </c>
    </row>
    <row r="184" spans="2:13" ht="16" thickBot="1" x14ac:dyDescent="0.25">
      <c r="B184" s="80" t="s">
        <v>521</v>
      </c>
      <c r="C184" s="80">
        <v>8</v>
      </c>
      <c r="D184" s="80">
        <v>-9.4E-2</v>
      </c>
      <c r="E184" s="78"/>
      <c r="F184" s="80">
        <v>7.4999999999999997E-2</v>
      </c>
      <c r="G184" s="80">
        <v>0.14000000000000001</v>
      </c>
      <c r="H184" s="80">
        <v>3.1E-2</v>
      </c>
      <c r="I184" s="80">
        <v>8.0000000000000002E-3</v>
      </c>
      <c r="J184" s="80">
        <v>0.68100000000000005</v>
      </c>
      <c r="K184" s="80">
        <v>4.3</v>
      </c>
      <c r="L184" s="80">
        <v>69.989999999999995</v>
      </c>
      <c r="M184" s="80">
        <v>6.64</v>
      </c>
    </row>
    <row r="185" spans="2:13" ht="16" thickBot="1" x14ac:dyDescent="0.25">
      <c r="B185" s="80" t="s">
        <v>522</v>
      </c>
      <c r="C185" s="80">
        <v>8</v>
      </c>
      <c r="D185" s="80">
        <v>0.1628</v>
      </c>
      <c r="E185" s="78"/>
      <c r="F185" s="78"/>
      <c r="G185" s="80">
        <v>4.7E-2</v>
      </c>
      <c r="H185" s="80">
        <v>0.27</v>
      </c>
      <c r="I185" s="80">
        <v>-3.0000000000000001E-3</v>
      </c>
      <c r="J185" s="96">
        <v>0.218</v>
      </c>
      <c r="K185" s="80">
        <v>-7.2</v>
      </c>
      <c r="L185" s="80">
        <v>462.8</v>
      </c>
      <c r="M185" s="80">
        <v>1.78</v>
      </c>
    </row>
    <row r="186" spans="2:13" ht="16" thickBot="1" x14ac:dyDescent="0.25">
      <c r="B186" s="80" t="s">
        <v>534</v>
      </c>
      <c r="C186" s="80">
        <v>8</v>
      </c>
      <c r="D186" s="80">
        <v>2.9000000000000001E-2</v>
      </c>
      <c r="E186" s="78"/>
      <c r="F186" s="80">
        <v>0.04</v>
      </c>
      <c r="G186" s="80">
        <v>6.8000000000000005E-2</v>
      </c>
      <c r="H186" s="80">
        <v>4.1000000000000002E-2</v>
      </c>
      <c r="I186" s="80">
        <v>-4.7E-2</v>
      </c>
      <c r="J186" s="80">
        <v>0.29499999999999998</v>
      </c>
      <c r="K186" s="80">
        <v>-3.2</v>
      </c>
      <c r="L186" s="80">
        <v>588.96</v>
      </c>
      <c r="M186" s="80">
        <v>8.2799999999999994</v>
      </c>
    </row>
    <row r="187" spans="2:13" ht="16" thickBot="1" x14ac:dyDescent="0.25">
      <c r="B187" s="80" t="s">
        <v>523</v>
      </c>
      <c r="C187" s="80">
        <v>8</v>
      </c>
      <c r="D187" s="80">
        <v>8.6999999999999994E-2</v>
      </c>
      <c r="E187" s="78"/>
      <c r="F187" s="80">
        <v>0.13</v>
      </c>
      <c r="G187" s="80">
        <v>9.0999999999999998E-2</v>
      </c>
      <c r="H187" s="80">
        <v>7.4999999999999997E-2</v>
      </c>
      <c r="I187" s="80">
        <v>-5.0000000000000001E-3</v>
      </c>
      <c r="J187" s="80">
        <v>0.47770000000000001</v>
      </c>
      <c r="K187" s="80">
        <v>0</v>
      </c>
      <c r="L187" s="80">
        <v>9.68</v>
      </c>
      <c r="M187" s="80">
        <v>9.3000000000000007</v>
      </c>
    </row>
    <row r="188" spans="2:13" ht="16" thickBot="1" x14ac:dyDescent="0.25">
      <c r="B188" s="80" t="s">
        <v>528</v>
      </c>
      <c r="C188" s="80">
        <v>7</v>
      </c>
      <c r="D188" s="80">
        <v>7.4999999999999997E-2</v>
      </c>
      <c r="E188" s="78"/>
      <c r="F188" s="78"/>
      <c r="G188" s="78"/>
      <c r="H188" s="78"/>
      <c r="I188" s="78"/>
      <c r="J188" s="78"/>
      <c r="K188" s="78"/>
      <c r="L188" s="80">
        <v>1.1100000000000001</v>
      </c>
      <c r="M188" s="80">
        <v>0.04</v>
      </c>
    </row>
    <row r="189" spans="2:13" ht="16" thickBot="1" x14ac:dyDescent="0.25">
      <c r="B189" s="80" t="s">
        <v>527</v>
      </c>
      <c r="C189" s="80">
        <v>7</v>
      </c>
      <c r="D189" s="80">
        <v>-7.0000000000000001E-3</v>
      </c>
      <c r="E189" s="78"/>
      <c r="F189" s="78"/>
      <c r="G189" s="80">
        <v>7.0000000000000001E-3</v>
      </c>
      <c r="H189" s="92">
        <v>1.9E-2</v>
      </c>
      <c r="I189" s="78"/>
      <c r="J189" s="78"/>
      <c r="K189" s="78"/>
      <c r="L189" s="80">
        <v>0.92</v>
      </c>
      <c r="M189" s="80">
        <v>0.04</v>
      </c>
    </row>
    <row r="190" spans="2:13" ht="16" thickBot="1" x14ac:dyDescent="0.25">
      <c r="B190" s="80" t="s">
        <v>526</v>
      </c>
      <c r="C190" s="80">
        <v>7</v>
      </c>
      <c r="D190" s="80">
        <v>-6.0000000000000001E-3</v>
      </c>
      <c r="E190" s="78"/>
      <c r="F190" s="78"/>
      <c r="G190" s="80">
        <v>4.7E-2</v>
      </c>
      <c r="H190" s="80">
        <v>7.3999999999999996E-2</v>
      </c>
      <c r="I190" s="80">
        <v>-5.1999999999999998E-2</v>
      </c>
      <c r="J190" s="80">
        <v>0.64</v>
      </c>
      <c r="K190" s="80">
        <v>10.1</v>
      </c>
      <c r="L190" s="80">
        <v>15</v>
      </c>
      <c r="M190" s="80">
        <v>3.21</v>
      </c>
    </row>
    <row r="191" spans="2:13" ht="16" thickBot="1" x14ac:dyDescent="0.25">
      <c r="B191" s="80" t="s">
        <v>539</v>
      </c>
      <c r="C191" s="80">
        <v>6</v>
      </c>
      <c r="D191" s="80">
        <v>-6.7000000000000004E-2</v>
      </c>
      <c r="E191" s="78"/>
      <c r="F191" s="78"/>
      <c r="G191" s="80">
        <v>-0.01</v>
      </c>
      <c r="H191" s="80">
        <v>5.1999999999999998E-2</v>
      </c>
      <c r="I191" s="80">
        <v>-2.1999999999999999E-2</v>
      </c>
      <c r="J191" s="80">
        <v>5.2999999999999999E-2</v>
      </c>
      <c r="K191" s="80">
        <v>-21.2</v>
      </c>
      <c r="L191" s="80">
        <v>0.82</v>
      </c>
      <c r="M191" s="80">
        <v>7.0000000000000007E-2</v>
      </c>
    </row>
    <row r="192" spans="2:13" ht="16" thickBot="1" x14ac:dyDescent="0.25">
      <c r="B192" s="80" t="s">
        <v>536</v>
      </c>
      <c r="C192" s="80">
        <v>5</v>
      </c>
      <c r="D192" s="80">
        <v>0.48699999999999999</v>
      </c>
      <c r="E192" s="78"/>
      <c r="F192" s="80">
        <v>0.05</v>
      </c>
      <c r="G192" s="80">
        <v>6.93E-2</v>
      </c>
      <c r="H192" s="80">
        <v>0.158</v>
      </c>
      <c r="I192" s="84">
        <v>-5.2999999999999999E-2</v>
      </c>
      <c r="J192" s="90">
        <v>0.37</v>
      </c>
      <c r="K192" s="80">
        <v>-32.79</v>
      </c>
      <c r="L192" s="80">
        <v>209.34</v>
      </c>
      <c r="M192" s="80">
        <v>0.79</v>
      </c>
    </row>
    <row r="193" spans="2:13" ht="16" thickBot="1" x14ac:dyDescent="0.25">
      <c r="B193" s="80" t="s">
        <v>531</v>
      </c>
      <c r="C193" s="80">
        <v>5</v>
      </c>
      <c r="D193" s="80">
        <v>0.19</v>
      </c>
      <c r="E193" s="78"/>
      <c r="F193" s="78"/>
      <c r="G193" s="80">
        <v>3.1E-2</v>
      </c>
      <c r="H193" s="80">
        <v>0.23269999999999999</v>
      </c>
      <c r="I193" s="80">
        <v>-0.10100000000000001</v>
      </c>
      <c r="J193" s="80">
        <v>1.0327999999999999</v>
      </c>
      <c r="K193" s="80">
        <v>-25.9</v>
      </c>
      <c r="L193" s="80">
        <v>1.1100000000000001</v>
      </c>
      <c r="M193" s="80">
        <v>0.62</v>
      </c>
    </row>
    <row r="194" spans="2:13" ht="16" thickBot="1" x14ac:dyDescent="0.25">
      <c r="B194" s="80" t="s">
        <v>524</v>
      </c>
      <c r="C194" s="80">
        <v>5</v>
      </c>
      <c r="D194" s="80">
        <v>-1.4999999999999999E-2</v>
      </c>
      <c r="E194" s="78"/>
      <c r="F194" s="78"/>
      <c r="G194" s="80">
        <v>4.24E-2</v>
      </c>
      <c r="H194" s="78"/>
      <c r="I194" s="78"/>
      <c r="J194" s="78"/>
      <c r="K194" s="78"/>
      <c r="L194" s="80">
        <v>578.5</v>
      </c>
      <c r="M194" s="80">
        <v>15.89</v>
      </c>
    </row>
    <row r="195" spans="2:13" ht="16" thickBot="1" x14ac:dyDescent="0.25">
      <c r="B195" s="80" t="s">
        <v>535</v>
      </c>
      <c r="C195" s="80">
        <v>4</v>
      </c>
      <c r="D195" s="80">
        <v>-2.7E-2</v>
      </c>
      <c r="E195" s="78"/>
      <c r="F195" s="80">
        <v>0.14000000000000001</v>
      </c>
      <c r="G195" s="80">
        <v>0.105</v>
      </c>
      <c r="H195" s="80">
        <v>4.5999999999999999E-2</v>
      </c>
      <c r="I195" s="80">
        <v>-5.7000000000000002E-2</v>
      </c>
      <c r="J195" s="80">
        <v>0.71899999999999997</v>
      </c>
      <c r="K195" s="80">
        <v>-15.6</v>
      </c>
      <c r="L195" s="80">
        <v>9800</v>
      </c>
      <c r="M195" s="80">
        <v>7.98</v>
      </c>
    </row>
    <row r="196" spans="2:13" ht="16" thickBot="1" x14ac:dyDescent="0.25">
      <c r="B196" s="80" t="s">
        <v>544</v>
      </c>
      <c r="C196" s="80">
        <v>4</v>
      </c>
      <c r="D196" s="80">
        <v>-0.13400000000000001</v>
      </c>
      <c r="E196" s="78"/>
      <c r="F196" s="80">
        <v>0.25</v>
      </c>
      <c r="G196" s="80">
        <v>0.58899999999999997</v>
      </c>
      <c r="H196" s="80">
        <v>0.112</v>
      </c>
      <c r="I196" s="80">
        <v>-0.129</v>
      </c>
      <c r="J196" s="80">
        <v>1.1140000000000001</v>
      </c>
      <c r="K196" s="80">
        <v>11.4</v>
      </c>
      <c r="L196" s="80">
        <v>7.46</v>
      </c>
      <c r="M196" s="80">
        <v>0.59</v>
      </c>
    </row>
    <row r="197" spans="2:13" ht="16" thickBot="1" x14ac:dyDescent="0.25">
      <c r="B197" s="80" t="s">
        <v>533</v>
      </c>
      <c r="C197" s="80">
        <v>4</v>
      </c>
      <c r="D197" s="80">
        <v>-2.4E-2</v>
      </c>
      <c r="E197" s="78"/>
      <c r="F197" s="80">
        <v>3.7499999999999999E-2</v>
      </c>
      <c r="G197" s="80">
        <v>3.9E-2</v>
      </c>
      <c r="H197" s="80">
        <v>0.23400000000000001</v>
      </c>
      <c r="I197" s="80">
        <v>-4.5999999999999999E-2</v>
      </c>
      <c r="J197" s="80">
        <v>0.15490000000000001</v>
      </c>
      <c r="K197" s="80">
        <v>7</v>
      </c>
      <c r="L197" s="80">
        <v>14.36</v>
      </c>
      <c r="M197" s="80">
        <v>1.1599999999999999</v>
      </c>
    </row>
    <row r="198" spans="2:13" ht="16" thickBot="1" x14ac:dyDescent="0.25">
      <c r="B198" s="80" t="s">
        <v>530</v>
      </c>
      <c r="C198" s="80">
        <v>4</v>
      </c>
      <c r="D198" s="80">
        <v>-8.5000000000000006E-2</v>
      </c>
      <c r="E198" s="78"/>
      <c r="F198" s="80">
        <v>7.0000000000000007E-2</v>
      </c>
      <c r="G198" s="80">
        <v>8.9999999999999993E-3</v>
      </c>
      <c r="H198" s="80">
        <v>6.4000000000000001E-2</v>
      </c>
      <c r="I198" s="80">
        <v>-0.27500000000000002</v>
      </c>
      <c r="J198" s="80">
        <v>0.52600000000000002</v>
      </c>
      <c r="K198" s="80">
        <v>-29.2</v>
      </c>
      <c r="L198" s="80">
        <v>15.46</v>
      </c>
      <c r="M198" s="80">
        <v>0.56000000000000005</v>
      </c>
    </row>
    <row r="199" spans="2:13" ht="16" thickBot="1" x14ac:dyDescent="0.25">
      <c r="B199" s="80" t="s">
        <v>532</v>
      </c>
      <c r="C199" s="80">
        <v>4</v>
      </c>
      <c r="D199" s="80">
        <v>-0.19</v>
      </c>
      <c r="E199" s="78"/>
      <c r="F199" s="80">
        <v>2.5000000000000001E-3</v>
      </c>
      <c r="G199" s="80">
        <v>8.0000000000000002E-3</v>
      </c>
      <c r="H199" s="80">
        <v>4.8000000000000001E-2</v>
      </c>
      <c r="I199" s="80">
        <v>-0.06</v>
      </c>
      <c r="J199" s="80">
        <v>0.65200000000000002</v>
      </c>
      <c r="K199" s="80">
        <v>-13.8</v>
      </c>
      <c r="L199" s="80">
        <v>2.17</v>
      </c>
      <c r="M199" s="80">
        <v>0.89</v>
      </c>
    </row>
    <row r="200" spans="2:13" ht="16" thickBot="1" x14ac:dyDescent="0.25">
      <c r="B200" s="80" t="s">
        <v>548</v>
      </c>
      <c r="C200" s="80">
        <v>3</v>
      </c>
      <c r="D200" s="80">
        <v>1.4E-2</v>
      </c>
      <c r="E200" s="78"/>
      <c r="F200" s="80">
        <v>0.112</v>
      </c>
      <c r="G200" s="80">
        <v>5.0000000000000001E-3</v>
      </c>
      <c r="H200" s="80">
        <v>0.11600000000000001</v>
      </c>
      <c r="I200" s="80">
        <v>-0.04</v>
      </c>
      <c r="J200" s="80">
        <v>0.42199999999999999</v>
      </c>
      <c r="K200" s="80">
        <v>2.9</v>
      </c>
      <c r="L200" s="80">
        <v>177.5</v>
      </c>
      <c r="M200" s="80">
        <v>0.98</v>
      </c>
    </row>
    <row r="201" spans="2:13" ht="16" thickBot="1" x14ac:dyDescent="0.25">
      <c r="B201" s="80" t="s">
        <v>540</v>
      </c>
      <c r="C201" s="80">
        <v>3</v>
      </c>
      <c r="D201" s="80">
        <v>-3.0000000000000001E-3</v>
      </c>
      <c r="E201" s="78"/>
      <c r="F201" s="80">
        <v>6.7900000000000002E-2</v>
      </c>
      <c r="G201" s="80">
        <v>0.1047</v>
      </c>
      <c r="H201" s="80">
        <v>8.0000000000000002E-3</v>
      </c>
      <c r="I201" s="80">
        <v>-8.7999999999999995E-2</v>
      </c>
      <c r="J201" s="80">
        <v>0.152</v>
      </c>
      <c r="K201" s="80">
        <v>-19.100000000000001</v>
      </c>
      <c r="L201" s="80">
        <v>1877.75</v>
      </c>
      <c r="M201" s="80">
        <v>11.89</v>
      </c>
    </row>
    <row r="202" spans="2:13" ht="16" thickBot="1" x14ac:dyDescent="0.25">
      <c r="B202" s="80" t="s">
        <v>542</v>
      </c>
      <c r="C202" s="80">
        <v>3</v>
      </c>
      <c r="D202" s="80">
        <v>-0.03</v>
      </c>
      <c r="E202" s="78"/>
      <c r="F202" s="80">
        <v>0.2</v>
      </c>
      <c r="G202" s="80">
        <v>8.1000000000000003E-2</v>
      </c>
      <c r="H202" s="80">
        <v>2.7E-2</v>
      </c>
      <c r="I202" s="80">
        <v>-0.03</v>
      </c>
      <c r="J202" s="80">
        <v>0.52100000000000002</v>
      </c>
      <c r="K202" s="80">
        <v>-17.8</v>
      </c>
      <c r="L202" s="80">
        <v>186.3</v>
      </c>
      <c r="M202" s="80">
        <v>5.57</v>
      </c>
    </row>
    <row r="203" spans="2:13" ht="16" thickBot="1" x14ac:dyDescent="0.25">
      <c r="B203" s="80" t="s">
        <v>541</v>
      </c>
      <c r="C203" s="80">
        <v>2</v>
      </c>
      <c r="D203" s="80">
        <v>-0.13800000000000001</v>
      </c>
      <c r="E203" s="78"/>
      <c r="F203" s="80">
        <v>3.5000000000000003E-2</v>
      </c>
      <c r="G203" s="80">
        <v>5.5E-2</v>
      </c>
      <c r="H203" s="80">
        <v>0.247</v>
      </c>
      <c r="I203" s="80">
        <v>-2.8000000000000001E-2</v>
      </c>
      <c r="J203" s="80">
        <v>0.69599999999999995</v>
      </c>
      <c r="K203" s="80">
        <v>-2.1</v>
      </c>
      <c r="L203" s="80">
        <v>14.36</v>
      </c>
      <c r="M203" s="80">
        <v>2.14</v>
      </c>
    </row>
    <row r="204" spans="2:13" ht="16" thickBot="1" x14ac:dyDescent="0.25">
      <c r="B204" s="80" t="s">
        <v>546</v>
      </c>
      <c r="C204" s="80">
        <v>2</v>
      </c>
      <c r="D204" s="80">
        <v>-0.11</v>
      </c>
      <c r="E204" s="95">
        <v>1.7999999999999999E-2</v>
      </c>
      <c r="F204" s="80">
        <v>2.5000000000000001E-3</v>
      </c>
      <c r="G204" s="80">
        <v>2.4E-2</v>
      </c>
      <c r="H204" s="80">
        <v>0.123</v>
      </c>
      <c r="I204" s="80">
        <v>-8.8999999999999996E-2</v>
      </c>
      <c r="J204" s="80">
        <v>1.5580000000000001</v>
      </c>
      <c r="K204" s="80">
        <v>-15.6</v>
      </c>
      <c r="L204" s="80">
        <v>99.94</v>
      </c>
      <c r="M204" s="80">
        <v>0.56000000000000005</v>
      </c>
    </row>
    <row r="205" spans="2:13" ht="16" thickBot="1" x14ac:dyDescent="0.25">
      <c r="B205" s="80" t="s">
        <v>547</v>
      </c>
      <c r="C205" s="80">
        <v>2</v>
      </c>
      <c r="D205" s="80">
        <v>0</v>
      </c>
      <c r="E205" s="78"/>
      <c r="F205" s="80">
        <v>3.2500000000000001E-2</v>
      </c>
      <c r="G205" s="80">
        <v>4.7800000000000002E-2</v>
      </c>
      <c r="H205" s="80">
        <v>4.2999999999999997E-2</v>
      </c>
      <c r="I205" s="80">
        <v>-0.03</v>
      </c>
      <c r="J205" s="80">
        <v>0.44900000000000001</v>
      </c>
      <c r="K205" s="80">
        <v>-5.7</v>
      </c>
      <c r="L205" s="80">
        <v>551.32000000000005</v>
      </c>
      <c r="M205" s="80">
        <v>4.83</v>
      </c>
    </row>
    <row r="206" spans="2:13" ht="16" thickBot="1" x14ac:dyDescent="0.25">
      <c r="B206" s="80" t="s">
        <v>538</v>
      </c>
      <c r="C206" s="80">
        <v>2</v>
      </c>
      <c r="D206" s="80">
        <v>5.5E-2</v>
      </c>
      <c r="E206" s="78"/>
      <c r="F206" s="80">
        <v>6.8599999999999994E-2</v>
      </c>
      <c r="G206" s="80">
        <v>5.1499999999999997E-2</v>
      </c>
      <c r="H206" s="80">
        <v>0.05</v>
      </c>
      <c r="I206" s="80">
        <v>-6.2E-2</v>
      </c>
      <c r="J206" s="80">
        <v>1.2074</v>
      </c>
      <c r="K206" s="80">
        <v>-11.4</v>
      </c>
      <c r="L206" s="80">
        <v>71.010000000000005</v>
      </c>
      <c r="M206" s="80">
        <v>0.77</v>
      </c>
    </row>
    <row r="207" spans="2:13" ht="16" thickBot="1" x14ac:dyDescent="0.25">
      <c r="B207" s="80" t="s">
        <v>537</v>
      </c>
      <c r="C207" s="80">
        <v>2</v>
      </c>
      <c r="D207" s="80">
        <v>-6.8000000000000005E-2</v>
      </c>
      <c r="E207" s="78"/>
      <c r="F207" s="78"/>
      <c r="G207" s="80">
        <v>3.9E-2</v>
      </c>
      <c r="H207" s="80">
        <v>5.0599999999999999E-2</v>
      </c>
      <c r="I207" s="80">
        <v>-4.8000000000000001E-2</v>
      </c>
      <c r="J207" s="78"/>
      <c r="K207" s="80">
        <v>-18</v>
      </c>
      <c r="L207" s="80"/>
      <c r="M207" s="80">
        <v>1.32</v>
      </c>
    </row>
    <row r="208" spans="2:13" ht="16" thickBot="1" x14ac:dyDescent="0.25">
      <c r="B208" s="80" t="s">
        <v>549</v>
      </c>
      <c r="C208" s="80">
        <v>2</v>
      </c>
      <c r="D208" s="80">
        <v>-2E-3</v>
      </c>
      <c r="E208" s="78"/>
      <c r="F208" s="80">
        <v>0.1</v>
      </c>
      <c r="G208" s="80">
        <v>6.9500000000000006E-2</v>
      </c>
      <c r="H208" s="80">
        <v>9.6000000000000002E-2</v>
      </c>
      <c r="I208" s="80">
        <v>-3.6999999999999998E-2</v>
      </c>
      <c r="J208" s="80">
        <v>0.83099999999999996</v>
      </c>
      <c r="K208" s="80">
        <v>-8.6</v>
      </c>
      <c r="L208" s="80">
        <v>51.35</v>
      </c>
      <c r="M208" s="80">
        <v>2.2799999999999998</v>
      </c>
    </row>
    <row r="209" spans="2:13" ht="16" thickBot="1" x14ac:dyDescent="0.25">
      <c r="B209" s="80" t="s">
        <v>550</v>
      </c>
      <c r="C209" s="80">
        <v>1</v>
      </c>
      <c r="D209" s="80">
        <v>2.7E-2</v>
      </c>
      <c r="E209" s="78"/>
      <c r="F209" s="80">
        <v>0.04</v>
      </c>
      <c r="G209" s="80">
        <v>4.8000000000000001E-2</v>
      </c>
      <c r="H209" s="80">
        <v>3.2000000000000001E-2</v>
      </c>
      <c r="I209" s="80">
        <v>-7.8E-2</v>
      </c>
      <c r="J209" s="80">
        <v>0.36499999999999999</v>
      </c>
      <c r="K209" s="80">
        <v>-8.6</v>
      </c>
      <c r="L209" s="80"/>
      <c r="M209" s="80">
        <v>1.96</v>
      </c>
    </row>
    <row r="210" spans="2:13" x14ac:dyDescent="0.2">
      <c r="B210" s="80" t="s">
        <v>551</v>
      </c>
      <c r="C210" s="80">
        <v>1</v>
      </c>
      <c r="D210" s="80">
        <v>2E-3</v>
      </c>
      <c r="E210" s="78"/>
      <c r="F210" s="80">
        <v>9.4000000000000004E-3</v>
      </c>
      <c r="G210" s="80">
        <v>-6.0199999999999997E-2</v>
      </c>
      <c r="H210" s="80">
        <v>8.4000000000000005E-2</v>
      </c>
      <c r="I210" s="80">
        <v>-4.2000000000000003E-2</v>
      </c>
      <c r="J210" s="80">
        <v>0.26800000000000002</v>
      </c>
      <c r="K210" s="80">
        <v>-3.3</v>
      </c>
      <c r="L210" s="80">
        <v>417.02</v>
      </c>
      <c r="M210" s="80">
        <v>0.87</v>
      </c>
    </row>
    <row r="211" spans="2:13" ht="16" thickBot="1" x14ac:dyDescent="0.25">
      <c r="B211" s="80" t="s">
        <v>545</v>
      </c>
      <c r="C211" s="80">
        <v>1</v>
      </c>
      <c r="D211" s="80">
        <v>-0.246</v>
      </c>
      <c r="E211" s="80"/>
      <c r="F211" s="80">
        <v>0.02</v>
      </c>
      <c r="G211" s="80">
        <v>0.1051</v>
      </c>
      <c r="H211" s="80">
        <v>0.04</v>
      </c>
      <c r="I211" s="80">
        <v>-0.191</v>
      </c>
      <c r="J211" s="80">
        <v>0.94</v>
      </c>
      <c r="K211" s="80">
        <v>-27.4</v>
      </c>
      <c r="L211" s="80">
        <v>13.7</v>
      </c>
      <c r="M211" s="80">
        <v>0.1</v>
      </c>
    </row>
    <row r="212" spans="2:13" ht="16" thickBot="1" x14ac:dyDescent="0.25">
      <c r="B212" s="80" t="s">
        <v>543</v>
      </c>
      <c r="C212" s="80">
        <v>1</v>
      </c>
      <c r="D212" s="80">
        <v>-3.5999999999999997E-2</v>
      </c>
      <c r="E212" s="78"/>
      <c r="F212" s="89">
        <v>0.15</v>
      </c>
      <c r="G212" s="80">
        <v>0.183</v>
      </c>
      <c r="H212" s="80">
        <v>0.127</v>
      </c>
      <c r="I212" s="78"/>
      <c r="J212" s="78"/>
      <c r="K212" s="78"/>
      <c r="L212" s="80">
        <v>175.31</v>
      </c>
      <c r="M212" s="80">
        <v>11.19</v>
      </c>
    </row>
    <row r="213" spans="2:13" x14ac:dyDescent="0.2">
      <c r="B213" s="80" t="s">
        <v>552</v>
      </c>
      <c r="C213" s="80">
        <v>0</v>
      </c>
      <c r="D213" s="80">
        <v>-6.4000000000000001E-2</v>
      </c>
      <c r="E213" s="78"/>
      <c r="F213" s="80">
        <v>0.09</v>
      </c>
      <c r="G213" s="80">
        <v>6.9000000000000006E-2</v>
      </c>
      <c r="H213" s="80">
        <v>0.13900000000000001</v>
      </c>
      <c r="I213" s="80">
        <v>-0.05</v>
      </c>
      <c r="J213" s="80">
        <v>1.03</v>
      </c>
      <c r="K213" s="80">
        <v>-9.3000000000000007</v>
      </c>
      <c r="L213" s="80">
        <v>20.8</v>
      </c>
      <c r="M213" s="80">
        <v>0.21</v>
      </c>
    </row>
  </sheetData>
  <mergeCells count="11">
    <mergeCell ref="G31:G32"/>
    <mergeCell ref="B31:B32"/>
    <mergeCell ref="C31:C32"/>
    <mergeCell ref="D31:D32"/>
    <mergeCell ref="E31:E32"/>
    <mergeCell ref="F31:F32"/>
    <mergeCell ref="H31:H32"/>
    <mergeCell ref="I31:I32"/>
    <mergeCell ref="J31:J32"/>
    <mergeCell ref="K31:K32"/>
    <mergeCell ref="L31:L32"/>
  </mergeCells>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extLst>
        <ext xmlns:x14="http://schemas.microsoft.com/office/spreadsheetml/2009/9/main" uri="{B025F937-C7B1-47D3-B67F-A62EFF666E3E}">
          <x14:id>{7EE03978-3623-4362-8059-7E9844CB99FA}</x14:id>
        </ext>
      </extLst>
    </cfRule>
  </conditionalFormatting>
  <hyperlinks>
    <hyperlink ref="H24" r:id="rId1" xr:uid="{5DE08BF1-0345-4E6B-A29D-9B159E8FB097}"/>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dataBar" id="{7EE03978-3623-4362-8059-7E9844CB99FA}">
            <x14:dataBar minLength="0" maxLength="100" border="1" negativeBarBorderColorSameAsPositive="0">
              <x14:cfvo type="autoMin"/>
              <x14:cfvo type="autoMax"/>
              <x14:borderColor rgb="FF638EC6"/>
              <x14:negativeFillColor rgb="FFFF0000"/>
              <x14:negativeBorderColor rgb="FFFF0000"/>
              <x14:axisColor rgb="FF000000"/>
            </x14:dataBar>
          </x14:cfRule>
          <xm:sqref>C3:C27</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F6195-EB65-4921-B320-850E7DCD494F}">
  <sheetPr codeName="Sheet8">
    <tabColor rgb="FFFFC000"/>
  </sheetPr>
  <dimension ref="A1:AV435"/>
  <sheetViews>
    <sheetView zoomScale="160" zoomScaleNormal="160" workbookViewId="0">
      <pane ySplit="1" topLeftCell="A2" activePane="bottomLeft" state="frozen"/>
      <selection pane="bottomLeft" activeCell="J35" sqref="J35"/>
    </sheetView>
  </sheetViews>
  <sheetFormatPr baseColWidth="10" defaultColWidth="8.83203125" defaultRowHeight="15" x14ac:dyDescent="0.2"/>
  <cols>
    <col min="1" max="1" width="9.1640625" style="42"/>
    <col min="2" max="2" width="12.6640625" style="41" bestFit="1" customWidth="1"/>
    <col min="3" max="3" width="11.6640625" style="43" customWidth="1"/>
    <col min="4" max="4" width="11.6640625" style="54" customWidth="1"/>
    <col min="5" max="48" width="9.1640625" style="40"/>
  </cols>
  <sheetData>
    <row r="1" spans="1:22" ht="32" x14ac:dyDescent="0.2">
      <c r="A1" s="45" t="s">
        <v>558</v>
      </c>
      <c r="B1" s="51" t="s">
        <v>34</v>
      </c>
      <c r="C1" s="46" t="s">
        <v>559</v>
      </c>
      <c r="D1" s="52"/>
      <c r="E1" s="53" t="s">
        <v>560</v>
      </c>
      <c r="F1" s="52"/>
      <c r="G1" s="52"/>
      <c r="H1" s="52"/>
      <c r="J1" s="40" t="str">
        <f>B1&amp;" GDP % yoy"</f>
        <v>USA GDP % yoy</v>
      </c>
    </row>
    <row r="2" spans="1:22" x14ac:dyDescent="0.2">
      <c r="A2" s="48">
        <v>17349</v>
      </c>
      <c r="B2" s="49">
        <f>VLOOKUP(A2,'Data yoy'!$B:$AT,MATCH($B$1,'Data yoy'!$B$1:$AT$1,0),FALSE)</f>
        <v>0</v>
      </c>
      <c r="C2" s="50"/>
      <c r="D2" s="52"/>
      <c r="E2" s="52"/>
      <c r="F2" s="52"/>
      <c r="G2" s="52"/>
      <c r="H2" s="52"/>
      <c r="J2" s="40" t="str">
        <f>B1&amp;" "&amp;C1</f>
        <v>USA Quarter Change</v>
      </c>
      <c r="V2" s="40" t="s">
        <v>3</v>
      </c>
    </row>
    <row r="3" spans="1:22" x14ac:dyDescent="0.2">
      <c r="A3" s="48">
        <v>17441</v>
      </c>
      <c r="B3" s="49">
        <f>VLOOKUP(A3,'Data yoy'!$B:$AT,MATCH($B$1,'Data yoy'!$B$1:$AT$1,0),FALSE)</f>
        <v>0</v>
      </c>
      <c r="C3" s="49">
        <f>Table13456789101112131415161734[[#This Row],[USA]]-B2</f>
        <v>0</v>
      </c>
      <c r="D3" s="52"/>
      <c r="E3" s="52"/>
      <c r="F3" s="52"/>
      <c r="G3" s="52"/>
      <c r="H3" s="52"/>
      <c r="J3" s="40" t="str">
        <f>J2&amp;" 2000-"</f>
        <v>USA Quarter Change 2000-</v>
      </c>
      <c r="V3" s="40" t="s">
        <v>4</v>
      </c>
    </row>
    <row r="4" spans="1:22" x14ac:dyDescent="0.2">
      <c r="A4" s="48">
        <v>17533</v>
      </c>
      <c r="B4" s="49">
        <f>VLOOKUP(A4,'Data yoy'!$B:$AT,MATCH($B$1,'Data yoy'!$B$1:$AT$1,0),FALSE)</f>
        <v>0</v>
      </c>
      <c r="C4" s="49">
        <f>Table13456789101112131415161734[[#This Row],[USA]]-B3</f>
        <v>0</v>
      </c>
      <c r="D4" s="52"/>
      <c r="E4" s="52"/>
      <c r="F4" s="52"/>
      <c r="G4" s="52"/>
      <c r="H4" s="52"/>
      <c r="V4" s="40" t="s">
        <v>5</v>
      </c>
    </row>
    <row r="5" spans="1:22" x14ac:dyDescent="0.2">
      <c r="A5" s="48">
        <v>17624</v>
      </c>
      <c r="B5" s="49">
        <f>VLOOKUP(A5,'Data yoy'!$B:$AT,MATCH($B$1,'Data yoy'!$B$1:$AT$1,0),FALSE)</f>
        <v>2.6047334659999999</v>
      </c>
      <c r="C5" s="49">
        <f>Table13456789101112131415161734[[#This Row],[USA]]-B4</f>
        <v>2.6047334659999999</v>
      </c>
      <c r="D5" s="52"/>
      <c r="E5" s="52"/>
      <c r="F5" s="52"/>
      <c r="G5" s="52"/>
      <c r="H5" s="52"/>
      <c r="V5" s="40" t="s">
        <v>6</v>
      </c>
    </row>
    <row r="6" spans="1:22" x14ac:dyDescent="0.2">
      <c r="A6" s="48">
        <v>17715</v>
      </c>
      <c r="B6" s="49">
        <f>VLOOKUP(A6,'Data yoy'!$B:$AT,MATCH($B$1,'Data yoy'!$B$1:$AT$1,0),FALSE)</f>
        <v>4.5773238760000003</v>
      </c>
      <c r="C6" s="49">
        <f>Table13456789101112131415161734[[#This Row],[USA]]-B5</f>
        <v>1.9725904100000005</v>
      </c>
      <c r="D6" s="52"/>
      <c r="E6" s="52"/>
      <c r="F6" s="52"/>
      <c r="G6" s="52"/>
      <c r="H6" s="52"/>
      <c r="V6" s="40" t="s">
        <v>7</v>
      </c>
    </row>
    <row r="7" spans="1:22" x14ac:dyDescent="0.2">
      <c r="A7" s="48">
        <v>17807</v>
      </c>
      <c r="B7" s="49">
        <f>VLOOKUP(A7,'Data yoy'!$B:$AT,MATCH($B$1,'Data yoy'!$B$1:$AT$1,0),FALSE)</f>
        <v>5.3941211969999996</v>
      </c>
      <c r="C7" s="49">
        <f>Table13456789101112131415161734[[#This Row],[USA]]-B6</f>
        <v>0.81679732099999924</v>
      </c>
      <c r="D7" s="52"/>
      <c r="E7" s="52"/>
      <c r="F7" s="52"/>
      <c r="G7" s="52"/>
      <c r="H7" s="52"/>
      <c r="V7" s="40" t="s">
        <v>8</v>
      </c>
    </row>
    <row r="8" spans="1:22" x14ac:dyDescent="0.2">
      <c r="A8" s="48">
        <v>17899</v>
      </c>
      <c r="B8" s="49">
        <f>VLOOKUP(A8,'Data yoy'!$B:$AT,MATCH($B$1,'Data yoy'!$B$1:$AT$1,0),FALSE)</f>
        <v>3.8867828379999998</v>
      </c>
      <c r="C8" s="49">
        <f>Table13456789101112131415161734[[#This Row],[USA]]-B7</f>
        <v>-1.5073383589999998</v>
      </c>
      <c r="D8" s="52"/>
      <c r="E8" s="52"/>
      <c r="F8" s="52"/>
      <c r="G8" s="52"/>
      <c r="H8" s="52"/>
      <c r="V8" s="40" t="s">
        <v>9</v>
      </c>
    </row>
    <row r="9" spans="1:22" x14ac:dyDescent="0.2">
      <c r="A9" s="48">
        <v>17989</v>
      </c>
      <c r="B9" s="49">
        <f>VLOOKUP(A9,'Data yoy'!$B:$AT,MATCH($B$1,'Data yoy'!$B$1:$AT$1,0),FALSE)</f>
        <v>0.93698411699999995</v>
      </c>
      <c r="C9" s="49">
        <f>Table13456789101112131415161734[[#This Row],[USA]]-B8</f>
        <v>-2.9497987209999996</v>
      </c>
      <c r="D9" s="52"/>
      <c r="E9" s="52"/>
      <c r="F9" s="52"/>
      <c r="G9" s="52"/>
      <c r="H9" s="52"/>
      <c r="V9" s="40" t="s">
        <v>10</v>
      </c>
    </row>
    <row r="10" spans="1:22" x14ac:dyDescent="0.2">
      <c r="A10" s="48">
        <v>18080</v>
      </c>
      <c r="B10" s="49">
        <f>VLOOKUP(A10,'Data yoy'!$B:$AT,MATCH($B$1,'Data yoy'!$B$1:$AT$1,0),FALSE)</f>
        <v>-1.0408129699999999</v>
      </c>
      <c r="C10" s="49">
        <f>Table13456789101112131415161734[[#This Row],[USA]]-B9</f>
        <v>-1.9777970869999999</v>
      </c>
      <c r="D10" s="52"/>
      <c r="E10" s="52"/>
      <c r="F10" s="52"/>
      <c r="G10" s="52"/>
      <c r="H10" s="52"/>
      <c r="V10" s="40" t="s">
        <v>11</v>
      </c>
    </row>
    <row r="11" spans="1:22" x14ac:dyDescent="0.2">
      <c r="A11" s="48">
        <v>18172</v>
      </c>
      <c r="B11" s="49">
        <f>VLOOKUP(A11,'Data yoy'!$B:$AT,MATCH($B$1,'Data yoy'!$B$1:$AT$1,0),FALSE)</f>
        <v>-0.58869120600000002</v>
      </c>
      <c r="C11" s="49">
        <f>Table13456789101112131415161734[[#This Row],[USA]]-B10</f>
        <v>0.45212176399999993</v>
      </c>
      <c r="D11" s="52"/>
      <c r="E11" s="52"/>
      <c r="F11" s="52"/>
      <c r="G11" s="52"/>
      <c r="H11" s="52"/>
      <c r="V11" s="40" t="s">
        <v>12</v>
      </c>
    </row>
    <row r="12" spans="1:22" x14ac:dyDescent="0.2">
      <c r="A12" s="48">
        <v>18264</v>
      </c>
      <c r="B12" s="49">
        <f>VLOOKUP(A12,'Data yoy'!$B:$AT,MATCH($B$1,'Data yoy'!$B$1:$AT$1,0),FALSE)</f>
        <v>-1.5330175429999999</v>
      </c>
      <c r="C12" s="49">
        <f>Table13456789101112131415161734[[#This Row],[USA]]-B11</f>
        <v>-0.9443263369999999</v>
      </c>
      <c r="D12" s="29"/>
      <c r="V12" s="40" t="s">
        <v>13</v>
      </c>
    </row>
    <row r="13" spans="1:22" x14ac:dyDescent="0.2">
      <c r="A13" s="48">
        <v>18354</v>
      </c>
      <c r="B13" s="49">
        <f>VLOOKUP(A13,'Data yoy'!$B:$AT,MATCH($B$1,'Data yoy'!$B$1:$AT$1,0),FALSE)</f>
        <v>3.7666806990000001</v>
      </c>
      <c r="C13" s="49">
        <f>Table13456789101112131415161734[[#This Row],[USA]]-B12</f>
        <v>5.2996982419999998</v>
      </c>
      <c r="D13" s="29"/>
      <c r="V13" s="40" t="s">
        <v>14</v>
      </c>
    </row>
    <row r="14" spans="1:22" x14ac:dyDescent="0.2">
      <c r="A14" s="48">
        <v>18445</v>
      </c>
      <c r="B14" s="49">
        <f>VLOOKUP(A14,'Data yoy'!$B:$AT,MATCH($B$1,'Data yoy'!$B$1:$AT$1,0),FALSE)</f>
        <v>7.2973606230000003</v>
      </c>
      <c r="C14" s="49">
        <f>Table13456789101112131415161734[[#This Row],[USA]]-B13</f>
        <v>3.5306799240000002</v>
      </c>
      <c r="D14" s="29"/>
      <c r="V14" s="40" t="s">
        <v>15</v>
      </c>
    </row>
    <row r="15" spans="1:22" x14ac:dyDescent="0.2">
      <c r="A15" s="48">
        <v>18537</v>
      </c>
      <c r="B15" s="49">
        <f>VLOOKUP(A15,'Data yoy'!$B:$AT,MATCH($B$1,'Data yoy'!$B$1:$AT$1,0),FALSE)</f>
        <v>10.304959761999999</v>
      </c>
      <c r="C15" s="49">
        <f>Table13456789101112131415161734[[#This Row],[USA]]-B14</f>
        <v>3.007599138999999</v>
      </c>
      <c r="D15" s="29"/>
      <c r="V15" s="40" t="s">
        <v>16</v>
      </c>
    </row>
    <row r="16" spans="1:22" x14ac:dyDescent="0.2">
      <c r="A16" s="48">
        <v>18629</v>
      </c>
      <c r="B16" s="49">
        <f>VLOOKUP(A16,'Data yoy'!$B:$AT,MATCH($B$1,'Data yoy'!$B$1:$AT$1,0),FALSE)</f>
        <v>13.368522327999999</v>
      </c>
      <c r="C16" s="49">
        <f>Table13456789101112131415161734[[#This Row],[USA]]-B15</f>
        <v>3.0635625659999999</v>
      </c>
      <c r="D16" s="29"/>
      <c r="V16" s="40" t="s">
        <v>17</v>
      </c>
    </row>
    <row r="17" spans="1:22" x14ac:dyDescent="0.2">
      <c r="A17" s="48">
        <v>18719</v>
      </c>
      <c r="B17" s="49">
        <f>VLOOKUP(A17,'Data yoy'!$B:$AT,MATCH($B$1,'Data yoy'!$B$1:$AT$1,0),FALSE)</f>
        <v>10.563012123</v>
      </c>
      <c r="C17" s="49">
        <f>Table13456789101112131415161734[[#This Row],[USA]]-B16</f>
        <v>-2.8055102049999991</v>
      </c>
      <c r="D17" s="29"/>
      <c r="V17" s="40" t="s">
        <v>18</v>
      </c>
    </row>
    <row r="18" spans="1:22" x14ac:dyDescent="0.2">
      <c r="A18" s="48">
        <v>18810</v>
      </c>
      <c r="B18" s="49">
        <f>VLOOKUP(A18,'Data yoy'!$B:$AT,MATCH($B$1,'Data yoy'!$B$1:$AT$1,0),FALSE)</f>
        <v>9.1498838239999998</v>
      </c>
      <c r="C18" s="49">
        <f>Table13456789101112131415161734[[#This Row],[USA]]-B17</f>
        <v>-1.4131282990000003</v>
      </c>
      <c r="D18" s="29"/>
      <c r="V18" s="40" t="s">
        <v>19</v>
      </c>
    </row>
    <row r="19" spans="1:22" x14ac:dyDescent="0.2">
      <c r="A19" s="48">
        <v>18902</v>
      </c>
      <c r="B19" s="49">
        <f>VLOOKUP(A19,'Data yoy'!$B:$AT,MATCH($B$1,'Data yoy'!$B$1:$AT$1,0),FALSE)</f>
        <v>7.2546955019999997</v>
      </c>
      <c r="C19" s="49">
        <f>Table13456789101112131415161734[[#This Row],[USA]]-B18</f>
        <v>-1.8951883220000001</v>
      </c>
      <c r="D19" s="29"/>
      <c r="V19" s="40" t="s">
        <v>20</v>
      </c>
    </row>
    <row r="20" spans="1:22" x14ac:dyDescent="0.2">
      <c r="A20" s="48">
        <v>18994</v>
      </c>
      <c r="B20" s="49">
        <f>VLOOKUP(A20,'Data yoy'!$B:$AT,MATCH($B$1,'Data yoy'!$B$1:$AT$1,0),FALSE)</f>
        <v>5.4713784949999997</v>
      </c>
      <c r="C20" s="49">
        <f>Table13456789101112131415161734[[#This Row],[USA]]-B19</f>
        <v>-1.783317007</v>
      </c>
      <c r="D20" s="29"/>
      <c r="V20" s="40" t="s">
        <v>21</v>
      </c>
    </row>
    <row r="21" spans="1:22" x14ac:dyDescent="0.2">
      <c r="A21" s="48">
        <v>19085</v>
      </c>
      <c r="B21" s="49">
        <f>VLOOKUP(A21,'Data yoy'!$B:$AT,MATCH($B$1,'Data yoy'!$B$1:$AT$1,0),FALSE)</f>
        <v>5.170000881</v>
      </c>
      <c r="C21" s="49">
        <f>Table13456789101112131415161734[[#This Row],[USA]]-B20</f>
        <v>-0.30137761399999974</v>
      </c>
      <c r="D21" s="29"/>
      <c r="V21" s="40" t="s">
        <v>22</v>
      </c>
    </row>
    <row r="22" spans="1:22" x14ac:dyDescent="0.2">
      <c r="A22" s="48">
        <v>19176</v>
      </c>
      <c r="B22" s="49">
        <f>VLOOKUP(A22,'Data yoy'!$B:$AT,MATCH($B$1,'Data yoy'!$B$1:$AT$1,0),FALSE)</f>
        <v>3.6014209519999998</v>
      </c>
      <c r="C22" s="49">
        <f>Table13456789101112131415161734[[#This Row],[USA]]-B21</f>
        <v>-1.5685799290000002</v>
      </c>
      <c r="D22" s="29"/>
      <c r="V22" s="40" t="s">
        <v>23</v>
      </c>
    </row>
    <row r="23" spans="1:22" x14ac:dyDescent="0.2">
      <c r="A23" s="48">
        <v>19268</v>
      </c>
      <c r="B23" s="49">
        <f>VLOOKUP(A23,'Data yoy'!$B:$AT,MATCH($B$1,'Data yoy'!$B$1:$AT$1,0),FALSE)</f>
        <v>2.2420593809999998</v>
      </c>
      <c r="C23" s="49">
        <f>Table13456789101112131415161734[[#This Row],[USA]]-B22</f>
        <v>-1.359361571</v>
      </c>
      <c r="D23" s="29"/>
      <c r="V23" s="40" t="s">
        <v>24</v>
      </c>
    </row>
    <row r="24" spans="1:22" x14ac:dyDescent="0.2">
      <c r="A24" s="48">
        <v>19360</v>
      </c>
      <c r="B24" s="49">
        <f>VLOOKUP(A24,'Data yoy'!$B:$AT,MATCH($B$1,'Data yoy'!$B$1:$AT$1,0),FALSE)</f>
        <v>5.3678369469999998</v>
      </c>
      <c r="C24" s="49">
        <f>Table13456789101112131415161734[[#This Row],[USA]]-B23</f>
        <v>3.125777566</v>
      </c>
      <c r="D24" s="29"/>
      <c r="V24" s="40" t="s">
        <v>25</v>
      </c>
    </row>
    <row r="25" spans="1:22" x14ac:dyDescent="0.2">
      <c r="A25" s="48">
        <v>19450</v>
      </c>
      <c r="B25" s="49">
        <f>VLOOKUP(A25,'Data yoy'!$B:$AT,MATCH($B$1,'Data yoy'!$B$1:$AT$1,0),FALSE)</f>
        <v>6.1917895940000003</v>
      </c>
      <c r="C25" s="49">
        <f>Table13456789101112131415161734[[#This Row],[USA]]-B24</f>
        <v>0.82395264700000048</v>
      </c>
      <c r="D25" s="29"/>
      <c r="V25" s="40" t="s">
        <v>26</v>
      </c>
    </row>
    <row r="26" spans="1:22" x14ac:dyDescent="0.2">
      <c r="A26" s="48">
        <v>19541</v>
      </c>
      <c r="B26" s="49">
        <f>VLOOKUP(A26,'Data yoy'!$B:$AT,MATCH($B$1,'Data yoy'!$B$1:$AT$1,0),FALSE)</f>
        <v>6.7825801630000004</v>
      </c>
      <c r="C26" s="49">
        <f>Table13456789101112131415161734[[#This Row],[USA]]-B25</f>
        <v>0.59079056900000015</v>
      </c>
      <c r="D26" s="29"/>
      <c r="V26" s="40" t="s">
        <v>27</v>
      </c>
    </row>
    <row r="27" spans="1:22" x14ac:dyDescent="0.2">
      <c r="A27" s="48">
        <v>19633</v>
      </c>
      <c r="B27" s="49">
        <f>VLOOKUP(A27,'Data yoy'!$B:$AT,MATCH($B$1,'Data yoy'!$B$1:$AT$1,0),FALSE)</f>
        <v>5.4207601810000003</v>
      </c>
      <c r="C27" s="49">
        <f>Table13456789101112131415161734[[#This Row],[USA]]-B26</f>
        <v>-1.3618199820000001</v>
      </c>
      <c r="D27" s="29"/>
      <c r="V27" s="40" t="s">
        <v>28</v>
      </c>
    </row>
    <row r="28" spans="1:22" x14ac:dyDescent="0.2">
      <c r="A28" s="48">
        <v>19725</v>
      </c>
      <c r="B28" s="49">
        <f>VLOOKUP(A28,'Data yoy'!$B:$AT,MATCH($B$1,'Data yoy'!$B$1:$AT$1,0),FALSE)</f>
        <v>0.52334884400000004</v>
      </c>
      <c r="C28" s="49">
        <f>Table13456789101112131415161734[[#This Row],[USA]]-B27</f>
        <v>-4.8974113370000003</v>
      </c>
      <c r="D28" s="29"/>
      <c r="V28" s="40" t="s">
        <v>29</v>
      </c>
    </row>
    <row r="29" spans="1:22" x14ac:dyDescent="0.2">
      <c r="A29" s="48">
        <v>19815</v>
      </c>
      <c r="B29" s="49">
        <f>VLOOKUP(A29,'Data yoy'!$B:$AT,MATCH($B$1,'Data yoy'!$B$1:$AT$1,0),FALSE)</f>
        <v>-1.782902464</v>
      </c>
      <c r="C29" s="49">
        <f>Table13456789101112131415161734[[#This Row],[USA]]-B28</f>
        <v>-2.3062513080000002</v>
      </c>
      <c r="D29" s="29"/>
      <c r="V29" s="40" t="s">
        <v>30</v>
      </c>
    </row>
    <row r="30" spans="1:22" x14ac:dyDescent="0.2">
      <c r="A30" s="48">
        <v>19906</v>
      </c>
      <c r="B30" s="49">
        <f>VLOOKUP(A30,'Data yoy'!$B:$AT,MATCH($B$1,'Data yoy'!$B$1:$AT$1,0),FALSE)</f>
        <v>-2.4300090499999998</v>
      </c>
      <c r="C30" s="49">
        <f>Table13456789101112131415161734[[#This Row],[USA]]-B29</f>
        <v>-0.64710658599999982</v>
      </c>
      <c r="D30" s="29"/>
      <c r="V30" s="40" t="s">
        <v>31</v>
      </c>
    </row>
    <row r="31" spans="1:22" x14ac:dyDescent="0.2">
      <c r="A31" s="48">
        <v>19998</v>
      </c>
      <c r="B31" s="49">
        <f>VLOOKUP(A31,'Data yoy'!$B:$AT,MATCH($B$1,'Data yoy'!$B$1:$AT$1,0),FALSE)</f>
        <v>-0.76976022300000002</v>
      </c>
      <c r="C31" s="49">
        <f>Table13456789101112131415161734[[#This Row],[USA]]-B30</f>
        <v>1.6602488269999998</v>
      </c>
      <c r="D31" s="29"/>
      <c r="V31" s="40" t="s">
        <v>32</v>
      </c>
    </row>
    <row r="32" spans="1:22" x14ac:dyDescent="0.2">
      <c r="A32" s="48">
        <v>20090</v>
      </c>
      <c r="B32" s="49">
        <f>VLOOKUP(A32,'Data yoy'!$B:$AT,MATCH($B$1,'Data yoy'!$B$1:$AT$1,0),FALSE)</f>
        <v>2.7270932499999998</v>
      </c>
      <c r="C32" s="49">
        <f>Table13456789101112131415161734[[#This Row],[USA]]-B31</f>
        <v>3.4968534729999998</v>
      </c>
      <c r="D32" s="29"/>
      <c r="V32" s="40" t="s">
        <v>33</v>
      </c>
    </row>
    <row r="33" spans="1:22" x14ac:dyDescent="0.2">
      <c r="A33" s="48">
        <v>20180</v>
      </c>
      <c r="B33" s="49">
        <f>VLOOKUP(A33,'Data yoy'!$B:$AT,MATCH($B$1,'Data yoy'!$B$1:$AT$1,0),FALSE)</f>
        <v>6.1687319870000001</v>
      </c>
      <c r="C33" s="49">
        <f>Table13456789101112131415161734[[#This Row],[USA]]-B32</f>
        <v>3.4416387370000003</v>
      </c>
      <c r="D33" s="29"/>
      <c r="V33" s="40" t="s">
        <v>43</v>
      </c>
    </row>
    <row r="34" spans="1:22" x14ac:dyDescent="0.2">
      <c r="A34" s="48">
        <v>20271</v>
      </c>
      <c r="B34" s="49">
        <f>VLOOKUP(A34,'Data yoy'!$B:$AT,MATCH($B$1,'Data yoy'!$B$1:$AT$1,0),FALSE)</f>
        <v>7.7788443279999999</v>
      </c>
      <c r="C34" s="49">
        <f>Table13456789101112131415161734[[#This Row],[USA]]-B33</f>
        <v>1.6101123409999998</v>
      </c>
      <c r="D34" s="29"/>
      <c r="V34" s="40" t="s">
        <v>34</v>
      </c>
    </row>
    <row r="35" spans="1:22" x14ac:dyDescent="0.2">
      <c r="A35" s="48">
        <v>20363</v>
      </c>
      <c r="B35" s="49">
        <f>VLOOKUP(A35,'Data yoy'!$B:$AT,MATCH($B$1,'Data yoy'!$B$1:$AT$1,0),FALSE)</f>
        <v>8.0145013810000005</v>
      </c>
      <c r="C35" s="49">
        <f>Table13456789101112131415161734[[#This Row],[USA]]-B34</f>
        <v>0.23565705300000062</v>
      </c>
      <c r="D35" s="29"/>
      <c r="V35" s="40" t="s">
        <v>35</v>
      </c>
    </row>
    <row r="36" spans="1:22" x14ac:dyDescent="0.2">
      <c r="A36" s="48">
        <v>20455</v>
      </c>
      <c r="B36" s="49">
        <f>VLOOKUP(A36,'Data yoy'!$B:$AT,MATCH($B$1,'Data yoy'!$B$1:$AT$1,0),FALSE)</f>
        <v>6.5775531980000004</v>
      </c>
      <c r="C36" s="49">
        <f>Table13456789101112131415161734[[#This Row],[USA]]-B35</f>
        <v>-1.4369481830000002</v>
      </c>
      <c r="D36" s="29"/>
      <c r="V36" s="40" t="s">
        <v>36</v>
      </c>
    </row>
    <row r="37" spans="1:22" x14ac:dyDescent="0.2">
      <c r="A37" s="48">
        <v>20546</v>
      </c>
      <c r="B37" s="49">
        <f>VLOOKUP(A37,'Data yoy'!$B:$AT,MATCH($B$1,'Data yoy'!$B$1:$AT$1,0),FALSE)</f>
        <v>3.2155485320000001</v>
      </c>
      <c r="C37" s="49">
        <f>Table13456789101112131415161734[[#This Row],[USA]]-B36</f>
        <v>-3.3620046660000003</v>
      </c>
      <c r="D37" s="29"/>
      <c r="V37" s="40" t="s">
        <v>37</v>
      </c>
    </row>
    <row r="38" spans="1:22" x14ac:dyDescent="0.2">
      <c r="A38" s="48">
        <v>20637</v>
      </c>
      <c r="B38" s="49">
        <f>VLOOKUP(A38,'Data yoy'!$B:$AT,MATCH($B$1,'Data yoy'!$B$1:$AT$1,0),FALSE)</f>
        <v>2.4021458670000002</v>
      </c>
      <c r="C38" s="49">
        <f>Table13456789101112131415161734[[#This Row],[USA]]-B37</f>
        <v>-0.81340266499999991</v>
      </c>
      <c r="D38" s="29"/>
      <c r="V38" s="40" t="s">
        <v>38</v>
      </c>
    </row>
    <row r="39" spans="1:22" x14ac:dyDescent="0.2">
      <c r="A39" s="48">
        <v>20729</v>
      </c>
      <c r="B39" s="49">
        <f>VLOOKUP(A39,'Data yoy'!$B:$AT,MATCH($B$1,'Data yoy'!$B$1:$AT$1,0),FALSE)</f>
        <v>0.94689641000000002</v>
      </c>
      <c r="C39" s="49">
        <f>Table13456789101112131415161734[[#This Row],[USA]]-B38</f>
        <v>-1.4552494570000003</v>
      </c>
      <c r="D39" s="29"/>
      <c r="V39" s="40" t="s">
        <v>39</v>
      </c>
    </row>
    <row r="40" spans="1:22" x14ac:dyDescent="0.2">
      <c r="A40" s="48">
        <v>20821</v>
      </c>
      <c r="B40" s="49">
        <f>VLOOKUP(A40,'Data yoy'!$B:$AT,MATCH($B$1,'Data yoy'!$B$1:$AT$1,0),FALSE)</f>
        <v>1.9960335760000001</v>
      </c>
      <c r="C40" s="49">
        <f>Table13456789101112131415161734[[#This Row],[USA]]-B39</f>
        <v>1.049137166</v>
      </c>
      <c r="D40" s="29"/>
      <c r="V40" s="40" t="s">
        <v>40</v>
      </c>
    </row>
    <row r="41" spans="1:22" x14ac:dyDescent="0.2">
      <c r="A41" s="48">
        <v>20911</v>
      </c>
      <c r="B41" s="49">
        <f>VLOOKUP(A41,'Data yoy'!$B:$AT,MATCH($B$1,'Data yoy'!$B$1:$AT$1,0),FALSE)</f>
        <v>3.0493286199999998</v>
      </c>
      <c r="C41" s="49">
        <f>Table13456789101112131415161734[[#This Row],[USA]]-B40</f>
        <v>1.0532950439999997</v>
      </c>
      <c r="D41" s="29"/>
      <c r="V41" s="40" t="s">
        <v>41</v>
      </c>
    </row>
    <row r="42" spans="1:22" x14ac:dyDescent="0.2">
      <c r="A42" s="48">
        <v>21002</v>
      </c>
      <c r="B42" s="49">
        <f>VLOOKUP(A42,'Data yoy'!$B:$AT,MATCH($B$1,'Data yoy'!$B$1:$AT$1,0),FALSE)</f>
        <v>1.9808742699999999</v>
      </c>
      <c r="C42" s="49">
        <f>Table13456789101112131415161734[[#This Row],[USA]]-B41</f>
        <v>-1.0684543499999999</v>
      </c>
      <c r="D42" s="29"/>
    </row>
    <row r="43" spans="1:22" x14ac:dyDescent="0.2">
      <c r="A43" s="48">
        <v>21094</v>
      </c>
      <c r="B43" s="49">
        <f>VLOOKUP(A43,'Data yoy'!$B:$AT,MATCH($B$1,'Data yoy'!$B$1:$AT$1,0),FALSE)</f>
        <v>3.0729058839999999</v>
      </c>
      <c r="C43" s="49">
        <f>Table13456789101112131415161734[[#This Row],[USA]]-B42</f>
        <v>1.0920316139999999</v>
      </c>
      <c r="D43" s="29"/>
    </row>
    <row r="44" spans="1:22" x14ac:dyDescent="0.2">
      <c r="A44" s="48">
        <v>21186</v>
      </c>
      <c r="B44" s="49">
        <f>VLOOKUP(A44,'Data yoy'!$B:$AT,MATCH($B$1,'Data yoy'!$B$1:$AT$1,0),FALSE)</f>
        <v>0.35513471499999999</v>
      </c>
      <c r="C44" s="49">
        <f>Table13456789101112131415161734[[#This Row],[USA]]-B43</f>
        <v>-2.7177711689999997</v>
      </c>
      <c r="D44" s="29"/>
    </row>
    <row r="45" spans="1:22" x14ac:dyDescent="0.2">
      <c r="A45" s="48">
        <v>21276</v>
      </c>
      <c r="B45" s="49">
        <f>VLOOKUP(A45,'Data yoy'!$B:$AT,MATCH($B$1,'Data yoy'!$B$1:$AT$1,0),FALSE)</f>
        <v>-2.8714282899999999</v>
      </c>
      <c r="C45" s="49">
        <f>Table13456789101112131415161734[[#This Row],[USA]]-B44</f>
        <v>-3.226563005</v>
      </c>
      <c r="D45" s="29"/>
    </row>
    <row r="46" spans="1:22" x14ac:dyDescent="0.2">
      <c r="A46" s="48">
        <v>21367</v>
      </c>
      <c r="B46" s="49">
        <f>VLOOKUP(A46,'Data yoy'!$B:$AT,MATCH($B$1,'Data yoy'!$B$1:$AT$1,0),FALSE)</f>
        <v>-2.0184094849999998</v>
      </c>
      <c r="C46" s="49">
        <f>Table13456789101112131415161734[[#This Row],[USA]]-B45</f>
        <v>0.85301880500000005</v>
      </c>
      <c r="D46" s="29"/>
    </row>
    <row r="47" spans="1:22" x14ac:dyDescent="0.2">
      <c r="A47" s="48">
        <v>21459</v>
      </c>
      <c r="B47" s="49">
        <f>VLOOKUP(A47,'Data yoy'!$B:$AT,MATCH($B$1,'Data yoy'!$B$1:$AT$1,0),FALSE)</f>
        <v>-0.72479788599999995</v>
      </c>
      <c r="C47" s="49">
        <f>Table13456789101112131415161734[[#This Row],[USA]]-B46</f>
        <v>1.2936115989999999</v>
      </c>
      <c r="D47" s="29"/>
    </row>
    <row r="48" spans="1:22" x14ac:dyDescent="0.2">
      <c r="A48" s="48">
        <v>21551</v>
      </c>
      <c r="B48" s="49">
        <f>VLOOKUP(A48,'Data yoy'!$B:$AT,MATCH($B$1,'Data yoy'!$B$1:$AT$1,0),FALSE)</f>
        <v>2.6581373350000002</v>
      </c>
      <c r="C48" s="49">
        <f>Table13456789101112131415161734[[#This Row],[USA]]-B47</f>
        <v>3.3829352210000003</v>
      </c>
      <c r="D48" s="29"/>
    </row>
    <row r="49" spans="1:4" x14ac:dyDescent="0.2">
      <c r="A49" s="48">
        <v>21641</v>
      </c>
      <c r="B49" s="49">
        <f>VLOOKUP(A49,'Data yoy'!$B:$AT,MATCH($B$1,'Data yoy'!$B$1:$AT$1,0),FALSE)</f>
        <v>7.4166492159999997</v>
      </c>
      <c r="C49" s="49">
        <f>Table13456789101112131415161734[[#This Row],[USA]]-B48</f>
        <v>4.7585118809999996</v>
      </c>
      <c r="D49" s="29"/>
    </row>
    <row r="50" spans="1:4" x14ac:dyDescent="0.2">
      <c r="A50" s="48">
        <v>21732</v>
      </c>
      <c r="B50" s="49">
        <f>VLOOKUP(A50,'Data yoy'!$B:$AT,MATCH($B$1,'Data yoy'!$B$1:$AT$1,0),FALSE)</f>
        <v>9.1218984800000005</v>
      </c>
      <c r="C50" s="49">
        <f>Table13456789101112131415161734[[#This Row],[USA]]-B49</f>
        <v>1.7052492640000008</v>
      </c>
      <c r="D50" s="29"/>
    </row>
    <row r="51" spans="1:4" x14ac:dyDescent="0.2">
      <c r="A51" s="48">
        <v>21824</v>
      </c>
      <c r="B51" s="49">
        <f>VLOOKUP(A51,'Data yoy'!$B:$AT,MATCH($B$1,'Data yoy'!$B$1:$AT$1,0),FALSE)</f>
        <v>6.7299987449999996</v>
      </c>
      <c r="C51" s="49">
        <f>Table13456789101112131415161734[[#This Row],[USA]]-B50</f>
        <v>-2.3918997350000009</v>
      </c>
      <c r="D51" s="29"/>
    </row>
    <row r="52" spans="1:4" x14ac:dyDescent="0.2">
      <c r="A52" s="48">
        <v>21916</v>
      </c>
      <c r="B52" s="49">
        <f>VLOOKUP(A52,'Data yoy'!$B:$AT,MATCH($B$1,'Data yoy'!$B$1:$AT$1,0),FALSE)</f>
        <v>4.5886632949999999</v>
      </c>
      <c r="C52" s="49">
        <f>Table13456789101112131415161734[[#This Row],[USA]]-B51</f>
        <v>-2.1413354499999997</v>
      </c>
      <c r="D52" s="29"/>
    </row>
    <row r="53" spans="1:4" x14ac:dyDescent="0.2">
      <c r="A53" s="48">
        <v>22007</v>
      </c>
      <c r="B53" s="49">
        <f>VLOOKUP(A53,'Data yoy'!$B:$AT,MATCH($B$1,'Data yoy'!$B$1:$AT$1,0),FALSE)</f>
        <v>4.925418809</v>
      </c>
      <c r="C53" s="49">
        <f>Table13456789101112131415161734[[#This Row],[USA]]-B52</f>
        <v>0.33675551400000003</v>
      </c>
      <c r="D53" s="29"/>
    </row>
    <row r="54" spans="1:4" x14ac:dyDescent="0.2">
      <c r="A54" s="48">
        <v>22098</v>
      </c>
      <c r="B54" s="49">
        <f>VLOOKUP(A54,'Data yoy'!$B:$AT,MATCH($B$1,'Data yoy'!$B$1:$AT$1,0),FALSE)</f>
        <v>2.0582082119999998</v>
      </c>
      <c r="C54" s="49">
        <f>Table13456789101112131415161734[[#This Row],[USA]]-B53</f>
        <v>-2.8672105970000001</v>
      </c>
      <c r="D54" s="29"/>
    </row>
    <row r="55" spans="1:4" x14ac:dyDescent="0.2">
      <c r="A55" s="48">
        <v>22190</v>
      </c>
      <c r="B55" s="49">
        <f>VLOOKUP(A55,'Data yoy'!$B:$AT,MATCH($B$1,'Data yoy'!$B$1:$AT$1,0),FALSE)</f>
        <v>2.4853887609999998</v>
      </c>
      <c r="C55" s="49">
        <f>Table13456789101112131415161734[[#This Row],[USA]]-B54</f>
        <v>0.42718054900000002</v>
      </c>
      <c r="D55" s="29"/>
    </row>
    <row r="56" spans="1:4" x14ac:dyDescent="0.2">
      <c r="A56" s="48">
        <v>22282</v>
      </c>
      <c r="B56" s="49">
        <f>VLOOKUP(A56,'Data yoy'!$B:$AT,MATCH($B$1,'Data yoy'!$B$1:$AT$1,0),FALSE)</f>
        <v>0.88268414299999998</v>
      </c>
      <c r="C56" s="49">
        <f>Table13456789101112131415161734[[#This Row],[USA]]-B55</f>
        <v>-1.6027046179999997</v>
      </c>
      <c r="D56" s="29"/>
    </row>
    <row r="57" spans="1:4" x14ac:dyDescent="0.2">
      <c r="A57" s="48">
        <v>22372</v>
      </c>
      <c r="B57" s="49">
        <f>VLOOKUP(A57,'Data yoy'!$B:$AT,MATCH($B$1,'Data yoy'!$B$1:$AT$1,0),FALSE)</f>
        <v>-0.66912824199999998</v>
      </c>
      <c r="C57" s="49">
        <f>Table13456789101112131415161734[[#This Row],[USA]]-B56</f>
        <v>-1.5518123849999998</v>
      </c>
      <c r="D57" s="29"/>
    </row>
    <row r="58" spans="1:4" x14ac:dyDescent="0.2">
      <c r="A58" s="48">
        <v>22463</v>
      </c>
      <c r="B58" s="49">
        <f>VLOOKUP(A58,'Data yoy'!$B:$AT,MATCH($B$1,'Data yoy'!$B$1:$AT$1,0),FALSE)</f>
        <v>1.564454936</v>
      </c>
      <c r="C58" s="49">
        <f>Table13456789101112131415161734[[#This Row],[USA]]-B57</f>
        <v>2.2335831779999999</v>
      </c>
      <c r="D58" s="29"/>
    </row>
    <row r="59" spans="1:4" x14ac:dyDescent="0.2">
      <c r="A59" s="48">
        <v>22555</v>
      </c>
      <c r="B59" s="49">
        <f>VLOOKUP(A59,'Data yoy'!$B:$AT,MATCH($B$1,'Data yoy'!$B$1:$AT$1,0),FALSE)</f>
        <v>3.0099205370000002</v>
      </c>
      <c r="C59" s="49">
        <f>Table13456789101112131415161734[[#This Row],[USA]]-B58</f>
        <v>1.4454656010000002</v>
      </c>
      <c r="D59" s="29"/>
    </row>
    <row r="60" spans="1:4" x14ac:dyDescent="0.2">
      <c r="A60" s="48">
        <v>22647</v>
      </c>
      <c r="B60" s="49">
        <f>VLOOKUP(A60,'Data yoy'!$B:$AT,MATCH($B$1,'Data yoy'!$B$1:$AT$1,0),FALSE)</f>
        <v>6.3955298669999996</v>
      </c>
      <c r="C60" s="49">
        <f>Table13456789101112131415161734[[#This Row],[USA]]-B59</f>
        <v>3.3856093299999994</v>
      </c>
      <c r="D60" s="29"/>
    </row>
    <row r="61" spans="1:4" x14ac:dyDescent="0.2">
      <c r="A61" s="48">
        <v>22737</v>
      </c>
      <c r="B61" s="49">
        <f>VLOOKUP(A61,'Data yoy'!$B:$AT,MATCH($B$1,'Data yoy'!$B$1:$AT$1,0),FALSE)</f>
        <v>7.5672760400000003</v>
      </c>
      <c r="C61" s="49">
        <f>Table13456789101112131415161734[[#This Row],[USA]]-B60</f>
        <v>1.1717461730000007</v>
      </c>
      <c r="D61" s="29"/>
    </row>
    <row r="62" spans="1:4" x14ac:dyDescent="0.2">
      <c r="A62" s="48">
        <v>22828</v>
      </c>
      <c r="B62" s="49">
        <f>VLOOKUP(A62,'Data yoy'!$B:$AT,MATCH($B$1,'Data yoy'!$B$1:$AT$1,0),FALSE)</f>
        <v>6.7276902109999996</v>
      </c>
      <c r="C62" s="49">
        <f>Table13456789101112131415161734[[#This Row],[USA]]-B61</f>
        <v>-0.83958582900000067</v>
      </c>
      <c r="D62" s="29"/>
    </row>
    <row r="63" spans="1:4" x14ac:dyDescent="0.2">
      <c r="A63" s="48">
        <v>22920</v>
      </c>
      <c r="B63" s="49">
        <f>VLOOKUP(A63,'Data yoy'!$B:$AT,MATCH($B$1,'Data yoy'!$B$1:$AT$1,0),FALSE)</f>
        <v>6.004014529</v>
      </c>
      <c r="C63" s="49">
        <f>Table13456789101112131415161734[[#This Row],[USA]]-B62</f>
        <v>-0.72367568199999965</v>
      </c>
      <c r="D63" s="29"/>
    </row>
    <row r="64" spans="1:4" x14ac:dyDescent="0.2">
      <c r="A64" s="48">
        <v>23012</v>
      </c>
      <c r="B64" s="49">
        <f>VLOOKUP(A64,'Data yoy'!$B:$AT,MATCH($B$1,'Data yoy'!$B$1:$AT$1,0),FALSE)</f>
        <v>4.3070989070000003</v>
      </c>
      <c r="C64" s="49">
        <f>Table13456789101112131415161734[[#This Row],[USA]]-B63</f>
        <v>-1.6969156219999997</v>
      </c>
      <c r="D64" s="29"/>
    </row>
    <row r="65" spans="1:4" x14ac:dyDescent="0.2">
      <c r="A65" s="48">
        <v>23102</v>
      </c>
      <c r="B65" s="49">
        <f>VLOOKUP(A65,'Data yoy'!$B:$AT,MATCH($B$1,'Data yoy'!$B$1:$AT$1,0),FALSE)</f>
        <v>3.5978663150000001</v>
      </c>
      <c r="C65" s="49">
        <f>Table13456789101112131415161734[[#This Row],[USA]]-B64</f>
        <v>-0.70923259200000022</v>
      </c>
      <c r="D65" s="29"/>
    </row>
    <row r="66" spans="1:4" x14ac:dyDescent="0.2">
      <c r="A66" s="48">
        <v>23193</v>
      </c>
      <c r="B66" s="49">
        <f>VLOOKUP(A66,'Data yoy'!$B:$AT,MATCH($B$1,'Data yoy'!$B$1:$AT$1,0),FALSE)</f>
        <v>3.8221569249999998</v>
      </c>
      <c r="C66" s="49">
        <f>Table13456789101112131415161734[[#This Row],[USA]]-B65</f>
        <v>0.22429060999999972</v>
      </c>
      <c r="D66" s="29"/>
    </row>
    <row r="67" spans="1:4" x14ac:dyDescent="0.2">
      <c r="A67" s="48">
        <v>23285</v>
      </c>
      <c r="B67" s="49">
        <f>VLOOKUP(A67,'Data yoy'!$B:$AT,MATCH($B$1,'Data yoy'!$B$1:$AT$1,0),FALSE)</f>
        <v>4.8169293460000002</v>
      </c>
      <c r="C67" s="49">
        <f>Table13456789101112131415161734[[#This Row],[USA]]-B66</f>
        <v>0.99477242100000041</v>
      </c>
      <c r="D67" s="29"/>
    </row>
    <row r="68" spans="1:4" x14ac:dyDescent="0.2">
      <c r="A68" s="48">
        <v>23377</v>
      </c>
      <c r="B68" s="49">
        <f>VLOOKUP(A68,'Data yoy'!$B:$AT,MATCH($B$1,'Data yoy'!$B$1:$AT$1,0),FALSE)</f>
        <v>5.1582445650000004</v>
      </c>
      <c r="C68" s="49">
        <f>Table13456789101112131415161734[[#This Row],[USA]]-B67</f>
        <v>0.34131521900000017</v>
      </c>
      <c r="D68" s="29"/>
    </row>
    <row r="69" spans="1:4" x14ac:dyDescent="0.2">
      <c r="A69" s="48">
        <v>23468</v>
      </c>
      <c r="B69" s="49">
        <f>VLOOKUP(A69,'Data yoy'!$B:$AT,MATCH($B$1,'Data yoy'!$B$1:$AT$1,0),FALSE)</f>
        <v>6.2158208269999999</v>
      </c>
      <c r="C69" s="49">
        <f>Table13456789101112131415161734[[#This Row],[USA]]-B68</f>
        <v>1.0575762619999995</v>
      </c>
      <c r="D69" s="29"/>
    </row>
    <row r="70" spans="1:4" x14ac:dyDescent="0.2">
      <c r="A70" s="48">
        <v>23559</v>
      </c>
      <c r="B70" s="49">
        <f>VLOOKUP(A70,'Data yoy'!$B:$AT,MATCH($B$1,'Data yoy'!$B$1:$AT$1,0),FALSE)</f>
        <v>6.1807512630000003</v>
      </c>
      <c r="C70" s="49">
        <f>Table13456789101112131415161734[[#This Row],[USA]]-B69</f>
        <v>-3.5069563999999609E-2</v>
      </c>
      <c r="D70" s="29"/>
    </row>
    <row r="71" spans="1:4" x14ac:dyDescent="0.2">
      <c r="A71" s="48">
        <v>23651</v>
      </c>
      <c r="B71" s="49">
        <f>VLOOKUP(A71,'Data yoy'!$B:$AT,MATCH($B$1,'Data yoy'!$B$1:$AT$1,0),FALSE)</f>
        <v>5.5198295540000002</v>
      </c>
      <c r="C71" s="49">
        <f>Table13456789101112131415161734[[#This Row],[USA]]-B70</f>
        <v>-0.66092170900000013</v>
      </c>
      <c r="D71" s="29"/>
    </row>
    <row r="72" spans="1:4" x14ac:dyDescent="0.2">
      <c r="A72" s="48">
        <v>23743</v>
      </c>
      <c r="B72" s="49">
        <f>VLOOKUP(A72,'Data yoy'!$B:$AT,MATCH($B$1,'Data yoy'!$B$1:$AT$1,0),FALSE)</f>
        <v>5.1563430649999997</v>
      </c>
      <c r="C72" s="49">
        <f>Table13456789101112131415161734[[#This Row],[USA]]-B71</f>
        <v>-0.36348648900000047</v>
      </c>
      <c r="D72" s="29"/>
    </row>
    <row r="73" spans="1:4" x14ac:dyDescent="0.2">
      <c r="A73" s="48">
        <v>23833</v>
      </c>
      <c r="B73" s="49">
        <f>VLOOKUP(A73,'Data yoy'!$B:$AT,MATCH($B$1,'Data yoy'!$B$1:$AT$1,0),FALSE)</f>
        <v>5.4771416009999996</v>
      </c>
      <c r="C73" s="49">
        <f>Table13456789101112131415161734[[#This Row],[USA]]-B72</f>
        <v>0.32079853599999986</v>
      </c>
      <c r="D73" s="29"/>
    </row>
    <row r="74" spans="1:4" x14ac:dyDescent="0.2">
      <c r="A74" s="48">
        <v>23924</v>
      </c>
      <c r="B74" s="49">
        <f>VLOOKUP(A74,'Data yoy'!$B:$AT,MATCH($B$1,'Data yoy'!$B$1:$AT$1,0),FALSE)</f>
        <v>5.6592842589999997</v>
      </c>
      <c r="C74" s="49">
        <f>Table13456789101112131415161734[[#This Row],[USA]]-B73</f>
        <v>0.18214265800000007</v>
      </c>
      <c r="D74" s="29"/>
    </row>
    <row r="75" spans="1:4" x14ac:dyDescent="0.2">
      <c r="A75" s="48">
        <v>24016</v>
      </c>
      <c r="B75" s="49">
        <f>VLOOKUP(A75,'Data yoy'!$B:$AT,MATCH($B$1,'Data yoy'!$B$1:$AT$1,0),FALSE)</f>
        <v>6.346898404</v>
      </c>
      <c r="C75" s="49">
        <f>Table13456789101112131415161734[[#This Row],[USA]]-B74</f>
        <v>0.6876141450000004</v>
      </c>
      <c r="D75" s="29"/>
    </row>
    <row r="76" spans="1:4" x14ac:dyDescent="0.2">
      <c r="A76" s="48">
        <v>24108</v>
      </c>
      <c r="B76" s="49">
        <f>VLOOKUP(A76,'Data yoy'!$B:$AT,MATCH($B$1,'Data yoy'!$B$1:$AT$1,0),FALSE)</f>
        <v>8.4621648740000008</v>
      </c>
      <c r="C76" s="49">
        <f>Table13456789101112131415161734[[#This Row],[USA]]-B75</f>
        <v>2.1152664700000008</v>
      </c>
      <c r="D76" s="29"/>
    </row>
    <row r="77" spans="1:4" x14ac:dyDescent="0.2">
      <c r="A77" s="48">
        <v>24198</v>
      </c>
      <c r="B77" s="49">
        <f>VLOOKUP(A77,'Data yoy'!$B:$AT,MATCH($B$1,'Data yoy'!$B$1:$AT$1,0),FALSE)</f>
        <v>8.4774958389999995</v>
      </c>
      <c r="C77" s="49">
        <f>Table13456789101112131415161734[[#This Row],[USA]]-B76</f>
        <v>1.5330964999998642E-2</v>
      </c>
      <c r="D77" s="29"/>
    </row>
    <row r="78" spans="1:4" x14ac:dyDescent="0.2">
      <c r="A78" s="48">
        <v>24289</v>
      </c>
      <c r="B78" s="49">
        <f>VLOOKUP(A78,'Data yoy'!$B:$AT,MATCH($B$1,'Data yoy'!$B$1:$AT$1,0),FALSE)</f>
        <v>7.4901360869999998</v>
      </c>
      <c r="C78" s="49">
        <f>Table13456789101112131415161734[[#This Row],[USA]]-B77</f>
        <v>-0.9873597519999997</v>
      </c>
      <c r="D78" s="29"/>
    </row>
    <row r="79" spans="1:4" x14ac:dyDescent="0.2">
      <c r="A79" s="48">
        <v>24381</v>
      </c>
      <c r="B79" s="49">
        <f>VLOOKUP(A79,'Data yoy'!$B:$AT,MATCH($B$1,'Data yoy'!$B$1:$AT$1,0),FALSE)</f>
        <v>6.0428748450000001</v>
      </c>
      <c r="C79" s="49">
        <f>Table13456789101112131415161734[[#This Row],[USA]]-B78</f>
        <v>-1.4472612419999997</v>
      </c>
      <c r="D79" s="29"/>
    </row>
    <row r="80" spans="1:4" x14ac:dyDescent="0.2">
      <c r="A80" s="48">
        <v>24473</v>
      </c>
      <c r="B80" s="49">
        <f>VLOOKUP(A80,'Data yoy'!$B:$AT,MATCH($B$1,'Data yoy'!$B$1:$AT$1,0),FALSE)</f>
        <v>4.5050201740000002</v>
      </c>
      <c r="C80" s="49">
        <f>Table13456789101112131415161734[[#This Row],[USA]]-B79</f>
        <v>-1.5378546709999998</v>
      </c>
      <c r="D80" s="29"/>
    </row>
    <row r="81" spans="1:4" x14ac:dyDescent="0.2">
      <c r="A81" s="48">
        <v>24563</v>
      </c>
      <c r="B81" s="49">
        <f>VLOOKUP(A81,'Data yoy'!$B:$AT,MATCH($B$1,'Data yoy'!$B$1:$AT$1,0),FALSE)</f>
        <v>2.9250362509999999</v>
      </c>
      <c r="C81" s="49">
        <f>Table13456789101112131415161734[[#This Row],[USA]]-B80</f>
        <v>-1.5799839230000003</v>
      </c>
      <c r="D81" s="29"/>
    </row>
    <row r="82" spans="1:4" x14ac:dyDescent="0.2">
      <c r="A82" s="48">
        <v>24654</v>
      </c>
      <c r="B82" s="49">
        <f>VLOOKUP(A82,'Data yoy'!$B:$AT,MATCH($B$1,'Data yoy'!$B$1:$AT$1,0),FALSE)</f>
        <v>2.6375152810000002</v>
      </c>
      <c r="C82" s="49">
        <f>Table13456789101112131415161734[[#This Row],[USA]]-B81</f>
        <v>-0.28752096999999965</v>
      </c>
      <c r="D82" s="29"/>
    </row>
    <row r="83" spans="1:4" x14ac:dyDescent="0.2">
      <c r="A83" s="48">
        <v>24746</v>
      </c>
      <c r="B83" s="49">
        <f>VLOOKUP(A83,'Data yoy'!$B:$AT,MATCH($B$1,'Data yoy'!$B$1:$AT$1,0),FALSE)</f>
        <v>2.7384927970000001</v>
      </c>
      <c r="C83" s="49">
        <f>Table13456789101112131415161734[[#This Row],[USA]]-B82</f>
        <v>0.10097751599999993</v>
      </c>
      <c r="D83" s="29"/>
    </row>
    <row r="84" spans="1:4" x14ac:dyDescent="0.2">
      <c r="A84" s="48">
        <v>24838</v>
      </c>
      <c r="B84" s="49">
        <f>VLOOKUP(A84,'Data yoy'!$B:$AT,MATCH($B$1,'Data yoy'!$B$1:$AT$1,0),FALSE)</f>
        <v>2.6708397609999999</v>
      </c>
      <c r="C84" s="49">
        <f>Table13456789101112131415161734[[#This Row],[USA]]-B83</f>
        <v>-6.7653036000000277E-2</v>
      </c>
      <c r="D84" s="29"/>
    </row>
    <row r="85" spans="1:4" x14ac:dyDescent="0.2">
      <c r="A85" s="48">
        <v>24929</v>
      </c>
      <c r="B85" s="49">
        <f>VLOOKUP(A85,'Data yoy'!$B:$AT,MATCH($B$1,'Data yoy'!$B$1:$AT$1,0),FALSE)</f>
        <v>3.845214871</v>
      </c>
      <c r="C85" s="49">
        <f>Table13456789101112131415161734[[#This Row],[USA]]-B84</f>
        <v>1.1743751100000002</v>
      </c>
      <c r="D85" s="29"/>
    </row>
    <row r="86" spans="1:4" x14ac:dyDescent="0.2">
      <c r="A86" s="48">
        <v>25020</v>
      </c>
      <c r="B86" s="49">
        <f>VLOOKUP(A86,'Data yoy'!$B:$AT,MATCH($B$1,'Data yoy'!$B$1:$AT$1,0),FALSE)</f>
        <v>5.5155815099999996</v>
      </c>
      <c r="C86" s="49">
        <f>Table13456789101112131415161734[[#This Row],[USA]]-B85</f>
        <v>1.6703666389999996</v>
      </c>
      <c r="D86" s="29"/>
    </row>
    <row r="87" spans="1:4" x14ac:dyDescent="0.2">
      <c r="A87" s="48">
        <v>25112</v>
      </c>
      <c r="B87" s="49">
        <f>VLOOKUP(A87,'Data yoy'!$B:$AT,MATCH($B$1,'Data yoy'!$B$1:$AT$1,0),FALSE)</f>
        <v>5.3366682330000001</v>
      </c>
      <c r="C87" s="49">
        <f>Table13456789101112131415161734[[#This Row],[USA]]-B86</f>
        <v>-0.17891327699999948</v>
      </c>
      <c r="D87" s="29"/>
    </row>
    <row r="88" spans="1:4" x14ac:dyDescent="0.2">
      <c r="A88" s="48">
        <v>25204</v>
      </c>
      <c r="B88" s="49">
        <f>VLOOKUP(A88,'Data yoy'!$B:$AT,MATCH($B$1,'Data yoy'!$B$1:$AT$1,0),FALSE)</f>
        <v>4.95956536</v>
      </c>
      <c r="C88" s="49">
        <f>Table13456789101112131415161734[[#This Row],[USA]]-B87</f>
        <v>-0.37710287300000012</v>
      </c>
      <c r="D88" s="29"/>
    </row>
    <row r="89" spans="1:4" x14ac:dyDescent="0.2">
      <c r="A89" s="48">
        <v>25294</v>
      </c>
      <c r="B89" s="49">
        <f>VLOOKUP(A89,'Data yoy'!$B:$AT,MATCH($B$1,'Data yoy'!$B$1:$AT$1,0),FALSE)</f>
        <v>4.471598105</v>
      </c>
      <c r="C89" s="49">
        <f>Table13456789101112131415161734[[#This Row],[USA]]-B88</f>
        <v>-0.48796725500000004</v>
      </c>
      <c r="D89" s="29"/>
    </row>
    <row r="90" spans="1:4" x14ac:dyDescent="0.2">
      <c r="A90" s="48">
        <v>25385</v>
      </c>
      <c r="B90" s="49">
        <f>VLOOKUP(A90,'Data yoy'!$B:$AT,MATCH($B$1,'Data yoy'!$B$1:$AT$1,0),FALSE)</f>
        <v>3.067141538</v>
      </c>
      <c r="C90" s="49">
        <f>Table13456789101112131415161734[[#This Row],[USA]]-B89</f>
        <v>-1.404456567</v>
      </c>
      <c r="D90" s="29"/>
    </row>
    <row r="91" spans="1:4" x14ac:dyDescent="0.2">
      <c r="A91" s="48">
        <v>25477</v>
      </c>
      <c r="B91" s="49">
        <f>VLOOKUP(A91,'Data yoy'!$B:$AT,MATCH($B$1,'Data yoy'!$B$1:$AT$1,0),FALSE)</f>
        <v>2.9500970409999998</v>
      </c>
      <c r="C91" s="49">
        <f>Table13456789101112131415161734[[#This Row],[USA]]-B90</f>
        <v>-0.11704449700000019</v>
      </c>
      <c r="D91" s="29"/>
    </row>
    <row r="92" spans="1:4" x14ac:dyDescent="0.2">
      <c r="A92" s="48">
        <v>25569</v>
      </c>
      <c r="B92" s="49">
        <f>VLOOKUP(A92,'Data yoy'!$B:$AT,MATCH($B$1,'Data yoy'!$B$1:$AT$1,0),FALSE)</f>
        <v>2.046645083</v>
      </c>
      <c r="C92" s="49">
        <f>Table13456789101112131415161734[[#This Row],[USA]]-B91</f>
        <v>-0.90345195799999978</v>
      </c>
      <c r="D92" s="29"/>
    </row>
    <row r="93" spans="1:4" x14ac:dyDescent="0.2">
      <c r="A93" s="48">
        <v>25659</v>
      </c>
      <c r="B93" s="49">
        <f>VLOOKUP(A93,'Data yoy'!$B:$AT,MATCH($B$1,'Data yoy'!$B$1:$AT$1,0),FALSE)</f>
        <v>0.32493460299999999</v>
      </c>
      <c r="C93" s="49">
        <f>Table13456789101112131415161734[[#This Row],[USA]]-B92</f>
        <v>-1.72171048</v>
      </c>
      <c r="D93" s="29"/>
    </row>
    <row r="94" spans="1:4" x14ac:dyDescent="0.2">
      <c r="A94" s="48">
        <v>25750</v>
      </c>
      <c r="B94" s="49">
        <f>VLOOKUP(A94,'Data yoy'!$B:$AT,MATCH($B$1,'Data yoy'!$B$1:$AT$1,0),FALSE)</f>
        <v>0.16283545099999999</v>
      </c>
      <c r="C94" s="49">
        <f>Table13456789101112131415161734[[#This Row],[USA]]-B93</f>
        <v>-0.162099152</v>
      </c>
      <c r="D94" s="29"/>
    </row>
    <row r="95" spans="1:4" x14ac:dyDescent="0.2">
      <c r="A95" s="48">
        <v>25842</v>
      </c>
      <c r="B95" s="49">
        <f>VLOOKUP(A95,'Data yoy'!$B:$AT,MATCH($B$1,'Data yoy'!$B$1:$AT$1,0),FALSE)</f>
        <v>0.42258147600000001</v>
      </c>
      <c r="C95" s="49">
        <f>Table13456789101112131415161734[[#This Row],[USA]]-B94</f>
        <v>0.25974602499999999</v>
      </c>
      <c r="D95" s="29"/>
    </row>
    <row r="96" spans="1:4" x14ac:dyDescent="0.2">
      <c r="A96" s="48">
        <v>25934</v>
      </c>
      <c r="B96" s="49">
        <f>VLOOKUP(A96,'Data yoy'!$B:$AT,MATCH($B$1,'Data yoy'!$B$1:$AT$1,0),FALSE)</f>
        <v>-0.16670359100000001</v>
      </c>
      <c r="C96" s="49">
        <f>Table13456789101112131415161734[[#This Row],[USA]]-B95</f>
        <v>-0.58928506700000005</v>
      </c>
      <c r="D96" s="29"/>
    </row>
    <row r="97" spans="1:4" x14ac:dyDescent="0.2">
      <c r="A97" s="48">
        <v>26024</v>
      </c>
      <c r="B97" s="49">
        <f>VLOOKUP(A97,'Data yoy'!$B:$AT,MATCH($B$1,'Data yoy'!$B$1:$AT$1,0),FALSE)</f>
        <v>2.6972368489999998</v>
      </c>
      <c r="C97" s="49">
        <f>Table13456789101112131415161734[[#This Row],[USA]]-B96</f>
        <v>2.8639404399999999</v>
      </c>
      <c r="D97" s="29"/>
    </row>
    <row r="98" spans="1:4" x14ac:dyDescent="0.2">
      <c r="A98" s="48">
        <v>26115</v>
      </c>
      <c r="B98" s="49">
        <f>VLOOKUP(A98,'Data yoy'!$B:$AT,MATCH($B$1,'Data yoy'!$B$1:$AT$1,0),FALSE)</f>
        <v>3.106613002</v>
      </c>
      <c r="C98" s="49">
        <f>Table13456789101112131415161734[[#This Row],[USA]]-B97</f>
        <v>0.40937615300000019</v>
      </c>
      <c r="D98" s="29"/>
    </row>
    <row r="99" spans="1:4" x14ac:dyDescent="0.2">
      <c r="A99" s="48">
        <v>26207</v>
      </c>
      <c r="B99" s="49">
        <f>VLOOKUP(A99,'Data yoy'!$B:$AT,MATCH($B$1,'Data yoy'!$B$1:$AT$1,0),FALSE)</f>
        <v>3.0058948110000001</v>
      </c>
      <c r="C99" s="49">
        <f>Table13456789101112131415161734[[#This Row],[USA]]-B98</f>
        <v>-0.1007181909999999</v>
      </c>
      <c r="D99" s="29"/>
    </row>
    <row r="100" spans="1:4" x14ac:dyDescent="0.2">
      <c r="A100" s="48">
        <v>26299</v>
      </c>
      <c r="B100" s="49">
        <f>VLOOKUP(A100,'Data yoy'!$B:$AT,MATCH($B$1,'Data yoy'!$B$1:$AT$1,0),FALSE)</f>
        <v>4.3672048009999997</v>
      </c>
      <c r="C100" s="49">
        <f>Table13456789101112131415161734[[#This Row],[USA]]-B99</f>
        <v>1.3613099899999996</v>
      </c>
      <c r="D100" s="29"/>
    </row>
    <row r="101" spans="1:4" x14ac:dyDescent="0.2">
      <c r="A101" s="48">
        <v>26390</v>
      </c>
      <c r="B101" s="49">
        <f>VLOOKUP(A101,'Data yoy'!$B:$AT,MATCH($B$1,'Data yoy'!$B$1:$AT$1,0),FALSE)</f>
        <v>3.4760721280000002</v>
      </c>
      <c r="C101" s="49">
        <f>Table13456789101112131415161734[[#This Row],[USA]]-B100</f>
        <v>-0.89113267299999954</v>
      </c>
      <c r="D101" s="29"/>
    </row>
    <row r="102" spans="1:4" x14ac:dyDescent="0.2">
      <c r="A102" s="48">
        <v>26481</v>
      </c>
      <c r="B102" s="49">
        <f>VLOOKUP(A102,'Data yoy'!$B:$AT,MATCH($B$1,'Data yoy'!$B$1:$AT$1,0),FALSE)</f>
        <v>5.2551864569999998</v>
      </c>
      <c r="C102" s="49">
        <f>Table13456789101112131415161734[[#This Row],[USA]]-B101</f>
        <v>1.7791143289999996</v>
      </c>
      <c r="D102" s="29"/>
    </row>
    <row r="103" spans="1:4" x14ac:dyDescent="0.2">
      <c r="A103" s="48">
        <v>26573</v>
      </c>
      <c r="B103" s="49">
        <f>VLOOKUP(A103,'Data yoy'!$B:$AT,MATCH($B$1,'Data yoy'!$B$1:$AT$1,0),FALSE)</f>
        <v>5.3819387049999996</v>
      </c>
      <c r="C103" s="49">
        <f>Table13456789101112131415161734[[#This Row],[USA]]-B102</f>
        <v>0.12675224799999985</v>
      </c>
      <c r="D103" s="29"/>
    </row>
    <row r="104" spans="1:4" x14ac:dyDescent="0.2">
      <c r="A104" s="48">
        <v>26665</v>
      </c>
      <c r="B104" s="49">
        <f>VLOOKUP(A104,'Data yoy'!$B:$AT,MATCH($B$1,'Data yoy'!$B$1:$AT$1,0),FALSE)</f>
        <v>6.8944758869999996</v>
      </c>
      <c r="C104" s="49">
        <f>Table13456789101112131415161734[[#This Row],[USA]]-B103</f>
        <v>1.512537182</v>
      </c>
      <c r="D104" s="29"/>
    </row>
    <row r="105" spans="1:4" x14ac:dyDescent="0.2">
      <c r="A105" s="48">
        <v>26755</v>
      </c>
      <c r="B105" s="49">
        <f>VLOOKUP(A105,'Data yoy'!$B:$AT,MATCH($B$1,'Data yoy'!$B$1:$AT$1,0),FALSE)</f>
        <v>7.5618882919999999</v>
      </c>
      <c r="C105" s="49">
        <f>Table13456789101112131415161734[[#This Row],[USA]]-B104</f>
        <v>0.66741240500000032</v>
      </c>
      <c r="D105" s="29"/>
    </row>
    <row r="106" spans="1:4" x14ac:dyDescent="0.2">
      <c r="A106" s="48">
        <v>26846</v>
      </c>
      <c r="B106" s="49">
        <f>VLOOKUP(A106,'Data yoy'!$B:$AT,MATCH($B$1,'Data yoy'!$B$1:$AT$1,0),FALSE)</f>
        <v>6.3196600160000003</v>
      </c>
      <c r="C106" s="49">
        <f>Table13456789101112131415161734[[#This Row],[USA]]-B105</f>
        <v>-1.2422282759999996</v>
      </c>
      <c r="D106" s="29"/>
    </row>
    <row r="107" spans="1:4" x14ac:dyDescent="0.2">
      <c r="A107" s="48">
        <v>26938</v>
      </c>
      <c r="B107" s="49">
        <f>VLOOKUP(A107,'Data yoy'!$B:$AT,MATCH($B$1,'Data yoy'!$B$1:$AT$1,0),FALSE)</f>
        <v>4.7710873080000002</v>
      </c>
      <c r="C107" s="49">
        <f>Table13456789101112131415161734[[#This Row],[USA]]-B106</f>
        <v>-1.548572708</v>
      </c>
      <c r="D107" s="29"/>
    </row>
    <row r="108" spans="1:4" x14ac:dyDescent="0.2">
      <c r="A108" s="48">
        <v>27030</v>
      </c>
      <c r="B108" s="49">
        <f>VLOOKUP(A108,'Data yoy'!$B:$AT,MATCH($B$1,'Data yoy'!$B$1:$AT$1,0),FALSE)</f>
        <v>4.0237563989999998</v>
      </c>
      <c r="C108" s="49">
        <f>Table13456789101112131415161734[[#This Row],[USA]]-B107</f>
        <v>-0.74733090900000043</v>
      </c>
      <c r="D108" s="29"/>
    </row>
    <row r="109" spans="1:4" x14ac:dyDescent="0.2">
      <c r="A109" s="48">
        <v>27120</v>
      </c>
      <c r="B109" s="49">
        <f>VLOOKUP(A109,'Data yoy'!$B:$AT,MATCH($B$1,'Data yoy'!$B$1:$AT$1,0),FALSE)</f>
        <v>0.63877387699999999</v>
      </c>
      <c r="C109" s="49">
        <f>Table13456789101112131415161734[[#This Row],[USA]]-B108</f>
        <v>-3.3849825219999996</v>
      </c>
      <c r="D109" s="29"/>
    </row>
    <row r="110" spans="1:4" x14ac:dyDescent="0.2">
      <c r="A110" s="48">
        <v>27211</v>
      </c>
      <c r="B110" s="49">
        <f>VLOOKUP(A110,'Data yoy'!$B:$AT,MATCH($B$1,'Data yoy'!$B$1:$AT$1,0),FALSE)</f>
        <v>-0.208418196</v>
      </c>
      <c r="C110" s="49">
        <f>Table13456789101112131415161734[[#This Row],[USA]]-B109</f>
        <v>-0.84719207299999999</v>
      </c>
      <c r="D110" s="29"/>
    </row>
    <row r="111" spans="1:4" x14ac:dyDescent="0.2">
      <c r="A111" s="48">
        <v>27303</v>
      </c>
      <c r="B111" s="49">
        <f>VLOOKUP(A111,'Data yoy'!$B:$AT,MATCH($B$1,'Data yoy'!$B$1:$AT$1,0),FALSE)</f>
        <v>-0.62900049300000005</v>
      </c>
      <c r="C111" s="49">
        <f>Table13456789101112131415161734[[#This Row],[USA]]-B110</f>
        <v>-0.42058229700000005</v>
      </c>
      <c r="D111" s="29"/>
    </row>
    <row r="112" spans="1:4" x14ac:dyDescent="0.2">
      <c r="A112" s="48">
        <v>27395</v>
      </c>
      <c r="B112" s="49">
        <f>VLOOKUP(A112,'Data yoy'!$B:$AT,MATCH($B$1,'Data yoy'!$B$1:$AT$1,0),FALSE)</f>
        <v>-1.9454493939999999</v>
      </c>
      <c r="C112" s="49">
        <f>Table13456789101112131415161734[[#This Row],[USA]]-B111</f>
        <v>-1.3164489009999998</v>
      </c>
      <c r="D112" s="29"/>
    </row>
    <row r="113" spans="1:4" x14ac:dyDescent="0.2">
      <c r="A113" s="48">
        <v>27485</v>
      </c>
      <c r="B113" s="49">
        <f>VLOOKUP(A113,'Data yoy'!$B:$AT,MATCH($B$1,'Data yoy'!$B$1:$AT$1,0),FALSE)</f>
        <v>-2.2990475950000002</v>
      </c>
      <c r="C113" s="49">
        <f>Table13456789101112131415161734[[#This Row],[USA]]-B112</f>
        <v>-0.35359820100000028</v>
      </c>
      <c r="D113" s="29"/>
    </row>
    <row r="114" spans="1:4" x14ac:dyDescent="0.2">
      <c r="A114" s="48">
        <v>27576</v>
      </c>
      <c r="B114" s="49">
        <f>VLOOKUP(A114,'Data yoy'!$B:$AT,MATCH($B$1,'Data yoy'!$B$1:$AT$1,0),FALSE)</f>
        <v>-1.8342624000000001</v>
      </c>
      <c r="C114" s="49">
        <f>Table13456789101112131415161734[[#This Row],[USA]]-B113</f>
        <v>0.46478519500000015</v>
      </c>
      <c r="D114" s="29"/>
    </row>
    <row r="115" spans="1:4" x14ac:dyDescent="0.2">
      <c r="A115" s="48">
        <v>27668</v>
      </c>
      <c r="B115" s="49">
        <f>VLOOKUP(A115,'Data yoy'!$B:$AT,MATCH($B$1,'Data yoy'!$B$1:$AT$1,0),FALSE)</f>
        <v>0.79868486900000002</v>
      </c>
      <c r="C115" s="49">
        <f>Table13456789101112131415161734[[#This Row],[USA]]-B114</f>
        <v>2.6329472690000002</v>
      </c>
      <c r="D115" s="29"/>
    </row>
    <row r="116" spans="1:4" x14ac:dyDescent="0.2">
      <c r="A116" s="48">
        <v>27760</v>
      </c>
      <c r="B116" s="49">
        <f>VLOOKUP(A116,'Data yoy'!$B:$AT,MATCH($B$1,'Data yoy'!$B$1:$AT$1,0),FALSE)</f>
        <v>2.554017472</v>
      </c>
      <c r="C116" s="49">
        <f>Table13456789101112131415161734[[#This Row],[USA]]-B115</f>
        <v>1.7553326029999998</v>
      </c>
      <c r="D116" s="29"/>
    </row>
    <row r="117" spans="1:4" x14ac:dyDescent="0.2">
      <c r="A117" s="48">
        <v>27851</v>
      </c>
      <c r="B117" s="49">
        <f>VLOOKUP(A117,'Data yoy'!$B:$AT,MATCH($B$1,'Data yoy'!$B$1:$AT$1,0),FALSE)</f>
        <v>6.1523893620000001</v>
      </c>
      <c r="C117" s="49">
        <f>Table13456789101112131415161734[[#This Row],[USA]]-B116</f>
        <v>3.5983718900000001</v>
      </c>
      <c r="D117" s="29"/>
    </row>
    <row r="118" spans="1:4" x14ac:dyDescent="0.2">
      <c r="A118" s="48">
        <v>27942</v>
      </c>
      <c r="B118" s="49">
        <f>VLOOKUP(A118,'Data yoy'!$B:$AT,MATCH($B$1,'Data yoy'!$B$1:$AT$1,0),FALSE)</f>
        <v>6.1725884579999999</v>
      </c>
      <c r="C118" s="49">
        <f>Table13456789101112131415161734[[#This Row],[USA]]-B117</f>
        <v>2.0199095999999805E-2</v>
      </c>
      <c r="D118" s="29"/>
    </row>
    <row r="119" spans="1:4" x14ac:dyDescent="0.2">
      <c r="A119" s="48">
        <v>28034</v>
      </c>
      <c r="B119" s="49">
        <f>VLOOKUP(A119,'Data yoy'!$B:$AT,MATCH($B$1,'Data yoy'!$B$1:$AT$1,0),FALSE)</f>
        <v>4.9586369960000001</v>
      </c>
      <c r="C119" s="49">
        <f>Table13456789101112131415161734[[#This Row],[USA]]-B118</f>
        <v>-1.2139514619999998</v>
      </c>
      <c r="D119" s="29"/>
    </row>
    <row r="120" spans="1:4" x14ac:dyDescent="0.2">
      <c r="A120" s="48">
        <v>28126</v>
      </c>
      <c r="B120" s="49">
        <f>VLOOKUP(A120,'Data yoy'!$B:$AT,MATCH($B$1,'Data yoy'!$B$1:$AT$1,0),FALSE)</f>
        <v>4.3148066380000003</v>
      </c>
      <c r="C120" s="49">
        <f>Table13456789101112131415161734[[#This Row],[USA]]-B119</f>
        <v>-0.64383035799999977</v>
      </c>
      <c r="D120" s="29"/>
    </row>
    <row r="121" spans="1:4" x14ac:dyDescent="0.2">
      <c r="A121" s="48">
        <v>28216</v>
      </c>
      <c r="B121" s="49">
        <f>VLOOKUP(A121,'Data yoy'!$B:$AT,MATCH($B$1,'Data yoy'!$B$1:$AT$1,0),FALSE)</f>
        <v>3.2259646420000001</v>
      </c>
      <c r="C121" s="49">
        <f>Table13456789101112131415161734[[#This Row],[USA]]-B120</f>
        <v>-1.0888419960000002</v>
      </c>
      <c r="D121" s="29"/>
    </row>
    <row r="122" spans="1:4" x14ac:dyDescent="0.2">
      <c r="A122" s="48">
        <v>28307</v>
      </c>
      <c r="B122" s="49">
        <f>VLOOKUP(A122,'Data yoy'!$B:$AT,MATCH($B$1,'Data yoy'!$B$1:$AT$1,0),FALSE)</f>
        <v>4.4663240980000003</v>
      </c>
      <c r="C122" s="49">
        <f>Table13456789101112131415161734[[#This Row],[USA]]-B121</f>
        <v>1.2403594560000002</v>
      </c>
      <c r="D122" s="29"/>
    </row>
    <row r="123" spans="1:4" x14ac:dyDescent="0.2">
      <c r="A123" s="48">
        <v>28399</v>
      </c>
      <c r="B123" s="49">
        <f>VLOOKUP(A123,'Data yoy'!$B:$AT,MATCH($B$1,'Data yoy'!$B$1:$AT$1,0),FALSE)</f>
        <v>5.770897368</v>
      </c>
      <c r="C123" s="49">
        <f>Table13456789101112131415161734[[#This Row],[USA]]-B122</f>
        <v>1.3045732699999997</v>
      </c>
      <c r="D123" s="29"/>
    </row>
    <row r="124" spans="1:4" x14ac:dyDescent="0.2">
      <c r="A124" s="48">
        <v>28491</v>
      </c>
      <c r="B124" s="49">
        <f>VLOOKUP(A124,'Data yoy'!$B:$AT,MATCH($B$1,'Data yoy'!$B$1:$AT$1,0),FALSE)</f>
        <v>5.0120285630000003</v>
      </c>
      <c r="C124" s="49">
        <f>Table13456789101112131415161734[[#This Row],[USA]]-B123</f>
        <v>-0.75886880499999965</v>
      </c>
      <c r="D124" s="29"/>
    </row>
    <row r="125" spans="1:4" x14ac:dyDescent="0.2">
      <c r="A125" s="48">
        <v>28581</v>
      </c>
      <c r="B125" s="49">
        <f>VLOOKUP(A125,'Data yoy'!$B:$AT,MATCH($B$1,'Data yoy'!$B$1:$AT$1,0),FALSE)</f>
        <v>4.1170623419999997</v>
      </c>
      <c r="C125" s="49">
        <f>Table13456789101112131415161734[[#This Row],[USA]]-B124</f>
        <v>-0.89496622100000067</v>
      </c>
      <c r="D125" s="29"/>
    </row>
    <row r="126" spans="1:4" x14ac:dyDescent="0.2">
      <c r="A126" s="48">
        <v>28672</v>
      </c>
      <c r="B126" s="49">
        <f>VLOOKUP(A126,'Data yoy'!$B:$AT,MATCH($B$1,'Data yoy'!$B$1:$AT$1,0),FALSE)</f>
        <v>6.0781477989999999</v>
      </c>
      <c r="C126" s="49">
        <f>Table13456789101112131415161734[[#This Row],[USA]]-B125</f>
        <v>1.9610854570000003</v>
      </c>
      <c r="D126" s="29"/>
    </row>
    <row r="127" spans="1:4" x14ac:dyDescent="0.2">
      <c r="A127" s="48">
        <v>28764</v>
      </c>
      <c r="B127" s="49">
        <f>VLOOKUP(A127,'Data yoy'!$B:$AT,MATCH($B$1,'Data yoy'!$B$1:$AT$1,0),FALSE)</f>
        <v>5.2457734220000001</v>
      </c>
      <c r="C127" s="49">
        <f>Table13456789101112131415161734[[#This Row],[USA]]-B126</f>
        <v>-0.83237437699999983</v>
      </c>
      <c r="D127" s="29"/>
    </row>
    <row r="128" spans="1:4" x14ac:dyDescent="0.2">
      <c r="A128" s="48">
        <v>28856</v>
      </c>
      <c r="B128" s="49">
        <f>VLOOKUP(A128,'Data yoy'!$B:$AT,MATCH($B$1,'Data yoy'!$B$1:$AT$1,0),FALSE)</f>
        <v>6.6580958829999997</v>
      </c>
      <c r="C128" s="49">
        <f>Table13456789101112131415161734[[#This Row],[USA]]-B127</f>
        <v>1.4123224609999996</v>
      </c>
      <c r="D128" s="29"/>
    </row>
    <row r="129" spans="1:4" x14ac:dyDescent="0.2">
      <c r="A129" s="48">
        <v>28946</v>
      </c>
      <c r="B129" s="49">
        <f>VLOOKUP(A129,'Data yoy'!$B:$AT,MATCH($B$1,'Data yoy'!$B$1:$AT$1,0),FALSE)</f>
        <v>6.5099130890000003</v>
      </c>
      <c r="C129" s="49">
        <f>Table13456789101112131415161734[[#This Row],[USA]]-B128</f>
        <v>-0.14818279399999934</v>
      </c>
      <c r="D129" s="29"/>
    </row>
    <row r="130" spans="1:4" x14ac:dyDescent="0.2">
      <c r="A130" s="48">
        <v>29037</v>
      </c>
      <c r="B130" s="49">
        <f>VLOOKUP(A130,'Data yoy'!$B:$AT,MATCH($B$1,'Data yoy'!$B$1:$AT$1,0),FALSE)</f>
        <v>2.6568550630000001</v>
      </c>
      <c r="C130" s="49">
        <f>Table13456789101112131415161734[[#This Row],[USA]]-B129</f>
        <v>-3.8530580260000002</v>
      </c>
      <c r="D130" s="29"/>
    </row>
    <row r="131" spans="1:4" x14ac:dyDescent="0.2">
      <c r="A131" s="48">
        <v>29129</v>
      </c>
      <c r="B131" s="49">
        <f>VLOOKUP(A131,'Data yoy'!$B:$AT,MATCH($B$1,'Data yoy'!$B$1:$AT$1,0),FALSE)</f>
        <v>2.3899154130000002</v>
      </c>
      <c r="C131" s="49">
        <f>Table13456789101112131415161734[[#This Row],[USA]]-B130</f>
        <v>-0.26693964999999986</v>
      </c>
      <c r="D131" s="29"/>
    </row>
    <row r="132" spans="1:4" x14ac:dyDescent="0.2">
      <c r="A132" s="48">
        <v>29221</v>
      </c>
      <c r="B132" s="49">
        <f>VLOOKUP(A132,'Data yoy'!$B:$AT,MATCH($B$1,'Data yoy'!$B$1:$AT$1,0),FALSE)</f>
        <v>1.284557672</v>
      </c>
      <c r="C132" s="49">
        <f>Table13456789101112131415161734[[#This Row],[USA]]-B131</f>
        <v>-1.1053577410000002</v>
      </c>
      <c r="D132" s="29"/>
    </row>
    <row r="133" spans="1:4" x14ac:dyDescent="0.2">
      <c r="A133" s="48">
        <v>29312</v>
      </c>
      <c r="B133" s="49">
        <f>VLOOKUP(A133,'Data yoy'!$B:$AT,MATCH($B$1,'Data yoy'!$B$1:$AT$1,0),FALSE)</f>
        <v>1.4207752659999999</v>
      </c>
      <c r="C133" s="49">
        <f>Table13456789101112131415161734[[#This Row],[USA]]-B132</f>
        <v>0.13621759399999989</v>
      </c>
      <c r="D133" s="29"/>
    </row>
    <row r="134" spans="1:4" x14ac:dyDescent="0.2">
      <c r="A134" s="48">
        <v>29403</v>
      </c>
      <c r="B134" s="49">
        <f>VLOOKUP(A134,'Data yoy'!$B:$AT,MATCH($B$1,'Data yoy'!$B$1:$AT$1,0),FALSE)</f>
        <v>-0.77506271299999996</v>
      </c>
      <c r="C134" s="49">
        <f>Table13456789101112131415161734[[#This Row],[USA]]-B133</f>
        <v>-2.1958379789999998</v>
      </c>
      <c r="D134" s="29"/>
    </row>
    <row r="135" spans="1:4" x14ac:dyDescent="0.2">
      <c r="A135" s="48">
        <v>29495</v>
      </c>
      <c r="B135" s="49">
        <f>VLOOKUP(A135,'Data yoy'!$B:$AT,MATCH($B$1,'Data yoy'!$B$1:$AT$1,0),FALSE)</f>
        <v>-1.6237974310000001</v>
      </c>
      <c r="C135" s="49">
        <f>Table13456789101112131415161734[[#This Row],[USA]]-B134</f>
        <v>-0.84873471800000011</v>
      </c>
      <c r="D135" s="29"/>
    </row>
    <row r="136" spans="1:4" x14ac:dyDescent="0.2">
      <c r="A136" s="48">
        <v>29587</v>
      </c>
      <c r="B136" s="49">
        <f>VLOOKUP(A136,'Data yoy'!$B:$AT,MATCH($B$1,'Data yoy'!$B$1:$AT$1,0),FALSE)</f>
        <v>-3.9131615000000002E-2</v>
      </c>
      <c r="C136" s="49">
        <f>Table13456789101112131415161734[[#This Row],[USA]]-B135</f>
        <v>1.584665816</v>
      </c>
      <c r="D136" s="29"/>
    </row>
    <row r="137" spans="1:4" x14ac:dyDescent="0.2">
      <c r="A137" s="48">
        <v>29677</v>
      </c>
      <c r="B137" s="49">
        <f>VLOOKUP(A137,'Data yoy'!$B:$AT,MATCH($B$1,'Data yoy'!$B$1:$AT$1,0),FALSE)</f>
        <v>1.599979772</v>
      </c>
      <c r="C137" s="49">
        <f>Table13456789101112131415161734[[#This Row],[USA]]-B136</f>
        <v>1.639111387</v>
      </c>
      <c r="D137" s="29"/>
    </row>
    <row r="138" spans="1:4" x14ac:dyDescent="0.2">
      <c r="A138" s="48">
        <v>29768</v>
      </c>
      <c r="B138" s="49">
        <f>VLOOKUP(A138,'Data yoy'!$B:$AT,MATCH($B$1,'Data yoy'!$B$1:$AT$1,0),FALSE)</f>
        <v>2.968700707</v>
      </c>
      <c r="C138" s="49">
        <f>Table13456789101112131415161734[[#This Row],[USA]]-B137</f>
        <v>1.368720935</v>
      </c>
      <c r="D138" s="29"/>
    </row>
    <row r="139" spans="1:4" x14ac:dyDescent="0.2">
      <c r="A139" s="48">
        <v>29860</v>
      </c>
      <c r="B139" s="49">
        <f>VLOOKUP(A139,'Data yoy'!$B:$AT,MATCH($B$1,'Data yoy'!$B$1:$AT$1,0),FALSE)</f>
        <v>4.3257650209999996</v>
      </c>
      <c r="C139" s="49">
        <f>Table13456789101112131415161734[[#This Row],[USA]]-B138</f>
        <v>1.3570643139999996</v>
      </c>
      <c r="D139" s="29"/>
    </row>
    <row r="140" spans="1:4" x14ac:dyDescent="0.2">
      <c r="A140" s="48">
        <v>29952</v>
      </c>
      <c r="B140" s="49">
        <f>VLOOKUP(A140,'Data yoy'!$B:$AT,MATCH($B$1,'Data yoy'!$B$1:$AT$1,0),FALSE)</f>
        <v>1.2999011570000001</v>
      </c>
      <c r="C140" s="49">
        <f>Table13456789101112131415161734[[#This Row],[USA]]-B139</f>
        <v>-3.0258638639999997</v>
      </c>
      <c r="D140" s="29"/>
    </row>
    <row r="141" spans="1:4" x14ac:dyDescent="0.2">
      <c r="A141" s="48">
        <v>30042</v>
      </c>
      <c r="B141" s="49">
        <f>VLOOKUP(A141,'Data yoy'!$B:$AT,MATCH($B$1,'Data yoy'!$B$1:$AT$1,0),FALSE)</f>
        <v>-2.1903489820000002</v>
      </c>
      <c r="C141" s="49">
        <f>Table13456789101112131415161734[[#This Row],[USA]]-B140</f>
        <v>-3.4902501390000005</v>
      </c>
      <c r="D141" s="29"/>
    </row>
    <row r="142" spans="1:4" x14ac:dyDescent="0.2">
      <c r="A142" s="48">
        <v>30133</v>
      </c>
      <c r="B142" s="49">
        <f>VLOOKUP(A142,'Data yoy'!$B:$AT,MATCH($B$1,'Data yoy'!$B$1:$AT$1,0),FALSE)</f>
        <v>-1.0105681470000001</v>
      </c>
      <c r="C142" s="49">
        <f>Table13456789101112131415161734[[#This Row],[USA]]-B141</f>
        <v>1.1797808350000001</v>
      </c>
      <c r="D142" s="29"/>
    </row>
    <row r="143" spans="1:4" x14ac:dyDescent="0.2">
      <c r="A143" s="48">
        <v>30225</v>
      </c>
      <c r="B143" s="49">
        <f>VLOOKUP(A143,'Data yoy'!$B:$AT,MATCH($B$1,'Data yoy'!$B$1:$AT$1,0),FALSE)</f>
        <v>-2.555921433</v>
      </c>
      <c r="C143" s="49">
        <f>Table13456789101112131415161734[[#This Row],[USA]]-B142</f>
        <v>-1.5453532859999999</v>
      </c>
      <c r="D143" s="29"/>
    </row>
    <row r="144" spans="1:4" x14ac:dyDescent="0.2">
      <c r="A144" s="48">
        <v>30317</v>
      </c>
      <c r="B144" s="49">
        <f>VLOOKUP(A144,'Data yoy'!$B:$AT,MATCH($B$1,'Data yoy'!$B$1:$AT$1,0),FALSE)</f>
        <v>-1.443156179</v>
      </c>
      <c r="C144" s="49">
        <f>Table13456789101112131415161734[[#This Row],[USA]]-B143</f>
        <v>1.1127652539999999</v>
      </c>
      <c r="D144" s="29"/>
    </row>
    <row r="145" spans="1:4" x14ac:dyDescent="0.2">
      <c r="A145" s="48">
        <v>30407</v>
      </c>
      <c r="B145" s="49">
        <f>VLOOKUP(A145,'Data yoy'!$B:$AT,MATCH($B$1,'Data yoy'!$B$1:$AT$1,0),FALSE)</f>
        <v>1.4314555769999999</v>
      </c>
      <c r="C145" s="49">
        <f>Table13456789101112131415161734[[#This Row],[USA]]-B144</f>
        <v>2.8746117560000002</v>
      </c>
      <c r="D145" s="29"/>
    </row>
    <row r="146" spans="1:4" x14ac:dyDescent="0.2">
      <c r="A146" s="48">
        <v>30498</v>
      </c>
      <c r="B146" s="49">
        <f>VLOOKUP(A146,'Data yoy'!$B:$AT,MATCH($B$1,'Data yoy'!$B$1:$AT$1,0),FALSE)</f>
        <v>3.2685328839999999</v>
      </c>
      <c r="C146" s="49">
        <f>Table13456789101112131415161734[[#This Row],[USA]]-B145</f>
        <v>1.8370773069999999</v>
      </c>
      <c r="D146" s="29"/>
    </row>
    <row r="147" spans="1:4" x14ac:dyDescent="0.2">
      <c r="A147" s="48">
        <v>30590</v>
      </c>
      <c r="B147" s="49">
        <f>VLOOKUP(A147,'Data yoy'!$B:$AT,MATCH($B$1,'Data yoy'!$B$1:$AT$1,0),FALSE)</f>
        <v>5.7371696849999996</v>
      </c>
      <c r="C147" s="49">
        <f>Table13456789101112131415161734[[#This Row],[USA]]-B146</f>
        <v>2.4686368009999997</v>
      </c>
      <c r="D147" s="29"/>
    </row>
    <row r="148" spans="1:4" x14ac:dyDescent="0.2">
      <c r="A148" s="48">
        <v>30682</v>
      </c>
      <c r="B148" s="49">
        <f>VLOOKUP(A148,'Data yoy'!$B:$AT,MATCH($B$1,'Data yoy'!$B$1:$AT$1,0),FALSE)</f>
        <v>7.8999749809999997</v>
      </c>
      <c r="C148" s="49">
        <f>Table13456789101112131415161734[[#This Row],[USA]]-B147</f>
        <v>2.1628052960000002</v>
      </c>
      <c r="D148" s="29"/>
    </row>
    <row r="149" spans="1:4" x14ac:dyDescent="0.2">
      <c r="A149" s="48">
        <v>30773</v>
      </c>
      <c r="B149" s="49">
        <f>VLOOKUP(A149,'Data yoy'!$B:$AT,MATCH($B$1,'Data yoy'!$B$1:$AT$1,0),FALSE)</f>
        <v>8.5782754620000006</v>
      </c>
      <c r="C149" s="49">
        <f>Table13456789101112131415161734[[#This Row],[USA]]-B148</f>
        <v>0.67830048100000084</v>
      </c>
      <c r="D149" s="29"/>
    </row>
    <row r="150" spans="1:4" x14ac:dyDescent="0.2">
      <c r="A150" s="48">
        <v>30864</v>
      </c>
      <c r="B150" s="49">
        <f>VLOOKUP(A150,'Data yoy'!$B:$AT,MATCH($B$1,'Data yoy'!$B$1:$AT$1,0),FALSE)</f>
        <v>7.9966966749999999</v>
      </c>
      <c r="C150" s="49">
        <f>Table13456789101112131415161734[[#This Row],[USA]]-B149</f>
        <v>-0.58157878700000065</v>
      </c>
      <c r="D150" s="29"/>
    </row>
    <row r="151" spans="1:4" x14ac:dyDescent="0.2">
      <c r="A151" s="48">
        <v>30956</v>
      </c>
      <c r="B151" s="49">
        <f>VLOOKUP(A151,'Data yoy'!$B:$AT,MATCH($B$1,'Data yoy'!$B$1:$AT$1,0),FALSE)</f>
        <v>6.9008370829999999</v>
      </c>
      <c r="C151" s="49">
        <f>Table13456789101112131415161734[[#This Row],[USA]]-B150</f>
        <v>-1.095859592</v>
      </c>
      <c r="D151" s="29"/>
    </row>
    <row r="152" spans="1:4" x14ac:dyDescent="0.2">
      <c r="A152" s="48">
        <v>31048</v>
      </c>
      <c r="B152" s="49">
        <f>VLOOKUP(A152,'Data yoy'!$B:$AT,MATCH($B$1,'Data yoy'!$B$1:$AT$1,0),FALSE)</f>
        <v>5.575799462</v>
      </c>
      <c r="C152" s="49">
        <f>Table13456789101112131415161734[[#This Row],[USA]]-B151</f>
        <v>-1.3250376209999999</v>
      </c>
      <c r="D152" s="29"/>
    </row>
    <row r="153" spans="1:4" x14ac:dyDescent="0.2">
      <c r="A153" s="48">
        <v>31138</v>
      </c>
      <c r="B153" s="49">
        <f>VLOOKUP(A153,'Data yoy'!$B:$AT,MATCH($B$1,'Data yoy'!$B$1:$AT$1,0),FALSE)</f>
        <v>4.5550933889999996</v>
      </c>
      <c r="C153" s="49">
        <f>Table13456789101112131415161734[[#This Row],[USA]]-B152</f>
        <v>-1.0207060730000004</v>
      </c>
      <c r="D153" s="29"/>
    </row>
    <row r="154" spans="1:4" x14ac:dyDescent="0.2">
      <c r="A154" s="48">
        <v>31229</v>
      </c>
      <c r="B154" s="49">
        <f>VLOOKUP(A154,'Data yoy'!$B:$AT,MATCH($B$1,'Data yoy'!$B$1:$AT$1,0),FALSE)</f>
        <v>3.6842175049999999</v>
      </c>
      <c r="C154" s="49">
        <f>Table13456789101112131415161734[[#This Row],[USA]]-B153</f>
        <v>-0.87087588399999971</v>
      </c>
      <c r="D154" s="29"/>
    </row>
    <row r="155" spans="1:4" x14ac:dyDescent="0.2">
      <c r="A155" s="48">
        <v>31321</v>
      </c>
      <c r="B155" s="49">
        <f>VLOOKUP(A155,'Data yoy'!$B:$AT,MATCH($B$1,'Data yoy'!$B$1:$AT$1,0),FALSE)</f>
        <v>4.2624449269999998</v>
      </c>
      <c r="C155" s="49">
        <f>Table13456789101112131415161734[[#This Row],[USA]]-B154</f>
        <v>0.57822742199999988</v>
      </c>
      <c r="D155" s="29"/>
    </row>
    <row r="156" spans="1:4" x14ac:dyDescent="0.2">
      <c r="A156" s="48">
        <v>31413</v>
      </c>
      <c r="B156" s="49">
        <f>VLOOKUP(A156,'Data yoy'!$B:$AT,MATCH($B$1,'Data yoy'!$B$1:$AT$1,0),FALSE)</f>
        <v>4.182268594</v>
      </c>
      <c r="C156" s="49">
        <f>Table13456789101112131415161734[[#This Row],[USA]]-B155</f>
        <v>-8.0176332999999822E-2</v>
      </c>
      <c r="D156" s="29"/>
    </row>
    <row r="157" spans="1:4" x14ac:dyDescent="0.2">
      <c r="A157" s="48">
        <v>31503</v>
      </c>
      <c r="B157" s="49">
        <f>VLOOKUP(A157,'Data yoy'!$B:$AT,MATCH($B$1,'Data yoy'!$B$1:$AT$1,0),FALSE)</f>
        <v>4.145589749</v>
      </c>
      <c r="C157" s="49">
        <f>Table13456789101112131415161734[[#This Row],[USA]]-B156</f>
        <v>-3.667884499999996E-2</v>
      </c>
      <c r="D157" s="29"/>
    </row>
    <row r="158" spans="1:4" x14ac:dyDescent="0.2">
      <c r="A158" s="48">
        <v>31594</v>
      </c>
      <c r="B158" s="49">
        <f>VLOOKUP(A158,'Data yoy'!$B:$AT,MATCH($B$1,'Data yoy'!$B$1:$AT$1,0),FALSE)</f>
        <v>3.7015803869999999</v>
      </c>
      <c r="C158" s="49">
        <f>Table13456789101112131415161734[[#This Row],[USA]]-B157</f>
        <v>-0.44400936200000007</v>
      </c>
      <c r="D158" s="29"/>
    </row>
    <row r="159" spans="1:4" x14ac:dyDescent="0.2">
      <c r="A159" s="48">
        <v>31686</v>
      </c>
      <c r="B159" s="49">
        <f>VLOOKUP(A159,'Data yoy'!$B:$AT,MATCH($B$1,'Data yoy'!$B$1:$AT$1,0),FALSE)</f>
        <v>3.1192412740000002</v>
      </c>
      <c r="C159" s="49">
        <f>Table13456789101112131415161734[[#This Row],[USA]]-B158</f>
        <v>-0.58233911299999974</v>
      </c>
      <c r="D159" s="29"/>
    </row>
    <row r="160" spans="1:4" x14ac:dyDescent="0.2">
      <c r="A160" s="48">
        <v>31778</v>
      </c>
      <c r="B160" s="49">
        <f>VLOOKUP(A160,'Data yoy'!$B:$AT,MATCH($B$1,'Data yoy'!$B$1:$AT$1,0),FALSE)</f>
        <v>2.908033321</v>
      </c>
      <c r="C160" s="49">
        <f>Table13456789101112131415161734[[#This Row],[USA]]-B159</f>
        <v>-0.21120795300000017</v>
      </c>
      <c r="D160" s="29"/>
    </row>
    <row r="161" spans="1:4" x14ac:dyDescent="0.2">
      <c r="A161" s="48">
        <v>31868</v>
      </c>
      <c r="B161" s="49">
        <f>VLOOKUP(A161,'Data yoy'!$B:$AT,MATCH($B$1,'Data yoy'!$B$1:$AT$1,0),FALSE)</f>
        <v>2.7158406190000002</v>
      </c>
      <c r="C161" s="49">
        <f>Table13456789101112131415161734[[#This Row],[USA]]-B160</f>
        <v>-0.19219270199999983</v>
      </c>
      <c r="D161" s="29"/>
    </row>
    <row r="162" spans="1:4" x14ac:dyDescent="0.2">
      <c r="A162" s="48">
        <v>31959</v>
      </c>
      <c r="B162" s="49">
        <f>VLOOKUP(A162,'Data yoy'!$B:$AT,MATCH($B$1,'Data yoy'!$B$1:$AT$1,0),FALSE)</f>
        <v>3.3584793799999999</v>
      </c>
      <c r="C162" s="49">
        <f>Table13456789101112131415161734[[#This Row],[USA]]-B161</f>
        <v>0.64263876099999973</v>
      </c>
      <c r="D162" s="29"/>
    </row>
    <row r="163" spans="1:4" x14ac:dyDescent="0.2">
      <c r="A163" s="48">
        <v>32051</v>
      </c>
      <c r="B163" s="49">
        <f>VLOOKUP(A163,'Data yoy'!$B:$AT,MATCH($B$1,'Data yoy'!$B$1:$AT$1,0),FALSE)</f>
        <v>3.2669261519999999</v>
      </c>
      <c r="C163" s="49">
        <f>Table13456789101112131415161734[[#This Row],[USA]]-B162</f>
        <v>-9.1553227999999987E-2</v>
      </c>
      <c r="D163" s="29"/>
    </row>
    <row r="164" spans="1:4" x14ac:dyDescent="0.2">
      <c r="A164" s="48">
        <v>32143</v>
      </c>
      <c r="B164" s="49">
        <f>VLOOKUP(A164,'Data yoy'!$B:$AT,MATCH($B$1,'Data yoy'!$B$1:$AT$1,0),FALSE)</f>
        <v>4.479019138</v>
      </c>
      <c r="C164" s="49">
        <f>Table13456789101112131415161734[[#This Row],[USA]]-B163</f>
        <v>1.212092986</v>
      </c>
      <c r="D164" s="29"/>
    </row>
    <row r="165" spans="1:4" x14ac:dyDescent="0.2">
      <c r="A165" s="48">
        <v>32234</v>
      </c>
      <c r="B165" s="49">
        <f>VLOOKUP(A165,'Data yoy'!$B:$AT,MATCH($B$1,'Data yoy'!$B$1:$AT$1,0),FALSE)</f>
        <v>4.2421895689999998</v>
      </c>
      <c r="C165" s="49">
        <f>Table13456789101112131415161734[[#This Row],[USA]]-B164</f>
        <v>-0.23682956900000018</v>
      </c>
      <c r="D165" s="29"/>
    </row>
    <row r="166" spans="1:4" x14ac:dyDescent="0.2">
      <c r="A166" s="48">
        <v>32325</v>
      </c>
      <c r="B166" s="49">
        <f>VLOOKUP(A166,'Data yoy'!$B:$AT,MATCH($B$1,'Data yoy'!$B$1:$AT$1,0),FALSE)</f>
        <v>4.4846042170000002</v>
      </c>
      <c r="C166" s="49">
        <f>Table13456789101112131415161734[[#This Row],[USA]]-B165</f>
        <v>0.24241464800000045</v>
      </c>
      <c r="D166" s="29"/>
    </row>
    <row r="167" spans="1:4" x14ac:dyDescent="0.2">
      <c r="A167" s="48">
        <v>32417</v>
      </c>
      <c r="B167" s="49">
        <f>VLOOKUP(A167,'Data yoy'!$B:$AT,MATCH($B$1,'Data yoy'!$B$1:$AT$1,0),FALSE)</f>
        <v>4.1928663229999996</v>
      </c>
      <c r="C167" s="49">
        <f>Table13456789101112131415161734[[#This Row],[USA]]-B166</f>
        <v>-0.29173789400000061</v>
      </c>
      <c r="D167" s="29"/>
    </row>
    <row r="168" spans="1:4" x14ac:dyDescent="0.2">
      <c r="A168" s="48">
        <v>32509</v>
      </c>
      <c r="B168" s="49">
        <f>VLOOKUP(A168,'Data yoy'!$B:$AT,MATCH($B$1,'Data yoy'!$B$1:$AT$1,0),FALSE)</f>
        <v>3.798971044</v>
      </c>
      <c r="C168" s="49">
        <f>Table13456789101112131415161734[[#This Row],[USA]]-B167</f>
        <v>-0.39389527899999965</v>
      </c>
      <c r="D168" s="29"/>
    </row>
    <row r="169" spans="1:4" x14ac:dyDescent="0.2">
      <c r="A169" s="48">
        <v>32599</v>
      </c>
      <c r="B169" s="49">
        <f>VLOOKUP(A169,'Data yoy'!$B:$AT,MATCH($B$1,'Data yoy'!$B$1:$AT$1,0),FALSE)</f>
        <v>4.3152399350000001</v>
      </c>
      <c r="C169" s="49">
        <f>Table13456789101112131415161734[[#This Row],[USA]]-B168</f>
        <v>0.51626889100000017</v>
      </c>
      <c r="D169" s="29"/>
    </row>
    <row r="170" spans="1:4" x14ac:dyDescent="0.2">
      <c r="A170" s="48">
        <v>32690</v>
      </c>
      <c r="B170" s="49">
        <f>VLOOKUP(A170,'Data yoy'!$B:$AT,MATCH($B$1,'Data yoy'!$B$1:$AT$1,0),FALSE)</f>
        <v>3.7482928750000002</v>
      </c>
      <c r="C170" s="49">
        <f>Table13456789101112131415161734[[#This Row],[USA]]-B169</f>
        <v>-0.56694705999999995</v>
      </c>
      <c r="D170" s="29"/>
    </row>
    <row r="171" spans="1:4" x14ac:dyDescent="0.2">
      <c r="A171" s="48">
        <v>32782</v>
      </c>
      <c r="B171" s="49">
        <f>VLOOKUP(A171,'Data yoy'!$B:$AT,MATCH($B$1,'Data yoy'!$B$1:$AT$1,0),FALSE)</f>
        <v>3.9081130530000001</v>
      </c>
      <c r="C171" s="49">
        <f>Table13456789101112131415161734[[#This Row],[USA]]-B170</f>
        <v>0.15982017799999992</v>
      </c>
      <c r="D171" s="29"/>
    </row>
    <row r="172" spans="1:4" x14ac:dyDescent="0.2">
      <c r="A172" s="48">
        <v>32874</v>
      </c>
      <c r="B172" s="49">
        <f>VLOOKUP(A172,'Data yoy'!$B:$AT,MATCH($B$1,'Data yoy'!$B$1:$AT$1,0),FALSE)</f>
        <v>2.743803255</v>
      </c>
      <c r="C172" s="49">
        <f>Table13456789101112131415161734[[#This Row],[USA]]-B171</f>
        <v>-1.1643097980000001</v>
      </c>
      <c r="D172" s="29"/>
    </row>
    <row r="173" spans="1:4" x14ac:dyDescent="0.2">
      <c r="A173" s="48">
        <v>32964</v>
      </c>
      <c r="B173" s="49">
        <f>VLOOKUP(A173,'Data yoy'!$B:$AT,MATCH($B$1,'Data yoy'!$B$1:$AT$1,0),FALSE)</f>
        <v>2.821303844</v>
      </c>
      <c r="C173" s="49">
        <f>Table13456789101112131415161734[[#This Row],[USA]]-B172</f>
        <v>7.7500589000000009E-2</v>
      </c>
      <c r="D173" s="29"/>
    </row>
    <row r="174" spans="1:4" x14ac:dyDescent="0.2">
      <c r="A174" s="48">
        <v>33055</v>
      </c>
      <c r="B174" s="49">
        <f>VLOOKUP(A174,'Data yoy'!$B:$AT,MATCH($B$1,'Data yoy'!$B$1:$AT$1,0),FALSE)</f>
        <v>2.4127729549999999</v>
      </c>
      <c r="C174" s="49">
        <f>Table13456789101112131415161734[[#This Row],[USA]]-B173</f>
        <v>-0.40853088900000012</v>
      </c>
      <c r="D174" s="29"/>
    </row>
    <row r="175" spans="1:4" x14ac:dyDescent="0.2">
      <c r="A175" s="48">
        <v>33147</v>
      </c>
      <c r="B175" s="49">
        <f>VLOOKUP(A175,'Data yoy'!$B:$AT,MATCH($B$1,'Data yoy'!$B$1:$AT$1,0),FALSE)</f>
        <v>1.7272166369999999</v>
      </c>
      <c r="C175" s="49">
        <f>Table13456789101112131415161734[[#This Row],[USA]]-B174</f>
        <v>-0.68555631799999994</v>
      </c>
      <c r="D175" s="29"/>
    </row>
    <row r="176" spans="1:4" x14ac:dyDescent="0.2">
      <c r="A176" s="48">
        <v>33239</v>
      </c>
      <c r="B176" s="49">
        <f>VLOOKUP(A176,'Data yoy'!$B:$AT,MATCH($B$1,'Data yoy'!$B$1:$AT$1,0),FALSE)</f>
        <v>0.60285869599999997</v>
      </c>
      <c r="C176" s="49">
        <f>Table13456789101112131415161734[[#This Row],[USA]]-B175</f>
        <v>-1.124357941</v>
      </c>
      <c r="D176" s="29"/>
    </row>
    <row r="177" spans="1:4" x14ac:dyDescent="0.2">
      <c r="A177" s="48">
        <v>33329</v>
      </c>
      <c r="B177" s="49">
        <f>VLOOKUP(A177,'Data yoy'!$B:$AT,MATCH($B$1,'Data yoy'!$B$1:$AT$1,0),FALSE)</f>
        <v>-0.95024069700000002</v>
      </c>
      <c r="C177" s="49">
        <f>Table13456789101112131415161734[[#This Row],[USA]]-B176</f>
        <v>-1.5530993930000001</v>
      </c>
      <c r="D177" s="29"/>
    </row>
    <row r="178" spans="1:4" x14ac:dyDescent="0.2">
      <c r="A178" s="48">
        <v>33420</v>
      </c>
      <c r="B178" s="49">
        <f>VLOOKUP(A178,'Data yoy'!$B:$AT,MATCH($B$1,'Data yoy'!$B$1:$AT$1,0),FALSE)</f>
        <v>-0.53888796000000005</v>
      </c>
      <c r="C178" s="49">
        <f>Table13456789101112131415161734[[#This Row],[USA]]-B177</f>
        <v>0.41135273699999997</v>
      </c>
      <c r="D178" s="29"/>
    </row>
    <row r="179" spans="1:4" x14ac:dyDescent="0.2">
      <c r="A179" s="48">
        <v>33512</v>
      </c>
      <c r="B179" s="49">
        <f>VLOOKUP(A179,'Data yoy'!$B:$AT,MATCH($B$1,'Data yoy'!$B$1:$AT$1,0),FALSE)</f>
        <v>-0.10271685</v>
      </c>
      <c r="C179" s="49">
        <f>Table13456789101112131415161734[[#This Row],[USA]]-B178</f>
        <v>0.43617111000000008</v>
      </c>
      <c r="D179" s="29"/>
    </row>
    <row r="180" spans="1:4" x14ac:dyDescent="0.2">
      <c r="A180" s="48">
        <v>33604</v>
      </c>
      <c r="B180" s="49">
        <f>VLOOKUP(A180,'Data yoy'!$B:$AT,MATCH($B$1,'Data yoy'!$B$1:$AT$1,0),FALSE)</f>
        <v>1.1665033419999999</v>
      </c>
      <c r="C180" s="49">
        <f>Table13456789101112131415161734[[#This Row],[USA]]-B179</f>
        <v>1.2692201919999999</v>
      </c>
      <c r="D180" s="29"/>
    </row>
    <row r="181" spans="1:4" x14ac:dyDescent="0.2">
      <c r="A181" s="48">
        <v>33695</v>
      </c>
      <c r="B181" s="49">
        <f>VLOOKUP(A181,'Data yoy'!$B:$AT,MATCH($B$1,'Data yoy'!$B$1:$AT$1,0),FALSE)</f>
        <v>2.8588691050000001</v>
      </c>
      <c r="C181" s="49">
        <f>Table13456789101112131415161734[[#This Row],[USA]]-B180</f>
        <v>1.6923657630000002</v>
      </c>
      <c r="D181" s="29"/>
    </row>
    <row r="182" spans="1:4" x14ac:dyDescent="0.2">
      <c r="A182" s="48">
        <v>33786</v>
      </c>
      <c r="B182" s="49">
        <f>VLOOKUP(A182,'Data yoy'!$B:$AT,MATCH($B$1,'Data yoy'!$B$1:$AT$1,0),FALSE)</f>
        <v>3.1697558209999999</v>
      </c>
      <c r="C182" s="49">
        <f>Table13456789101112131415161734[[#This Row],[USA]]-B181</f>
        <v>0.31088671599999973</v>
      </c>
      <c r="D182" s="29"/>
    </row>
    <row r="183" spans="1:4" x14ac:dyDescent="0.2">
      <c r="A183" s="48">
        <v>33878</v>
      </c>
      <c r="B183" s="49">
        <f>VLOOKUP(A183,'Data yoy'!$B:$AT,MATCH($B$1,'Data yoy'!$B$1:$AT$1,0),FALSE)</f>
        <v>3.6653228790000001</v>
      </c>
      <c r="C183" s="49">
        <f>Table13456789101112131415161734[[#This Row],[USA]]-B182</f>
        <v>0.49556705800000023</v>
      </c>
      <c r="D183" s="29"/>
    </row>
    <row r="184" spans="1:4" x14ac:dyDescent="0.2">
      <c r="A184" s="48">
        <v>33970</v>
      </c>
      <c r="B184" s="49">
        <f>VLOOKUP(A184,'Data yoy'!$B:$AT,MATCH($B$1,'Data yoy'!$B$1:$AT$1,0),FALSE)</f>
        <v>4.382587644</v>
      </c>
      <c r="C184" s="49">
        <f>Table13456789101112131415161734[[#This Row],[USA]]-B183</f>
        <v>0.71726476499999992</v>
      </c>
      <c r="D184" s="29"/>
    </row>
    <row r="185" spans="1:4" x14ac:dyDescent="0.2">
      <c r="A185" s="48">
        <v>34060</v>
      </c>
      <c r="B185" s="49">
        <f>VLOOKUP(A185,'Data yoy'!$B:$AT,MATCH($B$1,'Data yoy'!$B$1:$AT$1,0),FALSE)</f>
        <v>3.319981753</v>
      </c>
      <c r="C185" s="49">
        <f>Table13456789101112131415161734[[#This Row],[USA]]-B184</f>
        <v>-1.062605891</v>
      </c>
      <c r="D185" s="29"/>
    </row>
    <row r="186" spans="1:4" x14ac:dyDescent="0.2">
      <c r="A186" s="48">
        <v>34151</v>
      </c>
      <c r="B186" s="49">
        <f>VLOOKUP(A186,'Data yoy'!$B:$AT,MATCH($B$1,'Data yoy'!$B$1:$AT$1,0),FALSE)</f>
        <v>2.8066673899999999</v>
      </c>
      <c r="C186" s="49">
        <f>Table13456789101112131415161734[[#This Row],[USA]]-B185</f>
        <v>-0.51331436300000011</v>
      </c>
      <c r="D186" s="29"/>
    </row>
    <row r="187" spans="1:4" x14ac:dyDescent="0.2">
      <c r="A187" s="48">
        <v>34243</v>
      </c>
      <c r="B187" s="49">
        <f>VLOOKUP(A187,'Data yoy'!$B:$AT,MATCH($B$1,'Data yoy'!$B$1:$AT$1,0),FALSE)</f>
        <v>2.286515761</v>
      </c>
      <c r="C187" s="49">
        <f>Table13456789101112131415161734[[#This Row],[USA]]-B186</f>
        <v>-0.52015162899999989</v>
      </c>
      <c r="D187" s="29"/>
    </row>
    <row r="188" spans="1:4" x14ac:dyDescent="0.2">
      <c r="A188" s="48">
        <v>34335</v>
      </c>
      <c r="B188" s="49">
        <f>VLOOKUP(A188,'Data yoy'!$B:$AT,MATCH($B$1,'Data yoy'!$B$1:$AT$1,0),FALSE)</f>
        <v>2.607615494</v>
      </c>
      <c r="C188" s="49">
        <f>Table13456789101112131415161734[[#This Row],[USA]]-B187</f>
        <v>0.32109973300000005</v>
      </c>
      <c r="D188" s="29"/>
    </row>
    <row r="189" spans="1:4" x14ac:dyDescent="0.2">
      <c r="A189" s="48">
        <v>34425</v>
      </c>
      <c r="B189" s="49">
        <f>VLOOKUP(A189,'Data yoy'!$B:$AT,MATCH($B$1,'Data yoy'!$B$1:$AT$1,0),FALSE)</f>
        <v>3.4305230139999998</v>
      </c>
      <c r="C189" s="49">
        <f>Table13456789101112131415161734[[#This Row],[USA]]-B188</f>
        <v>0.82290751999999978</v>
      </c>
      <c r="D189" s="29"/>
    </row>
    <row r="190" spans="1:4" x14ac:dyDescent="0.2">
      <c r="A190" s="48">
        <v>34516</v>
      </c>
      <c r="B190" s="49">
        <f>VLOOKUP(A190,'Data yoy'!$B:$AT,MATCH($B$1,'Data yoy'!$B$1:$AT$1,0),FALSE)</f>
        <v>4.2253997019999998</v>
      </c>
      <c r="C190" s="49">
        <f>Table13456789101112131415161734[[#This Row],[USA]]-B189</f>
        <v>0.794876688</v>
      </c>
      <c r="D190" s="29"/>
    </row>
    <row r="191" spans="1:4" x14ac:dyDescent="0.2">
      <c r="A191" s="48">
        <v>34608</v>
      </c>
      <c r="B191" s="49">
        <f>VLOOKUP(A191,'Data yoy'!$B:$AT,MATCH($B$1,'Data yoy'!$B$1:$AT$1,0),FALSE)</f>
        <v>4.3367848599999999</v>
      </c>
      <c r="C191" s="49">
        <f>Table13456789101112131415161734[[#This Row],[USA]]-B190</f>
        <v>0.11138515800000004</v>
      </c>
      <c r="D191" s="29"/>
    </row>
    <row r="192" spans="1:4" x14ac:dyDescent="0.2">
      <c r="A192" s="48">
        <v>34700</v>
      </c>
      <c r="B192" s="49">
        <f>VLOOKUP(A192,'Data yoy'!$B:$AT,MATCH($B$1,'Data yoy'!$B$1:$AT$1,0),FALSE)</f>
        <v>4.115926516</v>
      </c>
      <c r="C192" s="49">
        <f>Table13456789101112131415161734[[#This Row],[USA]]-B191</f>
        <v>-0.22085834399999982</v>
      </c>
      <c r="D192" s="29"/>
    </row>
    <row r="193" spans="1:4" x14ac:dyDescent="0.2">
      <c r="A193" s="48">
        <v>34790</v>
      </c>
      <c r="B193" s="49">
        <f>VLOOKUP(A193,'Data yoy'!$B:$AT,MATCH($B$1,'Data yoy'!$B$1:$AT$1,0),FALSE)</f>
        <v>3.481130297</v>
      </c>
      <c r="C193" s="49">
        <f>Table13456789101112131415161734[[#This Row],[USA]]-B192</f>
        <v>-0.63479621900000005</v>
      </c>
      <c r="D193" s="29"/>
    </row>
    <row r="194" spans="1:4" x14ac:dyDescent="0.2">
      <c r="A194" s="48">
        <v>34881</v>
      </c>
      <c r="B194" s="49">
        <f>VLOOKUP(A194,'Data yoy'!$B:$AT,MATCH($B$1,'Data yoy'!$B$1:$AT$1,0),FALSE)</f>
        <v>2.402168869</v>
      </c>
      <c r="C194" s="49">
        <f>Table13456789101112131415161734[[#This Row],[USA]]-B193</f>
        <v>-1.0789614279999999</v>
      </c>
      <c r="D194" s="29"/>
    </row>
    <row r="195" spans="1:4" x14ac:dyDescent="0.2">
      <c r="A195" s="48">
        <v>34973</v>
      </c>
      <c r="B195" s="49">
        <f>VLOOKUP(A195,'Data yoy'!$B:$AT,MATCH($B$1,'Data yoy'!$B$1:$AT$1,0),FALSE)</f>
        <v>2.673106856</v>
      </c>
      <c r="C195" s="49">
        <f>Table13456789101112131415161734[[#This Row],[USA]]-B194</f>
        <v>0.27093798699999994</v>
      </c>
      <c r="D195" s="29"/>
    </row>
    <row r="196" spans="1:4" x14ac:dyDescent="0.2">
      <c r="A196" s="48">
        <v>35065</v>
      </c>
      <c r="B196" s="49">
        <f>VLOOKUP(A196,'Data yoy'!$B:$AT,MATCH($B$1,'Data yoy'!$B$1:$AT$1,0),FALSE)</f>
        <v>2.1995799090000001</v>
      </c>
      <c r="C196" s="49">
        <f>Table13456789101112131415161734[[#This Row],[USA]]-B195</f>
        <v>-0.47352694699999986</v>
      </c>
      <c r="D196" s="29"/>
    </row>
    <row r="197" spans="1:4" x14ac:dyDescent="0.2">
      <c r="A197" s="48">
        <v>35156</v>
      </c>
      <c r="B197" s="49">
        <f>VLOOKUP(A197,'Data yoy'!$B:$AT,MATCH($B$1,'Data yoy'!$B$1:$AT$1,0),FALSE)</f>
        <v>2.6011039930000002</v>
      </c>
      <c r="C197" s="49">
        <f>Table13456789101112131415161734[[#This Row],[USA]]-B196</f>
        <v>0.40152408400000006</v>
      </c>
      <c r="D197" s="29"/>
    </row>
    <row r="198" spans="1:4" x14ac:dyDescent="0.2">
      <c r="A198" s="48">
        <v>35247</v>
      </c>
      <c r="B198" s="49">
        <f>VLOOKUP(A198,'Data yoy'!$B:$AT,MATCH($B$1,'Data yoy'!$B$1:$AT$1,0),FALSE)</f>
        <v>4.0021270639999997</v>
      </c>
      <c r="C198" s="49">
        <f>Table13456789101112131415161734[[#This Row],[USA]]-B197</f>
        <v>1.4010230709999996</v>
      </c>
      <c r="D198" s="29"/>
    </row>
    <row r="199" spans="1:4" x14ac:dyDescent="0.2">
      <c r="A199" s="48">
        <v>35339</v>
      </c>
      <c r="B199" s="49">
        <f>VLOOKUP(A199,'Data yoy'!$B:$AT,MATCH($B$1,'Data yoy'!$B$1:$AT$1,0),FALSE)</f>
        <v>4.0499213899999997</v>
      </c>
      <c r="C199" s="49">
        <f>Table13456789101112131415161734[[#This Row],[USA]]-B198</f>
        <v>4.7794325999999998E-2</v>
      </c>
      <c r="D199" s="29"/>
    </row>
    <row r="200" spans="1:4" x14ac:dyDescent="0.2">
      <c r="A200" s="48">
        <v>35431</v>
      </c>
      <c r="B200" s="49">
        <f>VLOOKUP(A200,'Data yoy'!$B:$AT,MATCH($B$1,'Data yoy'!$B$1:$AT$1,0),FALSE)</f>
        <v>4.4213144519999998</v>
      </c>
      <c r="C200" s="49">
        <f>Table13456789101112131415161734[[#This Row],[USA]]-B199</f>
        <v>0.37139306200000011</v>
      </c>
      <c r="D200" s="29"/>
    </row>
    <row r="201" spans="1:4" x14ac:dyDescent="0.2">
      <c r="A201" s="48">
        <v>35521</v>
      </c>
      <c r="B201" s="49">
        <f>VLOOKUP(A201,'Data yoy'!$B:$AT,MATCH($B$1,'Data yoy'!$B$1:$AT$1,0),FALSE)</f>
        <v>4.3141345409999996</v>
      </c>
      <c r="C201" s="49">
        <f>Table13456789101112131415161734[[#This Row],[USA]]-B200</f>
        <v>-0.10717991100000024</v>
      </c>
      <c r="D201" s="29"/>
    </row>
    <row r="202" spans="1:4" x14ac:dyDescent="0.2">
      <c r="A202" s="48">
        <v>35612</v>
      </c>
      <c r="B202" s="49">
        <f>VLOOKUP(A202,'Data yoy'!$B:$AT,MATCH($B$1,'Data yoy'!$B$1:$AT$1,0),FALSE)</f>
        <v>4.3080749789999997</v>
      </c>
      <c r="C202" s="49">
        <f>Table13456789101112131415161734[[#This Row],[USA]]-B201</f>
        <v>-6.0595619999999073E-3</v>
      </c>
      <c r="D202" s="29"/>
    </row>
    <row r="203" spans="1:4" x14ac:dyDescent="0.2">
      <c r="A203" s="48">
        <v>35704</v>
      </c>
      <c r="B203" s="49">
        <f>VLOOKUP(A203,'Data yoy'!$B:$AT,MATCH($B$1,'Data yoy'!$B$1:$AT$1,0),FALSE)</f>
        <v>4.6738025749999998</v>
      </c>
      <c r="C203" s="49">
        <f>Table13456789101112131415161734[[#This Row],[USA]]-B202</f>
        <v>0.36572759600000015</v>
      </c>
      <c r="D203" s="29"/>
    </row>
    <row r="204" spans="1:4" x14ac:dyDescent="0.2">
      <c r="A204" s="48">
        <v>35796</v>
      </c>
      <c r="B204" s="49">
        <f>VLOOKUP(A204,'Data yoy'!$B:$AT,MATCH($B$1,'Data yoy'!$B$1:$AT$1,0),FALSE)</f>
        <v>4.4876844580000004</v>
      </c>
      <c r="C204" s="49">
        <f>Table13456789101112131415161734[[#This Row],[USA]]-B203</f>
        <v>-0.18611811699999947</v>
      </c>
      <c r="D204" s="29"/>
    </row>
    <row r="205" spans="1:4" x14ac:dyDescent="0.2">
      <c r="A205" s="48">
        <v>35886</v>
      </c>
      <c r="B205" s="49">
        <f>VLOOKUP(A205,'Data yoy'!$B:$AT,MATCH($B$1,'Data yoy'!$B$1:$AT$1,0),FALSE)</f>
        <v>4.8550058829999996</v>
      </c>
      <c r="C205" s="49">
        <f>Table13456789101112131415161734[[#This Row],[USA]]-B204</f>
        <v>0.3673214249999992</v>
      </c>
      <c r="D205" s="29"/>
    </row>
    <row r="206" spans="1:4" x14ac:dyDescent="0.2">
      <c r="A206" s="48">
        <v>35977</v>
      </c>
      <c r="B206" s="49">
        <f>VLOOKUP(A206,'Data yoy'!$B:$AT,MATCH($B$1,'Data yoy'!$B$1:$AT$1,0),FALSE)</f>
        <v>4.0957268410000003</v>
      </c>
      <c r="C206" s="49">
        <f>Table13456789101112131415161734[[#This Row],[USA]]-B205</f>
        <v>-0.75927904199999929</v>
      </c>
      <c r="D206" s="29"/>
    </row>
    <row r="207" spans="1:4" x14ac:dyDescent="0.2">
      <c r="A207" s="48">
        <v>36069</v>
      </c>
      <c r="B207" s="49">
        <f>VLOOKUP(A207,'Data yoy'!$B:$AT,MATCH($B$1,'Data yoy'!$B$1:$AT$1,0),FALSE)</f>
        <v>4.0977686230000003</v>
      </c>
      <c r="C207" s="49">
        <f>Table13456789101112131415161734[[#This Row],[USA]]-B206</f>
        <v>2.0417820000000475E-3</v>
      </c>
      <c r="D207" s="29"/>
    </row>
    <row r="208" spans="1:4" x14ac:dyDescent="0.2">
      <c r="A208" s="48">
        <v>36161</v>
      </c>
      <c r="B208" s="49">
        <f>VLOOKUP(A208,'Data yoy'!$B:$AT,MATCH($B$1,'Data yoy'!$B$1:$AT$1,0),FALSE)</f>
        <v>4.8795407759999998</v>
      </c>
      <c r="C208" s="49">
        <f>Table13456789101112131415161734[[#This Row],[USA]]-B207</f>
        <v>0.78177215299999947</v>
      </c>
      <c r="D208" s="29"/>
    </row>
    <row r="209" spans="1:4" x14ac:dyDescent="0.2">
      <c r="A209" s="48">
        <v>36251</v>
      </c>
      <c r="B209" s="49">
        <f>VLOOKUP(A209,'Data yoy'!$B:$AT,MATCH($B$1,'Data yoy'!$B$1:$AT$1,0),FALSE)</f>
        <v>4.8218579320000003</v>
      </c>
      <c r="C209" s="49">
        <f>Table13456789101112131415161734[[#This Row],[USA]]-B208</f>
        <v>-5.7682843999999456E-2</v>
      </c>
      <c r="D209" s="29"/>
    </row>
    <row r="210" spans="1:4" x14ac:dyDescent="0.2">
      <c r="A210" s="48">
        <v>36342</v>
      </c>
      <c r="B210" s="49">
        <f>VLOOKUP(A210,'Data yoy'!$B:$AT,MATCH($B$1,'Data yoy'!$B$1:$AT$1,0),FALSE)</f>
        <v>4.7275315129999997</v>
      </c>
      <c r="C210" s="49">
        <f>Table13456789101112131415161734[[#This Row],[USA]]-B209</f>
        <v>-9.4326419000000605E-2</v>
      </c>
      <c r="D210" s="29"/>
    </row>
    <row r="211" spans="1:4" x14ac:dyDescent="0.2">
      <c r="A211" s="48">
        <v>36434</v>
      </c>
      <c r="B211" s="49">
        <f>VLOOKUP(A211,'Data yoy'!$B:$AT,MATCH($B$1,'Data yoy'!$B$1:$AT$1,0),FALSE)</f>
        <v>4.8002052370000001</v>
      </c>
      <c r="C211" s="49">
        <f>Table13456789101112131415161734[[#This Row],[USA]]-B210</f>
        <v>7.2673724000000384E-2</v>
      </c>
      <c r="D211" s="29"/>
    </row>
    <row r="212" spans="1:4" x14ac:dyDescent="0.2">
      <c r="A212" s="48">
        <v>36526</v>
      </c>
      <c r="B212" s="49">
        <f>VLOOKUP(A212,'Data yoy'!$B:$AT,MATCH($B$1,'Data yoy'!$B$1:$AT$1,0),FALSE)</f>
        <v>4.82762665</v>
      </c>
      <c r="C212" s="49">
        <f>Table13456789101112131415161734[[#This Row],[USA]]-B211</f>
        <v>2.7421412999999895E-2</v>
      </c>
      <c r="D212" s="29"/>
    </row>
    <row r="213" spans="1:4" x14ac:dyDescent="0.2">
      <c r="A213" s="48">
        <v>36617</v>
      </c>
      <c r="B213" s="49">
        <f>VLOOKUP(A213,'Data yoy'!$B:$AT,MATCH($B$1,'Data yoy'!$B$1:$AT$1,0),FALSE)</f>
        <v>4.2259558589999999</v>
      </c>
      <c r="C213" s="49">
        <f>Table13456789101112131415161734[[#This Row],[USA]]-B212</f>
        <v>-0.60167079100000009</v>
      </c>
      <c r="D213" s="29"/>
    </row>
    <row r="214" spans="1:4" x14ac:dyDescent="0.2">
      <c r="A214" s="48">
        <v>36708</v>
      </c>
      <c r="B214" s="49">
        <f>VLOOKUP(A214,'Data yoy'!$B:$AT,MATCH($B$1,'Data yoy'!$B$1:$AT$1,0),FALSE)</f>
        <v>5.2446827689999997</v>
      </c>
      <c r="C214" s="49">
        <f>Table13456789101112131415161734[[#This Row],[USA]]-B213</f>
        <v>1.0187269099999998</v>
      </c>
      <c r="D214" s="29"/>
    </row>
    <row r="215" spans="1:4" x14ac:dyDescent="0.2">
      <c r="A215" s="48">
        <v>36800</v>
      </c>
      <c r="B215" s="49">
        <f>VLOOKUP(A215,'Data yoy'!$B:$AT,MATCH($B$1,'Data yoy'!$B$1:$AT$1,0),FALSE)</f>
        <v>3.9740844960000001</v>
      </c>
      <c r="C215" s="49">
        <f>Table13456789101112131415161734[[#This Row],[USA]]-B214</f>
        <v>-1.2705982729999996</v>
      </c>
      <c r="D215" s="29"/>
    </row>
    <row r="216" spans="1:4" x14ac:dyDescent="0.2">
      <c r="A216" s="48">
        <v>36892</v>
      </c>
      <c r="B216" s="49">
        <f>VLOOKUP(A216,'Data yoy'!$B:$AT,MATCH($B$1,'Data yoy'!$B$1:$AT$1,0),FALSE)</f>
        <v>2.9016204719999998</v>
      </c>
      <c r="C216" s="49">
        <f>Table13456789101112131415161734[[#This Row],[USA]]-B215</f>
        <v>-1.0724640240000003</v>
      </c>
      <c r="D216" s="29"/>
    </row>
    <row r="217" spans="1:4" x14ac:dyDescent="0.2">
      <c r="A217" s="48">
        <v>36982</v>
      </c>
      <c r="B217" s="49">
        <f>VLOOKUP(A217,'Data yoy'!$B:$AT,MATCH($B$1,'Data yoy'!$B$1:$AT$1,0),FALSE)</f>
        <v>2.195542847</v>
      </c>
      <c r="C217" s="49">
        <f>Table13456789101112131415161734[[#This Row],[USA]]-B216</f>
        <v>-0.70607762499999982</v>
      </c>
      <c r="D217" s="29"/>
    </row>
    <row r="218" spans="1:4" x14ac:dyDescent="0.2">
      <c r="A218" s="48">
        <v>37073</v>
      </c>
      <c r="B218" s="49">
        <f>VLOOKUP(A218,'Data yoy'!$B:$AT,MATCH($B$1,'Data yoy'!$B$1:$AT$1,0),FALSE)</f>
        <v>0.99193295699999995</v>
      </c>
      <c r="C218" s="49">
        <f>Table13456789101112131415161734[[#This Row],[USA]]-B217</f>
        <v>-1.2036098900000001</v>
      </c>
      <c r="D218" s="29"/>
    </row>
    <row r="219" spans="1:4" x14ac:dyDescent="0.2">
      <c r="A219" s="48">
        <v>37165</v>
      </c>
      <c r="B219" s="49">
        <f>VLOOKUP(A219,'Data yoy'!$B:$AT,MATCH($B$1,'Data yoy'!$B$1:$AT$1,0),FALSE)</f>
        <v>0.48735236700000001</v>
      </c>
      <c r="C219" s="49">
        <f>Table13456789101112131415161734[[#This Row],[USA]]-B218</f>
        <v>-0.50458059</v>
      </c>
      <c r="D219" s="29"/>
    </row>
    <row r="220" spans="1:4" x14ac:dyDescent="0.2">
      <c r="A220" s="48">
        <v>37257</v>
      </c>
      <c r="B220" s="49">
        <f>VLOOKUP(A220,'Data yoy'!$B:$AT,MATCH($B$1,'Data yoy'!$B$1:$AT$1,0),FALSE)</f>
        <v>0.170642236</v>
      </c>
      <c r="C220" s="49">
        <f>Table13456789101112131415161734[[#This Row],[USA]]-B219</f>
        <v>-0.31671013100000001</v>
      </c>
      <c r="D220" s="29"/>
    </row>
    <row r="221" spans="1:4" x14ac:dyDescent="0.2">
      <c r="A221" s="48">
        <v>37347</v>
      </c>
      <c r="B221" s="49">
        <f>VLOOKUP(A221,'Data yoy'!$B:$AT,MATCH($B$1,'Data yoy'!$B$1:$AT$1,0),FALSE)</f>
        <v>1.3288120480000001</v>
      </c>
      <c r="C221" s="49">
        <f>Table13456789101112131415161734[[#This Row],[USA]]-B220</f>
        <v>1.1581698120000001</v>
      </c>
      <c r="D221" s="29"/>
    </row>
    <row r="222" spans="1:4" x14ac:dyDescent="0.2">
      <c r="A222" s="48">
        <v>37438</v>
      </c>
      <c r="B222" s="49">
        <f>VLOOKUP(A222,'Data yoy'!$B:$AT,MATCH($B$1,'Data yoy'!$B$1:$AT$1,0),FALSE)</f>
        <v>1.3228839020000001</v>
      </c>
      <c r="C222" s="49">
        <f>Table13456789101112131415161734[[#This Row],[USA]]-B221</f>
        <v>-5.928146000000023E-3</v>
      </c>
      <c r="D222" s="29"/>
    </row>
    <row r="223" spans="1:4" x14ac:dyDescent="0.2">
      <c r="A223" s="48">
        <v>37530</v>
      </c>
      <c r="B223" s="49">
        <f>VLOOKUP(A223,'Data yoy'!$B:$AT,MATCH($B$1,'Data yoy'!$B$1:$AT$1,0),FALSE)</f>
        <v>2.1406699900000001</v>
      </c>
      <c r="C223" s="49">
        <f>Table13456789101112131415161734[[#This Row],[USA]]-B222</f>
        <v>0.81778608800000008</v>
      </c>
      <c r="D223" s="29"/>
    </row>
    <row r="224" spans="1:4" x14ac:dyDescent="0.2">
      <c r="A224" s="48">
        <v>37622</v>
      </c>
      <c r="B224" s="49">
        <f>VLOOKUP(A224,'Data yoy'!$B:$AT,MATCH($B$1,'Data yoy'!$B$1:$AT$1,0),FALSE)</f>
        <v>1.9912861850000001</v>
      </c>
      <c r="C224" s="49">
        <f>Table13456789101112131415161734[[#This Row],[USA]]-B223</f>
        <v>-0.14938380500000004</v>
      </c>
      <c r="D224" s="29"/>
    </row>
    <row r="225" spans="1:4" x14ac:dyDescent="0.2">
      <c r="A225" s="48">
        <v>37712</v>
      </c>
      <c r="B225" s="49">
        <f>VLOOKUP(A225,'Data yoy'!$B:$AT,MATCH($B$1,'Data yoy'!$B$1:$AT$1,0),FALSE)</f>
        <v>1.6761889400000001</v>
      </c>
      <c r="C225" s="49">
        <f>Table13456789101112131415161734[[#This Row],[USA]]-B224</f>
        <v>-0.31509724500000003</v>
      </c>
      <c r="D225" s="29"/>
    </row>
    <row r="226" spans="1:4" x14ac:dyDescent="0.2">
      <c r="A226" s="48">
        <v>37803</v>
      </c>
      <c r="B226" s="49">
        <f>VLOOKUP(A226,'Data yoy'!$B:$AT,MATCH($B$1,'Data yoy'!$B$1:$AT$1,0),FALSE)</f>
        <v>1.956993642</v>
      </c>
      <c r="C226" s="49">
        <f>Table13456789101112131415161734[[#This Row],[USA]]-B225</f>
        <v>0.28080470199999996</v>
      </c>
      <c r="D226" s="29"/>
    </row>
    <row r="227" spans="1:4" x14ac:dyDescent="0.2">
      <c r="A227" s="48">
        <v>37895</v>
      </c>
      <c r="B227" s="49">
        <f>VLOOKUP(A227,'Data yoy'!$B:$AT,MATCH($B$1,'Data yoy'!$B$1:$AT$1,0),FALSE)</f>
        <v>3.2399083019999999</v>
      </c>
      <c r="C227" s="49">
        <f>Table13456789101112131415161734[[#This Row],[USA]]-B226</f>
        <v>1.2829146599999999</v>
      </c>
      <c r="D227" s="29"/>
    </row>
    <row r="228" spans="1:4" x14ac:dyDescent="0.2">
      <c r="A228" s="48">
        <v>37987</v>
      </c>
      <c r="B228" s="49">
        <f>VLOOKUP(A228,'Data yoy'!$B:$AT,MATCH($B$1,'Data yoy'!$B$1:$AT$1,0),FALSE)</f>
        <v>4.2950765200000003</v>
      </c>
      <c r="C228" s="49">
        <f>Table13456789101112131415161734[[#This Row],[USA]]-B227</f>
        <v>1.0551682180000004</v>
      </c>
      <c r="D228" s="29"/>
    </row>
    <row r="229" spans="1:4" x14ac:dyDescent="0.2">
      <c r="A229" s="48">
        <v>38078</v>
      </c>
      <c r="B229" s="49">
        <f>VLOOKUP(A229,'Data yoy'!$B:$AT,MATCH($B$1,'Data yoy'!$B$1:$AT$1,0),FALSE)</f>
        <v>4.3533820859999999</v>
      </c>
      <c r="C229" s="49">
        <f>Table13456789101112131415161734[[#This Row],[USA]]-B228</f>
        <v>5.8305565999999587E-2</v>
      </c>
      <c r="D229" s="29"/>
    </row>
    <row r="230" spans="1:4" x14ac:dyDescent="0.2">
      <c r="A230" s="48">
        <v>38169</v>
      </c>
      <c r="B230" s="49">
        <f>VLOOKUP(A230,'Data yoy'!$B:$AT,MATCH($B$1,'Data yoy'!$B$1:$AT$1,0),FALSE)</f>
        <v>4.2348116490000001</v>
      </c>
      <c r="C230" s="49">
        <f>Table13456789101112131415161734[[#This Row],[USA]]-B229</f>
        <v>-0.11857043699999981</v>
      </c>
      <c r="D230" s="29"/>
    </row>
    <row r="231" spans="1:4" x14ac:dyDescent="0.2">
      <c r="A231" s="48">
        <v>38261</v>
      </c>
      <c r="B231" s="49">
        <f>VLOOKUP(A231,'Data yoy'!$B:$AT,MATCH($B$1,'Data yoy'!$B$1:$AT$1,0),FALSE)</f>
        <v>3.4908340689999999</v>
      </c>
      <c r="C231" s="49">
        <f>Table13456789101112131415161734[[#This Row],[USA]]-B230</f>
        <v>-0.74397758000000014</v>
      </c>
      <c r="D231" s="29"/>
    </row>
    <row r="232" spans="1:4" x14ac:dyDescent="0.2">
      <c r="A232" s="48">
        <v>38353</v>
      </c>
      <c r="B232" s="49">
        <f>VLOOKUP(A232,'Data yoy'!$B:$AT,MATCH($B$1,'Data yoy'!$B$1:$AT$1,0),FALSE)</f>
        <v>3.3557659160000002</v>
      </c>
      <c r="C232" s="49">
        <f>Table13456789101112131415161734[[#This Row],[USA]]-B231</f>
        <v>-0.13506815299999975</v>
      </c>
      <c r="D232" s="29"/>
    </row>
    <row r="233" spans="1:4" x14ac:dyDescent="0.2">
      <c r="A233" s="48">
        <v>38443</v>
      </c>
      <c r="B233" s="49">
        <f>VLOOKUP(A233,'Data yoy'!$B:$AT,MATCH($B$1,'Data yoy'!$B$1:$AT$1,0),FALSE)</f>
        <v>3.9086174410000001</v>
      </c>
      <c r="C233" s="49">
        <f>Table13456789101112131415161734[[#This Row],[USA]]-B232</f>
        <v>0.5528515249999999</v>
      </c>
      <c r="D233" s="29"/>
    </row>
    <row r="234" spans="1:4" x14ac:dyDescent="0.2">
      <c r="A234" s="48">
        <v>38534</v>
      </c>
      <c r="B234" s="49">
        <f>VLOOKUP(A234,'Data yoy'!$B:$AT,MATCH($B$1,'Data yoy'!$B$1:$AT$1,0),FALSE)</f>
        <v>3.6074103659999999</v>
      </c>
      <c r="C234" s="49">
        <f>Table13456789101112131415161734[[#This Row],[USA]]-B233</f>
        <v>-0.30120707500000021</v>
      </c>
      <c r="D234" s="29"/>
    </row>
    <row r="235" spans="1:4" x14ac:dyDescent="0.2">
      <c r="A235" s="48">
        <v>38626</v>
      </c>
      <c r="B235" s="49">
        <f>VLOOKUP(A235,'Data yoy'!$B:$AT,MATCH($B$1,'Data yoy'!$B$1:$AT$1,0),FALSE)</f>
        <v>3.447674589</v>
      </c>
      <c r="C235" s="49">
        <f>Table13456789101112131415161734[[#This Row],[USA]]-B234</f>
        <v>-0.15973577699999986</v>
      </c>
      <c r="D235" s="29"/>
    </row>
    <row r="236" spans="1:4" x14ac:dyDescent="0.2">
      <c r="A236" s="48">
        <v>38718</v>
      </c>
      <c r="B236" s="49">
        <f>VLOOKUP(A236,'Data yoy'!$B:$AT,MATCH($B$1,'Data yoy'!$B$1:$AT$1,0),FALSE)</f>
        <v>2.9826720510000002</v>
      </c>
      <c r="C236" s="49">
        <f>Table13456789101112131415161734[[#This Row],[USA]]-B235</f>
        <v>-0.4650025379999998</v>
      </c>
      <c r="D236" s="29"/>
    </row>
    <row r="237" spans="1:4" x14ac:dyDescent="0.2">
      <c r="A237" s="48">
        <v>38808</v>
      </c>
      <c r="B237" s="49">
        <f>VLOOKUP(A237,'Data yoy'!$B:$AT,MATCH($B$1,'Data yoy'!$B$1:$AT$1,0),FALSE)</f>
        <v>3.2248575719999999</v>
      </c>
      <c r="C237" s="49">
        <f>Table13456789101112131415161734[[#This Row],[USA]]-B236</f>
        <v>0.24218552099999968</v>
      </c>
      <c r="D237" s="29"/>
    </row>
    <row r="238" spans="1:4" x14ac:dyDescent="0.2">
      <c r="A238" s="48">
        <v>38899</v>
      </c>
      <c r="B238" s="49">
        <f>VLOOKUP(A238,'Data yoy'!$B:$AT,MATCH($B$1,'Data yoy'!$B$1:$AT$1,0),FALSE)</f>
        <v>2.9772690260000001</v>
      </c>
      <c r="C238" s="49">
        <f>Table13456789101112131415161734[[#This Row],[USA]]-B237</f>
        <v>-0.2475885459999998</v>
      </c>
      <c r="D238" s="29"/>
    </row>
    <row r="239" spans="1:4" x14ac:dyDescent="0.2">
      <c r="A239" s="48">
        <v>38991</v>
      </c>
      <c r="B239" s="49">
        <f>VLOOKUP(A239,'Data yoy'!$B:$AT,MATCH($B$1,'Data yoy'!$B$1:$AT$1,0),FALSE)</f>
        <v>2.3282911519999998</v>
      </c>
      <c r="C239" s="49">
        <f>Table13456789101112131415161734[[#This Row],[USA]]-B238</f>
        <v>-0.64897787400000029</v>
      </c>
      <c r="D239" s="29"/>
    </row>
    <row r="240" spans="1:4" x14ac:dyDescent="0.2">
      <c r="A240" s="48">
        <v>39083</v>
      </c>
      <c r="B240" s="49">
        <f>VLOOKUP(A240,'Data yoy'!$B:$AT,MATCH($B$1,'Data yoy'!$B$1:$AT$1,0),FALSE)</f>
        <v>2.6089019840000001</v>
      </c>
      <c r="C240" s="49">
        <f>Table13456789101112131415161734[[#This Row],[USA]]-B239</f>
        <v>0.28061083200000025</v>
      </c>
      <c r="D240" s="29"/>
    </row>
    <row r="241" spans="1:4" x14ac:dyDescent="0.2">
      <c r="A241" s="48">
        <v>39173</v>
      </c>
      <c r="B241" s="49">
        <f>VLOOKUP(A241,'Data yoy'!$B:$AT,MATCH($B$1,'Data yoy'!$B$1:$AT$1,0),FALSE)</f>
        <v>1.5407153250000001</v>
      </c>
      <c r="C241" s="49">
        <f>Table13456789101112131415161734[[#This Row],[USA]]-B240</f>
        <v>-1.068186659</v>
      </c>
      <c r="D241" s="29"/>
    </row>
    <row r="242" spans="1:4" x14ac:dyDescent="0.2">
      <c r="A242" s="48">
        <v>39264</v>
      </c>
      <c r="B242" s="49">
        <f>VLOOKUP(A242,'Data yoy'!$B:$AT,MATCH($B$1,'Data yoy'!$B$1:$AT$1,0),FALSE)</f>
        <v>1.938641595</v>
      </c>
      <c r="C242" s="49">
        <f>Table13456789101112131415161734[[#This Row],[USA]]-B241</f>
        <v>0.39792626999999992</v>
      </c>
      <c r="D242" s="29"/>
    </row>
    <row r="243" spans="1:4" x14ac:dyDescent="0.2">
      <c r="A243" s="48">
        <v>39356</v>
      </c>
      <c r="B243" s="49">
        <f>VLOOKUP(A243,'Data yoy'!$B:$AT,MATCH($B$1,'Data yoy'!$B$1:$AT$1,0),FALSE)</f>
        <v>2.3985598499999998</v>
      </c>
      <c r="C243" s="49">
        <f>Table13456789101112131415161734[[#This Row],[USA]]-B242</f>
        <v>0.45991825499999983</v>
      </c>
      <c r="D243" s="29"/>
    </row>
    <row r="244" spans="1:4" x14ac:dyDescent="0.2">
      <c r="A244" s="48">
        <v>39448</v>
      </c>
      <c r="B244" s="49">
        <f>VLOOKUP(A244,'Data yoy'!$B:$AT,MATCH($B$1,'Data yoy'!$B$1:$AT$1,0),FALSE)</f>
        <v>2.160883208</v>
      </c>
      <c r="C244" s="49">
        <f>Table13456789101112131415161734[[#This Row],[USA]]-B243</f>
        <v>-0.23767664199999983</v>
      </c>
      <c r="D244" s="29"/>
    </row>
    <row r="245" spans="1:4" x14ac:dyDescent="0.2">
      <c r="A245" s="48">
        <v>39539</v>
      </c>
      <c r="B245" s="49">
        <f>VLOOKUP(A245,'Data yoy'!$B:$AT,MATCH($B$1,'Data yoy'!$B$1:$AT$1,0),FALSE)</f>
        <v>1.4468030009999999</v>
      </c>
      <c r="C245" s="49">
        <f>Table13456789101112131415161734[[#This Row],[USA]]-B244</f>
        <v>-0.71408020700000008</v>
      </c>
      <c r="D245" s="29"/>
    </row>
    <row r="246" spans="1:4" x14ac:dyDescent="0.2">
      <c r="A246" s="48">
        <v>39630</v>
      </c>
      <c r="B246" s="49">
        <f>VLOOKUP(A246,'Data yoy'!$B:$AT,MATCH($B$1,'Data yoy'!$B$1:$AT$1,0),FALSE)</f>
        <v>1.380132559</v>
      </c>
      <c r="C246" s="49">
        <f>Table13456789101112131415161734[[#This Row],[USA]]-B245</f>
        <v>-6.6670441999999941E-2</v>
      </c>
      <c r="D246" s="29"/>
    </row>
    <row r="247" spans="1:4" x14ac:dyDescent="0.2">
      <c r="A247" s="48">
        <v>39722</v>
      </c>
      <c r="B247" s="49">
        <f>VLOOKUP(A247,'Data yoy'!$B:$AT,MATCH($B$1,'Data yoy'!$B$1:$AT$1,0),FALSE)</f>
        <v>0.242202378</v>
      </c>
      <c r="C247" s="49">
        <f>Table13456789101112131415161734[[#This Row],[USA]]-B246</f>
        <v>-1.137930181</v>
      </c>
      <c r="D247" s="29"/>
    </row>
    <row r="248" spans="1:4" x14ac:dyDescent="0.2">
      <c r="A248" s="48">
        <v>39814</v>
      </c>
      <c r="B248" s="49">
        <f>VLOOKUP(A248,'Data yoy'!$B:$AT,MATCH($B$1,'Data yoy'!$B$1:$AT$1,0),FALSE)</f>
        <v>-2.5403392600000001</v>
      </c>
      <c r="C248" s="49">
        <f>Table13456789101112131415161734[[#This Row],[USA]]-B247</f>
        <v>-2.7825416380000001</v>
      </c>
      <c r="D248" s="29"/>
    </row>
    <row r="249" spans="1:4" x14ac:dyDescent="0.2">
      <c r="A249" s="48">
        <v>39904</v>
      </c>
      <c r="B249" s="49">
        <f>VLOOKUP(A249,'Data yoy'!$B:$AT,MATCH($B$1,'Data yoy'!$B$1:$AT$1,0),FALSE)</f>
        <v>-3.2823924440000001</v>
      </c>
      <c r="C249" s="49">
        <f>Table13456789101112131415161734[[#This Row],[USA]]-B248</f>
        <v>-0.74205318399999998</v>
      </c>
      <c r="D249" s="29"/>
    </row>
    <row r="250" spans="1:4" x14ac:dyDescent="0.2">
      <c r="A250" s="48">
        <v>39995</v>
      </c>
      <c r="B250" s="49">
        <f>VLOOKUP(A250,'Data yoy'!$B:$AT,MATCH($B$1,'Data yoy'!$B$1:$AT$1,0),FALSE)</f>
        <v>-3.995504779</v>
      </c>
      <c r="C250" s="49">
        <f>Table13456789101112131415161734[[#This Row],[USA]]-B249</f>
        <v>-0.71311233499999993</v>
      </c>
      <c r="D250" s="29"/>
    </row>
    <row r="251" spans="1:4" x14ac:dyDescent="0.2">
      <c r="A251" s="48">
        <v>40087</v>
      </c>
      <c r="B251" s="49">
        <f>VLOOKUP(A251,'Data yoy'!$B:$AT,MATCH($B$1,'Data yoy'!$B$1:$AT$1,0),FALSE)</f>
        <v>-3.137675003</v>
      </c>
      <c r="C251" s="49">
        <f>Table13456789101112131415161734[[#This Row],[USA]]-B250</f>
        <v>0.85782977599999999</v>
      </c>
      <c r="D251" s="29"/>
    </row>
    <row r="252" spans="1:4" x14ac:dyDescent="0.2">
      <c r="A252" s="48">
        <v>40179</v>
      </c>
      <c r="B252" s="49">
        <f>VLOOKUP(A252,'Data yoy'!$B:$AT,MATCH($B$1,'Data yoy'!$B$1:$AT$1,0),FALSE)</f>
        <v>8.1657584000000005E-2</v>
      </c>
      <c r="C252" s="49">
        <f>Table13456789101112131415161734[[#This Row],[USA]]-B251</f>
        <v>3.2193325870000002</v>
      </c>
      <c r="D252" s="29"/>
    </row>
    <row r="253" spans="1:4" x14ac:dyDescent="0.2">
      <c r="A253" s="48">
        <v>40269</v>
      </c>
      <c r="B253" s="49">
        <f>VLOOKUP(A253,'Data yoy'!$B:$AT,MATCH($B$1,'Data yoy'!$B$1:$AT$1,0),FALSE)</f>
        <v>1.768457232</v>
      </c>
      <c r="C253" s="49">
        <f>Table13456789101112131415161734[[#This Row],[USA]]-B252</f>
        <v>1.686799648</v>
      </c>
      <c r="D253" s="29"/>
    </row>
    <row r="254" spans="1:4" x14ac:dyDescent="0.2">
      <c r="A254" s="48">
        <v>40360</v>
      </c>
      <c r="B254" s="49">
        <f>VLOOKUP(A254,'Data yoy'!$B:$AT,MATCH($B$1,'Data yoy'!$B$1:$AT$1,0),FALSE)</f>
        <v>2.9274678449999998</v>
      </c>
      <c r="C254" s="49">
        <f>Table13456789101112131415161734[[#This Row],[USA]]-B253</f>
        <v>1.1590106129999997</v>
      </c>
      <c r="D254" s="29"/>
    </row>
    <row r="255" spans="1:4" x14ac:dyDescent="0.2">
      <c r="A255" s="48">
        <v>40452</v>
      </c>
      <c r="B255" s="49">
        <f>VLOOKUP(A255,'Data yoy'!$B:$AT,MATCH($B$1,'Data yoy'!$B$1:$AT$1,0),FALSE)</f>
        <v>3.3491938139999999</v>
      </c>
      <c r="C255" s="49">
        <f>Table13456789101112131415161734[[#This Row],[USA]]-B254</f>
        <v>0.42172596900000014</v>
      </c>
      <c r="D255" s="29"/>
    </row>
    <row r="256" spans="1:4" x14ac:dyDescent="0.2">
      <c r="A256" s="48">
        <v>40544</v>
      </c>
      <c r="B256" s="49">
        <f>VLOOKUP(A256,'Data yoy'!$B:$AT,MATCH($B$1,'Data yoy'!$B$1:$AT$1,0),FALSE)</f>
        <v>2.7884496909999998</v>
      </c>
      <c r="C256" s="49">
        <f>Table13456789101112131415161734[[#This Row],[USA]]-B255</f>
        <v>-0.56074412300000009</v>
      </c>
      <c r="D256" s="29"/>
    </row>
    <row r="257" spans="1:4" x14ac:dyDescent="0.2">
      <c r="A257" s="48">
        <v>40634</v>
      </c>
      <c r="B257" s="49">
        <f>VLOOKUP(A257,'Data yoy'!$B:$AT,MATCH($B$1,'Data yoy'!$B$1:$AT$1,0),FALSE)</f>
        <v>2.0306081909999998</v>
      </c>
      <c r="C257" s="49">
        <f>Table13456789101112131415161734[[#This Row],[USA]]-B256</f>
        <v>-0.75784150000000006</v>
      </c>
      <c r="D257" s="29"/>
    </row>
    <row r="258" spans="1:4" x14ac:dyDescent="0.2">
      <c r="A258" s="48">
        <v>40725</v>
      </c>
      <c r="B258" s="49">
        <f>VLOOKUP(A258,'Data yoy'!$B:$AT,MATCH($B$1,'Data yoy'!$B$1:$AT$1,0),FALSE)</f>
        <v>1.737905069</v>
      </c>
      <c r="C258" s="49">
        <f>Table13456789101112131415161734[[#This Row],[USA]]-B257</f>
        <v>-0.29270312199999982</v>
      </c>
      <c r="D258" s="29"/>
    </row>
    <row r="259" spans="1:4" x14ac:dyDescent="0.2">
      <c r="A259" s="48">
        <v>40817</v>
      </c>
      <c r="B259" s="49">
        <f>VLOOKUP(A259,'Data yoy'!$B:$AT,MATCH($B$1,'Data yoy'!$B$1:$AT$1,0),FALSE)</f>
        <v>0.91822084800000003</v>
      </c>
      <c r="C259" s="49">
        <f>Table13456789101112131415161734[[#This Row],[USA]]-B258</f>
        <v>-0.81968422099999994</v>
      </c>
      <c r="D259" s="29"/>
    </row>
    <row r="260" spans="1:4" x14ac:dyDescent="0.2">
      <c r="A260" s="48">
        <v>40909</v>
      </c>
      <c r="B260" s="49">
        <f>VLOOKUP(A260,'Data yoy'!$B:$AT,MATCH($B$1,'Data yoy'!$B$1:$AT$1,0),FALSE)</f>
        <v>1.5226915240000001</v>
      </c>
      <c r="C260" s="49">
        <f>Table13456789101112131415161734[[#This Row],[USA]]-B259</f>
        <v>0.60447067600000004</v>
      </c>
      <c r="D260" s="29"/>
    </row>
    <row r="261" spans="1:4" x14ac:dyDescent="0.2">
      <c r="A261" s="48">
        <v>41000</v>
      </c>
      <c r="B261" s="49">
        <f>VLOOKUP(A261,'Data yoy'!$B:$AT,MATCH($B$1,'Data yoy'!$B$1:$AT$1,0),FALSE)</f>
        <v>2.600249298</v>
      </c>
      <c r="C261" s="49">
        <f>Table13456789101112131415161734[[#This Row],[USA]]-B260</f>
        <v>1.077557774</v>
      </c>
      <c r="D261" s="29"/>
    </row>
    <row r="262" spans="1:4" x14ac:dyDescent="0.2">
      <c r="A262" s="48">
        <v>41091</v>
      </c>
      <c r="B262" s="49">
        <f>VLOOKUP(A262,'Data yoy'!$B:$AT,MATCH($B$1,'Data yoy'!$B$1:$AT$1,0),FALSE)</f>
        <v>2.3738163499999998</v>
      </c>
      <c r="C262" s="49">
        <f>Table13456789101112131415161734[[#This Row],[USA]]-B261</f>
        <v>-0.22643294800000024</v>
      </c>
      <c r="D262" s="29"/>
    </row>
    <row r="263" spans="1:4" x14ac:dyDescent="0.2">
      <c r="A263" s="48">
        <v>41183</v>
      </c>
      <c r="B263" s="49">
        <f>VLOOKUP(A263,'Data yoy'!$B:$AT,MATCH($B$1,'Data yoy'!$B$1:$AT$1,0),FALSE)</f>
        <v>2.592622977</v>
      </c>
      <c r="C263" s="49">
        <f>Table13456789101112131415161734[[#This Row],[USA]]-B262</f>
        <v>0.2188066270000002</v>
      </c>
      <c r="D263" s="29"/>
    </row>
    <row r="264" spans="1:4" x14ac:dyDescent="0.2">
      <c r="A264" s="48">
        <v>41275</v>
      </c>
      <c r="B264" s="49">
        <f>VLOOKUP(A264,'Data yoy'!$B:$AT,MATCH($B$1,'Data yoy'!$B$1:$AT$1,0),FALSE)</f>
        <v>1.5660643460000001</v>
      </c>
      <c r="C264" s="49">
        <f>Table13456789101112131415161734[[#This Row],[USA]]-B263</f>
        <v>-1.0265586309999999</v>
      </c>
      <c r="D264" s="29"/>
    </row>
    <row r="265" spans="1:4" x14ac:dyDescent="0.2">
      <c r="A265" s="48">
        <v>41365</v>
      </c>
      <c r="B265" s="49">
        <f>VLOOKUP(A265,'Data yoy'!$B:$AT,MATCH($B$1,'Data yoy'!$B$1:$AT$1,0),FALSE)</f>
        <v>1.6163010950000001</v>
      </c>
      <c r="C265" s="49">
        <f>Table13456789101112131415161734[[#This Row],[USA]]-B264</f>
        <v>5.0236748999999969E-2</v>
      </c>
      <c r="D265" s="29"/>
    </row>
    <row r="266" spans="1:4" x14ac:dyDescent="0.2">
      <c r="A266" s="48">
        <v>41456</v>
      </c>
      <c r="B266" s="49">
        <f>VLOOKUP(A266,'Data yoy'!$B:$AT,MATCH($B$1,'Data yoy'!$B$1:$AT$1,0),FALSE)</f>
        <v>1.29617049</v>
      </c>
      <c r="C266" s="49">
        <f>Table13456789101112131415161734[[#This Row],[USA]]-B265</f>
        <v>-0.32013060500000012</v>
      </c>
      <c r="D266" s="29"/>
    </row>
    <row r="267" spans="1:4" x14ac:dyDescent="0.2">
      <c r="A267" s="48">
        <v>41548</v>
      </c>
      <c r="B267" s="49">
        <f>VLOOKUP(A267,'Data yoy'!$B:$AT,MATCH($B$1,'Data yoy'!$B$1:$AT$1,0),FALSE)</f>
        <v>1.9198446199999999</v>
      </c>
      <c r="C267" s="49">
        <f>Table13456789101112131415161734[[#This Row],[USA]]-B266</f>
        <v>0.62367412999999994</v>
      </c>
      <c r="D267" s="29"/>
    </row>
    <row r="268" spans="1:4" x14ac:dyDescent="0.2">
      <c r="A268" s="48">
        <v>41640</v>
      </c>
      <c r="B268" s="49">
        <f>VLOOKUP(A268,'Data yoy'!$B:$AT,MATCH($B$1,'Data yoy'!$B$1:$AT$1,0),FALSE)</f>
        <v>2.5320497780000002</v>
      </c>
      <c r="C268" s="49">
        <f>Table13456789101112131415161734[[#This Row],[USA]]-B267</f>
        <v>0.6122051580000003</v>
      </c>
      <c r="D268" s="29"/>
    </row>
    <row r="269" spans="1:4" x14ac:dyDescent="0.2">
      <c r="A269" s="48">
        <v>41730</v>
      </c>
      <c r="B269" s="49">
        <f>VLOOKUP(A269,'Data yoy'!$B:$AT,MATCH($B$1,'Data yoy'!$B$1:$AT$1,0),FALSE)</f>
        <v>1.294055859</v>
      </c>
      <c r="C269" s="49">
        <f>Table13456789101112131415161734[[#This Row],[USA]]-B268</f>
        <v>-1.2379939190000002</v>
      </c>
      <c r="D269" s="29"/>
    </row>
    <row r="270" spans="1:4" x14ac:dyDescent="0.2">
      <c r="A270" s="48">
        <v>41821</v>
      </c>
      <c r="B270" s="49">
        <f>VLOOKUP(A270,'Data yoy'!$B:$AT,MATCH($B$1,'Data yoy'!$B$1:$AT$1,0),FALSE)</f>
        <v>2.451999168</v>
      </c>
      <c r="C270" s="49">
        <f>Table13456789101112131415161734[[#This Row],[USA]]-B269</f>
        <v>1.157943309</v>
      </c>
      <c r="D270" s="29"/>
    </row>
    <row r="271" spans="1:4" x14ac:dyDescent="0.2">
      <c r="A271" s="48">
        <v>41913</v>
      </c>
      <c r="B271" s="49">
        <f>VLOOKUP(A271,'Data yoy'!$B:$AT,MATCH($B$1,'Data yoy'!$B$1:$AT$1,0),FALSE)</f>
        <v>2.831456926</v>
      </c>
      <c r="C271" s="49">
        <f>Table13456789101112131415161734[[#This Row],[USA]]-B270</f>
        <v>0.37945775800000003</v>
      </c>
      <c r="D271" s="29"/>
    </row>
    <row r="272" spans="1:4" x14ac:dyDescent="0.2">
      <c r="A272" s="48">
        <v>42005</v>
      </c>
      <c r="B272" s="49">
        <f>VLOOKUP(A272,'Data yoy'!$B:$AT,MATCH($B$1,'Data yoy'!$B$1:$AT$1,0),FALSE)</f>
        <v>2.5637596660000002</v>
      </c>
      <c r="C272" s="49">
        <f>Table13456789101112131415161734[[#This Row],[USA]]-B271</f>
        <v>-0.26769725999999983</v>
      </c>
      <c r="D272" s="29"/>
    </row>
    <row r="273" spans="1:4" x14ac:dyDescent="0.2">
      <c r="A273" s="48">
        <v>42095</v>
      </c>
      <c r="B273" s="49">
        <f>VLOOKUP(A273,'Data yoy'!$B:$AT,MATCH($B$1,'Data yoy'!$B$1:$AT$1,0),FALSE)</f>
        <v>3.7612027729999999</v>
      </c>
      <c r="C273" s="49">
        <f>Table13456789101112131415161734[[#This Row],[USA]]-B272</f>
        <v>1.1974431069999998</v>
      </c>
      <c r="D273" s="29"/>
    </row>
    <row r="274" spans="1:4" x14ac:dyDescent="0.2">
      <c r="A274" s="48">
        <v>42186</v>
      </c>
      <c r="B274" s="49">
        <f>VLOOKUP(A274,'Data yoy'!$B:$AT,MATCH($B$1,'Data yoy'!$B$1:$AT$1,0),FALSE)</f>
        <v>3.039854675</v>
      </c>
      <c r="C274" s="49">
        <f>Table13456789101112131415161734[[#This Row],[USA]]-B273</f>
        <v>-0.72134809799999999</v>
      </c>
      <c r="D274" s="29"/>
    </row>
    <row r="275" spans="1:4" x14ac:dyDescent="0.2">
      <c r="A275" s="48">
        <v>42278</v>
      </c>
      <c r="B275" s="49">
        <f>VLOOKUP(A275,'Data yoy'!$B:$AT,MATCH($B$1,'Data yoy'!$B$1:$AT$1,0),FALSE)</f>
        <v>2.1826685110000001</v>
      </c>
      <c r="C275" s="49">
        <f>Table13456789101112131415161734[[#This Row],[USA]]-B274</f>
        <v>-0.85718616399999981</v>
      </c>
      <c r="D275" s="29"/>
    </row>
    <row r="276" spans="1:4" x14ac:dyDescent="0.2">
      <c r="A276" s="48">
        <v>42370</v>
      </c>
      <c r="B276" s="49">
        <f>VLOOKUP(A276,'Data yoy'!$B:$AT,MATCH($B$1,'Data yoy'!$B$1:$AT$1,0),FALSE)</f>
        <v>1.874684059</v>
      </c>
      <c r="C276" s="49">
        <f>Table13456789101112131415161734[[#This Row],[USA]]-B275</f>
        <v>-0.30798445200000013</v>
      </c>
      <c r="D276" s="29"/>
    </row>
    <row r="277" spans="1:4" x14ac:dyDescent="0.2">
      <c r="A277" s="48">
        <v>42461</v>
      </c>
      <c r="B277" s="49">
        <f>VLOOKUP(A277,'Data yoy'!$B:$AT,MATCH($B$1,'Data yoy'!$B$1:$AT$1,0),FALSE)</f>
        <v>1.648190603</v>
      </c>
      <c r="C277" s="49">
        <f>Table13456789101112131415161734[[#This Row],[USA]]-B276</f>
        <v>-0.22649345600000004</v>
      </c>
      <c r="D277" s="29"/>
    </row>
    <row r="278" spans="1:4" x14ac:dyDescent="0.2">
      <c r="A278" s="48">
        <v>42552</v>
      </c>
      <c r="B278" s="49">
        <f>VLOOKUP(A278,'Data yoy'!$B:$AT,MATCH($B$1,'Data yoy'!$B$1:$AT$1,0),FALSE)</f>
        <v>1.36762965</v>
      </c>
      <c r="C278" s="49">
        <f>Table13456789101112131415161734[[#This Row],[USA]]-B277</f>
        <v>-0.28056095299999995</v>
      </c>
      <c r="D278" s="29"/>
    </row>
    <row r="279" spans="1:4" x14ac:dyDescent="0.2">
      <c r="A279" s="48">
        <v>42644</v>
      </c>
      <c r="B279" s="49">
        <f>VLOOKUP(A279,'Data yoy'!$B:$AT,MATCH($B$1,'Data yoy'!$B$1:$AT$1,0),FALSE)</f>
        <v>1.648263356</v>
      </c>
      <c r="C279" s="49">
        <f>Table13456789101112131415161734[[#This Row],[USA]]-B278</f>
        <v>0.28063370599999993</v>
      </c>
      <c r="D279" s="29"/>
    </row>
    <row r="280" spans="1:4" x14ac:dyDescent="0.2">
      <c r="A280" s="48">
        <v>42736</v>
      </c>
      <c r="B280" s="49">
        <f>VLOOKUP(A280,'Data yoy'!$B:$AT,MATCH($B$1,'Data yoy'!$B$1:$AT$1,0),FALSE)</f>
        <v>2.0041770460000001</v>
      </c>
      <c r="C280" s="49">
        <f>Table13456789101112131415161734[[#This Row],[USA]]-B279</f>
        <v>0.35591369000000017</v>
      </c>
      <c r="D280" s="29"/>
    </row>
    <row r="281" spans="1:4" x14ac:dyDescent="0.2">
      <c r="A281" s="48">
        <v>42826</v>
      </c>
      <c r="B281" s="49">
        <f>VLOOKUP(A281,'Data yoy'!$B:$AT,MATCH($B$1,'Data yoy'!$B$1:$AT$1,0),FALSE)</f>
        <v>1.8852788700000001</v>
      </c>
      <c r="C281" s="49">
        <f>Table13456789101112131415161734[[#This Row],[USA]]-B280</f>
        <v>-0.11889817600000008</v>
      </c>
      <c r="D281" s="29"/>
    </row>
    <row r="282" spans="1:4" x14ac:dyDescent="0.2">
      <c r="A282" s="48">
        <v>42917</v>
      </c>
      <c r="B282" s="49">
        <f>VLOOKUP(A282,'Data yoy'!$B:$AT,MATCH($B$1,'Data yoy'!$B$1:$AT$1,0),FALSE)</f>
        <v>2.1467165829999999</v>
      </c>
      <c r="C282" s="49">
        <f>Table13456789101112131415161734[[#This Row],[USA]]-B281</f>
        <v>0.26143771299999985</v>
      </c>
      <c r="D282" s="29"/>
    </row>
    <row r="283" spans="1:4" x14ac:dyDescent="0.2">
      <c r="A283" s="48">
        <v>43009</v>
      </c>
      <c r="B283" s="49">
        <f>VLOOKUP(A283,'Data yoy'!$B:$AT,MATCH($B$1,'Data yoy'!$B$1:$AT$1,0),FALSE)</f>
        <v>2.2665646380000002</v>
      </c>
      <c r="C283" s="49">
        <f>Table13456789101112131415161734[[#This Row],[USA]]-B282</f>
        <v>0.11984805500000029</v>
      </c>
      <c r="D283" s="29"/>
    </row>
    <row r="284" spans="1:4" x14ac:dyDescent="0.2">
      <c r="A284" s="48">
        <v>43101</v>
      </c>
      <c r="B284" s="49">
        <f>VLOOKUP(A284,'Data yoy'!$B:$AT,MATCH($B$1,'Data yoy'!$B$1:$AT$1,0),FALSE)</f>
        <v>2.7178855820000001</v>
      </c>
      <c r="C284" s="49">
        <f>Table13456789101112131415161734[[#This Row],[USA]]-B283</f>
        <v>0.45132094399999989</v>
      </c>
      <c r="D284" s="29"/>
    </row>
    <row r="285" spans="1:4" x14ac:dyDescent="0.2">
      <c r="A285" s="48">
        <v>43191</v>
      </c>
      <c r="B285" s="49">
        <f>VLOOKUP(A285,'Data yoy'!$B:$AT,MATCH($B$1,'Data yoy'!$B$1:$AT$1,0),FALSE)</f>
        <v>3.0153118829999999</v>
      </c>
      <c r="C285" s="49">
        <f>Table13456789101112131415161734[[#This Row],[USA]]-B284</f>
        <v>0.29742630099999978</v>
      </c>
      <c r="D285" s="29"/>
    </row>
    <row r="286" spans="1:4" x14ac:dyDescent="0.2">
      <c r="A286" s="48">
        <v>43282</v>
      </c>
      <c r="B286" s="49">
        <f>VLOOKUP(A286,'Data yoy'!$B:$AT,MATCH($B$1,'Data yoy'!$B$1:$AT$1,0),FALSE)</f>
        <v>3.2961522830000001</v>
      </c>
      <c r="C286" s="49">
        <f>Table13456789101112131415161734[[#This Row],[USA]]-B285</f>
        <v>0.28084040000000021</v>
      </c>
    </row>
    <row r="287" spans="1:4" x14ac:dyDescent="0.2">
      <c r="A287" s="48">
        <v>43374</v>
      </c>
      <c r="B287" s="49">
        <f>VLOOKUP(A287,'Data yoy'!$B:$AT,MATCH($B$1,'Data yoy'!$B$1:$AT$1,0),FALSE)</f>
        <v>3.0528859119999998</v>
      </c>
      <c r="C287" s="49">
        <f>Table13456789101112131415161734[[#This Row],[USA]]-B286</f>
        <v>-0.24326637100000026</v>
      </c>
    </row>
    <row r="288" spans="1:4" x14ac:dyDescent="0.2">
      <c r="A288" s="48">
        <v>43466</v>
      </c>
      <c r="B288" s="49">
        <f>VLOOKUP(A288,'Data yoy'!$B:$AT,MATCH($B$1,'Data yoy'!$B$1:$AT$1,0),FALSE)</f>
        <v>2.3206170949999998</v>
      </c>
      <c r="C288" s="49">
        <f>Table13456789101112131415161734[[#This Row],[USA]]-B287</f>
        <v>-0.73226881700000002</v>
      </c>
    </row>
    <row r="289" spans="1:4" x14ac:dyDescent="0.2">
      <c r="A289" s="48">
        <v>43556</v>
      </c>
      <c r="B289" s="49">
        <f>VLOOKUP(A289,'Data yoy'!$B:$AT,MATCH($B$1,'Data yoy'!$B$1:$AT$1,0),FALSE)</f>
        <v>2.1530015140000001</v>
      </c>
      <c r="C289" s="49">
        <f>Table13456789101112131415161734[[#This Row],[USA]]-B288</f>
        <v>-0.16761558099999974</v>
      </c>
    </row>
    <row r="290" spans="1:4" x14ac:dyDescent="0.2">
      <c r="A290" s="48">
        <v>43647</v>
      </c>
      <c r="B290" s="49">
        <f>VLOOKUP(A290,'Data yoy'!$B:$AT,MATCH($B$1,'Data yoy'!$B$1:$AT$1,0),FALSE)</f>
        <v>2.1114788359999999</v>
      </c>
      <c r="C290" s="49">
        <f>Table13456789101112131415161734[[#This Row],[USA]]-B289</f>
        <v>-4.1522678000000202E-2</v>
      </c>
    </row>
    <row r="291" spans="1:4" s="40" customFormat="1" x14ac:dyDescent="0.2">
      <c r="A291" s="48">
        <v>43739</v>
      </c>
      <c r="B291" s="49">
        <f>VLOOKUP(A291,'Data yoy'!$B:$AT,MATCH($B$1,'Data yoy'!$B$1:$AT$1,0),FALSE)</f>
        <v>2.3183259980000002</v>
      </c>
      <c r="C291" s="49">
        <f>Table13456789101112131415161734[[#This Row],[USA]]-B290</f>
        <v>0.20684716200000031</v>
      </c>
      <c r="D291" s="54"/>
    </row>
    <row r="292" spans="1:4" s="40" customFormat="1" x14ac:dyDescent="0.2">
      <c r="A292" s="48">
        <v>43831</v>
      </c>
      <c r="B292" s="49">
        <f>VLOOKUP(A292,'Data yoy'!$B:$AT,MATCH($B$1,'Data yoy'!$B$1:$AT$1,0),FALSE)</f>
        <v>2.5694235349999999</v>
      </c>
      <c r="C292" s="49">
        <f>Table13456789101112131415161734[[#This Row],[USA]]-B291</f>
        <v>0.2510975369999997</v>
      </c>
      <c r="D292" s="54"/>
    </row>
    <row r="293" spans="1:4" s="40" customFormat="1" x14ac:dyDescent="0.2">
      <c r="A293" s="48">
        <v>43922</v>
      </c>
      <c r="B293" s="49">
        <f>VLOOKUP(A293,'Data yoy'!$B:$AT,MATCH($B$1,'Data yoy'!$B$1:$AT$1,0),FALSE)</f>
        <v>0.63078516399999995</v>
      </c>
      <c r="C293" s="49">
        <f>Table13456789101112131415161734[[#This Row],[USA]]-B292</f>
        <v>-1.9386383709999999</v>
      </c>
      <c r="D293" s="54"/>
    </row>
    <row r="294" spans="1:4" s="40" customFormat="1" x14ac:dyDescent="0.2">
      <c r="A294" s="48">
        <v>44013</v>
      </c>
      <c r="B294" s="49">
        <f>VLOOKUP(A294,'Data yoy'!$B:$AT,MATCH($B$1,'Data yoy'!$B$1:$AT$1,0),FALSE)</f>
        <v>-9.0837374240000006</v>
      </c>
      <c r="C294" s="49">
        <f>Table13456789101112131415161734[[#This Row],[USA]]-B293</f>
        <v>-9.7145225880000012</v>
      </c>
      <c r="D294" s="54"/>
    </row>
    <row r="295" spans="1:4" s="40" customFormat="1" x14ac:dyDescent="0.2">
      <c r="A295" s="48">
        <v>44105</v>
      </c>
      <c r="B295" s="49">
        <f>VLOOKUP(A295,'Data yoy'!$B:$AT,MATCH($B$1,'Data yoy'!$B$1:$AT$1,0),FALSE)</f>
        <v>-2.8875059890000001</v>
      </c>
      <c r="C295" s="49">
        <f>Table13456789101112131415161734[[#This Row],[USA]]-B294</f>
        <v>6.1962314350000005</v>
      </c>
      <c r="D295" s="54"/>
    </row>
    <row r="296" spans="1:4" s="40" customFormat="1" x14ac:dyDescent="0.2">
      <c r="A296" s="48">
        <v>44197</v>
      </c>
      <c r="B296" s="49">
        <f>VLOOKUP(A296,'Data yoy'!$B:$AT,MATCH($B$1,'Data yoy'!$B$1:$AT$1,0),FALSE)</f>
        <v>-2.2629152430000001</v>
      </c>
      <c r="C296" s="49">
        <f>Table13456789101112131415161734[[#This Row],[USA]]-B295</f>
        <v>0.62459074599999997</v>
      </c>
      <c r="D296" s="54"/>
    </row>
    <row r="297" spans="1:4" s="40" customFormat="1" x14ac:dyDescent="0.2">
      <c r="A297" s="48">
        <v>44287</v>
      </c>
      <c r="B297" s="49">
        <f>VLOOKUP(A297,'Data yoy'!$B:$AT,MATCH($B$1,'Data yoy'!$B$1:$AT$1,0),FALSE)</f>
        <v>0.54697680299999996</v>
      </c>
      <c r="C297" s="49">
        <f>Table13456789101112131415161734[[#This Row],[USA]]-B296</f>
        <v>2.8098920459999999</v>
      </c>
      <c r="D297" s="54"/>
    </row>
    <row r="298" spans="1:4" s="40" customFormat="1" x14ac:dyDescent="0.2">
      <c r="A298" s="48">
        <v>44378</v>
      </c>
      <c r="B298" s="49">
        <f>VLOOKUP(A298,'Data yoy'!$B:$AT,MATCH($B$1,'Data yoy'!$B$1:$AT$1,0),FALSE)</f>
        <v>12.182002705</v>
      </c>
      <c r="C298" s="49">
        <f>Table13456789101112131415161734[[#This Row],[USA]]-B297</f>
        <v>11.635025902000001</v>
      </c>
      <c r="D298" s="54"/>
    </row>
    <row r="299" spans="1:4" s="40" customFormat="1" x14ac:dyDescent="0.2">
      <c r="A299" s="55"/>
      <c r="B299" s="56"/>
      <c r="C299" s="47"/>
      <c r="D299" s="54"/>
    </row>
    <row r="300" spans="1:4" s="40" customFormat="1" x14ac:dyDescent="0.2">
      <c r="A300" s="55"/>
      <c r="B300" s="56"/>
      <c r="C300" s="47"/>
      <c r="D300" s="54"/>
    </row>
    <row r="301" spans="1:4" s="40" customFormat="1" x14ac:dyDescent="0.2">
      <c r="A301" s="55"/>
      <c r="B301" s="56"/>
      <c r="C301" s="47"/>
      <c r="D301" s="54"/>
    </row>
    <row r="302" spans="1:4" s="40" customFormat="1" x14ac:dyDescent="0.2">
      <c r="A302" s="55"/>
      <c r="B302" s="56"/>
      <c r="C302" s="47"/>
      <c r="D302" s="54"/>
    </row>
    <row r="303" spans="1:4" s="40" customFormat="1" x14ac:dyDescent="0.2">
      <c r="A303" s="55"/>
      <c r="B303" s="56"/>
      <c r="C303" s="47"/>
      <c r="D303" s="54"/>
    </row>
    <row r="304" spans="1:4" s="40" customFormat="1" x14ac:dyDescent="0.2">
      <c r="A304" s="55"/>
      <c r="B304" s="56"/>
      <c r="C304" s="47"/>
      <c r="D304" s="54"/>
    </row>
    <row r="305" spans="1:4" s="40" customFormat="1" x14ac:dyDescent="0.2">
      <c r="A305" s="55"/>
      <c r="B305" s="56"/>
      <c r="C305" s="47"/>
      <c r="D305" s="54"/>
    </row>
    <row r="306" spans="1:4" s="40" customFormat="1" x14ac:dyDescent="0.2">
      <c r="A306" s="55"/>
      <c r="B306" s="56"/>
      <c r="C306" s="47"/>
      <c r="D306" s="54"/>
    </row>
    <row r="307" spans="1:4" s="40" customFormat="1" x14ac:dyDescent="0.2">
      <c r="A307" s="55"/>
      <c r="B307" s="56"/>
      <c r="C307" s="47"/>
      <c r="D307" s="54"/>
    </row>
    <row r="308" spans="1:4" s="40" customFormat="1" x14ac:dyDescent="0.2">
      <c r="A308" s="55"/>
      <c r="B308" s="56"/>
      <c r="C308" s="47"/>
      <c r="D308" s="54"/>
    </row>
    <row r="309" spans="1:4" s="40" customFormat="1" x14ac:dyDescent="0.2">
      <c r="A309" s="55"/>
      <c r="B309" s="56"/>
      <c r="C309" s="47"/>
      <c r="D309" s="54"/>
    </row>
    <row r="310" spans="1:4" s="40" customFormat="1" x14ac:dyDescent="0.2">
      <c r="A310" s="55"/>
      <c r="B310" s="56"/>
      <c r="C310" s="47"/>
      <c r="D310" s="54"/>
    </row>
    <row r="311" spans="1:4" s="40" customFormat="1" x14ac:dyDescent="0.2">
      <c r="A311" s="55"/>
      <c r="B311" s="56"/>
      <c r="C311" s="47"/>
      <c r="D311" s="54"/>
    </row>
    <row r="312" spans="1:4" s="40" customFormat="1" x14ac:dyDescent="0.2">
      <c r="A312" s="55"/>
      <c r="B312" s="56"/>
      <c r="C312" s="47"/>
      <c r="D312" s="54"/>
    </row>
    <row r="313" spans="1:4" s="40" customFormat="1" x14ac:dyDescent="0.2">
      <c r="A313" s="55"/>
      <c r="B313" s="56"/>
      <c r="C313" s="47"/>
      <c r="D313" s="54"/>
    </row>
    <row r="314" spans="1:4" s="40" customFormat="1" x14ac:dyDescent="0.2">
      <c r="A314" s="55"/>
      <c r="B314" s="56"/>
      <c r="C314" s="47"/>
      <c r="D314" s="54"/>
    </row>
    <row r="315" spans="1:4" s="40" customFormat="1" x14ac:dyDescent="0.2">
      <c r="A315" s="55"/>
      <c r="B315" s="56"/>
      <c r="C315" s="47"/>
      <c r="D315" s="54"/>
    </row>
    <row r="316" spans="1:4" s="40" customFormat="1" x14ac:dyDescent="0.2">
      <c r="A316" s="55"/>
      <c r="B316" s="56"/>
      <c r="C316" s="47"/>
      <c r="D316" s="54"/>
    </row>
    <row r="317" spans="1:4" s="40" customFormat="1" x14ac:dyDescent="0.2">
      <c r="A317" s="55"/>
      <c r="B317" s="56"/>
      <c r="C317" s="47"/>
      <c r="D317" s="54"/>
    </row>
    <row r="318" spans="1:4" s="40" customFormat="1" x14ac:dyDescent="0.2">
      <c r="A318" s="55"/>
      <c r="B318" s="56"/>
      <c r="C318" s="47"/>
      <c r="D318" s="54"/>
    </row>
    <row r="319" spans="1:4" s="40" customFormat="1" x14ac:dyDescent="0.2">
      <c r="A319" s="55"/>
      <c r="B319" s="56"/>
      <c r="C319" s="47"/>
      <c r="D319" s="54"/>
    </row>
    <row r="320" spans="1:4" s="40" customFormat="1" x14ac:dyDescent="0.2">
      <c r="A320" s="55"/>
      <c r="B320" s="56"/>
      <c r="C320" s="47"/>
      <c r="D320" s="54"/>
    </row>
    <row r="321" spans="1:4" s="40" customFormat="1" x14ac:dyDescent="0.2">
      <c r="A321" s="55"/>
      <c r="B321" s="56"/>
      <c r="C321" s="47"/>
      <c r="D321" s="54"/>
    </row>
    <row r="322" spans="1:4" s="40" customFormat="1" x14ac:dyDescent="0.2">
      <c r="A322" s="55"/>
      <c r="B322" s="56"/>
      <c r="C322" s="47"/>
      <c r="D322" s="54"/>
    </row>
    <row r="323" spans="1:4" s="40" customFormat="1" x14ac:dyDescent="0.2">
      <c r="A323" s="55"/>
      <c r="B323" s="56"/>
      <c r="C323" s="47"/>
      <c r="D323" s="54"/>
    </row>
    <row r="324" spans="1:4" s="40" customFormat="1" x14ac:dyDescent="0.2">
      <c r="A324" s="55"/>
      <c r="B324" s="56"/>
      <c r="C324" s="47"/>
      <c r="D324" s="54"/>
    </row>
    <row r="325" spans="1:4" s="40" customFormat="1" x14ac:dyDescent="0.2">
      <c r="A325" s="55"/>
      <c r="B325" s="56"/>
      <c r="C325" s="47"/>
      <c r="D325" s="54"/>
    </row>
    <row r="326" spans="1:4" s="40" customFormat="1" x14ac:dyDescent="0.2">
      <c r="A326" s="55"/>
      <c r="B326" s="56"/>
      <c r="C326" s="47"/>
      <c r="D326" s="54"/>
    </row>
    <row r="327" spans="1:4" s="40" customFormat="1" x14ac:dyDescent="0.2">
      <c r="A327" s="55"/>
      <c r="B327" s="56"/>
      <c r="C327" s="47"/>
      <c r="D327" s="54"/>
    </row>
    <row r="328" spans="1:4" s="40" customFormat="1" x14ac:dyDescent="0.2">
      <c r="A328" s="55"/>
      <c r="B328" s="56"/>
      <c r="C328" s="47"/>
      <c r="D328" s="54"/>
    </row>
    <row r="329" spans="1:4" s="40" customFormat="1" x14ac:dyDescent="0.2">
      <c r="A329" s="55"/>
      <c r="B329" s="56"/>
      <c r="C329" s="47"/>
      <c r="D329" s="54"/>
    </row>
    <row r="330" spans="1:4" s="40" customFormat="1" x14ac:dyDescent="0.2">
      <c r="A330" s="55"/>
      <c r="B330" s="56"/>
      <c r="C330" s="47"/>
      <c r="D330" s="54"/>
    </row>
    <row r="331" spans="1:4" s="40" customFormat="1" x14ac:dyDescent="0.2">
      <c r="A331" s="55"/>
      <c r="B331" s="56"/>
      <c r="C331" s="47"/>
      <c r="D331" s="54"/>
    </row>
    <row r="332" spans="1:4" s="40" customFormat="1" x14ac:dyDescent="0.2">
      <c r="A332" s="55"/>
      <c r="B332" s="56"/>
      <c r="C332" s="47"/>
      <c r="D332" s="54"/>
    </row>
    <row r="333" spans="1:4" s="40" customFormat="1" x14ac:dyDescent="0.2">
      <c r="A333" s="55"/>
      <c r="B333" s="56"/>
      <c r="C333" s="47"/>
      <c r="D333" s="54"/>
    </row>
    <row r="334" spans="1:4" s="40" customFormat="1" x14ac:dyDescent="0.2">
      <c r="A334" s="55"/>
      <c r="B334" s="56"/>
      <c r="C334" s="47"/>
      <c r="D334" s="54"/>
    </row>
    <row r="335" spans="1:4" s="40" customFormat="1" x14ac:dyDescent="0.2">
      <c r="A335" s="55"/>
      <c r="B335" s="56"/>
      <c r="C335" s="47"/>
      <c r="D335" s="54"/>
    </row>
    <row r="336" spans="1:4" s="40" customFormat="1" x14ac:dyDescent="0.2">
      <c r="A336" s="55"/>
      <c r="B336" s="56"/>
      <c r="C336" s="47"/>
      <c r="D336" s="54"/>
    </row>
    <row r="337" spans="1:4" s="40" customFormat="1" x14ac:dyDescent="0.2">
      <c r="A337" s="55"/>
      <c r="B337" s="56"/>
      <c r="C337" s="47"/>
      <c r="D337" s="54"/>
    </row>
    <row r="338" spans="1:4" s="40" customFormat="1" x14ac:dyDescent="0.2">
      <c r="A338" s="55"/>
      <c r="B338" s="56"/>
      <c r="C338" s="47"/>
      <c r="D338" s="54"/>
    </row>
    <row r="339" spans="1:4" s="40" customFormat="1" x14ac:dyDescent="0.2">
      <c r="A339" s="55"/>
      <c r="B339" s="56"/>
      <c r="C339" s="47"/>
      <c r="D339" s="54"/>
    </row>
    <row r="340" spans="1:4" s="40" customFormat="1" x14ac:dyDescent="0.2">
      <c r="A340" s="55"/>
      <c r="B340" s="56"/>
      <c r="C340" s="47"/>
      <c r="D340" s="54"/>
    </row>
    <row r="341" spans="1:4" s="40" customFormat="1" x14ac:dyDescent="0.2">
      <c r="A341" s="55"/>
      <c r="B341" s="56"/>
      <c r="C341" s="47"/>
      <c r="D341" s="54"/>
    </row>
    <row r="342" spans="1:4" s="40" customFormat="1" x14ac:dyDescent="0.2">
      <c r="A342" s="55"/>
      <c r="B342" s="56"/>
      <c r="C342" s="47"/>
      <c r="D342" s="54"/>
    </row>
    <row r="343" spans="1:4" s="40" customFormat="1" x14ac:dyDescent="0.2">
      <c r="A343" s="55"/>
      <c r="B343" s="56"/>
      <c r="C343" s="47"/>
      <c r="D343" s="54"/>
    </row>
    <row r="344" spans="1:4" s="40" customFormat="1" x14ac:dyDescent="0.2">
      <c r="A344" s="55"/>
      <c r="B344" s="56"/>
      <c r="C344" s="47"/>
      <c r="D344" s="54"/>
    </row>
    <row r="345" spans="1:4" s="40" customFormat="1" x14ac:dyDescent="0.2">
      <c r="A345" s="55"/>
      <c r="B345" s="56"/>
      <c r="C345" s="47"/>
      <c r="D345" s="54"/>
    </row>
    <row r="346" spans="1:4" s="40" customFormat="1" x14ac:dyDescent="0.2">
      <c r="A346" s="55"/>
      <c r="B346" s="56"/>
      <c r="C346" s="47"/>
      <c r="D346" s="54"/>
    </row>
    <row r="347" spans="1:4" s="40" customFormat="1" x14ac:dyDescent="0.2">
      <c r="A347" s="55"/>
      <c r="B347" s="56"/>
      <c r="C347" s="47"/>
      <c r="D347" s="54"/>
    </row>
    <row r="348" spans="1:4" s="40" customFormat="1" x14ac:dyDescent="0.2">
      <c r="A348" s="55"/>
      <c r="B348" s="56"/>
      <c r="C348" s="47"/>
      <c r="D348" s="54"/>
    </row>
    <row r="349" spans="1:4" s="40" customFormat="1" x14ac:dyDescent="0.2">
      <c r="A349" s="55"/>
      <c r="B349" s="56"/>
      <c r="C349" s="47"/>
      <c r="D349" s="54"/>
    </row>
    <row r="350" spans="1:4" s="40" customFormat="1" x14ac:dyDescent="0.2">
      <c r="A350" s="55"/>
      <c r="B350" s="56"/>
      <c r="C350" s="47"/>
      <c r="D350" s="54"/>
    </row>
    <row r="351" spans="1:4" s="40" customFormat="1" x14ac:dyDescent="0.2">
      <c r="A351" s="55"/>
      <c r="B351" s="56"/>
      <c r="C351" s="47"/>
      <c r="D351" s="54"/>
    </row>
    <row r="352" spans="1:4" s="40" customFormat="1" x14ac:dyDescent="0.2">
      <c r="A352" s="55"/>
      <c r="B352" s="56"/>
      <c r="C352" s="47"/>
      <c r="D352" s="54"/>
    </row>
    <row r="353" spans="1:4" s="40" customFormat="1" x14ac:dyDescent="0.2">
      <c r="A353" s="55"/>
      <c r="B353" s="56"/>
      <c r="C353" s="47"/>
      <c r="D353" s="54"/>
    </row>
    <row r="354" spans="1:4" s="40" customFormat="1" x14ac:dyDescent="0.2">
      <c r="A354" s="55"/>
      <c r="B354" s="56"/>
      <c r="C354" s="47"/>
      <c r="D354" s="54"/>
    </row>
    <row r="355" spans="1:4" s="40" customFormat="1" x14ac:dyDescent="0.2">
      <c r="A355" s="55"/>
      <c r="B355" s="56"/>
      <c r="C355" s="47"/>
      <c r="D355" s="54"/>
    </row>
    <row r="356" spans="1:4" s="40" customFormat="1" x14ac:dyDescent="0.2">
      <c r="A356" s="55"/>
      <c r="B356" s="56"/>
      <c r="C356" s="47"/>
      <c r="D356" s="54"/>
    </row>
    <row r="357" spans="1:4" s="40" customFormat="1" x14ac:dyDescent="0.2">
      <c r="A357" s="55"/>
      <c r="B357" s="56"/>
      <c r="C357" s="47"/>
      <c r="D357" s="54"/>
    </row>
    <row r="358" spans="1:4" s="40" customFormat="1" x14ac:dyDescent="0.2">
      <c r="A358" s="55"/>
      <c r="B358" s="56"/>
      <c r="C358" s="47"/>
      <c r="D358" s="54"/>
    </row>
    <row r="359" spans="1:4" s="40" customFormat="1" x14ac:dyDescent="0.2">
      <c r="A359" s="55"/>
      <c r="B359" s="56"/>
      <c r="C359" s="47"/>
      <c r="D359" s="54"/>
    </row>
    <row r="360" spans="1:4" s="40" customFormat="1" x14ac:dyDescent="0.2">
      <c r="A360" s="55"/>
      <c r="B360" s="56"/>
      <c r="C360" s="47"/>
      <c r="D360" s="54"/>
    </row>
    <row r="361" spans="1:4" s="40" customFormat="1" x14ac:dyDescent="0.2">
      <c r="A361" s="55"/>
      <c r="B361" s="56"/>
      <c r="C361" s="47"/>
      <c r="D361" s="54"/>
    </row>
    <row r="362" spans="1:4" s="40" customFormat="1" x14ac:dyDescent="0.2">
      <c r="A362" s="55"/>
      <c r="B362" s="56"/>
      <c r="C362" s="47"/>
      <c r="D362" s="54"/>
    </row>
    <row r="363" spans="1:4" s="40" customFormat="1" x14ac:dyDescent="0.2">
      <c r="A363" s="55"/>
      <c r="B363" s="56"/>
      <c r="C363" s="47"/>
      <c r="D363" s="54"/>
    </row>
    <row r="364" spans="1:4" s="40" customFormat="1" x14ac:dyDescent="0.2">
      <c r="A364" s="55"/>
      <c r="B364" s="56"/>
      <c r="C364" s="47"/>
      <c r="D364" s="54"/>
    </row>
    <row r="365" spans="1:4" s="40" customFormat="1" x14ac:dyDescent="0.2">
      <c r="A365" s="55"/>
      <c r="B365" s="56"/>
      <c r="C365" s="47"/>
      <c r="D365" s="54"/>
    </row>
    <row r="366" spans="1:4" s="40" customFormat="1" x14ac:dyDescent="0.2">
      <c r="A366" s="55"/>
      <c r="B366" s="56"/>
      <c r="C366" s="47"/>
      <c r="D366" s="54"/>
    </row>
    <row r="367" spans="1:4" s="40" customFormat="1" x14ac:dyDescent="0.2">
      <c r="A367" s="55"/>
      <c r="B367" s="56"/>
      <c r="C367" s="47"/>
      <c r="D367" s="54"/>
    </row>
    <row r="368" spans="1:4" s="40" customFormat="1" x14ac:dyDescent="0.2">
      <c r="A368" s="55"/>
      <c r="B368" s="56"/>
      <c r="C368" s="47"/>
      <c r="D368" s="54"/>
    </row>
    <row r="369" spans="1:4" s="40" customFormat="1" x14ac:dyDescent="0.2">
      <c r="A369" s="55"/>
      <c r="B369" s="56"/>
      <c r="C369" s="47"/>
      <c r="D369" s="54"/>
    </row>
    <row r="370" spans="1:4" s="40" customFormat="1" x14ac:dyDescent="0.2">
      <c r="A370" s="55"/>
      <c r="B370" s="56"/>
      <c r="C370" s="47"/>
      <c r="D370" s="54"/>
    </row>
    <row r="371" spans="1:4" s="40" customFormat="1" x14ac:dyDescent="0.2">
      <c r="A371" s="55"/>
      <c r="B371" s="56"/>
      <c r="C371" s="47"/>
      <c r="D371" s="54"/>
    </row>
    <row r="372" spans="1:4" s="40" customFormat="1" x14ac:dyDescent="0.2">
      <c r="A372" s="55"/>
      <c r="B372" s="56"/>
      <c r="C372" s="47"/>
      <c r="D372" s="54"/>
    </row>
    <row r="373" spans="1:4" s="40" customFormat="1" x14ac:dyDescent="0.2">
      <c r="A373" s="55"/>
      <c r="B373" s="56"/>
      <c r="C373" s="47"/>
      <c r="D373" s="54"/>
    </row>
    <row r="374" spans="1:4" s="40" customFormat="1" x14ac:dyDescent="0.2">
      <c r="A374" s="55"/>
      <c r="B374" s="56"/>
      <c r="C374" s="47"/>
      <c r="D374" s="54"/>
    </row>
    <row r="375" spans="1:4" s="40" customFormat="1" x14ac:dyDescent="0.2">
      <c r="A375" s="55"/>
      <c r="B375" s="56"/>
      <c r="C375" s="47"/>
      <c r="D375" s="54"/>
    </row>
    <row r="376" spans="1:4" s="40" customFormat="1" x14ac:dyDescent="0.2">
      <c r="A376" s="55"/>
      <c r="B376" s="56"/>
      <c r="C376" s="47"/>
      <c r="D376" s="54"/>
    </row>
    <row r="377" spans="1:4" s="40" customFormat="1" x14ac:dyDescent="0.2">
      <c r="A377" s="55"/>
      <c r="B377" s="56"/>
      <c r="C377" s="47"/>
      <c r="D377" s="54"/>
    </row>
    <row r="378" spans="1:4" s="40" customFormat="1" x14ac:dyDescent="0.2">
      <c r="A378" s="55"/>
      <c r="B378" s="56"/>
      <c r="C378" s="47"/>
      <c r="D378" s="54"/>
    </row>
    <row r="379" spans="1:4" s="40" customFormat="1" x14ac:dyDescent="0.2">
      <c r="A379" s="55"/>
      <c r="B379" s="56"/>
      <c r="C379" s="47"/>
      <c r="D379" s="54"/>
    </row>
    <row r="380" spans="1:4" s="40" customFormat="1" x14ac:dyDescent="0.2">
      <c r="A380" s="55"/>
      <c r="B380" s="56"/>
      <c r="C380" s="47"/>
      <c r="D380" s="54"/>
    </row>
    <row r="381" spans="1:4" s="40" customFormat="1" x14ac:dyDescent="0.2">
      <c r="A381" s="55"/>
      <c r="B381" s="56"/>
      <c r="C381" s="47"/>
      <c r="D381" s="54"/>
    </row>
    <row r="382" spans="1:4" s="40" customFormat="1" x14ac:dyDescent="0.2">
      <c r="A382" s="55"/>
      <c r="B382" s="56"/>
      <c r="C382" s="47"/>
      <c r="D382" s="54"/>
    </row>
    <row r="383" spans="1:4" s="40" customFormat="1" x14ac:dyDescent="0.2">
      <c r="A383" s="55"/>
      <c r="B383" s="56"/>
      <c r="C383" s="47"/>
      <c r="D383" s="54"/>
    </row>
    <row r="384" spans="1:4" s="40" customFormat="1" x14ac:dyDescent="0.2">
      <c r="A384" s="55"/>
      <c r="B384" s="56"/>
      <c r="C384" s="47"/>
      <c r="D384" s="54"/>
    </row>
    <row r="385" spans="1:4" s="40" customFormat="1" x14ac:dyDescent="0.2">
      <c r="A385" s="55"/>
      <c r="B385" s="56"/>
      <c r="C385" s="47"/>
      <c r="D385" s="54"/>
    </row>
    <row r="386" spans="1:4" s="40" customFormat="1" x14ac:dyDescent="0.2">
      <c r="A386" s="55"/>
      <c r="B386" s="56"/>
      <c r="C386" s="47"/>
      <c r="D386" s="54"/>
    </row>
    <row r="387" spans="1:4" s="40" customFormat="1" x14ac:dyDescent="0.2">
      <c r="A387" s="55"/>
      <c r="B387" s="56"/>
      <c r="C387" s="47"/>
      <c r="D387" s="54"/>
    </row>
    <row r="388" spans="1:4" s="40" customFormat="1" x14ac:dyDescent="0.2">
      <c r="A388" s="55"/>
      <c r="B388" s="56"/>
      <c r="C388" s="47"/>
      <c r="D388" s="54"/>
    </row>
    <row r="389" spans="1:4" s="40" customFormat="1" x14ac:dyDescent="0.2">
      <c r="A389" s="55"/>
      <c r="B389" s="56"/>
      <c r="C389" s="47"/>
      <c r="D389" s="54"/>
    </row>
    <row r="390" spans="1:4" s="40" customFormat="1" x14ac:dyDescent="0.2">
      <c r="A390" s="55"/>
      <c r="B390" s="56"/>
      <c r="C390" s="47"/>
      <c r="D390" s="54"/>
    </row>
    <row r="391" spans="1:4" s="40" customFormat="1" x14ac:dyDescent="0.2">
      <c r="A391" s="55"/>
      <c r="B391" s="56"/>
      <c r="C391" s="47"/>
      <c r="D391" s="54"/>
    </row>
    <row r="392" spans="1:4" s="40" customFormat="1" x14ac:dyDescent="0.2">
      <c r="A392" s="55"/>
      <c r="B392" s="56"/>
      <c r="C392" s="47"/>
      <c r="D392" s="54"/>
    </row>
    <row r="393" spans="1:4" s="40" customFormat="1" x14ac:dyDescent="0.2">
      <c r="A393" s="55"/>
      <c r="B393" s="56"/>
      <c r="C393" s="47"/>
      <c r="D393" s="54"/>
    </row>
    <row r="394" spans="1:4" s="40" customFormat="1" x14ac:dyDescent="0.2">
      <c r="A394" s="55"/>
      <c r="B394" s="56"/>
      <c r="C394" s="47"/>
      <c r="D394" s="54"/>
    </row>
    <row r="395" spans="1:4" s="40" customFormat="1" x14ac:dyDescent="0.2">
      <c r="A395" s="55"/>
      <c r="B395" s="56"/>
      <c r="C395" s="47"/>
      <c r="D395" s="54"/>
    </row>
    <row r="396" spans="1:4" s="40" customFormat="1" x14ac:dyDescent="0.2">
      <c r="A396" s="55"/>
      <c r="B396" s="56"/>
      <c r="C396" s="47"/>
      <c r="D396" s="54"/>
    </row>
    <row r="397" spans="1:4" s="40" customFormat="1" x14ac:dyDescent="0.2">
      <c r="A397" s="55"/>
      <c r="B397" s="56"/>
      <c r="C397" s="47"/>
      <c r="D397" s="54"/>
    </row>
    <row r="398" spans="1:4" s="40" customFormat="1" x14ac:dyDescent="0.2">
      <c r="A398" s="55"/>
      <c r="B398" s="56"/>
      <c r="C398" s="47"/>
      <c r="D398" s="54"/>
    </row>
    <row r="399" spans="1:4" s="40" customFormat="1" x14ac:dyDescent="0.2">
      <c r="A399" s="55"/>
      <c r="B399" s="56"/>
      <c r="C399" s="47"/>
      <c r="D399" s="54"/>
    </row>
    <row r="400" spans="1:4" s="40" customFormat="1" x14ac:dyDescent="0.2">
      <c r="A400" s="55"/>
      <c r="B400" s="56"/>
      <c r="C400" s="47"/>
      <c r="D400" s="54"/>
    </row>
    <row r="401" spans="1:4" s="40" customFormat="1" x14ac:dyDescent="0.2">
      <c r="A401" s="55"/>
      <c r="B401" s="56"/>
      <c r="C401" s="47"/>
      <c r="D401" s="54"/>
    </row>
    <row r="402" spans="1:4" s="40" customFormat="1" x14ac:dyDescent="0.2">
      <c r="A402" s="55"/>
      <c r="B402" s="56"/>
      <c r="C402" s="47"/>
      <c r="D402" s="54"/>
    </row>
    <row r="403" spans="1:4" s="40" customFormat="1" x14ac:dyDescent="0.2">
      <c r="A403" s="55"/>
      <c r="B403" s="56"/>
      <c r="C403" s="47"/>
      <c r="D403" s="54"/>
    </row>
    <row r="404" spans="1:4" s="40" customFormat="1" x14ac:dyDescent="0.2">
      <c r="A404" s="55"/>
      <c r="B404" s="56"/>
      <c r="C404" s="47"/>
      <c r="D404" s="54"/>
    </row>
    <row r="405" spans="1:4" s="40" customFormat="1" x14ac:dyDescent="0.2">
      <c r="A405" s="55"/>
      <c r="B405" s="56"/>
      <c r="C405" s="47"/>
      <c r="D405" s="54"/>
    </row>
    <row r="406" spans="1:4" s="40" customFormat="1" x14ac:dyDescent="0.2">
      <c r="A406" s="55"/>
      <c r="B406" s="56"/>
      <c r="C406" s="47"/>
      <c r="D406" s="54"/>
    </row>
    <row r="407" spans="1:4" s="40" customFormat="1" x14ac:dyDescent="0.2">
      <c r="A407" s="55"/>
      <c r="B407" s="56"/>
      <c r="C407" s="47"/>
      <c r="D407" s="54"/>
    </row>
    <row r="408" spans="1:4" s="40" customFormat="1" x14ac:dyDescent="0.2">
      <c r="A408" s="55"/>
      <c r="B408" s="56"/>
      <c r="C408" s="47"/>
      <c r="D408" s="54"/>
    </row>
    <row r="409" spans="1:4" s="40" customFormat="1" x14ac:dyDescent="0.2">
      <c r="A409" s="55"/>
      <c r="B409" s="56"/>
      <c r="C409" s="47"/>
      <c r="D409" s="54"/>
    </row>
    <row r="410" spans="1:4" s="40" customFormat="1" x14ac:dyDescent="0.2">
      <c r="A410" s="55"/>
      <c r="B410" s="56"/>
      <c r="C410" s="47"/>
      <c r="D410" s="54"/>
    </row>
    <row r="411" spans="1:4" s="40" customFormat="1" x14ac:dyDescent="0.2">
      <c r="A411" s="55"/>
      <c r="B411" s="56"/>
      <c r="C411" s="47"/>
      <c r="D411" s="54"/>
    </row>
    <row r="412" spans="1:4" s="40" customFormat="1" x14ac:dyDescent="0.2">
      <c r="A412" s="55"/>
      <c r="B412" s="56"/>
      <c r="C412" s="47"/>
      <c r="D412" s="54"/>
    </row>
    <row r="413" spans="1:4" s="40" customFormat="1" x14ac:dyDescent="0.2">
      <c r="A413" s="55"/>
      <c r="B413" s="56"/>
      <c r="C413" s="47"/>
      <c r="D413" s="54"/>
    </row>
    <row r="414" spans="1:4" s="40" customFormat="1" x14ac:dyDescent="0.2">
      <c r="A414" s="55"/>
      <c r="B414" s="56"/>
      <c r="C414" s="47"/>
      <c r="D414" s="54"/>
    </row>
    <row r="415" spans="1:4" s="40" customFormat="1" x14ac:dyDescent="0.2">
      <c r="A415" s="55"/>
      <c r="B415" s="56"/>
      <c r="C415" s="47"/>
      <c r="D415" s="54"/>
    </row>
    <row r="416" spans="1:4" s="40" customFormat="1" x14ac:dyDescent="0.2">
      <c r="A416" s="55"/>
      <c r="B416" s="56"/>
      <c r="C416" s="47"/>
      <c r="D416" s="54"/>
    </row>
    <row r="417" spans="1:4" s="40" customFormat="1" x14ac:dyDescent="0.2">
      <c r="A417" s="55"/>
      <c r="B417" s="56"/>
      <c r="C417" s="47"/>
      <c r="D417" s="54"/>
    </row>
    <row r="418" spans="1:4" s="40" customFormat="1" x14ac:dyDescent="0.2">
      <c r="A418" s="55"/>
      <c r="B418" s="56"/>
      <c r="C418" s="47"/>
      <c r="D418" s="54"/>
    </row>
    <row r="419" spans="1:4" s="40" customFormat="1" x14ac:dyDescent="0.2">
      <c r="A419" s="55"/>
      <c r="B419" s="56"/>
      <c r="C419" s="47"/>
      <c r="D419" s="54"/>
    </row>
    <row r="420" spans="1:4" s="40" customFormat="1" x14ac:dyDescent="0.2">
      <c r="A420" s="55"/>
      <c r="B420" s="56"/>
      <c r="C420" s="47"/>
      <c r="D420" s="54"/>
    </row>
    <row r="421" spans="1:4" s="40" customFormat="1" x14ac:dyDescent="0.2">
      <c r="A421" s="55"/>
      <c r="B421" s="56"/>
      <c r="C421" s="47"/>
      <c r="D421" s="54"/>
    </row>
    <row r="422" spans="1:4" s="40" customFormat="1" x14ac:dyDescent="0.2">
      <c r="A422" s="55"/>
      <c r="B422" s="56"/>
      <c r="C422" s="47"/>
      <c r="D422" s="54"/>
    </row>
    <row r="423" spans="1:4" s="40" customFormat="1" x14ac:dyDescent="0.2">
      <c r="A423" s="55"/>
      <c r="B423" s="56"/>
      <c r="C423" s="47"/>
      <c r="D423" s="54"/>
    </row>
    <row r="424" spans="1:4" s="40" customFormat="1" x14ac:dyDescent="0.2">
      <c r="A424" s="55"/>
      <c r="B424" s="56"/>
      <c r="C424" s="47"/>
      <c r="D424" s="54"/>
    </row>
    <row r="425" spans="1:4" s="40" customFormat="1" x14ac:dyDescent="0.2">
      <c r="A425" s="55"/>
      <c r="B425" s="56"/>
      <c r="C425" s="47"/>
      <c r="D425" s="54"/>
    </row>
    <row r="426" spans="1:4" s="40" customFormat="1" x14ac:dyDescent="0.2">
      <c r="A426" s="55"/>
      <c r="B426" s="56"/>
      <c r="C426" s="47"/>
      <c r="D426" s="54"/>
    </row>
    <row r="427" spans="1:4" s="40" customFormat="1" x14ac:dyDescent="0.2">
      <c r="A427" s="55"/>
      <c r="B427" s="56"/>
      <c r="C427" s="47"/>
      <c r="D427" s="54"/>
    </row>
    <row r="428" spans="1:4" s="40" customFormat="1" x14ac:dyDescent="0.2">
      <c r="A428" s="55"/>
      <c r="B428" s="56"/>
      <c r="C428" s="47"/>
      <c r="D428" s="54"/>
    </row>
    <row r="429" spans="1:4" s="40" customFormat="1" x14ac:dyDescent="0.2">
      <c r="A429" s="55"/>
      <c r="B429" s="56"/>
      <c r="C429" s="47"/>
      <c r="D429" s="54"/>
    </row>
    <row r="430" spans="1:4" s="40" customFormat="1" x14ac:dyDescent="0.2">
      <c r="A430" s="55"/>
      <c r="B430" s="56"/>
      <c r="C430" s="47"/>
      <c r="D430" s="54"/>
    </row>
    <row r="431" spans="1:4" s="40" customFormat="1" x14ac:dyDescent="0.2">
      <c r="A431" s="55"/>
      <c r="B431" s="56"/>
      <c r="C431" s="47"/>
      <c r="D431" s="54"/>
    </row>
    <row r="432" spans="1:4" s="40" customFormat="1" x14ac:dyDescent="0.2">
      <c r="A432" s="55"/>
      <c r="B432" s="56"/>
      <c r="C432" s="47"/>
      <c r="D432" s="54"/>
    </row>
    <row r="433" spans="1:4" s="40" customFormat="1" x14ac:dyDescent="0.2">
      <c r="A433" s="55"/>
      <c r="B433" s="56"/>
      <c r="C433" s="47"/>
      <c r="D433" s="54"/>
    </row>
    <row r="434" spans="1:4" s="40" customFormat="1" x14ac:dyDescent="0.2">
      <c r="A434" s="55"/>
      <c r="B434" s="56"/>
      <c r="C434" s="47"/>
      <c r="D434" s="54"/>
    </row>
    <row r="435" spans="1:4" x14ac:dyDescent="0.2">
      <c r="A435" s="44"/>
    </row>
  </sheetData>
  <conditionalFormatting sqref="B233:B298">
    <cfRule type="colorScale" priority="1">
      <colorScale>
        <cfvo type="min"/>
        <cfvo type="percentile" val="50"/>
        <cfvo type="max"/>
        <color rgb="FFF8696B"/>
        <color rgb="FFFFEB84"/>
        <color rgb="FF63BE7B"/>
      </colorScale>
    </cfRule>
  </conditionalFormatting>
  <pageMargins left="0.7" right="0.7" top="0.75" bottom="0.75" header="0.3" footer="0.3"/>
  <ignoredErrors>
    <ignoredError sqref="C3:C293 C294:C298" calculatedColumn="1"/>
  </ignoredErrors>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DBE2D-32DC-4965-A475-027A3685663E}">
  <sheetPr codeName="Sheet9">
    <tabColor rgb="FFFFC000"/>
  </sheetPr>
  <dimension ref="A1:AQ435"/>
  <sheetViews>
    <sheetView zoomScale="130" zoomScaleNormal="130" workbookViewId="0">
      <pane ySplit="1" topLeftCell="A125" activePane="bottomLeft" state="frozen"/>
      <selection pane="bottomLeft" activeCell="A24" sqref="A24"/>
    </sheetView>
  </sheetViews>
  <sheetFormatPr baseColWidth="10" defaultColWidth="8.83203125" defaultRowHeight="15" x14ac:dyDescent="0.2"/>
  <cols>
    <col min="1" max="1" width="9.1640625" style="42"/>
    <col min="2" max="2" width="12.6640625" style="41" bestFit="1" customWidth="1"/>
    <col min="3" max="3" width="11.6640625" style="43" customWidth="1"/>
    <col min="4" max="4" width="11.6640625" style="62" customWidth="1"/>
    <col min="5" max="43" width="9.1640625" style="40"/>
  </cols>
  <sheetData>
    <row r="1" spans="1:22" ht="32" x14ac:dyDescent="0.2">
      <c r="A1" s="57" t="s">
        <v>558</v>
      </c>
      <c r="B1" s="51" t="s">
        <v>34</v>
      </c>
      <c r="C1" s="58" t="s">
        <v>559</v>
      </c>
      <c r="D1" s="59" t="s">
        <v>561</v>
      </c>
      <c r="E1" s="53" t="s">
        <v>560</v>
      </c>
      <c r="F1" s="52"/>
      <c r="G1" s="52"/>
      <c r="H1" s="52"/>
      <c r="J1" s="40" t="str">
        <f>B1&amp;" GDP % qoq"</f>
        <v>USA GDP % qoq</v>
      </c>
      <c r="V1" s="40" t="s">
        <v>2</v>
      </c>
    </row>
    <row r="2" spans="1:22" x14ac:dyDescent="0.2">
      <c r="A2" s="48">
        <v>17349</v>
      </c>
      <c r="B2" s="49">
        <f>VLOOKUP(A2,'Data qoq'!$B:$AT,MATCH($B$1,'Data qoq'!$B$1:$AT$1,0),FALSE)</f>
        <v>-0.26670598899999998</v>
      </c>
      <c r="C2" s="50"/>
      <c r="D2" s="60">
        <f>(Table134567891011121314151617343[[#This Row],[USA]]/100 +1)^4-1</f>
        <v>-1.0625636144073303E-2</v>
      </c>
      <c r="E2" s="52"/>
      <c r="F2" s="52"/>
      <c r="G2" s="52"/>
      <c r="H2" s="52"/>
      <c r="J2" s="40" t="str">
        <f>B1&amp;" GDP % qoq annualized"</f>
        <v>USA GDP % qoq annualized</v>
      </c>
      <c r="V2" s="40" t="s">
        <v>3</v>
      </c>
    </row>
    <row r="3" spans="1:22" x14ac:dyDescent="0.2">
      <c r="A3" s="48">
        <v>17441</v>
      </c>
      <c r="B3" s="49">
        <f>VLOOKUP(A3,'Data qoq'!$B:$AT,MATCH($B$1,'Data qoq'!$B$1:$AT$1,0),FALSE)</f>
        <v>-0.20650322500000001</v>
      </c>
      <c r="C3" s="49">
        <f>Table134567891011121314151617343[[#This Row],[USA]]-B2</f>
        <v>6.0202763999999964E-2</v>
      </c>
      <c r="D3" s="60">
        <f>(Table134567891011121314151617343[[#This Row],[USA]]/100 +1)^4-1</f>
        <v>-8.2345780568027216E-3</v>
      </c>
      <c r="E3" s="52"/>
      <c r="F3" s="52"/>
      <c r="G3" s="52"/>
      <c r="H3" s="52"/>
      <c r="V3" s="40" t="s">
        <v>4</v>
      </c>
    </row>
    <row r="4" spans="1:22" x14ac:dyDescent="0.2">
      <c r="A4" s="48">
        <v>17533</v>
      </c>
      <c r="B4" s="49">
        <f>VLOOKUP(A4,'Data qoq'!$B:$AT,MATCH($B$1,'Data qoq'!$B$1:$AT$1,0),FALSE)</f>
        <v>1.5642763799999999</v>
      </c>
      <c r="C4" s="49">
        <f>Table134567891011121314151617343[[#This Row],[USA]]-B3</f>
        <v>1.770779605</v>
      </c>
      <c r="D4" s="60">
        <f>(Table134567891011121314151617343[[#This Row],[USA]]/100 +1)^4-1</f>
        <v>6.4054602322610954E-2</v>
      </c>
      <c r="E4" s="52"/>
      <c r="F4" s="52"/>
      <c r="G4" s="52"/>
      <c r="H4" s="52"/>
      <c r="V4" s="40" t="s">
        <v>5</v>
      </c>
    </row>
    <row r="5" spans="1:22" x14ac:dyDescent="0.2">
      <c r="A5" s="48">
        <v>17624</v>
      </c>
      <c r="B5" s="49">
        <f>VLOOKUP(A5,'Data qoq'!$B:$AT,MATCH($B$1,'Data qoq'!$B$1:$AT$1,0),FALSE)</f>
        <v>1.5042003239999999</v>
      </c>
      <c r="C5" s="49">
        <f>Table134567891011121314151617343[[#This Row],[USA]]-B4</f>
        <v>-6.0076055999999989E-2</v>
      </c>
      <c r="D5" s="60">
        <f>(Table134567891011121314151617343[[#This Row],[USA]]/100 +1)^4-1</f>
        <v>6.153924904987651E-2</v>
      </c>
      <c r="E5" s="52"/>
      <c r="F5" s="52"/>
      <c r="G5" s="52"/>
      <c r="H5" s="52"/>
      <c r="V5" s="40" t="s">
        <v>6</v>
      </c>
    </row>
    <row r="6" spans="1:22" x14ac:dyDescent="0.2">
      <c r="A6" s="48">
        <v>17715</v>
      </c>
      <c r="B6" s="49">
        <f>VLOOKUP(A6,'Data qoq'!$B:$AT,MATCH($B$1,'Data qoq'!$B$1:$AT$1,0),FALSE)</f>
        <v>1.650680594</v>
      </c>
      <c r="C6" s="49">
        <f>Table134567891011121314151617343[[#This Row],[USA]]-B5</f>
        <v>0.14648027000000008</v>
      </c>
      <c r="D6" s="60">
        <f>(Table134567891011121314151617343[[#This Row],[USA]]/100 +1)^4-1</f>
        <v>6.7680136600654306E-2</v>
      </c>
      <c r="E6" s="52"/>
      <c r="F6" s="52"/>
      <c r="G6" s="52"/>
      <c r="H6" s="52"/>
      <c r="V6" s="40" t="s">
        <v>7</v>
      </c>
    </row>
    <row r="7" spans="1:22" x14ac:dyDescent="0.2">
      <c r="A7" s="48">
        <v>17807</v>
      </c>
      <c r="B7" s="49">
        <f>VLOOKUP(A7,'Data qoq'!$B:$AT,MATCH($B$1,'Data qoq'!$B$1:$AT$1,0),FALSE)</f>
        <v>0.57293019099999998</v>
      </c>
      <c r="C7" s="49">
        <f>Table134567891011121314151617343[[#This Row],[USA]]-B6</f>
        <v>-1.077750403</v>
      </c>
      <c r="D7" s="60">
        <f>(Table134567891011121314151617343[[#This Row],[USA]]/100 +1)^4-1</f>
        <v>2.3114910374787412E-2</v>
      </c>
      <c r="E7" s="52"/>
      <c r="F7" s="52"/>
      <c r="G7" s="52"/>
      <c r="H7" s="52"/>
      <c r="V7" s="40" t="s">
        <v>8</v>
      </c>
    </row>
    <row r="8" spans="1:22" x14ac:dyDescent="0.2">
      <c r="A8" s="48">
        <v>17899</v>
      </c>
      <c r="B8" s="49">
        <f>VLOOKUP(A8,'Data qoq'!$B:$AT,MATCH($B$1,'Data qoq'!$B$1:$AT$1,0),FALSE)</f>
        <v>0.11171215800000001</v>
      </c>
      <c r="C8" s="49">
        <f>Table134567891011121314151617343[[#This Row],[USA]]-B7</f>
        <v>-0.46121803299999997</v>
      </c>
      <c r="D8" s="60">
        <f>(Table134567891011121314151617343[[#This Row],[USA]]/100 +1)^4-1</f>
        <v>4.4759796617996894E-3</v>
      </c>
      <c r="E8" s="52"/>
      <c r="F8" s="52"/>
      <c r="G8" s="52"/>
      <c r="H8" s="52"/>
      <c r="V8" s="40" t="s">
        <v>9</v>
      </c>
    </row>
    <row r="9" spans="1:22" x14ac:dyDescent="0.2">
      <c r="A9" s="48">
        <v>17989</v>
      </c>
      <c r="B9" s="49">
        <f>VLOOKUP(A9,'Data qoq'!$B:$AT,MATCH($B$1,'Data qoq'!$B$1:$AT$1,0),FALSE)</f>
        <v>-1.37794649</v>
      </c>
      <c r="C9" s="49">
        <f>Table134567891011121314151617343[[#This Row],[USA]]-B8</f>
        <v>-1.489658648</v>
      </c>
      <c r="D9" s="60">
        <f>(Table134567891011121314151617343[[#This Row],[USA]]/100 +1)^4-1</f>
        <v>-5.3989047059758044E-2</v>
      </c>
      <c r="E9" s="52"/>
      <c r="F9" s="52"/>
      <c r="G9" s="52"/>
      <c r="H9" s="52"/>
      <c r="V9" s="40" t="s">
        <v>10</v>
      </c>
    </row>
    <row r="10" spans="1:22" x14ac:dyDescent="0.2">
      <c r="A10" s="48">
        <v>18080</v>
      </c>
      <c r="B10" s="49">
        <f>VLOOKUP(A10,'Data qoq'!$B:$AT,MATCH($B$1,'Data qoq'!$B$1:$AT$1,0),FALSE)</f>
        <v>-0.34110093000000002</v>
      </c>
      <c r="C10" s="49">
        <f>Table134567891011121314151617343[[#This Row],[USA]]-B9</f>
        <v>1.0368455599999999</v>
      </c>
      <c r="D10" s="60">
        <f>(Table134567891011121314151617343[[#This Row],[USA]]/100 +1)^4-1</f>
        <v>-1.3574385906119812E-2</v>
      </c>
      <c r="E10" s="52"/>
      <c r="F10" s="52"/>
      <c r="G10" s="52"/>
      <c r="H10" s="52"/>
      <c r="V10" s="40" t="s">
        <v>11</v>
      </c>
    </row>
    <row r="11" spans="1:22" x14ac:dyDescent="0.2">
      <c r="A11" s="48">
        <v>18172</v>
      </c>
      <c r="B11" s="49">
        <f>VLOOKUP(A11,'Data qoq'!$B:$AT,MATCH($B$1,'Data qoq'!$B$1:$AT$1,0),FALSE)</f>
        <v>1.0324247769999999</v>
      </c>
      <c r="C11" s="49">
        <f>Table134567891011121314151617343[[#This Row],[USA]]-B10</f>
        <v>1.373525707</v>
      </c>
      <c r="D11" s="60">
        <f>(Table134567891011121314151617343[[#This Row],[USA]]/100 +1)^4-1</f>
        <v>4.1940944843625205E-2</v>
      </c>
      <c r="E11" s="52"/>
      <c r="F11" s="52"/>
      <c r="G11" s="52"/>
      <c r="H11" s="52"/>
      <c r="V11" s="40" t="s">
        <v>12</v>
      </c>
    </row>
    <row r="12" spans="1:22" x14ac:dyDescent="0.2">
      <c r="A12" s="48">
        <v>18264</v>
      </c>
      <c r="B12" s="49">
        <f>VLOOKUP(A12,'Data qoq'!$B:$AT,MATCH($B$1,'Data qoq'!$B$1:$AT$1,0),FALSE)</f>
        <v>-0.83926743999999998</v>
      </c>
      <c r="C12" s="49">
        <f>Table134567891011121314151617343[[#This Row],[USA]]-B11</f>
        <v>-1.8716922169999999</v>
      </c>
      <c r="D12" s="61">
        <f>(Table134567891011121314151617343[[#This Row],[USA]]/100 +1)^4-1</f>
        <v>-3.3150435355800645E-2</v>
      </c>
      <c r="V12" s="40" t="s">
        <v>13</v>
      </c>
    </row>
    <row r="13" spans="1:22" x14ac:dyDescent="0.2">
      <c r="A13" s="48">
        <v>18354</v>
      </c>
      <c r="B13" s="49">
        <f>VLOOKUP(A13,'Data qoq'!$B:$AT,MATCH($B$1,'Data qoq'!$B$1:$AT$1,0),FALSE)</f>
        <v>3.930097999</v>
      </c>
      <c r="C13" s="49">
        <f>Table134567891011121314151617343[[#This Row],[USA]]-B12</f>
        <v>4.7693654389999995</v>
      </c>
      <c r="D13" s="61">
        <f>(Table134567891011121314151617343[[#This Row],[USA]]/100 +1)^4-1</f>
        <v>0.16671651980782043</v>
      </c>
      <c r="V13" s="40" t="s">
        <v>14</v>
      </c>
    </row>
    <row r="14" spans="1:22" x14ac:dyDescent="0.2">
      <c r="A14" s="48">
        <v>18445</v>
      </c>
      <c r="B14" s="49">
        <f>VLOOKUP(A14,'Data qoq'!$B:$AT,MATCH($B$1,'Data qoq'!$B$1:$AT$1,0),FALSE)</f>
        <v>3.0498109879999999</v>
      </c>
      <c r="C14" s="49">
        <f>Table134567891011121314151617343[[#This Row],[USA]]-B13</f>
        <v>-0.88028701100000006</v>
      </c>
      <c r="D14" s="61">
        <f>(Table134567891011121314151617343[[#This Row],[USA]]/100 +1)^4-1</f>
        <v>0.12768758230998456</v>
      </c>
      <c r="V14" s="40" t="s">
        <v>15</v>
      </c>
    </row>
    <row r="15" spans="1:22" x14ac:dyDescent="0.2">
      <c r="A15" s="48">
        <v>18537</v>
      </c>
      <c r="B15" s="49">
        <f>VLOOKUP(A15,'Data qoq'!$B:$AT,MATCH($B$1,'Data qoq'!$B$1:$AT$1,0),FALSE)</f>
        <v>3.8644146030000002</v>
      </c>
      <c r="C15" s="49">
        <f>Table134567891011121314151617343[[#This Row],[USA]]-B14</f>
        <v>0.81460361500000023</v>
      </c>
      <c r="D15" s="61">
        <f>(Table134567891011121314151617343[[#This Row],[USA]]/100 +1)^4-1</f>
        <v>0.1637698744452396</v>
      </c>
      <c r="V15" s="40" t="s">
        <v>16</v>
      </c>
    </row>
    <row r="16" spans="1:22" x14ac:dyDescent="0.2">
      <c r="A16" s="48">
        <v>18629</v>
      </c>
      <c r="B16" s="49">
        <f>VLOOKUP(A16,'Data qoq'!$B:$AT,MATCH($B$1,'Data qoq'!$B$1:$AT$1,0),FALSE)</f>
        <v>1.9147801470000001</v>
      </c>
      <c r="C16" s="49">
        <f>Table134567891011121314151617343[[#This Row],[USA]]-B15</f>
        <v>-1.9496344560000001</v>
      </c>
      <c r="D16" s="61">
        <f>(Table134567891011121314151617343[[#This Row],[USA]]/100 +1)^4-1</f>
        <v>7.8819251380056521E-2</v>
      </c>
      <c r="V16" s="40" t="s">
        <v>17</v>
      </c>
    </row>
    <row r="17" spans="1:22" x14ac:dyDescent="0.2">
      <c r="A17" s="48">
        <v>18719</v>
      </c>
      <c r="B17" s="49">
        <f>VLOOKUP(A17,'Data qoq'!$B:$AT,MATCH($B$1,'Data qoq'!$B$1:$AT$1,0),FALSE)</f>
        <v>1.3581587639999999</v>
      </c>
      <c r="C17" s="49">
        <f>Table134567891011121314151617343[[#This Row],[USA]]-B16</f>
        <v>-0.55662138300000019</v>
      </c>
      <c r="D17" s="61">
        <f>(Table134567891011121314151617343[[#This Row],[USA]]/100 +1)^4-1</f>
        <v>5.5443162734954976E-2</v>
      </c>
      <c r="V17" s="40" t="s">
        <v>18</v>
      </c>
    </row>
    <row r="18" spans="1:22" x14ac:dyDescent="0.2">
      <c r="A18" s="48">
        <v>18810</v>
      </c>
      <c r="B18" s="49">
        <f>VLOOKUP(A18,'Data qoq'!$B:$AT,MATCH($B$1,'Data qoq'!$B$1:$AT$1,0),FALSE)</f>
        <v>1.7327104369999999</v>
      </c>
      <c r="C18" s="49">
        <f>Table134567891011121314151617343[[#This Row],[USA]]-B17</f>
        <v>0.37455167300000003</v>
      </c>
      <c r="D18" s="61">
        <f>(Table134567891011121314151617343[[#This Row],[USA]]/100 +1)^4-1</f>
        <v>7.1130687257668468E-2</v>
      </c>
      <c r="V18" s="40" t="s">
        <v>19</v>
      </c>
    </row>
    <row r="19" spans="1:22" x14ac:dyDescent="0.2">
      <c r="A19" s="48">
        <v>18902</v>
      </c>
      <c r="B19" s="49">
        <f>VLOOKUP(A19,'Data qoq'!$B:$AT,MATCH($B$1,'Data qoq'!$B$1:$AT$1,0),FALSE)</f>
        <v>2.060998798</v>
      </c>
      <c r="C19" s="49">
        <f>Table134567891011121314151617343[[#This Row],[USA]]-B18</f>
        <v>0.32828836100000003</v>
      </c>
      <c r="D19" s="61">
        <f>(Table134567891011121314151617343[[#This Row],[USA]]/100 +1)^4-1</f>
        <v>8.5023780128785198E-2</v>
      </c>
      <c r="V19" s="40" t="s">
        <v>20</v>
      </c>
    </row>
    <row r="20" spans="1:22" x14ac:dyDescent="0.2">
      <c r="A20" s="48">
        <v>18994</v>
      </c>
      <c r="B20" s="49">
        <f>VLOOKUP(A20,'Data qoq'!$B:$AT,MATCH($B$1,'Data qoq'!$B$1:$AT$1,0),FALSE)</f>
        <v>0.220249574</v>
      </c>
      <c r="C20" s="49">
        <f>Table134567891011121314151617343[[#This Row],[USA]]-B19</f>
        <v>-1.8407492240000001</v>
      </c>
      <c r="D20" s="61">
        <f>(Table134567891011121314151617343[[#This Row],[USA]]/100 +1)^4-1</f>
        <v>8.8391316455576074E-3</v>
      </c>
      <c r="V20" s="40" t="s">
        <v>21</v>
      </c>
    </row>
    <row r="21" spans="1:22" x14ac:dyDescent="0.2">
      <c r="A21" s="48">
        <v>19085</v>
      </c>
      <c r="B21" s="49">
        <f>VLOOKUP(A21,'Data qoq'!$B:$AT,MATCH($B$1,'Data qoq'!$B$1:$AT$1,0),FALSE)</f>
        <v>1.068534409</v>
      </c>
      <c r="C21" s="49">
        <f>Table134567891011121314151617343[[#This Row],[USA]]-B20</f>
        <v>0.84828483499999996</v>
      </c>
      <c r="D21" s="61">
        <f>(Table134567891011121314151617343[[#This Row],[USA]]/100 +1)^4-1</f>
        <v>4.3431328930327195E-2</v>
      </c>
      <c r="V21" s="40" t="s">
        <v>22</v>
      </c>
    </row>
    <row r="22" spans="1:22" x14ac:dyDescent="0.2">
      <c r="A22" s="48">
        <v>19176</v>
      </c>
      <c r="B22" s="49">
        <f>VLOOKUP(A22,'Data qoq'!$B:$AT,MATCH($B$1,'Data qoq'!$B$1:$AT$1,0),FALSE)</f>
        <v>0.215396694</v>
      </c>
      <c r="C22" s="49">
        <f>Table134567891011121314151617343[[#This Row],[USA]]-B21</f>
        <v>-0.85313771499999991</v>
      </c>
      <c r="D22" s="61">
        <f>(Table134567891011121314151617343[[#This Row],[USA]]/100 +1)^4-1</f>
        <v>8.6437451969494372E-3</v>
      </c>
      <c r="V22" s="40" t="s">
        <v>23</v>
      </c>
    </row>
    <row r="23" spans="1:22" x14ac:dyDescent="0.2">
      <c r="A23" s="48">
        <v>19268</v>
      </c>
      <c r="B23" s="49">
        <f>VLOOKUP(A23,'Data qoq'!$B:$AT,MATCH($B$1,'Data qoq'!$B$1:$AT$1,0),FALSE)</f>
        <v>0.72184921499999999</v>
      </c>
      <c r="C23" s="49">
        <f>Table134567891011121314151617343[[#This Row],[USA]]-B22</f>
        <v>0.50645252099999993</v>
      </c>
      <c r="D23" s="61">
        <f>(Table134567891011121314151617343[[#This Row],[USA]]/100 +1)^4-1</f>
        <v>2.918811561378587E-2</v>
      </c>
      <c r="V23" s="40" t="s">
        <v>24</v>
      </c>
    </row>
    <row r="24" spans="1:22" x14ac:dyDescent="0.2">
      <c r="A24" s="48">
        <v>19360</v>
      </c>
      <c r="B24" s="49">
        <f>VLOOKUP(A24,'Data qoq'!$B:$AT,MATCH($B$1,'Data qoq'!$B$1:$AT$1,0),FALSE)</f>
        <v>3.2842157109999999</v>
      </c>
      <c r="C24" s="49">
        <f>Table134567891011121314151617343[[#This Row],[USA]]-B23</f>
        <v>2.5623664960000001</v>
      </c>
      <c r="D24" s="61">
        <f>(Table134567891011121314151617343[[#This Row],[USA]]/100 +1)^4-1</f>
        <v>0.13798313069497659</v>
      </c>
      <c r="V24" s="40" t="s">
        <v>25</v>
      </c>
    </row>
    <row r="25" spans="1:22" x14ac:dyDescent="0.2">
      <c r="A25" s="48">
        <v>19450</v>
      </c>
      <c r="B25" s="49">
        <f>VLOOKUP(A25,'Data qoq'!$B:$AT,MATCH($B$1,'Data qoq'!$B$1:$AT$1,0),FALSE)</f>
        <v>1.858867482</v>
      </c>
      <c r="C25" s="49">
        <f>Table134567891011121314151617343[[#This Row],[USA]]-B24</f>
        <v>-1.4253482289999999</v>
      </c>
      <c r="D25" s="61">
        <f>(Table134567891011121314151617343[[#This Row],[USA]]/100 +1)^4-1</f>
        <v>7.6453744102376264E-2</v>
      </c>
      <c r="V25" s="40" t="s">
        <v>26</v>
      </c>
    </row>
    <row r="26" spans="1:22" x14ac:dyDescent="0.2">
      <c r="A26" s="48">
        <v>19541</v>
      </c>
      <c r="B26" s="49">
        <f>VLOOKUP(A26,'Data qoq'!$B:$AT,MATCH($B$1,'Data qoq'!$B$1:$AT$1,0),FALSE)</f>
        <v>0.77293802</v>
      </c>
      <c r="C26" s="49">
        <f>Table134567891011121314151617343[[#This Row],[USA]]-B25</f>
        <v>-1.085929462</v>
      </c>
      <c r="D26" s="61">
        <f>(Table134567891011121314151617343[[#This Row],[USA]]/100 +1)^4-1</f>
        <v>3.1277831394206368E-2</v>
      </c>
      <c r="V26" s="40" t="s">
        <v>27</v>
      </c>
    </row>
    <row r="27" spans="1:22" x14ac:dyDescent="0.2">
      <c r="A27" s="48">
        <v>19633</v>
      </c>
      <c r="B27" s="49">
        <f>VLOOKUP(A27,'Data qoq'!$B:$AT,MATCH($B$1,'Data qoq'!$B$1:$AT$1,0),FALSE)</f>
        <v>-0.56267703099999999</v>
      </c>
      <c r="C27" s="49">
        <f>Table134567891011121314151617343[[#This Row],[USA]]-B26</f>
        <v>-1.335615051</v>
      </c>
      <c r="D27" s="61">
        <f>(Table134567891011121314151617343[[#This Row],[USA]]/100 +1)^4-1</f>
        <v>-2.2317829559319713E-2</v>
      </c>
      <c r="V27" s="40" t="s">
        <v>28</v>
      </c>
    </row>
    <row r="28" spans="1:22" x14ac:dyDescent="0.2">
      <c r="A28" s="48">
        <v>19725</v>
      </c>
      <c r="B28" s="49">
        <f>VLOOKUP(A28,'Data qoq'!$B:$AT,MATCH($B$1,'Data qoq'!$B$1:$AT$1,0),FALSE)</f>
        <v>-1.51394063</v>
      </c>
      <c r="C28" s="49">
        <f>Table134567891011121314151617343[[#This Row],[USA]]-B27</f>
        <v>-0.95126359900000002</v>
      </c>
      <c r="D28" s="61">
        <f>(Table134567891011121314151617343[[#This Row],[USA]]/100 +1)^4-1</f>
        <v>-5.9196242833905011E-2</v>
      </c>
      <c r="V28" s="40" t="s">
        <v>29</v>
      </c>
    </row>
    <row r="29" spans="1:22" x14ac:dyDescent="0.2">
      <c r="A29" s="48">
        <v>19815</v>
      </c>
      <c r="B29" s="49">
        <f>VLOOKUP(A29,'Data qoq'!$B:$AT,MATCH($B$1,'Data qoq'!$B$1:$AT$1,0),FALSE)</f>
        <v>-0.47802388800000001</v>
      </c>
      <c r="C29" s="49">
        <f>Table134567891011121314151617343[[#This Row],[USA]]-B28</f>
        <v>1.0359167419999999</v>
      </c>
      <c r="D29" s="61">
        <f>(Table134567891011121314151617343[[#This Row],[USA]]/100 +1)^4-1</f>
        <v>-1.8984287822254697E-2</v>
      </c>
      <c r="V29" s="40" t="s">
        <v>30</v>
      </c>
    </row>
    <row r="30" spans="1:22" x14ac:dyDescent="0.2">
      <c r="A30" s="48">
        <v>19906</v>
      </c>
      <c r="B30" s="49">
        <f>VLOOKUP(A30,'Data qoq'!$B:$AT,MATCH($B$1,'Data qoq'!$B$1:$AT$1,0),FALSE)</f>
        <v>0.108992196</v>
      </c>
      <c r="C30" s="49">
        <f>Table134567891011121314151617343[[#This Row],[USA]]-B29</f>
        <v>0.58701608400000005</v>
      </c>
      <c r="D30" s="61">
        <f>(Table134567891011121314151617343[[#This Row],[USA]]/100 +1)^4-1</f>
        <v>4.3668205996880705E-3</v>
      </c>
      <c r="V30" s="40" t="s">
        <v>31</v>
      </c>
    </row>
    <row r="31" spans="1:22" x14ac:dyDescent="0.2">
      <c r="A31" s="48">
        <v>19998</v>
      </c>
      <c r="B31" s="49">
        <f>VLOOKUP(A31,'Data qoq'!$B:$AT,MATCH($B$1,'Data qoq'!$B$1:$AT$1,0),FALSE)</f>
        <v>1.129346277</v>
      </c>
      <c r="C31" s="49">
        <f>Table134567891011121314151617343[[#This Row],[USA]]-B30</f>
        <v>1.020354081</v>
      </c>
      <c r="D31" s="61">
        <f>(Table134567891011121314151617343[[#This Row],[USA]]/100 +1)^4-1</f>
        <v>4.5944882731990377E-2</v>
      </c>
      <c r="V31" s="40" t="s">
        <v>32</v>
      </c>
    </row>
    <row r="32" spans="1:22" x14ac:dyDescent="0.2">
      <c r="A32" s="48">
        <v>20090</v>
      </c>
      <c r="B32" s="49">
        <f>VLOOKUP(A32,'Data qoq'!$B:$AT,MATCH($B$1,'Data qoq'!$B$1:$AT$1,0),FALSE)</f>
        <v>1.9566880769999999</v>
      </c>
      <c r="C32" s="49">
        <f>Table134567891011121314151617343[[#This Row],[USA]]-B31</f>
        <v>0.82734179999999991</v>
      </c>
      <c r="D32" s="61">
        <f>(Table134567891011121314151617343[[#This Row],[USA]]/100 +1)^4-1</f>
        <v>8.059481232718646E-2</v>
      </c>
      <c r="V32" s="40" t="s">
        <v>33</v>
      </c>
    </row>
    <row r="33" spans="1:22" x14ac:dyDescent="0.2">
      <c r="A33" s="48">
        <v>20180</v>
      </c>
      <c r="B33" s="49">
        <f>VLOOKUP(A33,'Data qoq'!$B:$AT,MATCH($B$1,'Data qoq'!$B$1:$AT$1,0),FALSE)</f>
        <v>2.8562346550000002</v>
      </c>
      <c r="C33" s="49">
        <f>Table134567891011121314151617343[[#This Row],[USA]]-B32</f>
        <v>0.89954657800000026</v>
      </c>
      <c r="D33" s="61">
        <f>(Table134567891011121314151617343[[#This Row],[USA]]/100 +1)^4-1</f>
        <v>0.11923810310693783</v>
      </c>
      <c r="V33" s="40" t="s">
        <v>43</v>
      </c>
    </row>
    <row r="34" spans="1:22" x14ac:dyDescent="0.2">
      <c r="A34" s="48">
        <v>20271</v>
      </c>
      <c r="B34" s="49">
        <f>VLOOKUP(A34,'Data qoq'!$B:$AT,MATCH($B$1,'Data qoq'!$B$1:$AT$1,0),FALSE)</f>
        <v>1.627204957</v>
      </c>
      <c r="C34" s="49">
        <f>Table134567891011121314151617343[[#This Row],[USA]]-B33</f>
        <v>-1.2290296980000002</v>
      </c>
      <c r="D34" s="61">
        <f>(Table134567891011121314151617343[[#This Row],[USA]]/100 +1)^4-1</f>
        <v>6.6694179998409764E-2</v>
      </c>
      <c r="V34" s="40" t="s">
        <v>34</v>
      </c>
    </row>
    <row r="35" spans="1:22" x14ac:dyDescent="0.2">
      <c r="A35" s="48">
        <v>20363</v>
      </c>
      <c r="B35" s="49">
        <f>VLOOKUP(A35,'Data qoq'!$B:$AT,MATCH($B$1,'Data qoq'!$B$1:$AT$1,0),FALSE)</f>
        <v>1.350464288</v>
      </c>
      <c r="C35" s="49">
        <f>Table134567891011121314151617343[[#This Row],[USA]]-B34</f>
        <v>-0.27674066900000005</v>
      </c>
      <c r="D35" s="61">
        <f>(Table134567891011121314151617343[[#This Row],[USA]]/100 +1)^4-1</f>
        <v>5.5122708714148594E-2</v>
      </c>
      <c r="V35" s="40" t="s">
        <v>35</v>
      </c>
    </row>
    <row r="36" spans="1:22" x14ac:dyDescent="0.2">
      <c r="A36" s="48">
        <v>20455</v>
      </c>
      <c r="B36" s="49">
        <f>VLOOKUP(A36,'Data qoq'!$B:$AT,MATCH($B$1,'Data qoq'!$B$1:$AT$1,0),FALSE)</f>
        <v>0.600328737</v>
      </c>
      <c r="C36" s="49">
        <f>Table134567891011121314151617343[[#This Row],[USA]]-B35</f>
        <v>-0.75013555099999996</v>
      </c>
      <c r="D36" s="61">
        <f>(Table134567891011121314151617343[[#This Row],[USA]]/100 +1)^4-1</f>
        <v>2.4230252955245613E-2</v>
      </c>
      <c r="V36" s="40" t="s">
        <v>36</v>
      </c>
    </row>
    <row r="37" spans="1:22" x14ac:dyDescent="0.2">
      <c r="A37" s="48">
        <v>20546</v>
      </c>
      <c r="B37" s="49">
        <f>VLOOKUP(A37,'Data qoq'!$B:$AT,MATCH($B$1,'Data qoq'!$B$1:$AT$1,0),FALSE)</f>
        <v>-0.38838046799999998</v>
      </c>
      <c r="C37" s="49">
        <f>Table134567891011121314151617343[[#This Row],[USA]]-B36</f>
        <v>-0.98870920499999992</v>
      </c>
      <c r="D37" s="61">
        <f>(Table134567891011121314151617343[[#This Row],[USA]]/100 +1)^4-1</f>
        <v>-1.5444949192009005E-2</v>
      </c>
      <c r="V37" s="40" t="s">
        <v>37</v>
      </c>
    </row>
    <row r="38" spans="1:22" x14ac:dyDescent="0.2">
      <c r="A38" s="48">
        <v>20637</v>
      </c>
      <c r="B38" s="49">
        <f>VLOOKUP(A38,'Data qoq'!$B:$AT,MATCH($B$1,'Data qoq'!$B$1:$AT$1,0),FALSE)</f>
        <v>0.82631942700000005</v>
      </c>
      <c r="C38" s="49">
        <f>Table134567891011121314151617343[[#This Row],[USA]]-B37</f>
        <v>1.2146998950000001</v>
      </c>
      <c r="D38" s="61">
        <f>(Table134567891011121314151617343[[#This Row],[USA]]/100 +1)^4-1</f>
        <v>3.3464720875636678E-2</v>
      </c>
      <c r="V38" s="40" t="s">
        <v>38</v>
      </c>
    </row>
    <row r="39" spans="1:22" x14ac:dyDescent="0.2">
      <c r="A39" s="48">
        <v>20729</v>
      </c>
      <c r="B39" s="49">
        <f>VLOOKUP(A39,'Data qoq'!$B:$AT,MATCH($B$1,'Data qoq'!$B$1:$AT$1,0),FALSE)</f>
        <v>-8.9839592999999995E-2</v>
      </c>
      <c r="C39" s="49">
        <f>Table134567891011121314151617343[[#This Row],[USA]]-B38</f>
        <v>-0.91615902000000005</v>
      </c>
      <c r="D39" s="61">
        <f>(Table134567891011121314151617343[[#This Row],[USA]]/100 +1)^4-1</f>
        <v>-3.5887439283023292E-3</v>
      </c>
      <c r="V39" s="40" t="s">
        <v>39</v>
      </c>
    </row>
    <row r="40" spans="1:22" x14ac:dyDescent="0.2">
      <c r="A40" s="48">
        <v>20821</v>
      </c>
      <c r="B40" s="49">
        <f>VLOOKUP(A40,'Data qoq'!$B:$AT,MATCH($B$1,'Data qoq'!$B$1:$AT$1,0),FALSE)</f>
        <v>1.645864038</v>
      </c>
      <c r="C40" s="49">
        <f>Table134567891011121314151617343[[#This Row],[USA]]-B39</f>
        <v>1.735703631</v>
      </c>
      <c r="D40" s="61">
        <f>(Table134567891011121314151617343[[#This Row],[USA]]/100 +1)^4-1</f>
        <v>6.7477789675171707E-2</v>
      </c>
      <c r="V40" s="40" t="s">
        <v>40</v>
      </c>
    </row>
    <row r="41" spans="1:22" x14ac:dyDescent="0.2">
      <c r="A41" s="48">
        <v>20911</v>
      </c>
      <c r="B41" s="49">
        <f>VLOOKUP(A41,'Data qoq'!$B:$AT,MATCH($B$1,'Data qoq'!$B$1:$AT$1,0),FALSE)</f>
        <v>0.64029115299999995</v>
      </c>
      <c r="C41" s="49">
        <f>Table134567891011121314151617343[[#This Row],[USA]]-B40</f>
        <v>-1.0055728850000001</v>
      </c>
      <c r="D41" s="61">
        <f>(Table134567891011121314151617343[[#This Row],[USA]]/100 +1)^4-1</f>
        <v>2.5858681464868916E-2</v>
      </c>
      <c r="V41" s="40" t="s">
        <v>41</v>
      </c>
    </row>
    <row r="42" spans="1:22" x14ac:dyDescent="0.2">
      <c r="A42" s="48">
        <v>21002</v>
      </c>
      <c r="B42" s="49">
        <f>VLOOKUP(A42,'Data qoq'!$B:$AT,MATCH($B$1,'Data qoq'!$B$1:$AT$1,0),FALSE)</f>
        <v>-0.21908592399999999</v>
      </c>
      <c r="C42" s="49">
        <f>Table134567891011121314151617343[[#This Row],[USA]]-B41</f>
        <v>-0.85937707699999999</v>
      </c>
      <c r="D42" s="61">
        <f>(Table134567891011121314151617343[[#This Row],[USA]]/100 +1)^4-1</f>
        <v>-8.7346798150115257E-3</v>
      </c>
    </row>
    <row r="43" spans="1:22" x14ac:dyDescent="0.2">
      <c r="A43" s="48">
        <v>21094</v>
      </c>
      <c r="B43" s="49">
        <f>VLOOKUP(A43,'Data qoq'!$B:$AT,MATCH($B$1,'Data qoq'!$B$1:$AT$1,0),FALSE)</f>
        <v>0.98001840200000001</v>
      </c>
      <c r="C43" s="49">
        <f>Table134567891011121314151617343[[#This Row],[USA]]-B42</f>
        <v>1.1991043260000001</v>
      </c>
      <c r="D43" s="61">
        <f>(Table134567891011121314151617343[[#This Row],[USA]]/100 +1)^4-1</f>
        <v>3.9780771925412628E-2</v>
      </c>
    </row>
    <row r="44" spans="1:22" x14ac:dyDescent="0.2">
      <c r="A44" s="48">
        <v>21186</v>
      </c>
      <c r="B44" s="49">
        <f>VLOOKUP(A44,'Data qoq'!$B:$AT,MATCH($B$1,'Data qoq'!$B$1:$AT$1,0),FALSE)</f>
        <v>-1.034279655</v>
      </c>
      <c r="C44" s="49">
        <f>Table134567891011121314151617343[[#This Row],[USA]]-B43</f>
        <v>-2.014298057</v>
      </c>
      <c r="D44" s="61">
        <f>(Table134567891011121314151617343[[#This Row],[USA]]/100 +1)^4-1</f>
        <v>-4.0733759731959251E-2</v>
      </c>
    </row>
    <row r="45" spans="1:22" x14ac:dyDescent="0.2">
      <c r="A45" s="48">
        <v>21276</v>
      </c>
      <c r="B45" s="49">
        <f>VLOOKUP(A45,'Data qoq'!$B:$AT,MATCH($B$1,'Data qoq'!$B$1:$AT$1,0),FALSE)</f>
        <v>-2.5954400450000001</v>
      </c>
      <c r="C45" s="49">
        <f>Table134567891011121314151617343[[#This Row],[USA]]-B44</f>
        <v>-1.5611603900000002</v>
      </c>
      <c r="D45" s="61">
        <f>(Table134567891011121314151617343[[#This Row],[USA]]/100 +1)^4-1</f>
        <v>-9.9845297349911655E-2</v>
      </c>
    </row>
    <row r="46" spans="1:22" x14ac:dyDescent="0.2">
      <c r="A46" s="48">
        <v>21367</v>
      </c>
      <c r="B46" s="49">
        <f>VLOOKUP(A46,'Data qoq'!$B:$AT,MATCH($B$1,'Data qoq'!$B$1:$AT$1,0),FALSE)</f>
        <v>0.65722672599999998</v>
      </c>
      <c r="C46" s="49">
        <f>Table134567891011121314151617343[[#This Row],[USA]]-B45</f>
        <v>3.2526667710000003</v>
      </c>
      <c r="D46" s="61">
        <f>(Table134567891011121314151617343[[#This Row],[USA]]/100 +1)^4-1</f>
        <v>2.654937463577256E-2</v>
      </c>
    </row>
    <row r="47" spans="1:22" x14ac:dyDescent="0.2">
      <c r="A47" s="48">
        <v>21459</v>
      </c>
      <c r="B47" s="49">
        <f>VLOOKUP(A47,'Data qoq'!$B:$AT,MATCH($B$1,'Data qoq'!$B$1:$AT$1,0),FALSE)</f>
        <v>2.3132170410000001</v>
      </c>
      <c r="C47" s="49">
        <f>Table134567891011121314151617343[[#This Row],[USA]]-B46</f>
        <v>1.6559903150000002</v>
      </c>
      <c r="D47" s="61">
        <f>(Table134567891011121314151617343[[#This Row],[USA]]/100 +1)^4-1</f>
        <v>9.5789063664839746E-2</v>
      </c>
    </row>
    <row r="48" spans="1:22" x14ac:dyDescent="0.2">
      <c r="A48" s="48">
        <v>21551</v>
      </c>
      <c r="B48" s="49">
        <f>VLOOKUP(A48,'Data qoq'!$B:$AT,MATCH($B$1,'Data qoq'!$B$1:$AT$1,0),FALSE)</f>
        <v>2.3381095599999999</v>
      </c>
      <c r="C48" s="49">
        <f>Table134567891011121314151617343[[#This Row],[USA]]-B47</f>
        <v>2.489251899999978E-2</v>
      </c>
      <c r="D48" s="61">
        <f>(Table134567891011121314151617343[[#This Row],[USA]]/100 +1)^4-1</f>
        <v>9.6855862543788973E-2</v>
      </c>
    </row>
    <row r="49" spans="1:4" x14ac:dyDescent="0.2">
      <c r="A49" s="48">
        <v>21641</v>
      </c>
      <c r="B49" s="49">
        <f>VLOOKUP(A49,'Data qoq'!$B:$AT,MATCH($B$1,'Data qoq'!$B$1:$AT$1,0),FALSE)</f>
        <v>1.9195528040000001</v>
      </c>
      <c r="C49" s="49">
        <f>Table134567891011121314151617343[[#This Row],[USA]]-B48</f>
        <v>-0.41855675599999986</v>
      </c>
      <c r="D49" s="61">
        <f>(Table134567891011121314151617343[[#This Row],[USA]]/100 +1)^4-1</f>
        <v>7.9021349483379577E-2</v>
      </c>
    </row>
    <row r="50" spans="1:4" x14ac:dyDescent="0.2">
      <c r="A50" s="48">
        <v>21732</v>
      </c>
      <c r="B50" s="49">
        <f>VLOOKUP(A50,'Data qoq'!$B:$AT,MATCH($B$1,'Data qoq'!$B$1:$AT$1,0),FALSE)</f>
        <v>2.2551695309999999</v>
      </c>
      <c r="C50" s="49">
        <f>Table134567891011121314151617343[[#This Row],[USA]]-B49</f>
        <v>0.33561672699999989</v>
      </c>
      <c r="D50" s="61">
        <f>(Table134567891011121314151617343[[#This Row],[USA]]/100 +1)^4-1</f>
        <v>9.330439093180054E-2</v>
      </c>
    </row>
    <row r="51" spans="1:4" x14ac:dyDescent="0.2">
      <c r="A51" s="48">
        <v>21824</v>
      </c>
      <c r="B51" s="49">
        <f>VLOOKUP(A51,'Data qoq'!$B:$AT,MATCH($B$1,'Data qoq'!$B$1:$AT$1,0),FALSE)</f>
        <v>7.0560340999999999E-2</v>
      </c>
      <c r="C51" s="49">
        <f>Table134567891011121314151617343[[#This Row],[USA]]-B50</f>
        <v>-2.1846091899999998</v>
      </c>
      <c r="D51" s="61">
        <f>(Table134567891011121314151617343[[#This Row],[USA]]/100 +1)^4-1</f>
        <v>2.8254023024933961E-3</v>
      </c>
    </row>
    <row r="52" spans="1:4" x14ac:dyDescent="0.2">
      <c r="A52" s="48">
        <v>21916</v>
      </c>
      <c r="B52" s="49">
        <f>VLOOKUP(A52,'Data qoq'!$B:$AT,MATCH($B$1,'Data qoq'!$B$1:$AT$1,0),FALSE)</f>
        <v>0.284889055</v>
      </c>
      <c r="C52" s="49">
        <f>Table134567891011121314151617343[[#This Row],[USA]]-B51</f>
        <v>0.214328714</v>
      </c>
      <c r="D52" s="61">
        <f>(Table134567891011121314151617343[[#This Row],[USA]]/100 +1)^4-1</f>
        <v>1.1444351818471477E-2</v>
      </c>
    </row>
    <row r="53" spans="1:4" x14ac:dyDescent="0.2">
      <c r="A53" s="48">
        <v>22007</v>
      </c>
      <c r="B53" s="49">
        <f>VLOOKUP(A53,'Data qoq'!$B:$AT,MATCH($B$1,'Data qoq'!$B$1:$AT$1,0),FALSE)</f>
        <v>2.2477142919999999</v>
      </c>
      <c r="C53" s="49">
        <f>Table134567891011121314151617343[[#This Row],[USA]]-B52</f>
        <v>1.9628252369999999</v>
      </c>
      <c r="D53" s="61">
        <f>(Table134567891011121314151617343[[#This Row],[USA]]/100 +1)^4-1</f>
        <v>9.298558243655064E-2</v>
      </c>
    </row>
    <row r="54" spans="1:4" x14ac:dyDescent="0.2">
      <c r="A54" s="48">
        <v>22098</v>
      </c>
      <c r="B54" s="49">
        <f>VLOOKUP(A54,'Data qoq'!$B:$AT,MATCH($B$1,'Data qoq'!$B$1:$AT$1,0),FALSE)</f>
        <v>-0.53907336100000003</v>
      </c>
      <c r="C54" s="49">
        <f>Table134567891011121314151617343[[#This Row],[USA]]-B53</f>
        <v>-2.7867876530000002</v>
      </c>
      <c r="D54" s="61">
        <f>(Table134567891011121314151617343[[#This Row],[USA]]/100 +1)^4-1</f>
        <v>-2.1389200161457733E-2</v>
      </c>
    </row>
    <row r="55" spans="1:4" x14ac:dyDescent="0.2">
      <c r="A55" s="48">
        <v>22190</v>
      </c>
      <c r="B55" s="49">
        <f>VLOOKUP(A55,'Data qoq'!$B:$AT,MATCH($B$1,'Data qoq'!$B$1:$AT$1,0),FALSE)</f>
        <v>0.48942128000000001</v>
      </c>
      <c r="C55" s="49">
        <f>Table134567891011121314151617343[[#This Row],[USA]]-B54</f>
        <v>1.028494641</v>
      </c>
      <c r="D55" s="61">
        <f>(Table134567891011121314151617343[[#This Row],[USA]]/100 +1)^4-1</f>
        <v>1.9721040617912244E-2</v>
      </c>
    </row>
    <row r="56" spans="1:4" x14ac:dyDescent="0.2">
      <c r="A56" s="48">
        <v>22282</v>
      </c>
      <c r="B56" s="49">
        <f>VLOOKUP(A56,'Data qoq'!$B:$AT,MATCH($B$1,'Data qoq'!$B$1:$AT$1,0),FALSE)</f>
        <v>-1.283403329</v>
      </c>
      <c r="C56" s="49">
        <f>Table134567891011121314151617343[[#This Row],[USA]]-B55</f>
        <v>-1.7728246089999999</v>
      </c>
      <c r="D56" s="61">
        <f>(Table134567891011121314151617343[[#This Row],[USA]]/100 +1)^4-1</f>
        <v>-5.0356287265126642E-2</v>
      </c>
    </row>
    <row r="57" spans="1:4" x14ac:dyDescent="0.2">
      <c r="A57" s="48">
        <v>22372</v>
      </c>
      <c r="B57" s="49">
        <f>VLOOKUP(A57,'Data qoq'!$B:$AT,MATCH($B$1,'Data qoq'!$B$1:$AT$1,0),FALSE)</f>
        <v>0.67490454</v>
      </c>
      <c r="C57" s="49">
        <f>Table134567891011121314151617343[[#This Row],[USA]]-B56</f>
        <v>1.958307869</v>
      </c>
      <c r="D57" s="61">
        <f>(Table134567891011121314151617343[[#This Row],[USA]]/100 +1)^4-1</f>
        <v>2.7270711023281491E-2</v>
      </c>
    </row>
    <row r="58" spans="1:4" x14ac:dyDescent="0.2">
      <c r="A58" s="48">
        <v>22463</v>
      </c>
      <c r="B58" s="49">
        <f>VLOOKUP(A58,'Data qoq'!$B:$AT,MATCH($B$1,'Data qoq'!$B$1:$AT$1,0),FALSE)</f>
        <v>1.6974342689999999</v>
      </c>
      <c r="C58" s="49">
        <f>Table134567891011121314151617343[[#This Row],[USA]]-B57</f>
        <v>1.0225297289999999</v>
      </c>
      <c r="D58" s="61">
        <f>(Table134567891011121314151617343[[#This Row],[USA]]/100 +1)^4-1</f>
        <v>6.9645786791142195E-2</v>
      </c>
    </row>
    <row r="59" spans="1:4" x14ac:dyDescent="0.2">
      <c r="A59" s="48">
        <v>22555</v>
      </c>
      <c r="B59" s="49">
        <f>VLOOKUP(A59,'Data qoq'!$B:$AT,MATCH($B$1,'Data qoq'!$B$1:$AT$1,0),FALSE)</f>
        <v>1.9195869990000001</v>
      </c>
      <c r="C59" s="49">
        <f>Table134567891011121314151617343[[#This Row],[USA]]-B58</f>
        <v>0.22215273000000013</v>
      </c>
      <c r="D59" s="61">
        <f>(Table134567891011121314151617343[[#This Row],[USA]]/100 +1)^4-1</f>
        <v>7.9022797572684711E-2</v>
      </c>
    </row>
    <row r="60" spans="1:4" x14ac:dyDescent="0.2">
      <c r="A60" s="48">
        <v>22647</v>
      </c>
      <c r="B60" s="49">
        <f>VLOOKUP(A60,'Data qoq'!$B:$AT,MATCH($B$1,'Data qoq'!$B$1:$AT$1,0),FALSE)</f>
        <v>1.9610980629999999</v>
      </c>
      <c r="C60" s="49">
        <f>Table134567891011121314151617343[[#This Row],[USA]]-B59</f>
        <v>4.151106399999982E-2</v>
      </c>
      <c r="D60" s="61">
        <f>(Table134567891011121314151617343[[#This Row],[USA]]/100 +1)^4-1</f>
        <v>8.0781782589711471E-2</v>
      </c>
    </row>
    <row r="61" spans="1:4" x14ac:dyDescent="0.2">
      <c r="A61" s="48">
        <v>22737</v>
      </c>
      <c r="B61" s="49">
        <f>VLOOKUP(A61,'Data qoq'!$B:$AT,MATCH($B$1,'Data qoq'!$B$1:$AT$1,0),FALSE)</f>
        <v>1.7836488109999999</v>
      </c>
      <c r="C61" s="49">
        <f>Table134567891011121314151617343[[#This Row],[USA]]-B60</f>
        <v>-0.17744925199999995</v>
      </c>
      <c r="D61" s="61">
        <f>(Table134567891011121314151617343[[#This Row],[USA]]/100 +1)^4-1</f>
        <v>7.3277593525135076E-2</v>
      </c>
    </row>
    <row r="62" spans="1:4" x14ac:dyDescent="0.2">
      <c r="A62" s="48">
        <v>22828</v>
      </c>
      <c r="B62" s="49">
        <f>VLOOKUP(A62,'Data qoq'!$B:$AT,MATCH($B$1,'Data qoq'!$B$1:$AT$1,0),FALSE)</f>
        <v>0.90366382300000003</v>
      </c>
      <c r="C62" s="49">
        <f>Table134567891011121314151617343[[#This Row],[USA]]-B61</f>
        <v>-0.87998498799999991</v>
      </c>
      <c r="D62" s="61">
        <f>(Table134567891011121314151617343[[#This Row],[USA]]/100 +1)^4-1</f>
        <v>3.6639476329021647E-2</v>
      </c>
    </row>
    <row r="63" spans="1:4" x14ac:dyDescent="0.2">
      <c r="A63" s="48">
        <v>22920</v>
      </c>
      <c r="B63" s="49">
        <f>VLOOKUP(A63,'Data qoq'!$B:$AT,MATCH($B$1,'Data qoq'!$B$1:$AT$1,0),FALSE)</f>
        <v>1.2285130479999999</v>
      </c>
      <c r="C63" s="49">
        <f>Table134567891011121314151617343[[#This Row],[USA]]-B62</f>
        <v>0.32484922499999991</v>
      </c>
      <c r="D63" s="61">
        <f>(Table134567891011121314151617343[[#This Row],[USA]]/100 +1)^4-1</f>
        <v>5.0053507788953011E-2</v>
      </c>
    </row>
    <row r="64" spans="1:4" x14ac:dyDescent="0.2">
      <c r="A64" s="48">
        <v>23012</v>
      </c>
      <c r="B64" s="49">
        <f>VLOOKUP(A64,'Data qoq'!$B:$AT,MATCH($B$1,'Data qoq'!$B$1:$AT$1,0),FALSE)</f>
        <v>0.32890157599999997</v>
      </c>
      <c r="C64" s="49">
        <f>Table134567891011121314151617343[[#This Row],[USA]]-B63</f>
        <v>-0.89961147199999991</v>
      </c>
      <c r="D64" s="61">
        <f>(Table134567891011121314151617343[[#This Row],[USA]]/100 +1)^4-1</f>
        <v>1.322111122239078E-2</v>
      </c>
    </row>
    <row r="65" spans="1:4" x14ac:dyDescent="0.2">
      <c r="A65" s="48">
        <v>23102</v>
      </c>
      <c r="B65" s="49">
        <f>VLOOKUP(A65,'Data qoq'!$B:$AT,MATCH($B$1,'Data qoq'!$B$1:$AT$1,0),FALSE)</f>
        <v>1.091574332</v>
      </c>
      <c r="C65" s="49">
        <f>Table134567891011121314151617343[[#This Row],[USA]]-B64</f>
        <v>0.76267275599999995</v>
      </c>
      <c r="D65" s="61">
        <f>(Table134567891011121314151617343[[#This Row],[USA]]/100 +1)^4-1</f>
        <v>4.4383110784914637E-2</v>
      </c>
    </row>
    <row r="66" spans="1:4" x14ac:dyDescent="0.2">
      <c r="A66" s="48">
        <v>23193</v>
      </c>
      <c r="B66" s="49">
        <f>VLOOKUP(A66,'Data qoq'!$B:$AT,MATCH($B$1,'Data qoq'!$B$1:$AT$1,0),FALSE)</f>
        <v>1.1221214530000001</v>
      </c>
      <c r="C66" s="49">
        <f>Table134567891011121314151617343[[#This Row],[USA]]-B65</f>
        <v>3.0547121000000121E-2</v>
      </c>
      <c r="D66" s="61">
        <f>(Table134567891011121314151617343[[#This Row],[USA]]/100 +1)^4-1</f>
        <v>4.5646019614254962E-2</v>
      </c>
    </row>
    <row r="67" spans="1:4" x14ac:dyDescent="0.2">
      <c r="A67" s="48">
        <v>23285</v>
      </c>
      <c r="B67" s="49">
        <f>VLOOKUP(A67,'Data qoq'!$B:$AT,MATCH($B$1,'Data qoq'!$B$1:$AT$1,0),FALSE)</f>
        <v>2.198434459</v>
      </c>
      <c r="C67" s="49">
        <f>Table134567891011121314151617343[[#This Row],[USA]]-B66</f>
        <v>1.0763130059999999</v>
      </c>
      <c r="D67" s="61">
        <f>(Table134567891011121314151617343[[#This Row],[USA]]/100 +1)^4-1</f>
        <v>9.0879981530295417E-2</v>
      </c>
    </row>
    <row r="68" spans="1:4" x14ac:dyDescent="0.2">
      <c r="A68" s="48">
        <v>23377</v>
      </c>
      <c r="B68" s="49">
        <f>VLOOKUP(A68,'Data qoq'!$B:$AT,MATCH($B$1,'Data qoq'!$B$1:$AT$1,0),FALSE)</f>
        <v>0.65560243699999998</v>
      </c>
      <c r="C68" s="49">
        <f>Table134567891011121314151617343[[#This Row],[USA]]-B67</f>
        <v>-1.542832022</v>
      </c>
      <c r="D68" s="61">
        <f>(Table134567891011121314151617343[[#This Row],[USA]]/100 +1)^4-1</f>
        <v>2.6483115210525821E-2</v>
      </c>
    </row>
    <row r="69" spans="1:4" x14ac:dyDescent="0.2">
      <c r="A69" s="48">
        <v>23468</v>
      </c>
      <c r="B69" s="49">
        <f>VLOOKUP(A69,'Data qoq'!$B:$AT,MATCH($B$1,'Data qoq'!$B$1:$AT$1,0),FALSE)</f>
        <v>2.108252099</v>
      </c>
      <c r="C69" s="49">
        <f>Table134567891011121314151617343[[#This Row],[USA]]-B68</f>
        <v>1.452649662</v>
      </c>
      <c r="D69" s="61">
        <f>(Table134567891011121314151617343[[#This Row],[USA]]/100 +1)^4-1</f>
        <v>8.7034600083111036E-2</v>
      </c>
    </row>
    <row r="70" spans="1:4" x14ac:dyDescent="0.2">
      <c r="A70" s="48">
        <v>23559</v>
      </c>
      <c r="B70" s="49">
        <f>VLOOKUP(A70,'Data qoq'!$B:$AT,MATCH($B$1,'Data qoq'!$B$1:$AT$1,0),FALSE)</f>
        <v>1.08873369</v>
      </c>
      <c r="C70" s="49">
        <f>Table134567891011121314151617343[[#This Row],[USA]]-B69</f>
        <v>-1.019518409</v>
      </c>
      <c r="D70" s="61">
        <f>(Table134567891011121314151617343[[#This Row],[USA]]/100 +1)^4-1</f>
        <v>4.4265728361909673E-2</v>
      </c>
    </row>
    <row r="71" spans="1:4" x14ac:dyDescent="0.2">
      <c r="A71" s="48">
        <v>23651</v>
      </c>
      <c r="B71" s="49">
        <f>VLOOKUP(A71,'Data qoq'!$B:$AT,MATCH($B$1,'Data qoq'!$B$1:$AT$1,0),FALSE)</f>
        <v>1.5623006660000001</v>
      </c>
      <c r="C71" s="49">
        <f>Table134567891011121314151617343[[#This Row],[USA]]-B70</f>
        <v>0.47356697600000008</v>
      </c>
      <c r="D71" s="61">
        <f>(Table134567891011121314151617343[[#This Row],[USA]]/100 +1)^4-1</f>
        <v>6.397180918676959E-2</v>
      </c>
    </row>
    <row r="72" spans="1:4" x14ac:dyDescent="0.2">
      <c r="A72" s="48">
        <v>23743</v>
      </c>
      <c r="B72" s="49">
        <f>VLOOKUP(A72,'Data qoq'!$B:$AT,MATCH($B$1,'Data qoq'!$B$1:$AT$1,0),FALSE)</f>
        <v>0.308871858</v>
      </c>
      <c r="C72" s="49">
        <f>Table134567891011121314151617343[[#This Row],[USA]]-B71</f>
        <v>-1.253428808</v>
      </c>
      <c r="D72" s="61">
        <f>(Table134567891011121314151617343[[#This Row],[USA]]/100 +1)^4-1</f>
        <v>1.2412233373568782E-2</v>
      </c>
    </row>
    <row r="73" spans="1:4" x14ac:dyDescent="0.2">
      <c r="A73" s="48">
        <v>23833</v>
      </c>
      <c r="B73" s="49">
        <f>VLOOKUP(A73,'Data qoq'!$B:$AT,MATCH($B$1,'Data qoq'!$B$1:$AT$1,0),FALSE)</f>
        <v>2.4197518790000001</v>
      </c>
      <c r="C73" s="49">
        <f>Table134567891011121314151617343[[#This Row],[USA]]-B72</f>
        <v>2.1108800210000003</v>
      </c>
      <c r="D73" s="61">
        <f>(Table134567891011121314151617343[[#This Row],[USA]]/100 +1)^4-1</f>
        <v>0.10036021000376416</v>
      </c>
    </row>
    <row r="74" spans="1:4" x14ac:dyDescent="0.2">
      <c r="A74" s="48">
        <v>23924</v>
      </c>
      <c r="B74" s="49">
        <f>VLOOKUP(A74,'Data qoq'!$B:$AT,MATCH($B$1,'Data qoq'!$B$1:$AT$1,0),FALSE)</f>
        <v>1.263298249</v>
      </c>
      <c r="C74" s="49">
        <f>Table134567891011121314151617343[[#This Row],[USA]]-B73</f>
        <v>-1.1564536300000001</v>
      </c>
      <c r="D74" s="61">
        <f>(Table134567891011121314151617343[[#This Row],[USA]]/100 +1)^4-1</f>
        <v>5.1497573413468167E-2</v>
      </c>
    </row>
    <row r="75" spans="1:4" x14ac:dyDescent="0.2">
      <c r="A75" s="48">
        <v>24016</v>
      </c>
      <c r="B75" s="49">
        <f>VLOOKUP(A75,'Data qoq'!$B:$AT,MATCH($B$1,'Data qoq'!$B$1:$AT$1,0),FALSE)</f>
        <v>2.2232522819999998</v>
      </c>
      <c r="C75" s="49">
        <f>Table134567891011121314151617343[[#This Row],[USA]]-B74</f>
        <v>0.95995403299999982</v>
      </c>
      <c r="D75" s="61">
        <f>(Table134567891011121314151617343[[#This Row],[USA]]/100 +1)^4-1</f>
        <v>9.1940002839859147E-2</v>
      </c>
    </row>
    <row r="76" spans="1:4" x14ac:dyDescent="0.2">
      <c r="A76" s="48">
        <v>24108</v>
      </c>
      <c r="B76" s="49">
        <f>VLOOKUP(A76,'Data qoq'!$B:$AT,MATCH($B$1,'Data qoq'!$B$1:$AT$1,0),FALSE)</f>
        <v>2.304040466</v>
      </c>
      <c r="C76" s="49">
        <f>Table134567891011121314151617343[[#This Row],[USA]]-B75</f>
        <v>8.0788184000000207E-2</v>
      </c>
      <c r="D76" s="61">
        <f>(Table134567891011121314151617343[[#This Row],[USA]]/100 +1)^4-1</f>
        <v>9.5395986873606287E-2</v>
      </c>
    </row>
    <row r="77" spans="1:4" x14ac:dyDescent="0.2">
      <c r="A77" s="48">
        <v>24198</v>
      </c>
      <c r="B77" s="49">
        <f>VLOOKUP(A77,'Data qoq'!$B:$AT,MATCH($B$1,'Data qoq'!$B$1:$AT$1,0),FALSE)</f>
        <v>2.4342287589999998</v>
      </c>
      <c r="C77" s="49">
        <f>Table134567891011121314151617343[[#This Row],[USA]]-B76</f>
        <v>0.13018829299999979</v>
      </c>
      <c r="D77" s="61">
        <f>(Table134567891011121314151617343[[#This Row],[USA]]/100 +1)^4-1</f>
        <v>0.10098247905713253</v>
      </c>
    </row>
    <row r="78" spans="1:4" x14ac:dyDescent="0.2">
      <c r="A78" s="48">
        <v>24289</v>
      </c>
      <c r="B78" s="49">
        <f>VLOOKUP(A78,'Data qoq'!$B:$AT,MATCH($B$1,'Data qoq'!$B$1:$AT$1,0),FALSE)</f>
        <v>0.34160196199999998</v>
      </c>
      <c r="C78" s="49">
        <f>Table134567891011121314151617343[[#This Row],[USA]]-B77</f>
        <v>-2.0926267969999999</v>
      </c>
      <c r="D78" s="61">
        <f>(Table134567891011121314151617343[[#This Row],[USA]]/100 +1)^4-1</f>
        <v>1.3734253205163638E-2</v>
      </c>
    </row>
    <row r="79" spans="1:4" x14ac:dyDescent="0.2">
      <c r="A79" s="48">
        <v>24381</v>
      </c>
      <c r="B79" s="49">
        <f>VLOOKUP(A79,'Data qoq'!$B:$AT,MATCH($B$1,'Data qoq'!$B$1:$AT$1,0),FALSE)</f>
        <v>0.84690505199999999</v>
      </c>
      <c r="C79" s="49">
        <f>Table134567891011121314151617343[[#This Row],[USA]]-B78</f>
        <v>0.50530308999999995</v>
      </c>
      <c r="D79" s="61">
        <f>(Table134567891011121314151617343[[#This Row],[USA]]/100 +1)^4-1</f>
        <v>3.4308985889096366E-2</v>
      </c>
    </row>
    <row r="80" spans="1:4" x14ac:dyDescent="0.2">
      <c r="A80" s="48">
        <v>24473</v>
      </c>
      <c r="B80" s="49">
        <f>VLOOKUP(A80,'Data qoq'!$B:$AT,MATCH($B$1,'Data qoq'!$B$1:$AT$1,0),FALSE)</f>
        <v>0.82040710900000002</v>
      </c>
      <c r="C80" s="49">
        <f>Table134567891011121314151617343[[#This Row],[USA]]-B79</f>
        <v>-2.6497942999999968E-2</v>
      </c>
      <c r="D80" s="61">
        <f>(Table134567891011121314151617343[[#This Row],[USA]]/100 +1)^4-1</f>
        <v>3.3222338343413593E-2</v>
      </c>
    </row>
    <row r="81" spans="1:4" x14ac:dyDescent="0.2">
      <c r="A81" s="48">
        <v>24563</v>
      </c>
      <c r="B81" s="49">
        <f>VLOOKUP(A81,'Data qoq'!$B:$AT,MATCH($B$1,'Data qoq'!$B$1:$AT$1,0),FALSE)</f>
        <v>0.88555258699999995</v>
      </c>
      <c r="C81" s="49">
        <f>Table134567891011121314151617343[[#This Row],[USA]]-B80</f>
        <v>6.5145477999999923E-2</v>
      </c>
      <c r="D81" s="61">
        <f>(Table134567891011121314151617343[[#This Row],[USA]]/100 +1)^4-1</f>
        <v>3.5895409473698292E-2</v>
      </c>
    </row>
    <row r="82" spans="1:4" x14ac:dyDescent="0.2">
      <c r="A82" s="48">
        <v>24654</v>
      </c>
      <c r="B82" s="49">
        <f>VLOOKUP(A82,'Data qoq'!$B:$AT,MATCH($B$1,'Data qoq'!$B$1:$AT$1,0),FALSE)</f>
        <v>6.1297813E-2</v>
      </c>
      <c r="C82" s="49">
        <f>Table134567891011121314151617343[[#This Row],[USA]]-B81</f>
        <v>-0.82425477399999991</v>
      </c>
      <c r="D82" s="61">
        <f>(Table134567891011121314151617343[[#This Row],[USA]]/100 +1)^4-1</f>
        <v>2.4541678945548817E-3</v>
      </c>
    </row>
    <row r="83" spans="1:4" x14ac:dyDescent="0.2">
      <c r="A83" s="48">
        <v>24746</v>
      </c>
      <c r="B83" s="49">
        <f>VLOOKUP(A83,'Data qoq'!$B:$AT,MATCH($B$1,'Data qoq'!$B$1:$AT$1,0),FALSE)</f>
        <v>0.94612091700000001</v>
      </c>
      <c r="C83" s="49">
        <f>Table134567891011121314151617343[[#This Row],[USA]]-B82</f>
        <v>0.88482310399999997</v>
      </c>
      <c r="D83" s="61">
        <f>(Table134567891011121314151617343[[#This Row],[USA]]/100 +1)^4-1</f>
        <v>3.8385319227429493E-2</v>
      </c>
    </row>
    <row r="84" spans="1:4" x14ac:dyDescent="0.2">
      <c r="A84" s="48">
        <v>24838</v>
      </c>
      <c r="B84" s="49">
        <f>VLOOKUP(A84,'Data qoq'!$B:$AT,MATCH($B$1,'Data qoq'!$B$1:$AT$1,0),FALSE)</f>
        <v>0.75401712700000001</v>
      </c>
      <c r="C84" s="49">
        <f>Table134567891011121314151617343[[#This Row],[USA]]-B83</f>
        <v>-0.19210379</v>
      </c>
      <c r="D84" s="61">
        <f>(Table134567891011121314151617343[[#This Row],[USA]]/100 +1)^4-1</f>
        <v>3.0503528170186422E-2</v>
      </c>
    </row>
    <row r="85" spans="1:4" x14ac:dyDescent="0.2">
      <c r="A85" s="48">
        <v>24929</v>
      </c>
      <c r="B85" s="49">
        <f>VLOOKUP(A85,'Data qoq'!$B:$AT,MATCH($B$1,'Data qoq'!$B$1:$AT$1,0),FALSE)</f>
        <v>2.039507129</v>
      </c>
      <c r="C85" s="49">
        <f>Table134567891011121314151617343[[#This Row],[USA]]-B84</f>
        <v>1.285490002</v>
      </c>
      <c r="D85" s="61">
        <f>(Table134567891011121314151617343[[#This Row],[USA]]/100 +1)^4-1</f>
        <v>8.4110145827742233E-2</v>
      </c>
    </row>
    <row r="86" spans="1:4" x14ac:dyDescent="0.2">
      <c r="A86" s="48">
        <v>25020</v>
      </c>
      <c r="B86" s="49">
        <f>VLOOKUP(A86,'Data qoq'!$B:$AT,MATCH($B$1,'Data qoq'!$B$1:$AT$1,0),FALSE)</f>
        <v>1.6707995499999999</v>
      </c>
      <c r="C86" s="49">
        <f>Table134567891011121314151617343[[#This Row],[USA]]-B85</f>
        <v>-0.36870757900000006</v>
      </c>
      <c r="D86" s="61">
        <f>(Table134567891011121314151617343[[#This Row],[USA]]/100 +1)^4-1</f>
        <v>6.8525659233655389E-2</v>
      </c>
    </row>
    <row r="87" spans="1:4" x14ac:dyDescent="0.2">
      <c r="A87" s="48">
        <v>25112</v>
      </c>
      <c r="B87" s="49">
        <f>VLOOKUP(A87,'Data qoq'!$B:$AT,MATCH($B$1,'Data qoq'!$B$1:$AT$1,0),FALSE)</f>
        <v>0.77495566299999996</v>
      </c>
      <c r="C87" s="49">
        <f>Table134567891011121314151617343[[#This Row],[USA]]-B86</f>
        <v>-0.89584388699999995</v>
      </c>
      <c r="D87" s="61">
        <f>(Table134567891011121314151617343[[#This Row],[USA]]/100 +1)^4-1</f>
        <v>3.1360425512407586E-2</v>
      </c>
    </row>
    <row r="88" spans="1:4" x14ac:dyDescent="0.2">
      <c r="A88" s="48">
        <v>25204</v>
      </c>
      <c r="B88" s="49">
        <f>VLOOKUP(A88,'Data qoq'!$B:$AT,MATCH($B$1,'Data qoq'!$B$1:$AT$1,0),FALSE)</f>
        <v>0.39332004100000001</v>
      </c>
      <c r="C88" s="49">
        <f>Table134567891011121314151617343[[#This Row],[USA]]-B87</f>
        <v>-0.38163562199999995</v>
      </c>
      <c r="D88" s="61">
        <f>(Table134567891011121314151617343[[#This Row],[USA]]/100 +1)^4-1</f>
        <v>1.5825865659585325E-2</v>
      </c>
    </row>
    <row r="89" spans="1:4" x14ac:dyDescent="0.2">
      <c r="A89" s="48">
        <v>25294</v>
      </c>
      <c r="B89" s="49">
        <f>VLOOKUP(A89,'Data qoq'!$B:$AT,MATCH($B$1,'Data qoq'!$B$1:$AT$1,0),FALSE)</f>
        <v>1.565115509</v>
      </c>
      <c r="C89" s="49">
        <f>Table134567891011121314151617343[[#This Row],[USA]]-B88</f>
        <v>1.171795468</v>
      </c>
      <c r="D89" s="61">
        <f>(Table134567891011121314151617343[[#This Row],[USA]]/100 +1)^4-1</f>
        <v>6.4089767842291367E-2</v>
      </c>
    </row>
    <row r="90" spans="1:4" x14ac:dyDescent="0.2">
      <c r="A90" s="48">
        <v>25385</v>
      </c>
      <c r="B90" s="49">
        <f>VLOOKUP(A90,'Data qoq'!$B:$AT,MATCH($B$1,'Data qoq'!$B$1:$AT$1,0),FALSE)</f>
        <v>0.30399532099999999</v>
      </c>
      <c r="C90" s="49">
        <f>Table134567891011121314151617343[[#This Row],[USA]]-B89</f>
        <v>-1.261120188</v>
      </c>
      <c r="D90" s="61">
        <f>(Table134567891011121314151617343[[#This Row],[USA]]/100 +1)^4-1</f>
        <v>1.2215373191183376E-2</v>
      </c>
    </row>
    <row r="91" spans="1:4" x14ac:dyDescent="0.2">
      <c r="A91" s="48">
        <v>25477</v>
      </c>
      <c r="B91" s="49">
        <f>VLOOKUP(A91,'Data qoq'!$B:$AT,MATCH($B$1,'Data qoq'!$B$1:$AT$1,0),FALSE)</f>
        <v>0.66051420500000002</v>
      </c>
      <c r="C91" s="49">
        <f>Table134567891011121314151617343[[#This Row],[USA]]-B90</f>
        <v>0.35651888400000004</v>
      </c>
      <c r="D91" s="61">
        <f>(Table134567891011121314151617343[[#This Row],[USA]]/100 +1)^4-1</f>
        <v>2.6683490186344416E-2</v>
      </c>
    </row>
    <row r="92" spans="1:4" x14ac:dyDescent="0.2">
      <c r="A92" s="48">
        <v>25569</v>
      </c>
      <c r="B92" s="49">
        <f>VLOOKUP(A92,'Data qoq'!$B:$AT,MATCH($B$1,'Data qoq'!$B$1:$AT$1,0),FALSE)</f>
        <v>-0.48769458799999998</v>
      </c>
      <c r="C92" s="49">
        <f>Table134567891011121314151617343[[#This Row],[USA]]-B91</f>
        <v>-1.148208793</v>
      </c>
      <c r="D92" s="61">
        <f>(Table134567891011121314151617343[[#This Row],[USA]]/100 +1)^4-1</f>
        <v>-1.9365539332443782E-2</v>
      </c>
    </row>
    <row r="93" spans="1:4" x14ac:dyDescent="0.2">
      <c r="A93" s="48">
        <v>25659</v>
      </c>
      <c r="B93" s="49">
        <f>VLOOKUP(A93,'Data qoq'!$B:$AT,MATCH($B$1,'Data qoq'!$B$1:$AT$1,0),FALSE)</f>
        <v>-0.14847070100000001</v>
      </c>
      <c r="C93" s="49">
        <f>Table134567891011121314151617343[[#This Row],[USA]]-B92</f>
        <v>0.33922388699999995</v>
      </c>
      <c r="D93" s="61">
        <f>(Table134567891011121314151617343[[#This Row],[USA]]/100 +1)^4-1</f>
        <v>-5.925614996992512E-3</v>
      </c>
    </row>
    <row r="94" spans="1:4" x14ac:dyDescent="0.2">
      <c r="A94" s="48">
        <v>25750</v>
      </c>
      <c r="B94" s="49">
        <f>VLOOKUP(A94,'Data qoq'!$B:$AT,MATCH($B$1,'Data qoq'!$B$1:$AT$1,0),FALSE)</f>
        <v>0.141930001</v>
      </c>
      <c r="C94" s="49">
        <f>Table134567891011121314151617343[[#This Row],[USA]]-B93</f>
        <v>0.29040070200000001</v>
      </c>
      <c r="D94" s="61">
        <f>(Table134567891011121314151617343[[#This Row],[USA]]/100 +1)^4-1</f>
        <v>5.6892979553910816E-3</v>
      </c>
    </row>
    <row r="95" spans="1:4" x14ac:dyDescent="0.2">
      <c r="A95" s="48">
        <v>25842</v>
      </c>
      <c r="B95" s="49">
        <f>VLOOKUP(A95,'Data qoq'!$B:$AT,MATCH($B$1,'Data qoq'!$B$1:$AT$1,0),FALSE)</f>
        <v>0.92155083000000004</v>
      </c>
      <c r="C95" s="49">
        <f>Table134567891011121314151617343[[#This Row],[USA]]-B94</f>
        <v>0.77962082900000007</v>
      </c>
      <c r="D95" s="61">
        <f>(Table134567891011121314151617343[[#This Row],[USA]]/100 +1)^4-1</f>
        <v>3.7374724501757939E-2</v>
      </c>
    </row>
    <row r="96" spans="1:4" x14ac:dyDescent="0.2">
      <c r="A96" s="48">
        <v>25934</v>
      </c>
      <c r="B96" s="49">
        <f>VLOOKUP(A96,'Data qoq'!$B:$AT,MATCH($B$1,'Data qoq'!$B$1:$AT$1,0),FALSE)</f>
        <v>-1.071638106</v>
      </c>
      <c r="C96" s="49">
        <f>Table134567891011121314151617343[[#This Row],[USA]]-B95</f>
        <v>-1.9931889360000001</v>
      </c>
      <c r="D96" s="61">
        <f>(Table134567891011121314151617343[[#This Row],[USA]]/100 +1)^4-1</f>
        <v>-4.2181388825529353E-2</v>
      </c>
    </row>
    <row r="97" spans="1:4" x14ac:dyDescent="0.2">
      <c r="A97" s="48">
        <v>26024</v>
      </c>
      <c r="B97" s="49">
        <f>VLOOKUP(A97,'Data qoq'!$B:$AT,MATCH($B$1,'Data qoq'!$B$1:$AT$1,0),FALSE)</f>
        <v>2.715992789</v>
      </c>
      <c r="C97" s="49">
        <f>Table134567891011121314151617343[[#This Row],[USA]]-B96</f>
        <v>3.7876308949999999</v>
      </c>
      <c r="D97" s="61">
        <f>(Table134567891011121314151617343[[#This Row],[USA]]/100 +1)^4-1</f>
        <v>0.11314636515516785</v>
      </c>
    </row>
    <row r="98" spans="1:4" x14ac:dyDescent="0.2">
      <c r="A98" s="48">
        <v>26115</v>
      </c>
      <c r="B98" s="49">
        <f>VLOOKUP(A98,'Data qoq'!$B:$AT,MATCH($B$1,'Data qoq'!$B$1:$AT$1,0),FALSE)</f>
        <v>0.54112008</v>
      </c>
      <c r="C98" s="49">
        <f>Table134567891011121314151617343[[#This Row],[USA]]-B97</f>
        <v>-2.1748727089999997</v>
      </c>
      <c r="D98" s="61">
        <f>(Table134567891011121314151617343[[#This Row],[USA]]/100 +1)^4-1</f>
        <v>2.1821124405489112E-2</v>
      </c>
    </row>
    <row r="99" spans="1:4" x14ac:dyDescent="0.2">
      <c r="A99" s="48">
        <v>26207</v>
      </c>
      <c r="B99" s="49">
        <f>VLOOKUP(A99,'Data qoq'!$B:$AT,MATCH($B$1,'Data qoq'!$B$1:$AT$1,0),FALSE)</f>
        <v>0.82296708500000004</v>
      </c>
      <c r="C99" s="49">
        <f>Table134567891011121314151617343[[#This Row],[USA]]-B98</f>
        <v>0.28184700500000004</v>
      </c>
      <c r="D99" s="61">
        <f>(Table134567891011121314151617343[[#This Row],[USA]]/100 +1)^4-1</f>
        <v>3.3327282380355427E-2</v>
      </c>
    </row>
    <row r="100" spans="1:4" x14ac:dyDescent="0.2">
      <c r="A100" s="48">
        <v>26299</v>
      </c>
      <c r="B100" s="49">
        <f>VLOOKUP(A100,'Data qoq'!$B:$AT,MATCH($B$1,'Data qoq'!$B$1:$AT$1,0),FALSE)</f>
        <v>0.235783839</v>
      </c>
      <c r="C100" s="49">
        <f>Table134567891011121314151617343[[#This Row],[USA]]-B99</f>
        <v>-0.58718324600000005</v>
      </c>
      <c r="D100" s="61">
        <f>(Table134567891011121314151617343[[#This Row],[USA]]/100 +1)^4-1</f>
        <v>9.4647624348318526E-3</v>
      </c>
    </row>
    <row r="101" spans="1:4" x14ac:dyDescent="0.2">
      <c r="A101" s="48">
        <v>26390</v>
      </c>
      <c r="B101" s="49">
        <f>VLOOKUP(A101,'Data qoq'!$B:$AT,MATCH($B$1,'Data qoq'!$B$1:$AT$1,0),FALSE)</f>
        <v>1.838958884</v>
      </c>
      <c r="C101" s="49">
        <f>Table134567891011121314151617343[[#This Row],[USA]]-B100</f>
        <v>1.603175045</v>
      </c>
      <c r="D101" s="61">
        <f>(Table134567891011121314151617343[[#This Row],[USA]]/100 +1)^4-1</f>
        <v>7.5612407332194653E-2</v>
      </c>
    </row>
    <row r="102" spans="1:4" x14ac:dyDescent="0.2">
      <c r="A102" s="48">
        <v>26481</v>
      </c>
      <c r="B102" s="49">
        <f>VLOOKUP(A102,'Data qoq'!$B:$AT,MATCH($B$1,'Data qoq'!$B$1:$AT$1,0),FALSE)</f>
        <v>2.2697723540000001</v>
      </c>
      <c r="C102" s="49">
        <f>Table134567891011121314151617343[[#This Row],[USA]]-B101</f>
        <v>0.43081347000000014</v>
      </c>
      <c r="D102" s="61">
        <f>(Table134567891011121314151617343[[#This Row],[USA]]/100 +1)^4-1</f>
        <v>9.3929053757645375E-2</v>
      </c>
    </row>
    <row r="103" spans="1:4" x14ac:dyDescent="0.2">
      <c r="A103" s="48">
        <v>26573</v>
      </c>
      <c r="B103" s="49">
        <f>VLOOKUP(A103,'Data qoq'!$B:$AT,MATCH($B$1,'Data qoq'!$B$1:$AT$1,0),FALSE)</f>
        <v>0.944381888</v>
      </c>
      <c r="C103" s="49">
        <f>Table134567891011121314151617343[[#This Row],[USA]]-B102</f>
        <v>-1.325390466</v>
      </c>
      <c r="D103" s="61">
        <f>(Table134567891011121314151617343[[#This Row],[USA]]/100 +1)^4-1</f>
        <v>3.8313766779278779E-2</v>
      </c>
    </row>
    <row r="104" spans="1:4" x14ac:dyDescent="0.2">
      <c r="A104" s="48">
        <v>26665</v>
      </c>
      <c r="B104" s="49">
        <f>VLOOKUP(A104,'Data qoq'!$B:$AT,MATCH($B$1,'Data qoq'!$B$1:$AT$1,0),FALSE)</f>
        <v>1.674458738</v>
      </c>
      <c r="C104" s="49">
        <f>Table134567891011121314151617343[[#This Row],[USA]]-B103</f>
        <v>0.73007685</v>
      </c>
      <c r="D104" s="61">
        <f>(Table134567891011121314151617343[[#This Row],[USA]]/100 +1)^4-1</f>
        <v>6.8679494843229438E-2</v>
      </c>
    </row>
    <row r="105" spans="1:4" x14ac:dyDescent="0.2">
      <c r="A105" s="48">
        <v>26755</v>
      </c>
      <c r="B105" s="49">
        <f>VLOOKUP(A105,'Data qoq'!$B:$AT,MATCH($B$1,'Data qoq'!$B$1:$AT$1,0),FALSE)</f>
        <v>2.4748063770000002</v>
      </c>
      <c r="C105" s="49">
        <f>Table134567891011121314151617343[[#This Row],[USA]]-B104</f>
        <v>0.80034763900000017</v>
      </c>
      <c r="D105" s="61">
        <f>(Table134567891011121314151617343[[#This Row],[USA]]/100 +1)^4-1</f>
        <v>0.10272805961346432</v>
      </c>
    </row>
    <row r="106" spans="1:4" x14ac:dyDescent="0.2">
      <c r="A106" s="48">
        <v>26846</v>
      </c>
      <c r="B106" s="49">
        <f>VLOOKUP(A106,'Data qoq'!$B:$AT,MATCH($B$1,'Data qoq'!$B$1:$AT$1,0),FALSE)</f>
        <v>1.0886625299999999</v>
      </c>
      <c r="C106" s="49">
        <f>Table134567891011121314151617343[[#This Row],[USA]]-B105</f>
        <v>-1.3861438470000003</v>
      </c>
      <c r="D106" s="61">
        <f>(Table134567891011121314151617343[[#This Row],[USA]]/100 +1)^4-1</f>
        <v>4.426278798000749E-2</v>
      </c>
    </row>
    <row r="107" spans="1:4" x14ac:dyDescent="0.2">
      <c r="A107" s="48">
        <v>26938</v>
      </c>
      <c r="B107" s="49">
        <f>VLOOKUP(A107,'Data qoq'!$B:$AT,MATCH($B$1,'Data qoq'!$B$1:$AT$1,0),FALSE)</f>
        <v>-0.52589853600000003</v>
      </c>
      <c r="C107" s="49">
        <f>Table134567891011121314151617343[[#This Row],[USA]]-B106</f>
        <v>-1.6145610659999998</v>
      </c>
      <c r="D107" s="61">
        <f>(Table134567891011121314151617343[[#This Row],[USA]]/100 +1)^4-1</f>
        <v>-2.0870580902491498E-2</v>
      </c>
    </row>
    <row r="108" spans="1:4" x14ac:dyDescent="0.2">
      <c r="A108" s="48">
        <v>27030</v>
      </c>
      <c r="B108" s="49">
        <f>VLOOKUP(A108,'Data qoq'!$B:$AT,MATCH($B$1,'Data qoq'!$B$1:$AT$1,0),FALSE)</f>
        <v>0.94921604299999995</v>
      </c>
      <c r="C108" s="49">
        <f>Table134567891011121314151617343[[#This Row],[USA]]-B107</f>
        <v>1.475114579</v>
      </c>
      <c r="D108" s="61">
        <f>(Table134567891011121314151617343[[#This Row],[USA]]/100 +1)^4-1</f>
        <v>3.8512677512733129E-2</v>
      </c>
    </row>
    <row r="109" spans="1:4" x14ac:dyDescent="0.2">
      <c r="A109" s="48">
        <v>27120</v>
      </c>
      <c r="B109" s="49">
        <f>VLOOKUP(A109,'Data qoq'!$B:$AT,MATCH($B$1,'Data qoq'!$B$1:$AT$1,0),FALSE)</f>
        <v>-0.85977257399999996</v>
      </c>
      <c r="C109" s="49">
        <f>Table134567891011121314151617343[[#This Row],[USA]]-B108</f>
        <v>-1.8089886169999998</v>
      </c>
      <c r="D109" s="61">
        <f>(Table134567891011121314151617343[[#This Row],[USA]]/100 +1)^4-1</f>
        <v>-3.3949914374383106E-2</v>
      </c>
    </row>
    <row r="110" spans="1:4" x14ac:dyDescent="0.2">
      <c r="A110" s="48">
        <v>27211</v>
      </c>
      <c r="B110" s="49">
        <f>VLOOKUP(A110,'Data qoq'!$B:$AT,MATCH($B$1,'Data qoq'!$B$1:$AT$1,0),FALSE)</f>
        <v>0.237683227</v>
      </c>
      <c r="C110" s="49">
        <f>Table134567891011121314151617343[[#This Row],[USA]]-B109</f>
        <v>1.097455801</v>
      </c>
      <c r="D110" s="61">
        <f>(Table134567891011121314151617343[[#This Row],[USA]]/100 +1)^4-1</f>
        <v>9.5412788118083292E-3</v>
      </c>
    </row>
    <row r="111" spans="1:4" x14ac:dyDescent="0.2">
      <c r="A111" s="48">
        <v>27303</v>
      </c>
      <c r="B111" s="49">
        <f>VLOOKUP(A111,'Data qoq'!$B:$AT,MATCH($B$1,'Data qoq'!$B$1:$AT$1,0),FALSE)</f>
        <v>-0.94514277800000002</v>
      </c>
      <c r="C111" s="49">
        <f>Table134567891011121314151617343[[#This Row],[USA]]-B110</f>
        <v>-1.1828260049999999</v>
      </c>
      <c r="D111" s="61">
        <f>(Table134567891011121314151617343[[#This Row],[USA]]/100 +1)^4-1</f>
        <v>-3.7273103382542416E-2</v>
      </c>
    </row>
    <row r="112" spans="1:4" x14ac:dyDescent="0.2">
      <c r="A112" s="48">
        <v>27395</v>
      </c>
      <c r="B112" s="49">
        <f>VLOOKUP(A112,'Data qoq'!$B:$AT,MATCH($B$1,'Data qoq'!$B$1:$AT$1,0),FALSE)</f>
        <v>-0.38814078299999999</v>
      </c>
      <c r="C112" s="49">
        <f>Table134567891011121314151617343[[#This Row],[USA]]-B111</f>
        <v>0.55700199500000003</v>
      </c>
      <c r="D112" s="61">
        <f>(Table134567891011121314151617343[[#This Row],[USA]]/100 +1)^4-1</f>
        <v>-1.5435473031288005E-2</v>
      </c>
    </row>
    <row r="113" spans="1:4" x14ac:dyDescent="0.2">
      <c r="A113" s="48">
        <v>27485</v>
      </c>
      <c r="B113" s="49">
        <f>VLOOKUP(A113,'Data qoq'!$B:$AT,MATCH($B$1,'Data qoq'!$B$1:$AT$1,0),FALSE)</f>
        <v>-1.217285876</v>
      </c>
      <c r="C113" s="49">
        <f>Table134567891011121314151617343[[#This Row],[USA]]-B112</f>
        <v>-0.82914509300000006</v>
      </c>
      <c r="D113" s="61">
        <f>(Table134567891011121314151617343[[#This Row],[USA]]/100 +1)^4-1</f>
        <v>-4.7809557164128491E-2</v>
      </c>
    </row>
    <row r="114" spans="1:4" x14ac:dyDescent="0.2">
      <c r="A114" s="48">
        <v>27576</v>
      </c>
      <c r="B114" s="49">
        <f>VLOOKUP(A114,'Data qoq'!$B:$AT,MATCH($B$1,'Data qoq'!$B$1:$AT$1,0),FALSE)</f>
        <v>0.71453621599999995</v>
      </c>
      <c r="C114" s="49">
        <f>Table134567891011121314151617343[[#This Row],[USA]]-B113</f>
        <v>1.931822092</v>
      </c>
      <c r="D114" s="61">
        <f>(Table134567891011121314151617343[[#This Row],[USA]]/100 +1)^4-1</f>
        <v>2.8889247709289911E-2</v>
      </c>
    </row>
    <row r="115" spans="1:4" x14ac:dyDescent="0.2">
      <c r="A115" s="48">
        <v>27668</v>
      </c>
      <c r="B115" s="49">
        <f>VLOOKUP(A115,'Data qoq'!$B:$AT,MATCH($B$1,'Data qoq'!$B$1:$AT$1,0),FALSE)</f>
        <v>1.7116519670000001</v>
      </c>
      <c r="C115" s="49">
        <f>Table134567891011121314151617343[[#This Row],[USA]]-B114</f>
        <v>0.99711575100000016</v>
      </c>
      <c r="D115" s="61">
        <f>(Table134567891011121314151617343[[#This Row],[USA]]/100 +1)^4-1</f>
        <v>7.0244074854393324E-2</v>
      </c>
    </row>
    <row r="116" spans="1:4" x14ac:dyDescent="0.2">
      <c r="A116" s="48">
        <v>27760</v>
      </c>
      <c r="B116" s="49">
        <f>VLOOKUP(A116,'Data qoq'!$B:$AT,MATCH($B$1,'Data qoq'!$B$1:$AT$1,0),FALSE)</f>
        <v>1.346524152</v>
      </c>
      <c r="C116" s="49">
        <f>Table134567891011121314151617343[[#This Row],[USA]]-B115</f>
        <v>-0.36512781500000013</v>
      </c>
      <c r="D116" s="61">
        <f>(Table134567891011121314151617343[[#This Row],[USA]]/100 +1)^4-1</f>
        <v>5.4958641008214348E-2</v>
      </c>
    </row>
    <row r="117" spans="1:4" x14ac:dyDescent="0.2">
      <c r="A117" s="48">
        <v>27851</v>
      </c>
      <c r="B117" s="49">
        <f>VLOOKUP(A117,'Data qoq'!$B:$AT,MATCH($B$1,'Data qoq'!$B$1:$AT$1,0),FALSE)</f>
        <v>2.2487601210000001</v>
      </c>
      <c r="C117" s="49">
        <f>Table134567891011121314151617343[[#This Row],[USA]]-B116</f>
        <v>0.90223596900000014</v>
      </c>
      <c r="D117" s="61">
        <f>(Table134567891011121314151617343[[#This Row],[USA]]/100 +1)^4-1</f>
        <v>9.3030301032539509E-2</v>
      </c>
    </row>
    <row r="118" spans="1:4" x14ac:dyDescent="0.2">
      <c r="A118" s="48">
        <v>27942</v>
      </c>
      <c r="B118" s="49">
        <f>VLOOKUP(A118,'Data qoq'!$B:$AT,MATCH($B$1,'Data qoq'!$B$1:$AT$1,0),FALSE)</f>
        <v>0.73370057700000002</v>
      </c>
      <c r="C118" s="49">
        <f>Table134567891011121314151617343[[#This Row],[USA]]-B117</f>
        <v>-1.5150595440000001</v>
      </c>
      <c r="D118" s="61">
        <f>(Table134567891011121314151617343[[#This Row],[USA]]/100 +1)^4-1</f>
        <v>2.9672595752475495E-2</v>
      </c>
    </row>
    <row r="119" spans="1:4" x14ac:dyDescent="0.2">
      <c r="A119" s="48">
        <v>28034</v>
      </c>
      <c r="B119" s="49">
        <f>VLOOKUP(A119,'Data qoq'!$B:$AT,MATCH($B$1,'Data qoq'!$B$1:$AT$1,0),FALSE)</f>
        <v>0.54870576400000004</v>
      </c>
      <c r="C119" s="49">
        <f>Table134567891011121314151617343[[#This Row],[USA]]-B118</f>
        <v>-0.18499481299999998</v>
      </c>
      <c r="D119" s="61">
        <f>(Table134567891011121314151617343[[#This Row],[USA]]/100 +1)^4-1</f>
        <v>2.2129539088717509E-2</v>
      </c>
    </row>
    <row r="120" spans="1:4" x14ac:dyDescent="0.2">
      <c r="A120" s="48">
        <v>28126</v>
      </c>
      <c r="B120" s="49">
        <f>VLOOKUP(A120,'Data qoq'!$B:$AT,MATCH($B$1,'Data qoq'!$B$1:$AT$1,0),FALSE)</f>
        <v>0.72485097799999998</v>
      </c>
      <c r="C120" s="49">
        <f>Table134567891011121314151617343[[#This Row],[USA]]-B119</f>
        <v>0.17614521399999994</v>
      </c>
      <c r="D120" s="61">
        <f>(Table134567891011121314151617343[[#This Row],[USA]]/100 +1)^4-1</f>
        <v>2.9310810617466876E-2</v>
      </c>
    </row>
    <row r="121" spans="1:4" x14ac:dyDescent="0.2">
      <c r="A121" s="48">
        <v>28216</v>
      </c>
      <c r="B121" s="49">
        <f>VLOOKUP(A121,'Data qoq'!$B:$AT,MATCH($B$1,'Data qoq'!$B$1:$AT$1,0),FALSE)</f>
        <v>1.181483598</v>
      </c>
      <c r="C121" s="49">
        <f>Table134567891011121314151617343[[#This Row],[USA]]-B120</f>
        <v>0.45663262000000004</v>
      </c>
      <c r="D121" s="61">
        <f>(Table134567891011121314151617343[[#This Row],[USA]]/100 +1)^4-1</f>
        <v>4.8103502449194258E-2</v>
      </c>
    </row>
    <row r="122" spans="1:4" x14ac:dyDescent="0.2">
      <c r="A122" s="48">
        <v>28307</v>
      </c>
      <c r="B122" s="49">
        <f>VLOOKUP(A122,'Data qoq'!$B:$AT,MATCH($B$1,'Data qoq'!$B$1:$AT$1,0),FALSE)</f>
        <v>1.944113078</v>
      </c>
      <c r="C122" s="49">
        <f>Table134567891011121314151617343[[#This Row],[USA]]-B121</f>
        <v>0.76262947999999997</v>
      </c>
      <c r="D122" s="61">
        <f>(Table134567891011121314151617343[[#This Row],[USA]]/100 +1)^4-1</f>
        <v>8.0061803057831948E-2</v>
      </c>
    </row>
    <row r="123" spans="1:4" x14ac:dyDescent="0.2">
      <c r="A123" s="48">
        <v>28399</v>
      </c>
      <c r="B123" s="49">
        <f>VLOOKUP(A123,'Data qoq'!$B:$AT,MATCH($B$1,'Data qoq'!$B$1:$AT$1,0),FALSE)</f>
        <v>1.8043558989999999</v>
      </c>
      <c r="C123" s="49">
        <f>Table134567891011121314151617343[[#This Row],[USA]]-B122</f>
        <v>-0.13975717900000006</v>
      </c>
      <c r="D123" s="61">
        <f>(Table134567891011121314151617343[[#This Row],[USA]]/100 +1)^4-1</f>
        <v>7.4151259849511764E-2</v>
      </c>
    </row>
    <row r="124" spans="1:4" x14ac:dyDescent="0.2">
      <c r="A124" s="48">
        <v>28491</v>
      </c>
      <c r="B124" s="49">
        <f>VLOOKUP(A124,'Data qoq'!$B:$AT,MATCH($B$1,'Data qoq'!$B$1:$AT$1,0),FALSE)</f>
        <v>2.1857719999999999E-3</v>
      </c>
      <c r="C124" s="49">
        <f>Table134567891011121314151617343[[#This Row],[USA]]-B123</f>
        <v>-1.8021701269999999</v>
      </c>
      <c r="D124" s="61">
        <f>(Table134567891011121314151617343[[#This Row],[USA]]/100 +1)^4-1</f>
        <v>8.7433746601028872E-5</v>
      </c>
    </row>
    <row r="125" spans="1:4" x14ac:dyDescent="0.2">
      <c r="A125" s="48">
        <v>28581</v>
      </c>
      <c r="B125" s="49">
        <f>VLOOKUP(A125,'Data qoq'!$B:$AT,MATCH($B$1,'Data qoq'!$B$1:$AT$1,0),FALSE)</f>
        <v>0.31916324099999999</v>
      </c>
      <c r="C125" s="49">
        <f>Table134567891011121314151617343[[#This Row],[USA]]-B124</f>
        <v>0.31697746900000001</v>
      </c>
      <c r="D125" s="61">
        <f>(Table134567891011121314151617343[[#This Row],[USA]]/100 +1)^4-1</f>
        <v>1.2827778894885844E-2</v>
      </c>
    </row>
    <row r="126" spans="1:4" x14ac:dyDescent="0.2">
      <c r="A126" s="48">
        <v>28672</v>
      </c>
      <c r="B126" s="49">
        <f>VLOOKUP(A126,'Data qoq'!$B:$AT,MATCH($B$1,'Data qoq'!$B$1:$AT$1,0),FALSE)</f>
        <v>3.8642701879999999</v>
      </c>
      <c r="C126" s="49">
        <f>Table134567891011121314151617343[[#This Row],[USA]]-B125</f>
        <v>3.5451069469999998</v>
      </c>
      <c r="D126" s="61">
        <f>(Table134567891011121314151617343[[#This Row],[USA]]/100 +1)^4-1</f>
        <v>0.16376340195024519</v>
      </c>
    </row>
    <row r="127" spans="1:4" x14ac:dyDescent="0.2">
      <c r="A127" s="48">
        <v>28764</v>
      </c>
      <c r="B127" s="49">
        <f>VLOOKUP(A127,'Data qoq'!$B:$AT,MATCH($B$1,'Data qoq'!$B$1:$AT$1,0),FALSE)</f>
        <v>1.0055171270000001</v>
      </c>
      <c r="C127" s="49">
        <f>Table134567891011121314151617343[[#This Row],[USA]]-B126</f>
        <v>-2.8587530609999998</v>
      </c>
      <c r="D127" s="61">
        <f>(Table134567891011121314151617343[[#This Row],[USA]]/100 +1)^4-1</f>
        <v>4.08314006895929E-2</v>
      </c>
    </row>
    <row r="128" spans="1:4" x14ac:dyDescent="0.2">
      <c r="A128" s="48">
        <v>28856</v>
      </c>
      <c r="B128" s="49">
        <f>VLOOKUP(A128,'Data qoq'!$B:$AT,MATCH($B$1,'Data qoq'!$B$1:$AT$1,0),FALSE)</f>
        <v>1.3441430640000001</v>
      </c>
      <c r="C128" s="49">
        <f>Table134567891011121314151617343[[#This Row],[USA]]-B127</f>
        <v>0.33862593699999999</v>
      </c>
      <c r="D128" s="61">
        <f>(Table134567891011121314151617343[[#This Row],[USA]]/100 +1)^4-1</f>
        <v>5.4859501512017461E-2</v>
      </c>
    </row>
    <row r="129" spans="1:4" x14ac:dyDescent="0.2">
      <c r="A129" s="48">
        <v>28946</v>
      </c>
      <c r="B129" s="49">
        <f>VLOOKUP(A129,'Data qoq'!$B:$AT,MATCH($B$1,'Data qoq'!$B$1:$AT$1,0),FALSE)</f>
        <v>0.17978728799999999</v>
      </c>
      <c r="C129" s="49">
        <f>Table134567891011121314151617343[[#This Row],[USA]]-B128</f>
        <v>-1.1643557760000001</v>
      </c>
      <c r="D129" s="61">
        <f>(Table134567891011121314151617343[[#This Row],[USA]]/100 +1)^4-1</f>
        <v>7.2109088571994384E-3</v>
      </c>
    </row>
    <row r="130" spans="1:4" x14ac:dyDescent="0.2">
      <c r="A130" s="48">
        <v>29037</v>
      </c>
      <c r="B130" s="49">
        <f>VLOOKUP(A130,'Data qoq'!$B:$AT,MATCH($B$1,'Data qoq'!$B$1:$AT$1,0),FALSE)</f>
        <v>0.10691983100000001</v>
      </c>
      <c r="C130" s="49">
        <f>Table134567891011121314151617343[[#This Row],[USA]]-B129</f>
        <v>-7.2867456999999983E-2</v>
      </c>
      <c r="D130" s="61">
        <f>(Table134567891011121314151617343[[#This Row],[USA]]/100 +1)^4-1</f>
        <v>4.2836572406295126E-3</v>
      </c>
    </row>
    <row r="131" spans="1:4" x14ac:dyDescent="0.2">
      <c r="A131" s="48">
        <v>29129</v>
      </c>
      <c r="B131" s="49">
        <f>VLOOKUP(A131,'Data qoq'!$B:$AT,MATCH($B$1,'Data qoq'!$B$1:$AT$1,0),FALSE)</f>
        <v>0.74287146800000003</v>
      </c>
      <c r="C131" s="49">
        <f>Table134567891011121314151617343[[#This Row],[USA]]-B130</f>
        <v>0.63595163700000001</v>
      </c>
      <c r="D131" s="61">
        <f>(Table134567891011121314151617343[[#This Row],[USA]]/100 +1)^4-1</f>
        <v>3.0047616414557554E-2</v>
      </c>
    </row>
    <row r="132" spans="1:4" x14ac:dyDescent="0.2">
      <c r="A132" s="48">
        <v>29221</v>
      </c>
      <c r="B132" s="49">
        <f>VLOOKUP(A132,'Data qoq'!$B:$AT,MATCH($B$1,'Data qoq'!$B$1:$AT$1,0),FALSE)</f>
        <v>0.25007503399999997</v>
      </c>
      <c r="C132" s="49">
        <f>Table134567891011121314151617343[[#This Row],[USA]]-B131</f>
        <v>-0.49279643400000006</v>
      </c>
      <c r="D132" s="61">
        <f>(Table134567891011121314151617343[[#This Row],[USA]]/100 +1)^4-1</f>
        <v>1.0040586468980095E-2</v>
      </c>
    </row>
    <row r="133" spans="1:4" x14ac:dyDescent="0.2">
      <c r="A133" s="48">
        <v>29312</v>
      </c>
      <c r="B133" s="49">
        <f>VLOOKUP(A133,'Data qoq'!$B:$AT,MATCH($B$1,'Data qoq'!$B$1:$AT$1,0),FALSE)</f>
        <v>0.31451907600000001</v>
      </c>
      <c r="C133" s="49">
        <f>Table134567891011121314151617343[[#This Row],[USA]]-B132</f>
        <v>6.4444042000000035E-2</v>
      </c>
      <c r="D133" s="61">
        <f>(Table134567891011121314151617343[[#This Row],[USA]]/100 +1)^4-1</f>
        <v>1.2640240939094216E-2</v>
      </c>
    </row>
    <row r="134" spans="1:4" x14ac:dyDescent="0.2">
      <c r="A134" s="48">
        <v>29403</v>
      </c>
      <c r="B134" s="49">
        <f>VLOOKUP(A134,'Data qoq'!$B:$AT,MATCH($B$1,'Data qoq'!$B$1:$AT$1,0),FALSE)</f>
        <v>-2.0604721640000001</v>
      </c>
      <c r="C134" s="49">
        <f>Table134567891011121314151617343[[#This Row],[USA]]-B133</f>
        <v>-2.3749912399999999</v>
      </c>
      <c r="D134" s="61">
        <f>(Table134567891011121314151617343[[#This Row],[USA]]/100 +1)^4-1</f>
        <v>-7.990637030387282E-2</v>
      </c>
    </row>
    <row r="135" spans="1:4" x14ac:dyDescent="0.2">
      <c r="A135" s="48">
        <v>29495</v>
      </c>
      <c r="B135" s="49">
        <f>VLOOKUP(A135,'Data qoq'!$B:$AT,MATCH($B$1,'Data qoq'!$B$1:$AT$1,0),FALSE)</f>
        <v>-0.118847117</v>
      </c>
      <c r="C135" s="49">
        <f>Table134567891011121314151617343[[#This Row],[USA]]-B134</f>
        <v>1.941625047</v>
      </c>
      <c r="D135" s="61">
        <f>(Table134567891011121314151617343[[#This Row],[USA]]/100 +1)^4-1</f>
        <v>-4.7454166103630957E-3</v>
      </c>
    </row>
    <row r="136" spans="1:4" x14ac:dyDescent="0.2">
      <c r="A136" s="48">
        <v>29587</v>
      </c>
      <c r="B136" s="49">
        <f>VLOOKUP(A136,'Data qoq'!$B:$AT,MATCH($B$1,'Data qoq'!$B$1:$AT$1,0),FALSE)</f>
        <v>1.864925605</v>
      </c>
      <c r="C136" s="49">
        <f>Table134567891011121314151617343[[#This Row],[USA]]-B135</f>
        <v>1.9837727220000001</v>
      </c>
      <c r="D136" s="61">
        <f>(Table134567891011121314151617343[[#This Row],[USA]]/100 +1)^4-1</f>
        <v>7.6709858121973173E-2</v>
      </c>
    </row>
    <row r="137" spans="1:4" x14ac:dyDescent="0.2">
      <c r="A137" s="48">
        <v>29677</v>
      </c>
      <c r="B137" s="49">
        <f>VLOOKUP(A137,'Data qoq'!$B:$AT,MATCH($B$1,'Data qoq'!$B$1:$AT$1,0),FALSE)</f>
        <v>1.959429461</v>
      </c>
      <c r="C137" s="49">
        <f>Table134567891011121314151617343[[#This Row],[USA]]-B136</f>
        <v>9.4503855999999997E-2</v>
      </c>
      <c r="D137" s="61">
        <f>(Table134567891011121314151617343[[#This Row],[USA]]/100 +1)^4-1</f>
        <v>8.0711035984989854E-2</v>
      </c>
    </row>
    <row r="138" spans="1:4" x14ac:dyDescent="0.2">
      <c r="A138" s="48">
        <v>29768</v>
      </c>
      <c r="B138" s="49">
        <f>VLOOKUP(A138,'Data qoq'!$B:$AT,MATCH($B$1,'Data qoq'!$B$1:$AT$1,0),FALSE)</f>
        <v>-0.74106361300000001</v>
      </c>
      <c r="C138" s="49">
        <f>Table134567891011121314151617343[[#This Row],[USA]]-B137</f>
        <v>-2.7004930740000002</v>
      </c>
      <c r="D138" s="61">
        <f>(Table134567891011121314151617343[[#This Row],[USA]]/100 +1)^4-1</f>
        <v>-2.9314664232221954E-2</v>
      </c>
    </row>
    <row r="139" spans="1:4" x14ac:dyDescent="0.2">
      <c r="A139" s="48">
        <v>29860</v>
      </c>
      <c r="B139" s="49">
        <f>VLOOKUP(A139,'Data qoq'!$B:$AT,MATCH($B$1,'Data qoq'!$B$1:$AT$1,0),FALSE)</f>
        <v>1.19752521</v>
      </c>
      <c r="C139" s="49">
        <f>Table134567891011121314151617343[[#This Row],[USA]]-B138</f>
        <v>1.9385888229999999</v>
      </c>
      <c r="D139" s="61">
        <f>(Table134567891011121314151617343[[#This Row],[USA]]/100 +1)^4-1</f>
        <v>4.8768338266384603E-2</v>
      </c>
    </row>
    <row r="140" spans="1:4" x14ac:dyDescent="0.2">
      <c r="A140" s="48">
        <v>29952</v>
      </c>
      <c r="B140" s="49">
        <f>VLOOKUP(A140,'Data qoq'!$B:$AT,MATCH($B$1,'Data qoq'!$B$1:$AT$1,0),FALSE)</f>
        <v>-1.0895640870000001</v>
      </c>
      <c r="C140" s="49">
        <f>Table134567891011121314151617343[[#This Row],[USA]]-B139</f>
        <v>-2.2870892970000001</v>
      </c>
      <c r="D140" s="61">
        <f>(Table134567891011121314151617343[[#This Row],[USA]]/100 +1)^4-1</f>
        <v>-4.2875433350529679E-2</v>
      </c>
    </row>
    <row r="141" spans="1:4" x14ac:dyDescent="0.2">
      <c r="A141" s="48">
        <v>30042</v>
      </c>
      <c r="B141" s="49">
        <f>VLOOKUP(A141,'Data qoq'!$B:$AT,MATCH($B$1,'Data qoq'!$B$1:$AT$1,0),FALSE)</f>
        <v>-1.5535444789999999</v>
      </c>
      <c r="C141" s="49">
        <f>Table134567891011121314151617343[[#This Row],[USA]]-B140</f>
        <v>-0.46398039199999985</v>
      </c>
      <c r="D141" s="61">
        <f>(Table134567891011121314151617343[[#This Row],[USA]]/100 +1)^4-1</f>
        <v>-6.0708618562402727E-2</v>
      </c>
    </row>
    <row r="142" spans="1:4" x14ac:dyDescent="0.2">
      <c r="A142" s="48">
        <v>30133</v>
      </c>
      <c r="B142" s="49">
        <f>VLOOKUP(A142,'Data qoq'!$B:$AT,MATCH($B$1,'Data qoq'!$B$1:$AT$1,0),FALSE)</f>
        <v>0.45619851500000003</v>
      </c>
      <c r="C142" s="49">
        <f>Table134567891011121314151617343[[#This Row],[USA]]-B141</f>
        <v>2.0097429939999998</v>
      </c>
      <c r="D142" s="61">
        <f>(Table134567891011121314151617343[[#This Row],[USA]]/100 +1)^4-1</f>
        <v>1.8373191055000904E-2</v>
      </c>
    </row>
    <row r="143" spans="1:4" x14ac:dyDescent="0.2">
      <c r="A143" s="48">
        <v>30225</v>
      </c>
      <c r="B143" s="49">
        <f>VLOOKUP(A143,'Data qoq'!$B:$AT,MATCH($B$1,'Data qoq'!$B$1:$AT$1,0),FALSE)</f>
        <v>-0.38229927400000002</v>
      </c>
      <c r="C143" s="49">
        <f>Table134567891011121314151617343[[#This Row],[USA]]-B142</f>
        <v>-0.83849778900000005</v>
      </c>
      <c r="D143" s="61">
        <f>(Table134567891011121314151617343[[#This Row],[USA]]/100 +1)^4-1</f>
        <v>-1.5204502601790848E-2</v>
      </c>
    </row>
    <row r="144" spans="1:4" x14ac:dyDescent="0.2">
      <c r="A144" s="48">
        <v>30317</v>
      </c>
      <c r="B144" s="49">
        <f>VLOOKUP(A144,'Data qoq'!$B:$AT,MATCH($B$1,'Data qoq'!$B$1:$AT$1,0),FALSE)</f>
        <v>3.9946273999999997E-2</v>
      </c>
      <c r="C144" s="49">
        <f>Table134567891011121314151617343[[#This Row],[USA]]-B143</f>
        <v>0.42224554800000003</v>
      </c>
      <c r="D144" s="61">
        <f>(Table134567891011121314151617343[[#This Row],[USA]]/100 +1)^4-1</f>
        <v>1.598808637878868E-3</v>
      </c>
    </row>
    <row r="145" spans="1:4" x14ac:dyDescent="0.2">
      <c r="A145" s="48">
        <v>30407</v>
      </c>
      <c r="B145" s="49">
        <f>VLOOKUP(A145,'Data qoq'!$B:$AT,MATCH($B$1,'Data qoq'!$B$1:$AT$1,0),FALSE)</f>
        <v>1.3178475759999999</v>
      </c>
      <c r="C145" s="49">
        <f>Table134567891011121314151617343[[#This Row],[USA]]-B144</f>
        <v>1.2779013019999999</v>
      </c>
      <c r="D145" s="61">
        <f>(Table134567891011121314151617343[[#This Row],[USA]]/100 +1)^4-1</f>
        <v>5.3765121482925338E-2</v>
      </c>
    </row>
    <row r="146" spans="1:4" x14ac:dyDescent="0.2">
      <c r="A146" s="48">
        <v>30498</v>
      </c>
      <c r="B146" s="49">
        <f>VLOOKUP(A146,'Data qoq'!$B:$AT,MATCH($B$1,'Data qoq'!$B$1:$AT$1,0),FALSE)</f>
        <v>2.2756124390000001</v>
      </c>
      <c r="C146" s="49">
        <f>Table134567891011121314151617343[[#This Row],[USA]]-B145</f>
        <v>0.95776486300000019</v>
      </c>
      <c r="D146" s="61">
        <f>(Table134567891011121314151617343[[#This Row],[USA]]/100 +1)^4-1</f>
        <v>9.4178949137820434E-2</v>
      </c>
    </row>
    <row r="147" spans="1:4" x14ac:dyDescent="0.2">
      <c r="A147" s="48">
        <v>30590</v>
      </c>
      <c r="B147" s="49">
        <f>VLOOKUP(A147,'Data qoq'!$B:$AT,MATCH($B$1,'Data qoq'!$B$1:$AT$1,0),FALSE)</f>
        <v>1.9990642940000001</v>
      </c>
      <c r="C147" s="49">
        <f>Table134567891011121314151617343[[#This Row],[USA]]-B146</f>
        <v>-0.27654814500000002</v>
      </c>
      <c r="D147" s="61">
        <f>(Table134567891011121314151617343[[#This Row],[USA]]/100 +1)^4-1</f>
        <v>8.2392441398833949E-2</v>
      </c>
    </row>
    <row r="148" spans="1:4" x14ac:dyDescent="0.2">
      <c r="A148" s="48">
        <v>30682</v>
      </c>
      <c r="B148" s="49">
        <f>VLOOKUP(A148,'Data qoq'!$B:$AT,MATCH($B$1,'Data qoq'!$B$1:$AT$1,0),FALSE)</f>
        <v>2.0862174790000001</v>
      </c>
      <c r="C148" s="49">
        <f>Table134567891011121314151617343[[#This Row],[USA]]-B147</f>
        <v>8.7153185000000022E-2</v>
      </c>
      <c r="D148" s="61">
        <f>(Table134567891011121314151617343[[#This Row],[USA]]/100 +1)^4-1</f>
        <v>8.6096590012712193E-2</v>
      </c>
    </row>
    <row r="149" spans="1:4" x14ac:dyDescent="0.2">
      <c r="A149" s="48">
        <v>30773</v>
      </c>
      <c r="B149" s="49">
        <f>VLOOKUP(A149,'Data qoq'!$B:$AT,MATCH($B$1,'Data qoq'!$B$1:$AT$1,0),FALSE)</f>
        <v>1.954770289</v>
      </c>
      <c r="C149" s="49">
        <f>Table134567891011121314151617343[[#This Row],[USA]]-B148</f>
        <v>-0.13144719000000005</v>
      </c>
      <c r="D149" s="61">
        <f>(Table134567891011121314151617343[[#This Row],[USA]]/100 +1)^4-1</f>
        <v>8.0513511400964299E-2</v>
      </c>
    </row>
    <row r="150" spans="1:4" x14ac:dyDescent="0.2">
      <c r="A150" s="48">
        <v>30864</v>
      </c>
      <c r="B150" s="49">
        <f>VLOOKUP(A150,'Data qoq'!$B:$AT,MATCH($B$1,'Data qoq'!$B$1:$AT$1,0),FALSE)</f>
        <v>1.727792663</v>
      </c>
      <c r="C150" s="49">
        <f>Table134567891011121314151617343[[#This Row],[USA]]-B149</f>
        <v>-0.22697762600000004</v>
      </c>
      <c r="D150" s="61">
        <f>(Table134567891011121314151617343[[#This Row],[USA]]/100 +1)^4-1</f>
        <v>7.0923587823049861E-2</v>
      </c>
    </row>
    <row r="151" spans="1:4" x14ac:dyDescent="0.2">
      <c r="A151" s="48">
        <v>30956</v>
      </c>
      <c r="B151" s="49">
        <f>VLOOKUP(A151,'Data qoq'!$B:$AT,MATCH($B$1,'Data qoq'!$B$1:$AT$1,0),FALSE)</f>
        <v>0.96406362800000001</v>
      </c>
      <c r="C151" s="49">
        <f>Table134567891011121314151617343[[#This Row],[USA]]-B150</f>
        <v>-0.763729035</v>
      </c>
      <c r="D151" s="61">
        <f>(Table134567891011121314151617343[[#This Row],[USA]]/100 +1)^4-1</f>
        <v>3.9123789040463652E-2</v>
      </c>
    </row>
    <row r="152" spans="1:4" x14ac:dyDescent="0.2">
      <c r="A152" s="48">
        <v>31048</v>
      </c>
      <c r="B152" s="49">
        <f>VLOOKUP(A152,'Data qoq'!$B:$AT,MATCH($B$1,'Data qoq'!$B$1:$AT$1,0),FALSE)</f>
        <v>0.82085714600000004</v>
      </c>
      <c r="C152" s="49">
        <f>Table134567891011121314151617343[[#This Row],[USA]]-B151</f>
        <v>-0.14320648199999997</v>
      </c>
      <c r="D152" s="61">
        <f>(Table134567891011121314151617343[[#This Row],[USA]]/100 +1)^4-1</f>
        <v>3.3240786648006448E-2</v>
      </c>
    </row>
    <row r="153" spans="1:4" x14ac:dyDescent="0.2">
      <c r="A153" s="48">
        <v>31138</v>
      </c>
      <c r="B153" s="49">
        <f>VLOOKUP(A153,'Data qoq'!$B:$AT,MATCH($B$1,'Data qoq'!$B$1:$AT$1,0),FALSE)</f>
        <v>0.96907230099999997</v>
      </c>
      <c r="C153" s="49">
        <f>Table134567891011121314151617343[[#This Row],[USA]]-B152</f>
        <v>0.14821515499999993</v>
      </c>
      <c r="D153" s="61">
        <f>(Table134567891011121314151617343[[#This Row],[USA]]/100 +1)^4-1</f>
        <v>3.9330001761399558E-2</v>
      </c>
    </row>
    <row r="154" spans="1:4" x14ac:dyDescent="0.2">
      <c r="A154" s="48">
        <v>31229</v>
      </c>
      <c r="B154" s="49">
        <f>VLOOKUP(A154,'Data qoq'!$B:$AT,MATCH($B$1,'Data qoq'!$B$1:$AT$1,0),FALSE)</f>
        <v>0.88046635299999998</v>
      </c>
      <c r="C154" s="49">
        <f>Table134567891011121314151617343[[#This Row],[USA]]-B153</f>
        <v>-8.860594799999999E-2</v>
      </c>
      <c r="D154" s="61">
        <f>(Table134567891011121314151617343[[#This Row],[USA]]/100 +1)^4-1</f>
        <v>3.5686522952957711E-2</v>
      </c>
    </row>
    <row r="155" spans="1:4" x14ac:dyDescent="0.2">
      <c r="A155" s="48">
        <v>31321</v>
      </c>
      <c r="B155" s="49">
        <f>VLOOKUP(A155,'Data qoq'!$B:$AT,MATCH($B$1,'Data qoq'!$B$1:$AT$1,0),FALSE)</f>
        <v>1.527121263</v>
      </c>
      <c r="C155" s="49">
        <f>Table134567891011121314151617343[[#This Row],[USA]]-B154</f>
        <v>0.64665490999999997</v>
      </c>
      <c r="D155" s="61">
        <f>(Table134567891011121314151617343[[#This Row],[USA]]/100 +1)^4-1</f>
        <v>6.2498410112049152E-2</v>
      </c>
    </row>
    <row r="156" spans="1:4" x14ac:dyDescent="0.2">
      <c r="A156" s="48">
        <v>31413</v>
      </c>
      <c r="B156" s="49">
        <f>VLOOKUP(A156,'Data qoq'!$B:$AT,MATCH($B$1,'Data qoq'!$B$1:$AT$1,0),FALSE)</f>
        <v>0.743327344</v>
      </c>
      <c r="C156" s="49">
        <f>Table134567891011121314151617343[[#This Row],[USA]]-B155</f>
        <v>-0.78379391899999995</v>
      </c>
      <c r="D156" s="61">
        <f>(Table134567891011121314151617343[[#This Row],[USA]]/100 +1)^4-1</f>
        <v>3.0066260996260974E-2</v>
      </c>
    </row>
    <row r="157" spans="1:4" x14ac:dyDescent="0.2">
      <c r="A157" s="48">
        <v>31503</v>
      </c>
      <c r="B157" s="49">
        <f>VLOOKUP(A157,'Data qoq'!$B:$AT,MATCH($B$1,'Data qoq'!$B$1:$AT$1,0),FALSE)</f>
        <v>0.93352470799999998</v>
      </c>
      <c r="C157" s="49">
        <f>Table134567891011121314151617343[[#This Row],[USA]]-B156</f>
        <v>0.19019736399999998</v>
      </c>
      <c r="D157" s="61">
        <f>(Table134567891011121314151617343[[#This Row],[USA]]/100 +1)^4-1</f>
        <v>3.7867131091900985E-2</v>
      </c>
    </row>
    <row r="158" spans="1:4" x14ac:dyDescent="0.2">
      <c r="A158" s="48">
        <v>31594</v>
      </c>
      <c r="B158" s="49">
        <f>VLOOKUP(A158,'Data qoq'!$B:$AT,MATCH($B$1,'Data qoq'!$B$1:$AT$1,0),FALSE)</f>
        <v>0.45037736299999998</v>
      </c>
      <c r="C158" s="49">
        <f>Table134567891011121314151617343[[#This Row],[USA]]-B157</f>
        <v>-0.48314734500000001</v>
      </c>
      <c r="D158" s="61">
        <f>(Table134567891011121314151617343[[#This Row],[USA]]/100 +1)^4-1</f>
        <v>1.8137164210662693E-2</v>
      </c>
    </row>
    <row r="159" spans="1:4" x14ac:dyDescent="0.2">
      <c r="A159" s="48">
        <v>31686</v>
      </c>
      <c r="B159" s="49">
        <f>VLOOKUP(A159,'Data qoq'!$B:$AT,MATCH($B$1,'Data qoq'!$B$1:$AT$1,0),FALSE)</f>
        <v>0.95699288599999999</v>
      </c>
      <c r="C159" s="49">
        <f>Table134567891011121314151617343[[#This Row],[USA]]-B158</f>
        <v>0.50661552300000001</v>
      </c>
      <c r="D159" s="61">
        <f>(Table134567891011121314151617343[[#This Row],[USA]]/100 +1)^4-1</f>
        <v>3.8832730849645447E-2</v>
      </c>
    </row>
    <row r="160" spans="1:4" x14ac:dyDescent="0.2">
      <c r="A160" s="48">
        <v>31778</v>
      </c>
      <c r="B160" s="49">
        <f>VLOOKUP(A160,'Data qoq'!$B:$AT,MATCH($B$1,'Data qoq'!$B$1:$AT$1,0),FALSE)</f>
        <v>0.53698571799999995</v>
      </c>
      <c r="C160" s="49">
        <f>Table134567891011121314151617343[[#This Row],[USA]]-B159</f>
        <v>-0.42000716800000004</v>
      </c>
      <c r="D160" s="61">
        <f>(Table134567891011121314151617343[[#This Row],[USA]]/100 +1)^4-1</f>
        <v>2.1653061115471495E-2</v>
      </c>
    </row>
    <row r="161" spans="1:4" x14ac:dyDescent="0.2">
      <c r="A161" s="48">
        <v>31868</v>
      </c>
      <c r="B161" s="49">
        <f>VLOOKUP(A161,'Data qoq'!$B:$AT,MATCH($B$1,'Data qoq'!$B$1:$AT$1,0),FALSE)</f>
        <v>0.74501963000000004</v>
      </c>
      <c r="C161" s="49">
        <f>Table134567891011121314151617343[[#This Row],[USA]]-B160</f>
        <v>0.2080339120000001</v>
      </c>
      <c r="D161" s="61">
        <f>(Table134567891011121314151617343[[#This Row],[USA]]/100 +1)^4-1</f>
        <v>3.0135474935548467E-2</v>
      </c>
    </row>
    <row r="162" spans="1:4" x14ac:dyDescent="0.2">
      <c r="A162" s="48">
        <v>31959</v>
      </c>
      <c r="B162" s="49">
        <f>VLOOKUP(A162,'Data qoq'!$B:$AT,MATCH($B$1,'Data qoq'!$B$1:$AT$1,0),FALSE)</f>
        <v>1.078842316</v>
      </c>
      <c r="C162" s="49">
        <f>Table134567891011121314151617343[[#This Row],[USA]]-B161</f>
        <v>0.33382268599999998</v>
      </c>
      <c r="D162" s="61">
        <f>(Table134567891011121314151617343[[#This Row],[USA]]/100 +1)^4-1</f>
        <v>4.3857069293816497E-2</v>
      </c>
    </row>
    <row r="163" spans="1:4" x14ac:dyDescent="0.2">
      <c r="A163" s="48">
        <v>32051</v>
      </c>
      <c r="B163" s="49">
        <f>VLOOKUP(A163,'Data qoq'!$B:$AT,MATCH($B$1,'Data qoq'!$B$1:$AT$1,0),FALSE)</f>
        <v>0.86756685600000005</v>
      </c>
      <c r="C163" s="49">
        <f>Table134567891011121314151617343[[#This Row],[USA]]-B162</f>
        <v>-0.21127545999999997</v>
      </c>
      <c r="D163" s="61">
        <f>(Table134567891011121314151617343[[#This Row],[USA]]/100 +1)^4-1</f>
        <v>3.5156895228921625E-2</v>
      </c>
    </row>
    <row r="164" spans="1:4" x14ac:dyDescent="0.2">
      <c r="A164" s="48">
        <v>32143</v>
      </c>
      <c r="B164" s="49">
        <f>VLOOKUP(A164,'Data qoq'!$B:$AT,MATCH($B$1,'Data qoq'!$B$1:$AT$1,0),FALSE)</f>
        <v>1.717036096</v>
      </c>
      <c r="C164" s="49">
        <f>Table134567891011121314151617343[[#This Row],[USA]]-B163</f>
        <v>0.8494692399999999</v>
      </c>
      <c r="D164" s="61">
        <f>(Table134567891011121314151617343[[#This Row],[USA]]/100 +1)^4-1</f>
        <v>7.0470707284826073E-2</v>
      </c>
    </row>
    <row r="165" spans="1:4" x14ac:dyDescent="0.2">
      <c r="A165" s="48">
        <v>32234</v>
      </c>
      <c r="B165" s="49">
        <f>VLOOKUP(A165,'Data qoq'!$B:$AT,MATCH($B$1,'Data qoq'!$B$1:$AT$1,0),FALSE)</f>
        <v>0.516654167</v>
      </c>
      <c r="C165" s="49">
        <f>Table134567891011121314151617343[[#This Row],[USA]]-B164</f>
        <v>-1.200381929</v>
      </c>
      <c r="D165" s="61">
        <f>(Table134567891011121314151617343[[#This Row],[USA]]/100 +1)^4-1</f>
        <v>2.0826877954637002E-2</v>
      </c>
    </row>
    <row r="166" spans="1:4" x14ac:dyDescent="0.2">
      <c r="A166" s="48">
        <v>32325</v>
      </c>
      <c r="B166" s="49">
        <f>VLOOKUP(A166,'Data qoq'!$B:$AT,MATCH($B$1,'Data qoq'!$B$1:$AT$1,0),FALSE)</f>
        <v>1.313900617</v>
      </c>
      <c r="C166" s="49">
        <f>Table134567891011121314151617343[[#This Row],[USA]]-B165</f>
        <v>0.79724645000000005</v>
      </c>
      <c r="D166" s="61">
        <f>(Table134567891011121314151617343[[#This Row],[USA]]/100 +1)^4-1</f>
        <v>5.3600928310731932E-2</v>
      </c>
    </row>
    <row r="167" spans="1:4" x14ac:dyDescent="0.2">
      <c r="A167" s="48">
        <v>32417</v>
      </c>
      <c r="B167" s="49">
        <f>VLOOKUP(A167,'Data qoq'!$B:$AT,MATCH($B$1,'Data qoq'!$B$1:$AT$1,0),FALSE)</f>
        <v>0.58592831400000001</v>
      </c>
      <c r="C167" s="49">
        <f>Table134567891011121314151617343[[#This Row],[USA]]-B166</f>
        <v>-0.72797230300000004</v>
      </c>
      <c r="D167" s="61">
        <f>(Table134567891011121314151617343[[#This Row],[USA]]/100 +1)^4-1</f>
        <v>2.3643925556978918E-2</v>
      </c>
    </row>
    <row r="168" spans="1:4" x14ac:dyDescent="0.2">
      <c r="A168" s="48">
        <v>32509</v>
      </c>
      <c r="B168" s="49">
        <f>VLOOKUP(A168,'Data qoq'!$B:$AT,MATCH($B$1,'Data qoq'!$B$1:$AT$1,0),FALSE)</f>
        <v>1.332500553</v>
      </c>
      <c r="C168" s="49">
        <f>Table134567891011121314151617343[[#This Row],[USA]]-B167</f>
        <v>0.74657223900000003</v>
      </c>
      <c r="D168" s="61">
        <f>(Table134567891011121314151617343[[#This Row],[USA]]/100 +1)^4-1</f>
        <v>5.4374852006894514E-2</v>
      </c>
    </row>
    <row r="169" spans="1:4" x14ac:dyDescent="0.2">
      <c r="A169" s="48">
        <v>32599</v>
      </c>
      <c r="B169" s="49">
        <f>VLOOKUP(A169,'Data qoq'!$B:$AT,MATCH($B$1,'Data qoq'!$B$1:$AT$1,0),FALSE)</f>
        <v>1.016597674</v>
      </c>
      <c r="C169" s="49">
        <f>Table134567891011121314151617343[[#This Row],[USA]]-B168</f>
        <v>-0.31590287900000003</v>
      </c>
      <c r="D169" s="61">
        <f>(Table134567891011121314151617343[[#This Row],[USA]]/100 +1)^4-1</f>
        <v>4.1288202635259674E-2</v>
      </c>
    </row>
    <row r="170" spans="1:4" x14ac:dyDescent="0.2">
      <c r="A170" s="48">
        <v>32690</v>
      </c>
      <c r="B170" s="49">
        <f>VLOOKUP(A170,'Data qoq'!$B:$AT,MATCH($B$1,'Data qoq'!$B$1:$AT$1,0),FALSE)</f>
        <v>0.76326565700000004</v>
      </c>
      <c r="C170" s="49">
        <f>Table134567891011121314151617343[[#This Row],[USA]]-B169</f>
        <v>-0.25333201699999996</v>
      </c>
      <c r="D170" s="61">
        <f>(Table134567891011121314151617343[[#This Row],[USA]]/100 +1)^4-1</f>
        <v>3.0881952988144779E-2</v>
      </c>
    </row>
    <row r="171" spans="1:4" x14ac:dyDescent="0.2">
      <c r="A171" s="48">
        <v>32782</v>
      </c>
      <c r="B171" s="49">
        <f>VLOOKUP(A171,'Data qoq'!$B:$AT,MATCH($B$1,'Data qoq'!$B$1:$AT$1,0),FALSE)</f>
        <v>0.74087699399999996</v>
      </c>
      <c r="C171" s="49">
        <f>Table134567891011121314151617343[[#This Row],[USA]]-B170</f>
        <v>-2.2388663000000086E-2</v>
      </c>
      <c r="D171" s="61">
        <f>(Table134567891011121314151617343[[#This Row],[USA]]/100 +1)^4-1</f>
        <v>2.9966048670776901E-2</v>
      </c>
    </row>
    <row r="172" spans="1:4" x14ac:dyDescent="0.2">
      <c r="A172" s="48">
        <v>32874</v>
      </c>
      <c r="B172" s="49">
        <f>VLOOKUP(A172,'Data qoq'!$B:$AT,MATCH($B$1,'Data qoq'!$B$1:$AT$1,0),FALSE)</f>
        <v>0.19705097399999999</v>
      </c>
      <c r="C172" s="49">
        <f>Table134567891011121314151617343[[#This Row],[USA]]-B171</f>
        <v>-0.54382602000000002</v>
      </c>
      <c r="D172" s="61">
        <f>(Table134567891011121314151617343[[#This Row],[USA]]/100 +1)^4-1</f>
        <v>7.9053670321269642E-3</v>
      </c>
    </row>
    <row r="173" spans="1:4" x14ac:dyDescent="0.2">
      <c r="A173" s="48">
        <v>32964</v>
      </c>
      <c r="B173" s="49">
        <f>VLOOKUP(A173,'Data qoq'!$B:$AT,MATCH($B$1,'Data qoq'!$B$1:$AT$1,0),FALSE)</f>
        <v>1.092795416</v>
      </c>
      <c r="C173" s="49">
        <f>Table134567891011121314151617343[[#This Row],[USA]]-B172</f>
        <v>0.89574444200000003</v>
      </c>
      <c r="D173" s="61">
        <f>(Table134567891011121314151617343[[#This Row],[USA]]/100 +1)^4-1</f>
        <v>4.4433572067022586E-2</v>
      </c>
    </row>
    <row r="174" spans="1:4" x14ac:dyDescent="0.2">
      <c r="A174" s="48">
        <v>33055</v>
      </c>
      <c r="B174" s="49">
        <f>VLOOKUP(A174,'Data qoq'!$B:$AT,MATCH($B$1,'Data qoq'!$B$1:$AT$1,0),FALSE)</f>
        <v>0.36291179000000001</v>
      </c>
      <c r="C174" s="49">
        <f>Table134567891011121314151617343[[#This Row],[USA]]-B173</f>
        <v>-0.7298836259999999</v>
      </c>
      <c r="D174" s="61">
        <f>(Table134567891011121314151617343[[#This Row],[USA]]/100 +1)^4-1</f>
        <v>1.4595685942996761E-2</v>
      </c>
    </row>
    <row r="175" spans="1:4" x14ac:dyDescent="0.2">
      <c r="A175" s="48">
        <v>33147</v>
      </c>
      <c r="B175" s="49">
        <f>VLOOKUP(A175,'Data qoq'!$B:$AT,MATCH($B$1,'Data qoq'!$B$1:$AT$1,0),FALSE)</f>
        <v>6.6512431999999996E-2</v>
      </c>
      <c r="C175" s="49">
        <f>Table134567891011121314151617343[[#This Row],[USA]]-B174</f>
        <v>-0.296399358</v>
      </c>
      <c r="D175" s="61">
        <f>(Table134567891011121314151617343[[#This Row],[USA]]/100 +1)^4-1</f>
        <v>2.6631527993401516E-3</v>
      </c>
    </row>
    <row r="176" spans="1:4" x14ac:dyDescent="0.2">
      <c r="A176" s="48">
        <v>33239</v>
      </c>
      <c r="B176" s="49">
        <f>VLOOKUP(A176,'Data qoq'!$B:$AT,MATCH($B$1,'Data qoq'!$B$1:$AT$1,0),FALSE)</f>
        <v>-0.91039454099999995</v>
      </c>
      <c r="C176" s="49">
        <f>Table134567891011121314151617343[[#This Row],[USA]]-B175</f>
        <v>-0.97690697299999996</v>
      </c>
      <c r="D176" s="61">
        <f>(Table134567891011121314151617343[[#This Row],[USA]]/100 +1)^4-1</f>
        <v>-3.5921502044766962E-2</v>
      </c>
    </row>
    <row r="177" spans="1:4" x14ac:dyDescent="0.2">
      <c r="A177" s="48">
        <v>33329</v>
      </c>
      <c r="B177" s="49">
        <f>VLOOKUP(A177,'Data qoq'!$B:$AT,MATCH($B$1,'Data qoq'!$B$1:$AT$1,0),FALSE)</f>
        <v>-0.467867584</v>
      </c>
      <c r="C177" s="49">
        <f>Table134567891011121314151617343[[#This Row],[USA]]-B176</f>
        <v>0.44252695699999994</v>
      </c>
      <c r="D177" s="61">
        <f>(Table134567891011121314151617343[[#This Row],[USA]]/100 +1)^4-1</f>
        <v>-1.8583772500132101E-2</v>
      </c>
    </row>
    <row r="178" spans="1:4" x14ac:dyDescent="0.2">
      <c r="A178" s="48">
        <v>33420</v>
      </c>
      <c r="B178" s="49">
        <f>VLOOKUP(A178,'Data qoq'!$B:$AT,MATCH($B$1,'Data qoq'!$B$1:$AT$1,0),FALSE)</f>
        <v>0.77971803799999995</v>
      </c>
      <c r="C178" s="49">
        <f>Table134567891011121314151617343[[#This Row],[USA]]-B177</f>
        <v>1.2475856219999999</v>
      </c>
      <c r="D178" s="61">
        <f>(Table134567891011121314151617343[[#This Row],[USA]]/100 +1)^4-1</f>
        <v>3.1555397497622373E-2</v>
      </c>
    </row>
    <row r="179" spans="1:4" x14ac:dyDescent="0.2">
      <c r="A179" s="48">
        <v>33512</v>
      </c>
      <c r="B179" s="49">
        <f>VLOOKUP(A179,'Data qoq'!$B:$AT,MATCH($B$1,'Data qoq'!$B$1:$AT$1,0),FALSE)</f>
        <v>0.50533843099999998</v>
      </c>
      <c r="C179" s="49">
        <f>Table134567891011121314151617343[[#This Row],[USA]]-B178</f>
        <v>-0.27437960699999997</v>
      </c>
      <c r="D179" s="61">
        <f>(Table134567891011121314151617343[[#This Row],[USA]]/100 +1)^4-1</f>
        <v>2.036727423692497E-2</v>
      </c>
    </row>
    <row r="180" spans="1:4" x14ac:dyDescent="0.2">
      <c r="A180" s="48">
        <v>33604</v>
      </c>
      <c r="B180" s="49">
        <f>VLOOKUP(A180,'Data qoq'!$B:$AT,MATCH($B$1,'Data qoq'!$B$1:$AT$1,0),FALSE)</f>
        <v>0.34856390199999998</v>
      </c>
      <c r="C180" s="49">
        <f>Table134567891011121314151617343[[#This Row],[USA]]-B179</f>
        <v>-0.156774529</v>
      </c>
      <c r="D180" s="61">
        <f>(Table134567891011121314151617343[[#This Row],[USA]]/100 +1)^4-1</f>
        <v>1.4015623701467028E-2</v>
      </c>
    </row>
    <row r="181" spans="1:4" x14ac:dyDescent="0.2">
      <c r="A181" s="48">
        <v>33695</v>
      </c>
      <c r="B181" s="49">
        <f>VLOOKUP(A181,'Data qoq'!$B:$AT,MATCH($B$1,'Data qoq'!$B$1:$AT$1,0),FALSE)</f>
        <v>1.197157574</v>
      </c>
      <c r="C181" s="49">
        <f>Table134567891011121314151617343[[#This Row],[USA]]-B180</f>
        <v>0.84859367200000002</v>
      </c>
      <c r="D181" s="61">
        <f>(Table134567891011121314151617343[[#This Row],[USA]]/100 +1)^4-1</f>
        <v>4.8753098253550009E-2</v>
      </c>
    </row>
    <row r="182" spans="1:4" x14ac:dyDescent="0.2">
      <c r="A182" s="48">
        <v>33786</v>
      </c>
      <c r="B182" s="49">
        <f>VLOOKUP(A182,'Data qoq'!$B:$AT,MATCH($B$1,'Data qoq'!$B$1:$AT$1,0),FALSE)</f>
        <v>1.084320604</v>
      </c>
      <c r="C182" s="49">
        <f>Table134567891011121314151617343[[#This Row],[USA]]-B181</f>
        <v>-0.11283697000000004</v>
      </c>
      <c r="D182" s="61">
        <f>(Table134567891011121314151617343[[#This Row],[USA]]/100 +1)^4-1</f>
        <v>4.4083388252149192E-2</v>
      </c>
    </row>
    <row r="183" spans="1:4" x14ac:dyDescent="0.2">
      <c r="A183" s="48">
        <v>33878</v>
      </c>
      <c r="B183" s="49">
        <f>VLOOKUP(A183,'Data qoq'!$B:$AT,MATCH($B$1,'Data qoq'!$B$1:$AT$1,0),FALSE)</f>
        <v>0.98810718900000005</v>
      </c>
      <c r="C183" s="49">
        <f>Table134567891011121314151617343[[#This Row],[USA]]-B182</f>
        <v>-9.6213414999999913E-2</v>
      </c>
      <c r="D183" s="61">
        <f>(Table134567891011121314151617343[[#This Row],[USA]]/100 +1)^4-1</f>
        <v>4.0113969559685714E-2</v>
      </c>
    </row>
    <row r="184" spans="1:4" x14ac:dyDescent="0.2">
      <c r="A184" s="48">
        <v>33970</v>
      </c>
      <c r="B184" s="49">
        <f>VLOOKUP(A184,'Data qoq'!$B:$AT,MATCH($B$1,'Data qoq'!$B$1:$AT$1,0),FALSE)</f>
        <v>1.042879871</v>
      </c>
      <c r="C184" s="49">
        <f>Table134567891011121314151617343[[#This Row],[USA]]-B183</f>
        <v>5.4772681999999961E-2</v>
      </c>
      <c r="D184" s="61">
        <f>(Table134567891011121314151617343[[#This Row],[USA]]/100 +1)^4-1</f>
        <v>4.2372302661927819E-2</v>
      </c>
    </row>
    <row r="185" spans="1:4" x14ac:dyDescent="0.2">
      <c r="A185" s="48">
        <v>34060</v>
      </c>
      <c r="B185" s="49">
        <f>VLOOKUP(A185,'Data qoq'!$B:$AT,MATCH($B$1,'Data qoq'!$B$1:$AT$1,0),FALSE)</f>
        <v>0.166979092</v>
      </c>
      <c r="C185" s="49">
        <f>Table134567891011121314151617343[[#This Row],[USA]]-B184</f>
        <v>-0.87590077899999996</v>
      </c>
      <c r="D185" s="61">
        <f>(Table134567891011121314151617343[[#This Row],[USA]]/100 +1)^4-1</f>
        <v>6.6959115209292985E-3</v>
      </c>
    </row>
    <row r="186" spans="1:4" x14ac:dyDescent="0.2">
      <c r="A186" s="48">
        <v>34151</v>
      </c>
      <c r="B186" s="49">
        <f>VLOOKUP(A186,'Data qoq'!$B:$AT,MATCH($B$1,'Data qoq'!$B$1:$AT$1,0),FALSE)</f>
        <v>0.58211345299999995</v>
      </c>
      <c r="C186" s="49">
        <f>Table134567891011121314151617343[[#This Row],[USA]]-B185</f>
        <v>0.41513436099999995</v>
      </c>
      <c r="D186" s="61">
        <f>(Table134567891011121314151617343[[#This Row],[USA]]/100 +1)^4-1</f>
        <v>2.3488641922245979E-2</v>
      </c>
    </row>
    <row r="187" spans="1:4" x14ac:dyDescent="0.2">
      <c r="A187" s="48">
        <v>34243</v>
      </c>
      <c r="B187" s="49">
        <f>VLOOKUP(A187,'Data qoq'!$B:$AT,MATCH($B$1,'Data qoq'!$B$1:$AT$1,0),FALSE)</f>
        <v>0.47715658700000002</v>
      </c>
      <c r="C187" s="49">
        <f>Table134567891011121314151617343[[#This Row],[USA]]-B186</f>
        <v>-0.10495686599999993</v>
      </c>
      <c r="D187" s="61">
        <f>(Table134567891011121314151617343[[#This Row],[USA]]/100 +1)^4-1</f>
        <v>1.9223305596494544E-2</v>
      </c>
    </row>
    <row r="188" spans="1:4" x14ac:dyDescent="0.2">
      <c r="A188" s="48">
        <v>34335</v>
      </c>
      <c r="B188" s="49">
        <f>VLOOKUP(A188,'Data qoq'!$B:$AT,MATCH($B$1,'Data qoq'!$B$1:$AT$1,0),FALSE)</f>
        <v>1.3600755600000001</v>
      </c>
      <c r="C188" s="49">
        <f>Table134567891011121314151617343[[#This Row],[USA]]-B187</f>
        <v>0.882918973</v>
      </c>
      <c r="D188" s="61">
        <f>(Table134567891011121314151617343[[#This Row],[USA]]/100 +1)^4-1</f>
        <v>5.5523003436312779E-2</v>
      </c>
    </row>
    <row r="189" spans="1:4" x14ac:dyDescent="0.2">
      <c r="A189" s="48">
        <v>34425</v>
      </c>
      <c r="B189" s="49">
        <f>VLOOKUP(A189,'Data qoq'!$B:$AT,MATCH($B$1,'Data qoq'!$B$1:$AT$1,0),FALSE)</f>
        <v>0.97031283999999995</v>
      </c>
      <c r="C189" s="49">
        <f>Table134567891011121314151617343[[#This Row],[USA]]-B188</f>
        <v>-0.38976272000000012</v>
      </c>
      <c r="D189" s="61">
        <f>(Table134567891011121314151617343[[#This Row],[USA]]/100 +1)^4-1</f>
        <v>3.9381080894188791E-2</v>
      </c>
    </row>
    <row r="190" spans="1:4" x14ac:dyDescent="0.2">
      <c r="A190" s="48">
        <v>34516</v>
      </c>
      <c r="B190" s="49">
        <f>VLOOKUP(A190,'Data qoq'!$B:$AT,MATCH($B$1,'Data qoq'!$B$1:$AT$1,0),FALSE)</f>
        <v>1.3550997520000001</v>
      </c>
      <c r="C190" s="49">
        <f>Table134567891011121314151617343[[#This Row],[USA]]-B189</f>
        <v>0.38478691200000015</v>
      </c>
      <c r="D190" s="61">
        <f>(Table134567891011121314151617343[[#This Row],[USA]]/100 +1)^4-1</f>
        <v>5.5315754455956379E-2</v>
      </c>
    </row>
    <row r="191" spans="1:4" x14ac:dyDescent="0.2">
      <c r="A191" s="48">
        <v>34608</v>
      </c>
      <c r="B191" s="49">
        <f>VLOOKUP(A191,'Data qoq'!$B:$AT,MATCH($B$1,'Data qoq'!$B$1:$AT$1,0),FALSE)</f>
        <v>0.58453601600000005</v>
      </c>
      <c r="C191" s="49">
        <f>Table134567891011121314151617343[[#This Row],[USA]]-B190</f>
        <v>-0.77056373600000005</v>
      </c>
      <c r="D191" s="61">
        <f>(Table134567891011121314151617343[[#This Row],[USA]]/100 +1)^4-1</f>
        <v>2.3587250122436565E-2</v>
      </c>
    </row>
    <row r="192" spans="1:4" x14ac:dyDescent="0.2">
      <c r="A192" s="48">
        <v>34700</v>
      </c>
      <c r="B192" s="49">
        <f>VLOOKUP(A192,'Data qoq'!$B:$AT,MATCH($B$1,'Data qoq'!$B$1:$AT$1,0),FALSE)</f>
        <v>1.145518265</v>
      </c>
      <c r="C192" s="49">
        <f>Table134567891011121314151617343[[#This Row],[USA]]-B191</f>
        <v>0.56098224899999993</v>
      </c>
      <c r="D192" s="61">
        <f>(Table134567891011121314151617343[[#This Row],[USA]]/100 +1)^4-1</f>
        <v>4.661408772796638E-2</v>
      </c>
    </row>
    <row r="193" spans="1:4" x14ac:dyDescent="0.2">
      <c r="A193" s="48">
        <v>34790</v>
      </c>
      <c r="B193" s="49">
        <f>VLOOKUP(A193,'Data qoq'!$B:$AT,MATCH($B$1,'Data qoq'!$B$1:$AT$1,0),FALSE)</f>
        <v>0.35469547000000001</v>
      </c>
      <c r="C193" s="49">
        <f>Table134567891011121314151617343[[#This Row],[USA]]-B192</f>
        <v>-0.79082279499999997</v>
      </c>
      <c r="D193" s="61">
        <f>(Table134567891011121314151617343[[#This Row],[USA]]/100 +1)^4-1</f>
        <v>1.4263482779496073E-2</v>
      </c>
    </row>
    <row r="194" spans="1:4" x14ac:dyDescent="0.2">
      <c r="A194" s="48">
        <v>34881</v>
      </c>
      <c r="B194" s="49">
        <f>VLOOKUP(A194,'Data qoq'!$B:$AT,MATCH($B$1,'Data qoq'!$B$1:$AT$1,0),FALSE)</f>
        <v>0.29830569899999998</v>
      </c>
      <c r="C194" s="49">
        <f>Table134567891011121314151617343[[#This Row],[USA]]-B193</f>
        <v>-5.6389771000000033E-2</v>
      </c>
      <c r="D194" s="61">
        <f>(Table134567891011121314151617343[[#This Row],[USA]]/100 +1)^4-1</f>
        <v>1.1985725993689078E-2</v>
      </c>
    </row>
    <row r="195" spans="1:4" x14ac:dyDescent="0.2">
      <c r="A195" s="48">
        <v>34973</v>
      </c>
      <c r="B195" s="49">
        <f>VLOOKUP(A195,'Data qoq'!$B:$AT,MATCH($B$1,'Data qoq'!$B$1:$AT$1,0),FALSE)</f>
        <v>0.85066486799999996</v>
      </c>
      <c r="C195" s="49">
        <f>Table134567891011121314151617343[[#This Row],[USA]]-B194</f>
        <v>0.55235916900000004</v>
      </c>
      <c r="D195" s="61">
        <f>(Table134567891011121314151617343[[#This Row],[USA]]/100 +1)^4-1</f>
        <v>3.4463240655919769E-2</v>
      </c>
    </row>
    <row r="196" spans="1:4" x14ac:dyDescent="0.2">
      <c r="A196" s="48">
        <v>35065</v>
      </c>
      <c r="B196" s="49">
        <f>VLOOKUP(A196,'Data qoq'!$B:$AT,MATCH($B$1,'Data qoq'!$B$1:$AT$1,0),FALSE)</f>
        <v>0.67903653600000002</v>
      </c>
      <c r="C196" s="49">
        <f>Table134567891011121314151617343[[#This Row],[USA]]-B195</f>
        <v>-0.17162833199999994</v>
      </c>
      <c r="D196" s="61">
        <f>(Table134567891011121314151617343[[#This Row],[USA]]/100 +1)^4-1</f>
        <v>2.7439370325881729E-2</v>
      </c>
    </row>
    <row r="197" spans="1:4" x14ac:dyDescent="0.2">
      <c r="A197" s="48">
        <v>35156</v>
      </c>
      <c r="B197" s="49">
        <f>VLOOKUP(A197,'Data qoq'!$B:$AT,MATCH($B$1,'Data qoq'!$B$1:$AT$1,0),FALSE)</f>
        <v>0.74897132899999996</v>
      </c>
      <c r="C197" s="49">
        <f>Table134567891011121314151617343[[#This Row],[USA]]-B196</f>
        <v>6.993479299999994E-2</v>
      </c>
      <c r="D197" s="61">
        <f>(Table134567891011121314151617343[[#This Row],[USA]]/100 +1)^4-1</f>
        <v>3.0297111703727619E-2</v>
      </c>
    </row>
    <row r="198" spans="1:4" x14ac:dyDescent="0.2">
      <c r="A198" s="48">
        <v>35247</v>
      </c>
      <c r="B198" s="49">
        <f>VLOOKUP(A198,'Data qoq'!$B:$AT,MATCH($B$1,'Data qoq'!$B$1:$AT$1,0),FALSE)</f>
        <v>1.667883947</v>
      </c>
      <c r="C198" s="49">
        <f>Table134567891011121314151617343[[#This Row],[USA]]-B197</f>
        <v>0.91891261800000001</v>
      </c>
      <c r="D198" s="61">
        <f>(Table134567891011121314151617343[[#This Row],[USA]]/100 +1)^4-1</f>
        <v>6.8403096506731487E-2</v>
      </c>
    </row>
    <row r="199" spans="1:4" x14ac:dyDescent="0.2">
      <c r="A199" s="48">
        <v>35339</v>
      </c>
      <c r="B199" s="49">
        <f>VLOOKUP(A199,'Data qoq'!$B:$AT,MATCH($B$1,'Data qoq'!$B$1:$AT$1,0),FALSE)</f>
        <v>0.89701093600000004</v>
      </c>
      <c r="C199" s="49">
        <f>Table134567891011121314151617343[[#This Row],[USA]]-B198</f>
        <v>-0.77087301099999994</v>
      </c>
      <c r="D199" s="61">
        <f>(Table134567891011121314151617343[[#This Row],[USA]]/100 +1)^4-1</f>
        <v>3.6366108128538466E-2</v>
      </c>
    </row>
    <row r="200" spans="1:4" x14ac:dyDescent="0.2">
      <c r="A200" s="48">
        <v>35431</v>
      </c>
      <c r="B200" s="49">
        <f>VLOOKUP(A200,'Data qoq'!$B:$AT,MATCH($B$1,'Data qoq'!$B$1:$AT$1,0),FALSE)</f>
        <v>1.038397649</v>
      </c>
      <c r="C200" s="49">
        <f>Table134567891011121314151617343[[#This Row],[USA]]-B199</f>
        <v>0.14138671299999994</v>
      </c>
      <c r="D200" s="61">
        <f>(Table134567891011121314151617343[[#This Row],[USA]]/100 +1)^4-1</f>
        <v>4.2187358083916271E-2</v>
      </c>
    </row>
    <row r="201" spans="1:4" x14ac:dyDescent="0.2">
      <c r="A201" s="48">
        <v>35521</v>
      </c>
      <c r="B201" s="49">
        <f>VLOOKUP(A201,'Data qoq'!$B:$AT,MATCH($B$1,'Data qoq'!$B$1:$AT$1,0),FALSE)</f>
        <v>0.64556077700000003</v>
      </c>
      <c r="C201" s="49">
        <f>Table134567891011121314151617343[[#This Row],[USA]]-B200</f>
        <v>-0.39283687199999995</v>
      </c>
      <c r="D201" s="61">
        <f>(Table134567891011121314151617343[[#This Row],[USA]]/100 +1)^4-1</f>
        <v>2.6073558193377089E-2</v>
      </c>
    </row>
    <row r="202" spans="1:4" x14ac:dyDescent="0.2">
      <c r="A202" s="48">
        <v>35612</v>
      </c>
      <c r="B202" s="49">
        <f>VLOOKUP(A202,'Data qoq'!$B:$AT,MATCH($B$1,'Data qoq'!$B$1:$AT$1,0),FALSE)</f>
        <v>1.661978105</v>
      </c>
      <c r="C202" s="49">
        <f>Table134567891011121314151617343[[#This Row],[USA]]-B201</f>
        <v>1.016417328</v>
      </c>
      <c r="D202" s="61">
        <f>(Table134567891011121314151617343[[#This Row],[USA]]/100 +1)^4-1</f>
        <v>6.8154865901167705E-2</v>
      </c>
    </row>
    <row r="203" spans="1:4" x14ac:dyDescent="0.2">
      <c r="A203" s="48">
        <v>35704</v>
      </c>
      <c r="B203" s="49">
        <f>VLOOKUP(A203,'Data qoq'!$B:$AT,MATCH($B$1,'Data qoq'!$B$1:$AT$1,0),FALSE)</f>
        <v>1.2507785730000001</v>
      </c>
      <c r="C203" s="49">
        <f>Table134567891011121314151617343[[#This Row],[USA]]-B202</f>
        <v>-0.41119953199999992</v>
      </c>
      <c r="D203" s="61">
        <f>(Table134567891011121314151617343[[#This Row],[USA]]/100 +1)^4-1</f>
        <v>5.0977662725489203E-2</v>
      </c>
    </row>
    <row r="204" spans="1:4" x14ac:dyDescent="0.2">
      <c r="A204" s="48">
        <v>35796</v>
      </c>
      <c r="B204" s="49">
        <f>VLOOKUP(A204,'Data qoq'!$B:$AT,MATCH($B$1,'Data qoq'!$B$1:$AT$1,0),FALSE)</f>
        <v>0.85874356299999999</v>
      </c>
      <c r="C204" s="49">
        <f>Table134567891011121314151617343[[#This Row],[USA]]-B203</f>
        <v>-0.39203501000000007</v>
      </c>
      <c r="D204" s="61">
        <f>(Table134567891011121314151617343[[#This Row],[USA]]/100 +1)^4-1</f>
        <v>3.4794745351535372E-2</v>
      </c>
    </row>
    <row r="205" spans="1:4" x14ac:dyDescent="0.2">
      <c r="A205" s="48">
        <v>35886</v>
      </c>
      <c r="B205" s="49">
        <f>VLOOKUP(A205,'Data qoq'!$B:$AT,MATCH($B$1,'Data qoq'!$B$1:$AT$1,0),FALSE)</f>
        <v>0.999375401</v>
      </c>
      <c r="C205" s="49">
        <f>Table134567891011121314151617343[[#This Row],[USA]]-B204</f>
        <v>0.14063183800000001</v>
      </c>
      <c r="D205" s="61">
        <f>(Table134567891011121314151617343[[#This Row],[USA]]/100 +1)^4-1</f>
        <v>4.0578269239806231E-2</v>
      </c>
    </row>
    <row r="206" spans="1:4" x14ac:dyDescent="0.2">
      <c r="A206" s="48">
        <v>35977</v>
      </c>
      <c r="B206" s="49">
        <f>VLOOKUP(A206,'Data qoq'!$B:$AT,MATCH($B$1,'Data qoq'!$B$1:$AT$1,0),FALSE)</f>
        <v>0.92582050699999996</v>
      </c>
      <c r="C206" s="49">
        <f>Table134567891011121314151617343[[#This Row],[USA]]-B205</f>
        <v>-7.3554894000000037E-2</v>
      </c>
      <c r="D206" s="61">
        <f>(Table134567891011121314151617343[[#This Row],[USA]]/100 +1)^4-1</f>
        <v>3.7550288038191715E-2</v>
      </c>
    </row>
    <row r="207" spans="1:4" x14ac:dyDescent="0.2">
      <c r="A207" s="48">
        <v>36069</v>
      </c>
      <c r="B207" s="49">
        <f>VLOOKUP(A207,'Data qoq'!$B:$AT,MATCH($B$1,'Data qoq'!$B$1:$AT$1,0),FALSE)</f>
        <v>1.252764553</v>
      </c>
      <c r="C207" s="49">
        <f>Table134567891011121314151617343[[#This Row],[USA]]-B206</f>
        <v>0.32694404600000004</v>
      </c>
      <c r="D207" s="61">
        <f>(Table134567891011121314151617343[[#This Row],[USA]]/100 +1)^4-1</f>
        <v>5.1060122616007675E-2</v>
      </c>
    </row>
    <row r="208" spans="1:4" x14ac:dyDescent="0.2">
      <c r="A208" s="48">
        <v>36161</v>
      </c>
      <c r="B208" s="49">
        <f>VLOOKUP(A208,'Data qoq'!$B:$AT,MATCH($B$1,'Data qoq'!$B$1:$AT$1,0),FALSE)</f>
        <v>1.6161907019999999</v>
      </c>
      <c r="C208" s="49">
        <f>Table134567891011121314151617343[[#This Row],[USA]]-B207</f>
        <v>0.36342614899999992</v>
      </c>
      <c r="D208" s="61">
        <f>(Table134567891011121314151617343[[#This Row],[USA]]/100 +1)^4-1</f>
        <v>6.6231826168768215E-2</v>
      </c>
    </row>
    <row r="209" spans="1:4" x14ac:dyDescent="0.2">
      <c r="A209" s="48">
        <v>36251</v>
      </c>
      <c r="B209" s="49">
        <f>VLOOKUP(A209,'Data qoq'!$B:$AT,MATCH($B$1,'Data qoq'!$B$1:$AT$1,0),FALSE)</f>
        <v>0.94382661499999998</v>
      </c>
      <c r="C209" s="49">
        <f>Table134567891011121314151617343[[#This Row],[USA]]-B208</f>
        <v>-0.67236408699999994</v>
      </c>
      <c r="D209" s="61">
        <f>(Table134567891011121314151617343[[#This Row],[USA]]/100 +1)^4-1</f>
        <v>3.8290920818671692E-2</v>
      </c>
    </row>
    <row r="210" spans="1:4" x14ac:dyDescent="0.2">
      <c r="A210" s="48">
        <v>36342</v>
      </c>
      <c r="B210" s="49">
        <f>VLOOKUP(A210,'Data qoq'!$B:$AT,MATCH($B$1,'Data qoq'!$B$1:$AT$1,0),FALSE)</f>
        <v>0.83500003</v>
      </c>
      <c r="C210" s="49">
        <f>Table134567891011121314151617343[[#This Row],[USA]]-B209</f>
        <v>-0.10882658499999998</v>
      </c>
      <c r="D210" s="61">
        <f>(Table134567891011121314151617343[[#This Row],[USA]]/100 +1)^4-1</f>
        <v>3.3820669823038996E-2</v>
      </c>
    </row>
    <row r="211" spans="1:4" x14ac:dyDescent="0.2">
      <c r="A211" s="48">
        <v>36434</v>
      </c>
      <c r="B211" s="49">
        <f>VLOOKUP(A211,'Data qoq'!$B:$AT,MATCH($B$1,'Data qoq'!$B$1:$AT$1,0),FALSE)</f>
        <v>1.3230270260000001</v>
      </c>
      <c r="C211" s="49">
        <f>Table134567891011121314151617343[[#This Row],[USA]]-B210</f>
        <v>0.4880269960000001</v>
      </c>
      <c r="D211" s="61">
        <f>(Table134567891011121314151617343[[#This Row],[USA]]/100 +1)^4-1</f>
        <v>5.39806152946678E-2</v>
      </c>
    </row>
    <row r="212" spans="1:4" x14ac:dyDescent="0.2">
      <c r="A212" s="48">
        <v>36526</v>
      </c>
      <c r="B212" s="49">
        <f>VLOOKUP(A212,'Data qoq'!$B:$AT,MATCH($B$1,'Data qoq'!$B$1:$AT$1,0),FALSE)</f>
        <v>1.642779005</v>
      </c>
      <c r="C212" s="49">
        <f>Table134567891011121314151617343[[#This Row],[USA]]-B211</f>
        <v>0.31975197899999985</v>
      </c>
      <c r="D212" s="61">
        <f>(Table134567891011121314151617343[[#This Row],[USA]]/100 +1)^4-1</f>
        <v>6.7348200367626232E-2</v>
      </c>
    </row>
    <row r="213" spans="1:4" x14ac:dyDescent="0.2">
      <c r="A213" s="48">
        <v>36617</v>
      </c>
      <c r="B213" s="49">
        <f>VLOOKUP(A213,'Data qoq'!$B:$AT,MATCH($B$1,'Data qoq'!$B$1:$AT$1,0),FALSE)</f>
        <v>0.36444736100000003</v>
      </c>
      <c r="C213" s="49">
        <f>Table134567891011121314151617343[[#This Row],[USA]]-B212</f>
        <v>-1.2783316439999999</v>
      </c>
      <c r="D213" s="61">
        <f>(Table134567891011121314151617343[[#This Row],[USA]]/100 +1)^4-1</f>
        <v>1.4657781370113865E-2</v>
      </c>
    </row>
    <row r="214" spans="1:4" x14ac:dyDescent="0.2">
      <c r="A214" s="48">
        <v>36708</v>
      </c>
      <c r="B214" s="49">
        <f>VLOOKUP(A214,'Data qoq'!$B:$AT,MATCH($B$1,'Data qoq'!$B$1:$AT$1,0),FALSE)</f>
        <v>1.8205830080000001</v>
      </c>
      <c r="C214" s="49">
        <f>Table134567891011121314151617343[[#This Row],[USA]]-B213</f>
        <v>1.456135647</v>
      </c>
      <c r="D214" s="61">
        <f>(Table134567891011121314151617343[[#This Row],[USA]]/100 +1)^4-1</f>
        <v>7.4836281127297122E-2</v>
      </c>
    </row>
    <row r="215" spans="1:4" x14ac:dyDescent="0.2">
      <c r="A215" s="48">
        <v>36800</v>
      </c>
      <c r="B215" s="49">
        <f>VLOOKUP(A215,'Data qoq'!$B:$AT,MATCH($B$1,'Data qoq'!$B$1:$AT$1,0),FALSE)</f>
        <v>9.9774128000000004E-2</v>
      </c>
      <c r="C215" s="49">
        <f>Table134567891011121314151617343[[#This Row],[USA]]-B214</f>
        <v>-1.7208088800000001</v>
      </c>
      <c r="D215" s="61">
        <f>(Table134567891011121314151617343[[#This Row],[USA]]/100 +1)^4-1</f>
        <v>3.9969420199184036E-3</v>
      </c>
    </row>
    <row r="216" spans="1:4" x14ac:dyDescent="0.2">
      <c r="A216" s="48">
        <v>36892</v>
      </c>
      <c r="B216" s="49">
        <f>VLOOKUP(A216,'Data qoq'!$B:$AT,MATCH($B$1,'Data qoq'!$B$1:$AT$1,0),FALSE)</f>
        <v>0.59436175499999999</v>
      </c>
      <c r="C216" s="49">
        <f>Table134567891011121314151617343[[#This Row],[USA]]-B215</f>
        <v>0.49458762699999997</v>
      </c>
      <c r="D216" s="61">
        <f>(Table134567891011121314151617343[[#This Row],[USA]]/100 +1)^4-1</f>
        <v>2.3987270856403509E-2</v>
      </c>
    </row>
    <row r="217" spans="1:4" x14ac:dyDescent="0.2">
      <c r="A217" s="48">
        <v>36982</v>
      </c>
      <c r="B217" s="49">
        <f>VLOOKUP(A217,'Data qoq'!$B:$AT,MATCH($B$1,'Data qoq'!$B$1:$AT$1,0),FALSE)</f>
        <v>-0.32422100300000001</v>
      </c>
      <c r="C217" s="49">
        <f>Table134567891011121314151617343[[#This Row],[USA]]-B216</f>
        <v>-0.918582758</v>
      </c>
      <c r="D217" s="61">
        <f>(Table134567891011121314151617343[[#This Row],[USA]]/100 +1)^4-1</f>
        <v>-1.2905904781713828E-2</v>
      </c>
    </row>
    <row r="218" spans="1:4" x14ac:dyDescent="0.2">
      <c r="A218" s="48">
        <v>37073</v>
      </c>
      <c r="B218" s="49">
        <f>VLOOKUP(A218,'Data qoq'!$B:$AT,MATCH($B$1,'Data qoq'!$B$1:$AT$1,0),FALSE)</f>
        <v>0.62138921499999999</v>
      </c>
      <c r="C218" s="49">
        <f>Table134567891011121314151617343[[#This Row],[USA]]-B217</f>
        <v>0.945610218</v>
      </c>
      <c r="D218" s="61">
        <f>(Table134567891011121314151617343[[#This Row],[USA]]/100 +1)^4-1</f>
        <v>2.5088204559372329E-2</v>
      </c>
    </row>
    <row r="219" spans="1:4" x14ac:dyDescent="0.2">
      <c r="A219" s="48">
        <v>37165</v>
      </c>
      <c r="B219" s="49">
        <f>VLOOKUP(A219,'Data qoq'!$B:$AT,MATCH($B$1,'Data qoq'!$B$1:$AT$1,0),FALSE)</f>
        <v>-0.400349016</v>
      </c>
      <c r="C219" s="49">
        <f>Table134567891011121314151617343[[#This Row],[USA]]-B218</f>
        <v>-1.0217382310000001</v>
      </c>
      <c r="D219" s="61">
        <f>(Table134567891011121314151617343[[#This Row],[USA]]/100 +1)^4-1</f>
        <v>-1.5918049453033656E-2</v>
      </c>
    </row>
    <row r="220" spans="1:4" x14ac:dyDescent="0.2">
      <c r="A220" s="48">
        <v>37257</v>
      </c>
      <c r="B220" s="49">
        <f>VLOOKUP(A220,'Data qoq'!$B:$AT,MATCH($B$1,'Data qoq'!$B$1:$AT$1,0),FALSE)</f>
        <v>0.27731435799999998</v>
      </c>
      <c r="C220" s="49">
        <f>Table134567891011121314151617343[[#This Row],[USA]]-B219</f>
        <v>0.67766337399999999</v>
      </c>
      <c r="D220" s="61">
        <f>(Table134567891011121314151617343[[#This Row],[USA]]/100 +1)^4-1</f>
        <v>1.1138801636537909E-2</v>
      </c>
    </row>
    <row r="221" spans="1:4" x14ac:dyDescent="0.2">
      <c r="A221" s="48">
        <v>37347</v>
      </c>
      <c r="B221" s="49">
        <f>VLOOKUP(A221,'Data qoq'!$B:$AT,MATCH($B$1,'Data qoq'!$B$1:$AT$1,0),FALSE)</f>
        <v>0.82822721600000004</v>
      </c>
      <c r="C221" s="49">
        <f>Table134567891011121314151617343[[#This Row],[USA]]-B220</f>
        <v>0.55091285800000001</v>
      </c>
      <c r="D221" s="61">
        <f>(Table134567891011121314151617343[[#This Row],[USA]]/100 +1)^4-1</f>
        <v>3.3542942062238179E-2</v>
      </c>
    </row>
    <row r="222" spans="1:4" x14ac:dyDescent="0.2">
      <c r="A222" s="48">
        <v>37438</v>
      </c>
      <c r="B222" s="49">
        <f>VLOOKUP(A222,'Data qoq'!$B:$AT,MATCH($B$1,'Data qoq'!$B$1:$AT$1,0),FALSE)</f>
        <v>0.61550245599999998</v>
      </c>
      <c r="C222" s="49">
        <f>Table134567891011121314151617343[[#This Row],[USA]]-B221</f>
        <v>-0.21272476000000007</v>
      </c>
      <c r="D222" s="61">
        <f>(Table134567891011121314151617343[[#This Row],[USA]]/100 +1)^4-1</f>
        <v>2.4848338355087707E-2</v>
      </c>
    </row>
    <row r="223" spans="1:4" x14ac:dyDescent="0.2">
      <c r="A223" s="48">
        <v>37530</v>
      </c>
      <c r="B223" s="49">
        <f>VLOOKUP(A223,'Data qoq'!$B:$AT,MATCH($B$1,'Data qoq'!$B$1:$AT$1,0),FALSE)</f>
        <v>0.40352870400000002</v>
      </c>
      <c r="C223" s="49">
        <f>Table134567891011121314151617343[[#This Row],[USA]]-B222</f>
        <v>-0.21197375199999996</v>
      </c>
      <c r="D223" s="61">
        <f>(Table134567891011121314151617343[[#This Row],[USA]]/100 +1)^4-1</f>
        <v>1.6239112509180753E-2</v>
      </c>
    </row>
    <row r="224" spans="1:4" x14ac:dyDescent="0.2">
      <c r="A224" s="48">
        <v>37622</v>
      </c>
      <c r="B224" s="49">
        <f>VLOOKUP(A224,'Data qoq'!$B:$AT,MATCH($B$1,'Data qoq'!$B$1:$AT$1,0),FALSE)</f>
        <v>0.13065576700000001</v>
      </c>
      <c r="C224" s="49">
        <f>Table134567891011121314151617343[[#This Row],[USA]]-B223</f>
        <v>-0.27287293700000004</v>
      </c>
      <c r="D224" s="61">
        <f>(Table134567891011121314151617343[[#This Row],[USA]]/100 +1)^4-1</f>
        <v>5.2364821622457036E-3</v>
      </c>
    </row>
    <row r="225" spans="1:4" x14ac:dyDescent="0.2">
      <c r="A225" s="48">
        <v>37712</v>
      </c>
      <c r="B225" s="49">
        <f>VLOOKUP(A225,'Data qoq'!$B:$AT,MATCH($B$1,'Data qoq'!$B$1:$AT$1,0),FALSE)</f>
        <v>0.51672318699999997</v>
      </c>
      <c r="C225" s="49">
        <f>Table134567891011121314151617343[[#This Row],[USA]]-B224</f>
        <v>0.38606741999999994</v>
      </c>
      <c r="D225" s="61">
        <f>(Table134567891011121314151617343[[#This Row],[USA]]/100 +1)^4-1</f>
        <v>2.0829681770353714E-2</v>
      </c>
    </row>
    <row r="226" spans="1:4" x14ac:dyDescent="0.2">
      <c r="A226" s="48">
        <v>37803</v>
      </c>
      <c r="B226" s="49">
        <f>VLOOKUP(A226,'Data qoq'!$B:$AT,MATCH($B$1,'Data qoq'!$B$1:$AT$1,0),FALSE)</f>
        <v>0.89337780099999997</v>
      </c>
      <c r="C226" s="49">
        <f>Table134567891011121314151617343[[#This Row],[USA]]-B225</f>
        <v>0.376654614</v>
      </c>
      <c r="D226" s="61">
        <f>(Table134567891011121314151617343[[#This Row],[USA]]/100 +1)^4-1</f>
        <v>3.6216844851891805E-2</v>
      </c>
    </row>
    <row r="227" spans="1:4" x14ac:dyDescent="0.2">
      <c r="A227" s="48">
        <v>37895</v>
      </c>
      <c r="B227" s="49">
        <f>VLOOKUP(A227,'Data qoq'!$B:$AT,MATCH($B$1,'Data qoq'!$B$1:$AT$1,0),FALSE)</f>
        <v>1.6668962700000001</v>
      </c>
      <c r="C227" s="49">
        <f>Table134567891011121314151617343[[#This Row],[USA]]-B226</f>
        <v>0.7735184690000001</v>
      </c>
      <c r="D227" s="61">
        <f>(Table134567891011121314151617343[[#This Row],[USA]]/100 +1)^4-1</f>
        <v>6.8361580081003348E-2</v>
      </c>
    </row>
    <row r="228" spans="1:4" x14ac:dyDescent="0.2">
      <c r="A228" s="48">
        <v>37987</v>
      </c>
      <c r="B228" s="49">
        <f>VLOOKUP(A228,'Data qoq'!$B:$AT,MATCH($B$1,'Data qoq'!$B$1:$AT$1,0),FALSE)</f>
        <v>1.154045728</v>
      </c>
      <c r="C228" s="49">
        <f>Table134567891011121314151617343[[#This Row],[USA]]-B227</f>
        <v>-0.51285054200000002</v>
      </c>
      <c r="D228" s="61">
        <f>(Table134567891011121314151617343[[#This Row],[USA]]/100 +1)^4-1</f>
        <v>4.6967087714720357E-2</v>
      </c>
    </row>
    <row r="229" spans="1:4" x14ac:dyDescent="0.2">
      <c r="A229" s="48">
        <v>38078</v>
      </c>
      <c r="B229" s="49">
        <f>VLOOKUP(A229,'Data qoq'!$B:$AT,MATCH($B$1,'Data qoq'!$B$1:$AT$1,0),FALSE)</f>
        <v>0.572916486</v>
      </c>
      <c r="C229" s="49">
        <f>Table134567891011121314151617343[[#This Row],[USA]]-B228</f>
        <v>-0.58112924200000005</v>
      </c>
      <c r="D229" s="61">
        <f>(Table134567891011121314151617343[[#This Row],[USA]]/100 +1)^4-1</f>
        <v>2.3114352698404339E-2</v>
      </c>
    </row>
    <row r="230" spans="1:4" x14ac:dyDescent="0.2">
      <c r="A230" s="48">
        <v>38169</v>
      </c>
      <c r="B230" s="49">
        <f>VLOOKUP(A230,'Data qoq'!$B:$AT,MATCH($B$1,'Data qoq'!$B$1:$AT$1,0),FALSE)</f>
        <v>0.77873875800000003</v>
      </c>
      <c r="C230" s="49">
        <f>Table134567891011121314151617343[[#This Row],[USA]]-B229</f>
        <v>0.20582227200000003</v>
      </c>
      <c r="D230" s="61">
        <f>(Table134567891011121314151617343[[#This Row],[USA]]/100 +1)^4-1</f>
        <v>3.1515303444355602E-2</v>
      </c>
    </row>
    <row r="231" spans="1:4" x14ac:dyDescent="0.2">
      <c r="A231" s="48">
        <v>38261</v>
      </c>
      <c r="B231" s="49">
        <f>VLOOKUP(A231,'Data qoq'!$B:$AT,MATCH($B$1,'Data qoq'!$B$1:$AT$1,0),FALSE)</f>
        <v>0.94124722500000002</v>
      </c>
      <c r="C231" s="49">
        <f>Table134567891011121314151617343[[#This Row],[USA]]-B230</f>
        <v>0.16250846699999999</v>
      </c>
      <c r="D231" s="61">
        <f>(Table134567891011121314151617343[[#This Row],[USA]]/100 +1)^4-1</f>
        <v>3.818480023028159E-2</v>
      </c>
    </row>
    <row r="232" spans="1:4" x14ac:dyDescent="0.2">
      <c r="A232" s="48">
        <v>38353</v>
      </c>
      <c r="B232" s="49">
        <f>VLOOKUP(A232,'Data qoq'!$B:$AT,MATCH($B$1,'Data qoq'!$B$1:$AT$1,0),FALSE)</f>
        <v>1.0220273689999999</v>
      </c>
      <c r="C232" s="49">
        <f>Table134567891011121314151617343[[#This Row],[USA]]-B231</f>
        <v>8.0780143999999887E-2</v>
      </c>
      <c r="D232" s="61">
        <f>(Table134567891011121314151617343[[#This Row],[USA]]/100 +1)^4-1</f>
        <v>4.1512099830066429E-2</v>
      </c>
    </row>
    <row r="233" spans="1:4" x14ac:dyDescent="0.2">
      <c r="A233" s="48">
        <v>38443</v>
      </c>
      <c r="B233" s="49">
        <f>VLOOKUP(A233,'Data qoq'!$B:$AT,MATCH($B$1,'Data qoq'!$B$1:$AT$1,0),FALSE)</f>
        <v>1.110882508</v>
      </c>
      <c r="C233" s="49">
        <f>Table134567891011121314151617343[[#This Row],[USA]]-B232</f>
        <v>8.8855139000000083E-2</v>
      </c>
      <c r="D233" s="61">
        <f>(Table134567891011121314151617343[[#This Row],[USA]]/100 +1)^4-1</f>
        <v>4.5181235099421624E-2</v>
      </c>
    </row>
    <row r="234" spans="1:4" x14ac:dyDescent="0.2">
      <c r="A234" s="48">
        <v>38534</v>
      </c>
      <c r="B234" s="49">
        <f>VLOOKUP(A234,'Data qoq'!$B:$AT,MATCH($B$1,'Data qoq'!$B$1:$AT$1,0),FALSE)</f>
        <v>0.48660447800000001</v>
      </c>
      <c r="C234" s="49">
        <f>Table134567891011121314151617343[[#This Row],[USA]]-B233</f>
        <v>-0.62427802999999993</v>
      </c>
      <c r="D234" s="61">
        <f>(Table134567891011121314151617343[[#This Row],[USA]]/100 +1)^4-1</f>
        <v>1.9606710911931335E-2</v>
      </c>
    </row>
    <row r="235" spans="1:4" x14ac:dyDescent="0.2">
      <c r="A235" s="48">
        <v>38626</v>
      </c>
      <c r="B235" s="49">
        <f>VLOOKUP(A235,'Data qoq'!$B:$AT,MATCH($B$1,'Data qoq'!$B$1:$AT$1,0),FALSE)</f>
        <v>0.78562198000000005</v>
      </c>
      <c r="C235" s="49">
        <f>Table134567891011121314151617343[[#This Row],[USA]]-B234</f>
        <v>0.29901750200000005</v>
      </c>
      <c r="D235" s="61">
        <f>(Table134567891011121314151617343[[#This Row],[USA]]/100 +1)^4-1</f>
        <v>3.1797143696158159E-2</v>
      </c>
    </row>
    <row r="236" spans="1:4" x14ac:dyDescent="0.2">
      <c r="A236" s="48">
        <v>38718</v>
      </c>
      <c r="B236" s="49">
        <f>VLOOKUP(A236,'Data qoq'!$B:$AT,MATCH($B$1,'Data qoq'!$B$1:$AT$1,0),FALSE)</f>
        <v>0.56792823800000003</v>
      </c>
      <c r="C236" s="49">
        <f>Table134567891011121314151617343[[#This Row],[USA]]-B235</f>
        <v>-0.21769374200000002</v>
      </c>
      <c r="D236" s="61">
        <f>(Table134567891011121314151617343[[#This Row],[USA]]/100 +1)^4-1</f>
        <v>2.2911388774384589E-2</v>
      </c>
    </row>
    <row r="237" spans="1:4" x14ac:dyDescent="0.2">
      <c r="A237" s="48">
        <v>38808</v>
      </c>
      <c r="B237" s="49">
        <f>VLOOKUP(A237,'Data qoq'!$B:$AT,MATCH($B$1,'Data qoq'!$B$1:$AT$1,0),FALSE)</f>
        <v>1.3486661200000001</v>
      </c>
      <c r="C237" s="49">
        <f>Table134567891011121314151617343[[#This Row],[USA]]-B236</f>
        <v>0.78073788200000005</v>
      </c>
      <c r="D237" s="61">
        <f>(Table134567891011121314151617343[[#This Row],[USA]]/100 +1)^4-1</f>
        <v>5.5047830422783273E-2</v>
      </c>
    </row>
    <row r="238" spans="1:4" x14ac:dyDescent="0.2">
      <c r="A238" s="48">
        <v>38899</v>
      </c>
      <c r="B238" s="49">
        <f>VLOOKUP(A238,'Data qoq'!$B:$AT,MATCH($B$1,'Data qoq'!$B$1:$AT$1,0),FALSE)</f>
        <v>0.245583731</v>
      </c>
      <c r="C238" s="49">
        <f>Table134567891011121314151617343[[#This Row],[USA]]-B237</f>
        <v>-1.1030823890000001</v>
      </c>
      <c r="D238" s="61">
        <f>(Table134567891011121314151617343[[#This Row],[USA]]/100 +1)^4-1</f>
        <v>9.8595953436981798E-3</v>
      </c>
    </row>
    <row r="239" spans="1:4" x14ac:dyDescent="0.2">
      <c r="A239" s="48">
        <v>38991</v>
      </c>
      <c r="B239" s="49">
        <f>VLOOKUP(A239,'Data qoq'!$B:$AT,MATCH($B$1,'Data qoq'!$B$1:$AT$1,0),FALSE)</f>
        <v>0.15045618799999999</v>
      </c>
      <c r="C239" s="49">
        <f>Table134567891011121314151617343[[#This Row],[USA]]-B238</f>
        <v>-9.5127543000000009E-2</v>
      </c>
      <c r="D239" s="61">
        <f>(Table134567891011121314151617343[[#This Row],[USA]]/100 +1)^4-1</f>
        <v>6.0318433873747246E-3</v>
      </c>
    </row>
    <row r="240" spans="1:4" x14ac:dyDescent="0.2">
      <c r="A240" s="48">
        <v>39083</v>
      </c>
      <c r="B240" s="49">
        <f>VLOOKUP(A240,'Data qoq'!$B:$AT,MATCH($B$1,'Data qoq'!$B$1:$AT$1,0),FALSE)</f>
        <v>0.84371169599999996</v>
      </c>
      <c r="C240" s="49">
        <f>Table134567891011121314151617343[[#This Row],[USA]]-B239</f>
        <v>0.69325550800000002</v>
      </c>
      <c r="D240" s="61">
        <f>(Table134567891011121314151617343[[#This Row],[USA]]/100 +1)^4-1</f>
        <v>3.4177984945622075E-2</v>
      </c>
    </row>
    <row r="241" spans="1:4" x14ac:dyDescent="0.2">
      <c r="A241" s="48">
        <v>39173</v>
      </c>
      <c r="B241" s="49">
        <f>VLOOKUP(A241,'Data qoq'!$B:$AT,MATCH($B$1,'Data qoq'!$B$1:$AT$1,0),FALSE)</f>
        <v>0.29359886099999999</v>
      </c>
      <c r="C241" s="49">
        <f>Table134567891011121314151617343[[#This Row],[USA]]-B240</f>
        <v>-0.55011283499999997</v>
      </c>
      <c r="D241" s="61">
        <f>(Table134567891011121314151617343[[#This Row],[USA]]/100 +1)^4-1</f>
        <v>1.1795775922242457E-2</v>
      </c>
    </row>
    <row r="242" spans="1:4" x14ac:dyDescent="0.2">
      <c r="A242" s="48">
        <v>39264</v>
      </c>
      <c r="B242" s="49">
        <f>VLOOKUP(A242,'Data qoq'!$B:$AT,MATCH($B$1,'Data qoq'!$B$1:$AT$1,0),FALSE)</f>
        <v>0.63843452999999994</v>
      </c>
      <c r="C242" s="49">
        <f>Table134567891011121314151617343[[#This Row],[USA]]-B241</f>
        <v>0.34483566899999996</v>
      </c>
      <c r="D242" s="61">
        <f>(Table134567891011121314151617343[[#This Row],[USA]]/100 +1)^4-1</f>
        <v>2.5782982951032762E-2</v>
      </c>
    </row>
    <row r="243" spans="1:4" x14ac:dyDescent="0.2">
      <c r="A243" s="48">
        <v>39356</v>
      </c>
      <c r="B243" s="49">
        <f>VLOOKUP(A243,'Data qoq'!$B:$AT,MATCH($B$1,'Data qoq'!$B$1:$AT$1,0),FALSE)</f>
        <v>0.60230665699999997</v>
      </c>
      <c r="C243" s="49">
        <f>Table134567891011121314151617343[[#This Row],[USA]]-B242</f>
        <v>-3.6127872999999977E-2</v>
      </c>
      <c r="D243" s="61">
        <f>(Table134567891011121314151617343[[#This Row],[USA]]/100 +1)^4-1</f>
        <v>2.4310805584600859E-2</v>
      </c>
    </row>
    <row r="244" spans="1:4" x14ac:dyDescent="0.2">
      <c r="A244" s="48">
        <v>39448</v>
      </c>
      <c r="B244" s="49">
        <f>VLOOKUP(A244,'Data qoq'!$B:$AT,MATCH($B$1,'Data qoq'!$B$1:$AT$1,0),FALSE)</f>
        <v>0.60964400299999999</v>
      </c>
      <c r="C244" s="49">
        <f>Table134567891011121314151617343[[#This Row],[USA]]-B243</f>
        <v>7.3373460000000224E-3</v>
      </c>
      <c r="D244" s="61">
        <f>(Table134567891011121314151617343[[#This Row],[USA]]/100 +1)^4-1</f>
        <v>2.4609667322921247E-2</v>
      </c>
    </row>
    <row r="245" spans="1:4" x14ac:dyDescent="0.2">
      <c r="A245" s="48">
        <v>39539</v>
      </c>
      <c r="B245" s="49">
        <f>VLOOKUP(A245,'Data qoq'!$B:$AT,MATCH($B$1,'Data qoq'!$B$1:$AT$1,0),FALSE)</f>
        <v>-0.40742947400000001</v>
      </c>
      <c r="C245" s="49">
        <f>Table134567891011121314151617343[[#This Row],[USA]]-B244</f>
        <v>-1.0170734770000001</v>
      </c>
      <c r="D245" s="61">
        <f>(Table134567891011121314151617343[[#This Row],[USA]]/100 +1)^4-1</f>
        <v>-1.6197849949850074E-2</v>
      </c>
    </row>
    <row r="246" spans="1:4" x14ac:dyDescent="0.2">
      <c r="A246" s="48">
        <v>39630</v>
      </c>
      <c r="B246" s="49">
        <f>VLOOKUP(A246,'Data qoq'!$B:$AT,MATCH($B$1,'Data qoq'!$B$1:$AT$1,0),FALSE)</f>
        <v>0.57229534500000001</v>
      </c>
      <c r="C246" s="49">
        <f>Table134567891011121314151617343[[#This Row],[USA]]-B245</f>
        <v>0.97972481900000008</v>
      </c>
      <c r="D246" s="61">
        <f>(Table134567891011121314151617343[[#This Row],[USA]]/100 +1)^4-1</f>
        <v>2.3089077807028735E-2</v>
      </c>
    </row>
    <row r="247" spans="1:4" x14ac:dyDescent="0.2">
      <c r="A247" s="48">
        <v>39722</v>
      </c>
      <c r="B247" s="49">
        <f>VLOOKUP(A247,'Data qoq'!$B:$AT,MATCH($B$1,'Data qoq'!$B$1:$AT$1,0),FALSE)</f>
        <v>-0.52689290200000005</v>
      </c>
      <c r="C247" s="49">
        <f>Table134567891011121314151617343[[#This Row],[USA]]-B246</f>
        <v>-1.0991882470000001</v>
      </c>
      <c r="D247" s="61">
        <f>(Table134567891011121314151617343[[#This Row],[USA]]/100 +1)^4-1</f>
        <v>-2.0909730727059928E-2</v>
      </c>
    </row>
    <row r="248" spans="1:4" x14ac:dyDescent="0.2">
      <c r="A248" s="48">
        <v>39814</v>
      </c>
      <c r="B248" s="49">
        <f>VLOOKUP(A248,'Data qoq'!$B:$AT,MATCH($B$1,'Data qoq'!$B$1:$AT$1,0),FALSE)</f>
        <v>-2.1830971479999999</v>
      </c>
      <c r="C248" s="49">
        <f>Table134567891011121314151617343[[#This Row],[USA]]-B247</f>
        <v>-1.6562042459999997</v>
      </c>
      <c r="D248" s="61">
        <f>(Table134567891011121314151617343[[#This Row],[USA]]/100 +1)^4-1</f>
        <v>-8.4505728691842252E-2</v>
      </c>
    </row>
    <row r="249" spans="1:4" x14ac:dyDescent="0.2">
      <c r="A249" s="48">
        <v>39904</v>
      </c>
      <c r="B249" s="49">
        <f>VLOOKUP(A249,'Data qoq'!$B:$AT,MATCH($B$1,'Data qoq'!$B$1:$AT$1,0),FALSE)</f>
        <v>-1.1657225309999999</v>
      </c>
      <c r="C249" s="49">
        <f>Table134567891011121314151617343[[#This Row],[USA]]-B248</f>
        <v>1.017374617</v>
      </c>
      <c r="D249" s="61">
        <f>(Table134567891011121314151617343[[#This Row],[USA]]/100 +1)^4-1</f>
        <v>-4.5819873805539646E-2</v>
      </c>
    </row>
    <row r="250" spans="1:4" x14ac:dyDescent="0.2">
      <c r="A250" s="48">
        <v>39995</v>
      </c>
      <c r="B250" s="49">
        <f>VLOOKUP(A250,'Data qoq'!$B:$AT,MATCH($B$1,'Data qoq'!$B$1:$AT$1,0),FALSE)</f>
        <v>-0.16923813900000001</v>
      </c>
      <c r="C250" s="49">
        <f>Table134567891011121314151617343[[#This Row],[USA]]-B249</f>
        <v>0.99648439199999994</v>
      </c>
      <c r="D250" s="61">
        <f>(Table134567891011121314151617343[[#This Row],[USA]]/100 +1)^4-1</f>
        <v>-6.7523600121504046E-3</v>
      </c>
    </row>
    <row r="251" spans="1:4" x14ac:dyDescent="0.2">
      <c r="A251" s="48">
        <v>40087</v>
      </c>
      <c r="B251" s="49">
        <f>VLOOKUP(A251,'Data qoq'!$B:$AT,MATCH($B$1,'Data qoq'!$B$1:$AT$1,0),FALSE)</f>
        <v>0.36192999100000001</v>
      </c>
      <c r="C251" s="49">
        <f>Table134567891011121314151617343[[#This Row],[USA]]-B250</f>
        <v>0.53116812999999996</v>
      </c>
      <c r="D251" s="61">
        <f>(Table134567891011121314151617343[[#This Row],[USA]]/100 +1)^4-1</f>
        <v>1.455598544426584E-2</v>
      </c>
    </row>
    <row r="252" spans="1:4" x14ac:dyDescent="0.2">
      <c r="A252" s="48">
        <v>40179</v>
      </c>
      <c r="B252" s="49">
        <f>VLOOKUP(A252,'Data qoq'!$B:$AT,MATCH($B$1,'Data qoq'!$B$1:$AT$1,0),FALSE)</f>
        <v>1.0679619499999999</v>
      </c>
      <c r="C252" s="49">
        <f>Table134567891011121314151617343[[#This Row],[USA]]-B251</f>
        <v>0.70603195899999993</v>
      </c>
      <c r="D252" s="61">
        <f>(Table134567891011121314151617343[[#This Row],[USA]]/100 +1)^4-1</f>
        <v>4.3407688869303573E-2</v>
      </c>
    </row>
    <row r="253" spans="1:4" x14ac:dyDescent="0.2">
      <c r="A253" s="48">
        <v>40269</v>
      </c>
      <c r="B253" s="49">
        <f>VLOOKUP(A253,'Data qoq'!$B:$AT,MATCH($B$1,'Data qoq'!$B$1:$AT$1,0),FALSE)</f>
        <v>0.50005348100000002</v>
      </c>
      <c r="C253" s="49">
        <f>Table134567891011121314151617343[[#This Row],[USA]]-B252</f>
        <v>-0.56790846899999992</v>
      </c>
      <c r="D253" s="61">
        <f>(Table134567891011121314151617343[[#This Row],[USA]]/100 +1)^4-1</f>
        <v>2.0152672116043657E-2</v>
      </c>
    </row>
    <row r="254" spans="1:4" x14ac:dyDescent="0.2">
      <c r="A254" s="48">
        <v>40360</v>
      </c>
      <c r="B254" s="49">
        <f>VLOOKUP(A254,'Data qoq'!$B:$AT,MATCH($B$1,'Data qoq'!$B$1:$AT$1,0),FALSE)</f>
        <v>0.96770463900000003</v>
      </c>
      <c r="C254" s="49">
        <f>Table134567891011121314151617343[[#This Row],[USA]]-B253</f>
        <v>0.46765115800000001</v>
      </c>
      <c r="D254" s="61">
        <f>(Table134567891011121314151617343[[#This Row],[USA]]/100 +1)^4-1</f>
        <v>3.9273690527251048E-2</v>
      </c>
    </row>
    <row r="255" spans="1:4" x14ac:dyDescent="0.2">
      <c r="A255" s="48">
        <v>40452</v>
      </c>
      <c r="B255" s="49">
        <f>VLOOKUP(A255,'Data qoq'!$B:$AT,MATCH($B$1,'Data qoq'!$B$1:$AT$1,0),FALSE)</f>
        <v>0.77314415000000003</v>
      </c>
      <c r="C255" s="49">
        <f>Table134567891011121314151617343[[#This Row],[USA]]-B254</f>
        <v>-0.194560489</v>
      </c>
      <c r="D255" s="61">
        <f>(Table134567891011121314151617343[[#This Row],[USA]]/100 +1)^4-1</f>
        <v>3.1286269292547075E-2</v>
      </c>
    </row>
    <row r="256" spans="1:4" x14ac:dyDescent="0.2">
      <c r="A256" s="48">
        <v>40544</v>
      </c>
      <c r="B256" s="49">
        <f>VLOOKUP(A256,'Data qoq'!$B:$AT,MATCH($B$1,'Data qoq'!$B$1:$AT$1,0),FALSE)</f>
        <v>0.51959515899999997</v>
      </c>
      <c r="C256" s="49">
        <f>Table134567891011121314151617343[[#This Row],[USA]]-B255</f>
        <v>-0.25354899100000006</v>
      </c>
      <c r="D256" s="61">
        <f>(Table134567891011121314151617343[[#This Row],[USA]]/100 +1)^4-1</f>
        <v>2.0946355685835361E-2</v>
      </c>
    </row>
    <row r="257" spans="1:4" x14ac:dyDescent="0.2">
      <c r="A257" s="48">
        <v>40634</v>
      </c>
      <c r="B257" s="49">
        <f>VLOOKUP(A257,'Data qoq'!$B:$AT,MATCH($B$1,'Data qoq'!$B$1:$AT$1,0),FALSE)</f>
        <v>-0.24091606800000001</v>
      </c>
      <c r="C257" s="49">
        <f>Table134567891011121314151617343[[#This Row],[USA]]-B256</f>
        <v>-0.76051122699999996</v>
      </c>
      <c r="D257" s="61">
        <f>(Table134567891011121314151617343[[#This Row],[USA]]/100 +1)^4-1</f>
        <v>-9.6018742868266838E-3</v>
      </c>
    </row>
    <row r="258" spans="1:4" x14ac:dyDescent="0.2">
      <c r="A258" s="48">
        <v>40725</v>
      </c>
      <c r="B258" s="49">
        <f>VLOOKUP(A258,'Data qoq'!$B:$AT,MATCH($B$1,'Data qoq'!$B$1:$AT$1,0),FALSE)</f>
        <v>0.67805075100000001</v>
      </c>
      <c r="C258" s="49">
        <f>Table134567891011121314151617343[[#This Row],[USA]]-B257</f>
        <v>0.91896681899999999</v>
      </c>
      <c r="D258" s="61">
        <f>(Table134567891011121314151617343[[#This Row],[USA]]/100 +1)^4-1</f>
        <v>2.7399130789267812E-2</v>
      </c>
    </row>
    <row r="259" spans="1:4" x14ac:dyDescent="0.2">
      <c r="A259" s="48">
        <v>40817</v>
      </c>
      <c r="B259" s="49">
        <f>VLOOKUP(A259,'Data qoq'!$B:$AT,MATCH($B$1,'Data qoq'!$B$1:$AT$1,0),FALSE)</f>
        <v>-3.8767163E-2</v>
      </c>
      <c r="C259" s="49">
        <f>Table134567891011121314151617343[[#This Row],[USA]]-B258</f>
        <v>-0.71681791400000006</v>
      </c>
      <c r="D259" s="61">
        <f>(Table134567891011121314151617343[[#This Row],[USA]]/100 +1)^4-1</f>
        <v>-1.5497850172727645E-3</v>
      </c>
    </row>
    <row r="260" spans="1:4" x14ac:dyDescent="0.2">
      <c r="A260" s="48">
        <v>40909</v>
      </c>
      <c r="B260" s="49">
        <f>VLOOKUP(A260,'Data qoq'!$B:$AT,MATCH($B$1,'Data qoq'!$B$1:$AT$1,0),FALSE)</f>
        <v>1.121678183</v>
      </c>
      <c r="C260" s="49">
        <f>Table134567891011121314151617343[[#This Row],[USA]]-B259</f>
        <v>1.1604453459999999</v>
      </c>
      <c r="D260" s="61">
        <f>(Table134567891011121314151617343[[#This Row],[USA]]/100 +1)^4-1</f>
        <v>4.5627685328668566E-2</v>
      </c>
    </row>
    <row r="261" spans="1:4" x14ac:dyDescent="0.2">
      <c r="A261" s="48">
        <v>41000</v>
      </c>
      <c r="B261" s="49">
        <f>VLOOKUP(A261,'Data qoq'!$B:$AT,MATCH($B$1,'Data qoq'!$B$1:$AT$1,0),FALSE)</f>
        <v>0.81792284500000001</v>
      </c>
      <c r="C261" s="49">
        <f>Table134567891011121314151617343[[#This Row],[USA]]-B260</f>
        <v>-0.30375533799999999</v>
      </c>
      <c r="D261" s="61">
        <f>(Table134567891011121314151617343[[#This Row],[USA]]/100 +1)^4-1</f>
        <v>3.3120505698075231E-2</v>
      </c>
    </row>
    <row r="262" spans="1:4" x14ac:dyDescent="0.2">
      <c r="A262" s="48">
        <v>41091</v>
      </c>
      <c r="B262" s="49">
        <f>VLOOKUP(A262,'Data qoq'!$B:$AT,MATCH($B$1,'Data qoq'!$B$1:$AT$1,0),FALSE)</f>
        <v>0.45585998700000002</v>
      </c>
      <c r="C262" s="49">
        <f>Table134567891011121314151617343[[#This Row],[USA]]-B261</f>
        <v>-0.36206285799999999</v>
      </c>
      <c r="D262" s="61">
        <f>(Table134567891011121314151617343[[#This Row],[USA]]/100 +1)^4-1</f>
        <v>1.8359463834497713E-2</v>
      </c>
    </row>
    <row r="263" spans="1:4" x14ac:dyDescent="0.2">
      <c r="A263" s="48">
        <v>41183</v>
      </c>
      <c r="B263" s="49">
        <f>VLOOKUP(A263,'Data qoq'!$B:$AT,MATCH($B$1,'Data qoq'!$B$1:$AT$1,0),FALSE)</f>
        <v>0.17488297799999999</v>
      </c>
      <c r="C263" s="49">
        <f>Table134567891011121314151617343[[#This Row],[USA]]-B262</f>
        <v>-0.280977009</v>
      </c>
      <c r="D263" s="61">
        <f>(Table134567891011121314151617343[[#This Row],[USA]]/100 +1)^4-1</f>
        <v>7.0136909574731732E-3</v>
      </c>
    </row>
    <row r="264" spans="1:4" x14ac:dyDescent="0.2">
      <c r="A264" s="48">
        <v>41275</v>
      </c>
      <c r="B264" s="49">
        <f>VLOOKUP(A264,'Data qoq'!$B:$AT,MATCH($B$1,'Data qoq'!$B$1:$AT$1,0),FALSE)</f>
        <v>0.109838067</v>
      </c>
      <c r="C264" s="49">
        <f>Table134567891011121314151617343[[#This Row],[USA]]-B263</f>
        <v>-6.5044910999999997E-2</v>
      </c>
      <c r="D264" s="61">
        <f>(Table134567891011121314151617343[[#This Row],[USA]]/100 +1)^4-1</f>
        <v>4.4007666225549524E-3</v>
      </c>
    </row>
    <row r="265" spans="1:4" x14ac:dyDescent="0.2">
      <c r="A265" s="48">
        <v>41365</v>
      </c>
      <c r="B265" s="49">
        <f>VLOOKUP(A265,'Data qoq'!$B:$AT,MATCH($B$1,'Data qoq'!$B$1:$AT$1,0),FALSE)</f>
        <v>0.86778954799999997</v>
      </c>
      <c r="C265" s="49">
        <f>Table134567891011121314151617343[[#This Row],[USA]]-B264</f>
        <v>0.75795148099999998</v>
      </c>
      <c r="D265" s="61">
        <f>(Table134567891011121314151617343[[#This Row],[USA]]/100 +1)^4-1</f>
        <v>3.5166036796619116E-2</v>
      </c>
    </row>
    <row r="266" spans="1:4" x14ac:dyDescent="0.2">
      <c r="A266" s="48">
        <v>41456</v>
      </c>
      <c r="B266" s="49">
        <f>VLOOKUP(A266,'Data qoq'!$B:$AT,MATCH($B$1,'Data qoq'!$B$1:$AT$1,0),FALSE)</f>
        <v>0.13938522</v>
      </c>
      <c r="C266" s="49">
        <f>Table134567891011121314151617343[[#This Row],[USA]]-B265</f>
        <v>-0.72840432799999999</v>
      </c>
      <c r="D266" s="61">
        <f>(Table134567891011121314151617343[[#This Row],[USA]]/100 +1)^4-1</f>
        <v>5.5870765795456023E-3</v>
      </c>
    </row>
    <row r="267" spans="1:4" x14ac:dyDescent="0.2">
      <c r="A267" s="48">
        <v>41548</v>
      </c>
      <c r="B267" s="49">
        <f>VLOOKUP(A267,'Data qoq'!$B:$AT,MATCH($B$1,'Data qoq'!$B$1:$AT$1,0),FALSE)</f>
        <v>0.79165341099999997</v>
      </c>
      <c r="C267" s="49">
        <f>Table134567891011121314151617343[[#This Row],[USA]]-B266</f>
        <v>0.652268191</v>
      </c>
      <c r="D267" s="61">
        <f>(Table134567891011121314151617343[[#This Row],[USA]]/100 +1)^4-1</f>
        <v>3.2044154006267478E-2</v>
      </c>
    </row>
    <row r="268" spans="1:4" x14ac:dyDescent="0.2">
      <c r="A268" s="48">
        <v>41640</v>
      </c>
      <c r="B268" s="49">
        <f>VLOOKUP(A268,'Data qoq'!$B:$AT,MATCH($B$1,'Data qoq'!$B$1:$AT$1,0),FALSE)</f>
        <v>0.71117100200000005</v>
      </c>
      <c r="C268" s="49">
        <f>Table134567891011121314151617343[[#This Row],[USA]]-B267</f>
        <v>-8.0482408999999921E-2</v>
      </c>
      <c r="D268" s="61">
        <f>(Table134567891011121314151617343[[#This Row],[USA]]/100 +1)^4-1</f>
        <v>2.8751739893740247E-2</v>
      </c>
    </row>
    <row r="269" spans="1:4" x14ac:dyDescent="0.2">
      <c r="A269" s="48">
        <v>41730</v>
      </c>
      <c r="B269" s="49">
        <f>VLOOKUP(A269,'Data qoq'!$B:$AT,MATCH($B$1,'Data qoq'!$B$1:$AT$1,0),FALSE)</f>
        <v>-0.35010973699999998</v>
      </c>
      <c r="C269" s="49">
        <f>Table134567891011121314151617343[[#This Row],[USA]]-B268</f>
        <v>-1.0612807390000001</v>
      </c>
      <c r="D269" s="61">
        <f>(Table134567891011121314151617343[[#This Row],[USA]]/100 +1)^4-1</f>
        <v>-1.3931014894348004E-2</v>
      </c>
    </row>
    <row r="270" spans="1:4" x14ac:dyDescent="0.2">
      <c r="A270" s="48">
        <v>41821</v>
      </c>
      <c r="B270" s="49">
        <f>VLOOKUP(A270,'Data qoq'!$B:$AT,MATCH($B$1,'Data qoq'!$B$1:$AT$1,0),FALSE)</f>
        <v>1.2841289069999999</v>
      </c>
      <c r="C270" s="49">
        <f>Table134567891011121314151617343[[#This Row],[USA]]-B269</f>
        <v>1.6342386439999999</v>
      </c>
      <c r="D270" s="61">
        <f>(Table134567891011121314151617343[[#This Row],[USA]]/100 +1)^4-1</f>
        <v>5.2363045749210579E-2</v>
      </c>
    </row>
    <row r="271" spans="1:4" x14ac:dyDescent="0.2">
      <c r="A271" s="48">
        <v>41913</v>
      </c>
      <c r="B271" s="49">
        <f>VLOOKUP(A271,'Data qoq'!$B:$AT,MATCH($B$1,'Data qoq'!$B$1:$AT$1,0),FALSE)</f>
        <v>1.1649616439999999</v>
      </c>
      <c r="C271" s="49">
        <f>Table134567891011121314151617343[[#This Row],[USA]]-B270</f>
        <v>-0.11916726300000002</v>
      </c>
      <c r="D271" s="61">
        <f>(Table134567891011121314151617343[[#This Row],[USA]]/100 +1)^4-1</f>
        <v>4.7419089601193898E-2</v>
      </c>
    </row>
    <row r="272" spans="1:4" x14ac:dyDescent="0.2">
      <c r="A272" s="48">
        <v>42005</v>
      </c>
      <c r="B272" s="49">
        <f>VLOOKUP(A272,'Data qoq'!$B:$AT,MATCH($B$1,'Data qoq'!$B$1:$AT$1,0),FALSE)</f>
        <v>0.44899340199999999</v>
      </c>
      <c r="C272" s="49">
        <f>Table134567891011121314151617343[[#This Row],[USA]]-B271</f>
        <v>-0.71596824199999998</v>
      </c>
      <c r="D272" s="61">
        <f>(Table134567891011121314151617343[[#This Row],[USA]]/100 +1)^4-1</f>
        <v>1.8081055590863704E-2</v>
      </c>
    </row>
    <row r="273" spans="1:4" x14ac:dyDescent="0.2">
      <c r="A273" s="48">
        <v>42095</v>
      </c>
      <c r="B273" s="49">
        <f>VLOOKUP(A273,'Data qoq'!$B:$AT,MATCH($B$1,'Data qoq'!$B$1:$AT$1,0),FALSE)</f>
        <v>0.81331362600000001</v>
      </c>
      <c r="C273" s="49">
        <f>Table134567891011121314151617343[[#This Row],[USA]]-B272</f>
        <v>0.36432022400000003</v>
      </c>
      <c r="D273" s="61">
        <f>(Table134567891011121314151617343[[#This Row],[USA]]/100 +1)^4-1</f>
        <v>3.2931588807799894E-2</v>
      </c>
    </row>
    <row r="274" spans="1:4" x14ac:dyDescent="0.2">
      <c r="A274" s="48">
        <v>42186</v>
      </c>
      <c r="B274" s="49">
        <f>VLOOKUP(A274,'Data qoq'!$B:$AT,MATCH($B$1,'Data qoq'!$B$1:$AT$1,0),FALSE)</f>
        <v>0.58000143199999998</v>
      </c>
      <c r="C274" s="49">
        <f>Table134567891011121314151617343[[#This Row],[USA]]-B273</f>
        <v>-0.23331219400000003</v>
      </c>
      <c r="D274" s="61">
        <f>(Table134567891011121314151617343[[#This Row],[USA]]/100 +1)^4-1</f>
        <v>2.3402679862115416E-2</v>
      </c>
    </row>
    <row r="275" spans="1:4" x14ac:dyDescent="0.2">
      <c r="A275" s="48">
        <v>42278</v>
      </c>
      <c r="B275" s="49">
        <f>VLOOKUP(A275,'Data qoq'!$B:$AT,MATCH($B$1,'Data qoq'!$B$1:$AT$1,0),FALSE)</f>
        <v>0.323372673</v>
      </c>
      <c r="C275" s="49">
        <f>Table134567891011121314151617343[[#This Row],[USA]]-B274</f>
        <v>-0.25662875899999998</v>
      </c>
      <c r="D275" s="61">
        <f>(Table134567891011121314151617343[[#This Row],[USA]]/100 +1)^4-1</f>
        <v>1.2997784220908359E-2</v>
      </c>
    </row>
    <row r="276" spans="1:4" x14ac:dyDescent="0.2">
      <c r="A276" s="48">
        <v>42370</v>
      </c>
      <c r="B276" s="49">
        <f>VLOOKUP(A276,'Data qoq'!$B:$AT,MATCH($B$1,'Data qoq'!$B$1:$AT$1,0),FALSE)</f>
        <v>0.14623434699999999</v>
      </c>
      <c r="C276" s="49">
        <f>Table134567891011121314151617343[[#This Row],[USA]]-B275</f>
        <v>-0.17713832600000001</v>
      </c>
      <c r="D276" s="61">
        <f>(Table134567891011121314151617343[[#This Row],[USA]]/100 +1)^4-1</f>
        <v>5.8622170837032694E-3</v>
      </c>
    </row>
    <row r="277" spans="1:4" x14ac:dyDescent="0.2">
      <c r="A277" s="48">
        <v>42461</v>
      </c>
      <c r="B277" s="49">
        <f>VLOOKUP(A277,'Data qoq'!$B:$AT,MATCH($B$1,'Data qoq'!$B$1:$AT$1,0),FALSE)</f>
        <v>0.58917986899999997</v>
      </c>
      <c r="C277" s="49">
        <f>Table134567891011121314151617343[[#This Row],[USA]]-B276</f>
        <v>0.44294552199999998</v>
      </c>
      <c r="D277" s="61">
        <f>(Table134567891011121314151617343[[#This Row],[USA]]/100 +1)^4-1</f>
        <v>2.3776293810742199E-2</v>
      </c>
    </row>
    <row r="278" spans="1:4" x14ac:dyDescent="0.2">
      <c r="A278" s="48">
        <v>42552</v>
      </c>
      <c r="B278" s="49">
        <f>VLOOKUP(A278,'Data qoq'!$B:$AT,MATCH($B$1,'Data qoq'!$B$1:$AT$1,0),FALSE)</f>
        <v>0.30238880699999998</v>
      </c>
      <c r="C278" s="49">
        <f>Table134567891011121314151617343[[#This Row],[USA]]-B277</f>
        <v>-0.28679106199999999</v>
      </c>
      <c r="D278" s="61">
        <f>(Table134567891011121314151617343[[#This Row],[USA]]/100 +1)^4-1</f>
        <v>1.2150526358479352E-2</v>
      </c>
    </row>
    <row r="279" spans="1:4" x14ac:dyDescent="0.2">
      <c r="A279" s="48">
        <v>42644</v>
      </c>
      <c r="B279" s="49">
        <f>VLOOKUP(A279,'Data qoq'!$B:$AT,MATCH($B$1,'Data qoq'!$B$1:$AT$1,0),FALSE)</f>
        <v>0.60111537900000001</v>
      </c>
      <c r="C279" s="49">
        <f>Table134567891011121314151617343[[#This Row],[USA]]-B278</f>
        <v>0.29872657200000002</v>
      </c>
      <c r="D279" s="61">
        <f>(Table134567891011121314151617343[[#This Row],[USA]]/100 +1)^4-1</f>
        <v>2.4262289112386481E-2</v>
      </c>
    </row>
    <row r="280" spans="1:4" x14ac:dyDescent="0.2">
      <c r="A280" s="48">
        <v>42736</v>
      </c>
      <c r="B280" s="49">
        <f>VLOOKUP(A280,'Data qoq'!$B:$AT,MATCH($B$1,'Data qoq'!$B$1:$AT$1,0),FALSE)</f>
        <v>0.49688879600000002</v>
      </c>
      <c r="C280" s="49">
        <f>Table134567891011121314151617343[[#This Row],[USA]]-B279</f>
        <v>-0.10422658299999998</v>
      </c>
      <c r="D280" s="61">
        <f>(Table134567891011121314151617343[[#This Row],[USA]]/100 +1)^4-1</f>
        <v>2.0024182259288148E-2</v>
      </c>
    </row>
    <row r="281" spans="1:4" x14ac:dyDescent="0.2">
      <c r="A281" s="48">
        <v>42826</v>
      </c>
      <c r="B281" s="49">
        <f>VLOOKUP(A281,'Data qoq'!$B:$AT,MATCH($B$1,'Data qoq'!$B$1:$AT$1,0),FALSE)</f>
        <v>0.47193104200000002</v>
      </c>
      <c r="C281" s="49">
        <f>Table134567891011121314151617343[[#This Row],[USA]]-B280</f>
        <v>-2.4957753999999999E-2</v>
      </c>
      <c r="D281" s="61">
        <f>(Table134567891011121314151617343[[#This Row],[USA]]/100 +1)^4-1</f>
        <v>1.9011293952945207E-2</v>
      </c>
    </row>
    <row r="282" spans="1:4" x14ac:dyDescent="0.2">
      <c r="A282" s="48">
        <v>42917</v>
      </c>
      <c r="B282" s="49">
        <f>VLOOKUP(A282,'Data qoq'!$B:$AT,MATCH($B$1,'Data qoq'!$B$1:$AT$1,0),FALSE)</f>
        <v>0.55976482299999997</v>
      </c>
      <c r="C282" s="49">
        <f>Table134567891011121314151617343[[#This Row],[USA]]-B281</f>
        <v>8.7833780999999944E-2</v>
      </c>
      <c r="D282" s="61">
        <f>(Table134567891011121314151617343[[#This Row],[USA]]/100 +1)^4-1</f>
        <v>2.257929747539289E-2</v>
      </c>
    </row>
    <row r="283" spans="1:4" x14ac:dyDescent="0.2">
      <c r="A283" s="48">
        <v>43009</v>
      </c>
      <c r="B283" s="49">
        <f>VLOOKUP(A283,'Data qoq'!$B:$AT,MATCH($B$1,'Data qoq'!$B$1:$AT$1,0),FALSE)</f>
        <v>0.71914999099999999</v>
      </c>
      <c r="C283" s="49">
        <f>Table134567891011121314151617343[[#This Row],[USA]]-B282</f>
        <v>0.15938516800000002</v>
      </c>
      <c r="D283" s="61">
        <f>(Table134567891011121314151617343[[#This Row],[USA]]/100 +1)^4-1</f>
        <v>2.9077796050954952E-2</v>
      </c>
    </row>
    <row r="284" spans="1:4" x14ac:dyDescent="0.2">
      <c r="A284" s="48">
        <v>43101</v>
      </c>
      <c r="B284" s="49">
        <f>VLOOKUP(A284,'Data qoq'!$B:$AT,MATCH($B$1,'Data qoq'!$B$1:$AT$1,0),FALSE)</f>
        <v>0.94039983800000004</v>
      </c>
      <c r="C284" s="49">
        <f>Table134567891011121314151617343[[#This Row],[USA]]-B283</f>
        <v>0.22124984700000005</v>
      </c>
      <c r="D284" s="61">
        <f>(Table134567891011121314151617343[[#This Row],[USA]]/100 +1)^4-1</f>
        <v>3.8149939031334457E-2</v>
      </c>
    </row>
    <row r="285" spans="1:4" x14ac:dyDescent="0.2">
      <c r="A285" s="48">
        <v>43191</v>
      </c>
      <c r="B285" s="49">
        <f>VLOOKUP(A285,'Data qoq'!$B:$AT,MATCH($B$1,'Data qoq'!$B$1:$AT$1,0),FALSE)</f>
        <v>0.76285403600000001</v>
      </c>
      <c r="C285" s="49">
        <f>Table134567891011121314151617343[[#This Row],[USA]]-B284</f>
        <v>-0.17754580200000003</v>
      </c>
      <c r="D285" s="61">
        <f>(Table134567891011121314151617343[[#This Row],[USA]]/100 +1)^4-1</f>
        <v>3.0865108355034421E-2</v>
      </c>
    </row>
    <row r="286" spans="1:4" x14ac:dyDescent="0.2">
      <c r="A286" s="48">
        <v>43282</v>
      </c>
      <c r="B286" s="49">
        <f>VLOOKUP(A286,'Data qoq'!$B:$AT,MATCH($B$1,'Data qoq'!$B$1:$AT$1,0),FALSE)</f>
        <v>0.83391090899999998</v>
      </c>
      <c r="C286" s="49">
        <f>Table134567891011121314151617343[[#This Row],[USA]]-B285</f>
        <v>7.1056872999999965E-2</v>
      </c>
      <c r="D286" s="61">
        <f>(Table134567891011121314151617343[[#This Row],[USA]]/100 +1)^4-1</f>
        <v>3.3776005269686493E-2</v>
      </c>
    </row>
    <row r="287" spans="1:4" x14ac:dyDescent="0.2">
      <c r="A287" s="48">
        <v>43374</v>
      </c>
      <c r="B287" s="49">
        <f>VLOOKUP(A287,'Data qoq'!$B:$AT,MATCH($B$1,'Data qoq'!$B$1:$AT$1,0),FALSE)</f>
        <v>0.481952559</v>
      </c>
      <c r="C287" s="49">
        <f>Table134567891011121314151617343[[#This Row],[USA]]-B286</f>
        <v>-0.35195834999999998</v>
      </c>
      <c r="D287" s="61">
        <f>(Table134567891011121314151617343[[#This Row],[USA]]/100 +1)^4-1</f>
        <v>1.9417917649433347E-2</v>
      </c>
    </row>
    <row r="288" spans="1:4" x14ac:dyDescent="0.2">
      <c r="A288" s="48">
        <v>43466</v>
      </c>
      <c r="B288" s="49">
        <f>VLOOKUP(A288,'Data qoq'!$B:$AT,MATCH($B$1,'Data qoq'!$B$1:$AT$1,0),FALSE)</f>
        <v>0.22314183500000001</v>
      </c>
      <c r="C288" s="49">
        <f>Table134567891011121314151617343[[#This Row],[USA]]-B287</f>
        <v>-0.25881072399999999</v>
      </c>
      <c r="D288" s="61">
        <f>(Table134567891011121314151617343[[#This Row],[USA]]/100 +1)^4-1</f>
        <v>8.9555932348708289E-3</v>
      </c>
    </row>
    <row r="289" spans="1:4" x14ac:dyDescent="0.2">
      <c r="A289" s="48">
        <v>43556</v>
      </c>
      <c r="B289" s="49">
        <f>VLOOKUP(A289,'Data qoq'!$B:$AT,MATCH($B$1,'Data qoq'!$B$1:$AT$1,0),FALSE)</f>
        <v>0.59779028999999995</v>
      </c>
      <c r="C289" s="49">
        <f>Table134567891011121314151617343[[#This Row],[USA]]-B288</f>
        <v>0.37464845499999994</v>
      </c>
      <c r="D289" s="61">
        <f>(Table134567891011121314151617343[[#This Row],[USA]]/100 +1)^4-1</f>
        <v>2.4126879304670057E-2</v>
      </c>
    </row>
    <row r="290" spans="1:4" x14ac:dyDescent="0.2">
      <c r="A290" s="48">
        <v>43647</v>
      </c>
      <c r="B290" s="49">
        <f>VLOOKUP(A290,'Data qoq'!$B:$AT,MATCH($B$1,'Data qoq'!$B$1:$AT$1,0),FALSE)</f>
        <v>0.79292440799999997</v>
      </c>
      <c r="C290" s="49">
        <f>Table134567891011121314151617343[[#This Row],[USA]]-B289</f>
        <v>0.19513411800000002</v>
      </c>
      <c r="D290" s="61">
        <f>(Table134567891011121314151617343[[#This Row],[USA]]/100 +1)^4-1</f>
        <v>3.2096211881735615E-2</v>
      </c>
    </row>
    <row r="291" spans="1:4" s="40" customFormat="1" x14ac:dyDescent="0.2">
      <c r="A291" s="48">
        <v>43739</v>
      </c>
      <c r="B291" s="49">
        <f>VLOOKUP(A291,'Data qoq'!$B:$AT,MATCH($B$1,'Data qoq'!$B$1:$AT$1,0),FALSE)</f>
        <v>0.685498791</v>
      </c>
      <c r="C291" s="49">
        <f>Table134567891011121314151617343[[#This Row],[USA]]-B290</f>
        <v>-0.10742561699999997</v>
      </c>
      <c r="D291" s="61">
        <f>(Table134567891011121314151617343[[#This Row],[USA]]/100 +1)^4-1</f>
        <v>2.7703187490706105E-2</v>
      </c>
    </row>
    <row r="292" spans="1:4" s="40" customFormat="1" x14ac:dyDescent="0.2">
      <c r="A292" s="48">
        <v>43831</v>
      </c>
      <c r="B292" s="49">
        <f>VLOOKUP(A292,'Data qoq'!$B:$AT,MATCH($B$1,'Data qoq'!$B$1:$AT$1,0),FALSE)</f>
        <v>0.46909761799999999</v>
      </c>
      <c r="C292" s="49">
        <f>Table134567891011121314151617343[[#This Row],[USA]]-B291</f>
        <v>-0.216401173</v>
      </c>
      <c r="D292" s="61">
        <f>(Table134567891011121314151617343[[#This Row],[USA]]/100 +1)^4-1</f>
        <v>1.8896349653914735E-2</v>
      </c>
    </row>
    <row r="293" spans="1:4" s="40" customFormat="1" x14ac:dyDescent="0.2">
      <c r="A293" s="48">
        <v>43922</v>
      </c>
      <c r="B293" s="49">
        <f>VLOOKUP(A293,'Data qoq'!$B:$AT,MATCH($B$1,'Data qoq'!$B$1:$AT$1,0),FALSE)</f>
        <v>-1.303582746</v>
      </c>
      <c r="C293" s="49">
        <f>Table134567891011121314151617343[[#This Row],[USA]]-B292</f>
        <v>-1.772680364</v>
      </c>
      <c r="D293" s="61">
        <f>(Table134567891011121314151617343[[#This Row],[USA]]/100 +1)^4-1</f>
        <v>-5.1132545035958321E-2</v>
      </c>
    </row>
    <row r="294" spans="1:4" s="40" customFormat="1" x14ac:dyDescent="0.2">
      <c r="A294" s="48">
        <v>44013</v>
      </c>
      <c r="B294" s="49">
        <f>VLOOKUP(A294,'Data qoq'!$B:$AT,MATCH($B$1,'Data qoq'!$B$1:$AT$1,0),FALSE)</f>
        <v>-8.9372505009999994</v>
      </c>
      <c r="C294" s="49">
        <f>Table134567891011121314151617343[[#This Row],[USA]]-B293</f>
        <v>-7.6336677549999994</v>
      </c>
      <c r="D294" s="61">
        <f>(Table134567891011121314151617343[[#This Row],[USA]]/100 +1)^4-1</f>
        <v>-0.31235698460598726</v>
      </c>
    </row>
    <row r="295" spans="1:4" s="40" customFormat="1" x14ac:dyDescent="0.2">
      <c r="A295" s="48">
        <v>44105</v>
      </c>
      <c r="B295" s="49">
        <f>VLOOKUP(A295,'Data qoq'!$B:$AT,MATCH($B$1,'Data qoq'!$B$1:$AT$1,0),FALSE)</f>
        <v>7.547534636</v>
      </c>
      <c r="C295" s="49">
        <f>Table134567891011121314151617343[[#This Row],[USA]]-B294</f>
        <v>16.484785136999999</v>
      </c>
      <c r="D295" s="61">
        <f>(Table134567891011121314151617343[[#This Row],[USA]]/100 +1)^4-1</f>
        <v>0.33783279298685187</v>
      </c>
    </row>
    <row r="296" spans="1:4" s="40" customFormat="1" x14ac:dyDescent="0.2">
      <c r="A296" s="48">
        <v>44197</v>
      </c>
      <c r="B296" s="49">
        <f>VLOOKUP(A296,'Data qoq'!$B:$AT,MATCH($B$1,'Data qoq'!$B$1:$AT$1,0),FALSE)</f>
        <v>1.115276766</v>
      </c>
      <c r="C296" s="49">
        <f>Table134567891011121314151617343[[#This Row],[USA]]-B295</f>
        <v>-6.4322578699999999</v>
      </c>
      <c r="D296" s="61">
        <f>(Table134567891011121314151617343[[#This Row],[USA]]/100 +1)^4-1</f>
        <v>4.5362940383817607E-2</v>
      </c>
    </row>
    <row r="297" spans="1:4" s="40" customFormat="1" x14ac:dyDescent="0.2">
      <c r="A297" s="48">
        <v>44287</v>
      </c>
      <c r="B297" s="49">
        <f>VLOOKUP(A297,'Data qoq'!$B:$AT,MATCH($B$1,'Data qoq'!$B$1:$AT$1,0),FALSE)</f>
        <v>1.533889627</v>
      </c>
      <c r="C297" s="49">
        <f>Table134567891011121314151617343[[#This Row],[USA]]-B296</f>
        <v>0.41861286099999995</v>
      </c>
      <c r="D297" s="61">
        <f>(Table134567891011121314151617343[[#This Row],[USA]]/100 +1)^4-1</f>
        <v>6.2781766718929433E-2</v>
      </c>
    </row>
    <row r="298" spans="1:4" s="40" customFormat="1" x14ac:dyDescent="0.2">
      <c r="A298" s="48">
        <v>44378</v>
      </c>
      <c r="B298" s="49">
        <f>VLOOKUP(A298,'Data qoq'!$B:$AT,MATCH($B$1,'Data qoq'!$B$1:$AT$1,0),FALSE)</f>
        <v>1.600286109</v>
      </c>
      <c r="C298" s="49">
        <f>Table134567891011121314151617343[[#This Row],[USA]]-B297</f>
        <v>6.6396482000000034E-2</v>
      </c>
      <c r="D298" s="61">
        <f>(Table134567891011121314151617343[[#This Row],[USA]]/100 +1)^4-1</f>
        <v>6.5564452112124139E-2</v>
      </c>
    </row>
    <row r="299" spans="1:4" s="40" customFormat="1" x14ac:dyDescent="0.2">
      <c r="A299" s="55"/>
      <c r="B299" s="56"/>
      <c r="C299" s="47"/>
      <c r="D299" s="62"/>
    </row>
    <row r="300" spans="1:4" s="40" customFormat="1" x14ac:dyDescent="0.2">
      <c r="A300" s="55"/>
      <c r="B300" s="56"/>
      <c r="C300" s="47"/>
      <c r="D300" s="62"/>
    </row>
    <row r="301" spans="1:4" s="40" customFormat="1" x14ac:dyDescent="0.2">
      <c r="A301" s="55"/>
      <c r="B301" s="56"/>
      <c r="C301" s="47"/>
      <c r="D301" s="62"/>
    </row>
    <row r="302" spans="1:4" s="40" customFormat="1" x14ac:dyDescent="0.2">
      <c r="A302" s="55"/>
      <c r="B302" s="56"/>
      <c r="C302" s="47"/>
      <c r="D302" s="62"/>
    </row>
    <row r="303" spans="1:4" s="40" customFormat="1" x14ac:dyDescent="0.2">
      <c r="A303" s="55"/>
      <c r="B303" s="56"/>
      <c r="C303" s="47"/>
      <c r="D303" s="62"/>
    </row>
    <row r="304" spans="1:4" s="40" customFormat="1" x14ac:dyDescent="0.2">
      <c r="A304" s="55"/>
      <c r="B304" s="56"/>
      <c r="C304" s="47"/>
      <c r="D304" s="62"/>
    </row>
    <row r="305" spans="1:4" s="40" customFormat="1" x14ac:dyDescent="0.2">
      <c r="A305" s="55"/>
      <c r="B305" s="56"/>
      <c r="C305" s="47"/>
      <c r="D305" s="62"/>
    </row>
    <row r="306" spans="1:4" s="40" customFormat="1" x14ac:dyDescent="0.2">
      <c r="A306" s="55"/>
      <c r="B306" s="56"/>
      <c r="C306" s="47"/>
      <c r="D306" s="62"/>
    </row>
    <row r="307" spans="1:4" s="40" customFormat="1" x14ac:dyDescent="0.2">
      <c r="A307" s="55"/>
      <c r="B307" s="56"/>
      <c r="C307" s="47"/>
      <c r="D307" s="62"/>
    </row>
    <row r="308" spans="1:4" s="40" customFormat="1" x14ac:dyDescent="0.2">
      <c r="A308" s="55"/>
      <c r="B308" s="56"/>
      <c r="C308" s="47"/>
      <c r="D308" s="62"/>
    </row>
    <row r="309" spans="1:4" s="40" customFormat="1" x14ac:dyDescent="0.2">
      <c r="A309" s="55"/>
      <c r="B309" s="56"/>
      <c r="C309" s="47"/>
      <c r="D309" s="62"/>
    </row>
    <row r="310" spans="1:4" s="40" customFormat="1" x14ac:dyDescent="0.2">
      <c r="A310" s="55"/>
      <c r="B310" s="56"/>
      <c r="C310" s="47"/>
      <c r="D310" s="62"/>
    </row>
    <row r="311" spans="1:4" s="40" customFormat="1" x14ac:dyDescent="0.2">
      <c r="A311" s="55"/>
      <c r="B311" s="56"/>
      <c r="C311" s="47"/>
      <c r="D311" s="62"/>
    </row>
    <row r="312" spans="1:4" s="40" customFormat="1" x14ac:dyDescent="0.2">
      <c r="A312" s="55"/>
      <c r="B312" s="56"/>
      <c r="C312" s="47"/>
      <c r="D312" s="62"/>
    </row>
    <row r="313" spans="1:4" s="40" customFormat="1" x14ac:dyDescent="0.2">
      <c r="A313" s="55"/>
      <c r="B313" s="56"/>
      <c r="C313" s="47"/>
      <c r="D313" s="62"/>
    </row>
    <row r="314" spans="1:4" s="40" customFormat="1" x14ac:dyDescent="0.2">
      <c r="A314" s="55"/>
      <c r="B314" s="56"/>
      <c r="C314" s="47"/>
      <c r="D314" s="62"/>
    </row>
    <row r="315" spans="1:4" s="40" customFormat="1" x14ac:dyDescent="0.2">
      <c r="A315" s="55"/>
      <c r="B315" s="56"/>
      <c r="C315" s="47"/>
      <c r="D315" s="62"/>
    </row>
    <row r="316" spans="1:4" s="40" customFormat="1" x14ac:dyDescent="0.2">
      <c r="A316" s="55"/>
      <c r="B316" s="56"/>
      <c r="C316" s="47"/>
      <c r="D316" s="62"/>
    </row>
    <row r="317" spans="1:4" s="40" customFormat="1" x14ac:dyDescent="0.2">
      <c r="A317" s="55"/>
      <c r="B317" s="56"/>
      <c r="C317" s="47"/>
      <c r="D317" s="62"/>
    </row>
    <row r="318" spans="1:4" s="40" customFormat="1" x14ac:dyDescent="0.2">
      <c r="A318" s="55"/>
      <c r="B318" s="56"/>
      <c r="C318" s="47"/>
      <c r="D318" s="62"/>
    </row>
    <row r="319" spans="1:4" s="40" customFormat="1" x14ac:dyDescent="0.2">
      <c r="A319" s="55"/>
      <c r="B319" s="56"/>
      <c r="C319" s="47"/>
      <c r="D319" s="62"/>
    </row>
    <row r="320" spans="1:4" s="40" customFormat="1" x14ac:dyDescent="0.2">
      <c r="A320" s="55"/>
      <c r="B320" s="56"/>
      <c r="C320" s="47"/>
      <c r="D320" s="62"/>
    </row>
    <row r="321" spans="1:4" s="40" customFormat="1" x14ac:dyDescent="0.2">
      <c r="A321" s="55"/>
      <c r="B321" s="56"/>
      <c r="C321" s="47"/>
      <c r="D321" s="62"/>
    </row>
    <row r="322" spans="1:4" s="40" customFormat="1" x14ac:dyDescent="0.2">
      <c r="A322" s="55"/>
      <c r="B322" s="56"/>
      <c r="C322" s="47"/>
      <c r="D322" s="62"/>
    </row>
    <row r="323" spans="1:4" s="40" customFormat="1" x14ac:dyDescent="0.2">
      <c r="A323" s="55"/>
      <c r="B323" s="56"/>
      <c r="C323" s="47"/>
      <c r="D323" s="62"/>
    </row>
    <row r="324" spans="1:4" s="40" customFormat="1" x14ac:dyDescent="0.2">
      <c r="A324" s="55"/>
      <c r="B324" s="56"/>
      <c r="C324" s="47"/>
      <c r="D324" s="62"/>
    </row>
    <row r="325" spans="1:4" s="40" customFormat="1" x14ac:dyDescent="0.2">
      <c r="A325" s="55"/>
      <c r="B325" s="56"/>
      <c r="C325" s="47"/>
      <c r="D325" s="62"/>
    </row>
    <row r="326" spans="1:4" s="40" customFormat="1" x14ac:dyDescent="0.2">
      <c r="A326" s="55"/>
      <c r="B326" s="56"/>
      <c r="C326" s="47"/>
      <c r="D326" s="62"/>
    </row>
    <row r="327" spans="1:4" s="40" customFormat="1" x14ac:dyDescent="0.2">
      <c r="A327" s="55"/>
      <c r="B327" s="56"/>
      <c r="C327" s="47"/>
      <c r="D327" s="62"/>
    </row>
    <row r="328" spans="1:4" s="40" customFormat="1" x14ac:dyDescent="0.2">
      <c r="A328" s="55"/>
      <c r="B328" s="56"/>
      <c r="C328" s="47"/>
      <c r="D328" s="62"/>
    </row>
    <row r="329" spans="1:4" s="40" customFormat="1" x14ac:dyDescent="0.2">
      <c r="A329" s="55"/>
      <c r="B329" s="56"/>
      <c r="C329" s="47"/>
      <c r="D329" s="62"/>
    </row>
    <row r="330" spans="1:4" s="40" customFormat="1" x14ac:dyDescent="0.2">
      <c r="A330" s="55"/>
      <c r="B330" s="56"/>
      <c r="C330" s="47"/>
      <c r="D330" s="62"/>
    </row>
    <row r="331" spans="1:4" s="40" customFormat="1" x14ac:dyDescent="0.2">
      <c r="A331" s="55"/>
      <c r="B331" s="56"/>
      <c r="C331" s="47"/>
      <c r="D331" s="62"/>
    </row>
    <row r="332" spans="1:4" s="40" customFormat="1" x14ac:dyDescent="0.2">
      <c r="A332" s="55"/>
      <c r="B332" s="56"/>
      <c r="C332" s="47"/>
      <c r="D332" s="62"/>
    </row>
    <row r="333" spans="1:4" s="40" customFormat="1" x14ac:dyDescent="0.2">
      <c r="A333" s="55"/>
      <c r="B333" s="56"/>
      <c r="C333" s="47"/>
      <c r="D333" s="62"/>
    </row>
    <row r="334" spans="1:4" s="40" customFormat="1" x14ac:dyDescent="0.2">
      <c r="A334" s="55"/>
      <c r="B334" s="56"/>
      <c r="C334" s="47"/>
      <c r="D334" s="62"/>
    </row>
    <row r="335" spans="1:4" s="40" customFormat="1" x14ac:dyDescent="0.2">
      <c r="A335" s="55"/>
      <c r="B335" s="56"/>
      <c r="C335" s="47"/>
      <c r="D335" s="62"/>
    </row>
    <row r="336" spans="1:4" s="40" customFormat="1" x14ac:dyDescent="0.2">
      <c r="A336" s="55"/>
      <c r="B336" s="56"/>
      <c r="C336" s="47"/>
      <c r="D336" s="62"/>
    </row>
    <row r="337" spans="1:4" s="40" customFormat="1" x14ac:dyDescent="0.2">
      <c r="A337" s="55"/>
      <c r="B337" s="56"/>
      <c r="C337" s="47"/>
      <c r="D337" s="62"/>
    </row>
    <row r="338" spans="1:4" s="40" customFormat="1" x14ac:dyDescent="0.2">
      <c r="A338" s="55"/>
      <c r="B338" s="56"/>
      <c r="C338" s="47"/>
      <c r="D338" s="62"/>
    </row>
    <row r="339" spans="1:4" s="40" customFormat="1" x14ac:dyDescent="0.2">
      <c r="A339" s="55"/>
      <c r="B339" s="56"/>
      <c r="C339" s="47"/>
      <c r="D339" s="62"/>
    </row>
    <row r="340" spans="1:4" s="40" customFormat="1" x14ac:dyDescent="0.2">
      <c r="A340" s="55"/>
      <c r="B340" s="56"/>
      <c r="C340" s="47"/>
      <c r="D340" s="62"/>
    </row>
    <row r="341" spans="1:4" s="40" customFormat="1" x14ac:dyDescent="0.2">
      <c r="A341" s="55"/>
      <c r="B341" s="56"/>
      <c r="C341" s="47"/>
      <c r="D341" s="62"/>
    </row>
    <row r="342" spans="1:4" s="40" customFormat="1" x14ac:dyDescent="0.2">
      <c r="A342" s="55"/>
      <c r="B342" s="56"/>
      <c r="C342" s="47"/>
      <c r="D342" s="62"/>
    </row>
    <row r="343" spans="1:4" s="40" customFormat="1" x14ac:dyDescent="0.2">
      <c r="A343" s="55"/>
      <c r="B343" s="56"/>
      <c r="C343" s="47"/>
      <c r="D343" s="62"/>
    </row>
    <row r="344" spans="1:4" s="40" customFormat="1" x14ac:dyDescent="0.2">
      <c r="A344" s="55"/>
      <c r="B344" s="56"/>
      <c r="C344" s="47"/>
      <c r="D344" s="62"/>
    </row>
    <row r="345" spans="1:4" s="40" customFormat="1" x14ac:dyDescent="0.2">
      <c r="A345" s="55"/>
      <c r="B345" s="56"/>
      <c r="C345" s="47"/>
      <c r="D345" s="62"/>
    </row>
    <row r="346" spans="1:4" s="40" customFormat="1" x14ac:dyDescent="0.2">
      <c r="A346" s="55"/>
      <c r="B346" s="56"/>
      <c r="C346" s="47"/>
      <c r="D346" s="62"/>
    </row>
    <row r="347" spans="1:4" s="40" customFormat="1" x14ac:dyDescent="0.2">
      <c r="A347" s="55"/>
      <c r="B347" s="56"/>
      <c r="C347" s="47"/>
      <c r="D347" s="62"/>
    </row>
    <row r="348" spans="1:4" s="40" customFormat="1" x14ac:dyDescent="0.2">
      <c r="A348" s="55"/>
      <c r="B348" s="56"/>
      <c r="C348" s="47"/>
      <c r="D348" s="62"/>
    </row>
    <row r="349" spans="1:4" s="40" customFormat="1" x14ac:dyDescent="0.2">
      <c r="A349" s="55"/>
      <c r="B349" s="56"/>
      <c r="C349" s="47"/>
      <c r="D349" s="62"/>
    </row>
    <row r="350" spans="1:4" s="40" customFormat="1" x14ac:dyDescent="0.2">
      <c r="A350" s="55"/>
      <c r="B350" s="56"/>
      <c r="C350" s="47"/>
      <c r="D350" s="62"/>
    </row>
    <row r="351" spans="1:4" s="40" customFormat="1" x14ac:dyDescent="0.2">
      <c r="A351" s="55"/>
      <c r="B351" s="56"/>
      <c r="C351" s="47"/>
      <c r="D351" s="62"/>
    </row>
    <row r="352" spans="1:4" s="40" customFormat="1" x14ac:dyDescent="0.2">
      <c r="A352" s="55"/>
      <c r="B352" s="56"/>
      <c r="C352" s="47"/>
      <c r="D352" s="62"/>
    </row>
    <row r="353" spans="1:4" s="40" customFormat="1" x14ac:dyDescent="0.2">
      <c r="A353" s="55"/>
      <c r="B353" s="56"/>
      <c r="C353" s="47"/>
      <c r="D353" s="62"/>
    </row>
    <row r="354" spans="1:4" s="40" customFormat="1" x14ac:dyDescent="0.2">
      <c r="A354" s="55"/>
      <c r="B354" s="56"/>
      <c r="C354" s="47"/>
      <c r="D354" s="62"/>
    </row>
    <row r="355" spans="1:4" s="40" customFormat="1" x14ac:dyDescent="0.2">
      <c r="A355" s="55"/>
      <c r="B355" s="56"/>
      <c r="C355" s="47"/>
      <c r="D355" s="62"/>
    </row>
    <row r="356" spans="1:4" s="40" customFormat="1" x14ac:dyDescent="0.2">
      <c r="A356" s="55"/>
      <c r="B356" s="56"/>
      <c r="C356" s="47"/>
      <c r="D356" s="62"/>
    </row>
    <row r="357" spans="1:4" s="40" customFormat="1" x14ac:dyDescent="0.2">
      <c r="A357" s="55"/>
      <c r="B357" s="56"/>
      <c r="C357" s="47"/>
      <c r="D357" s="62"/>
    </row>
    <row r="358" spans="1:4" s="40" customFormat="1" x14ac:dyDescent="0.2">
      <c r="A358" s="55"/>
      <c r="B358" s="56"/>
      <c r="C358" s="47"/>
      <c r="D358" s="62"/>
    </row>
    <row r="359" spans="1:4" s="40" customFormat="1" x14ac:dyDescent="0.2">
      <c r="A359" s="55"/>
      <c r="B359" s="56"/>
      <c r="C359" s="47"/>
      <c r="D359" s="62"/>
    </row>
    <row r="360" spans="1:4" s="40" customFormat="1" x14ac:dyDescent="0.2">
      <c r="A360" s="55"/>
      <c r="B360" s="56"/>
      <c r="C360" s="47"/>
      <c r="D360" s="62"/>
    </row>
    <row r="361" spans="1:4" s="40" customFormat="1" x14ac:dyDescent="0.2">
      <c r="A361" s="55"/>
      <c r="B361" s="56"/>
      <c r="C361" s="47"/>
      <c r="D361" s="62"/>
    </row>
    <row r="362" spans="1:4" s="40" customFormat="1" x14ac:dyDescent="0.2">
      <c r="A362" s="55"/>
      <c r="B362" s="56"/>
      <c r="C362" s="47"/>
      <c r="D362" s="62"/>
    </row>
    <row r="363" spans="1:4" s="40" customFormat="1" x14ac:dyDescent="0.2">
      <c r="A363" s="55"/>
      <c r="B363" s="56"/>
      <c r="C363" s="47"/>
      <c r="D363" s="62"/>
    </row>
    <row r="364" spans="1:4" s="40" customFormat="1" x14ac:dyDescent="0.2">
      <c r="A364" s="55"/>
      <c r="B364" s="56"/>
      <c r="C364" s="47"/>
      <c r="D364" s="62"/>
    </row>
    <row r="365" spans="1:4" s="40" customFormat="1" x14ac:dyDescent="0.2">
      <c r="A365" s="55"/>
      <c r="B365" s="56"/>
      <c r="C365" s="47"/>
      <c r="D365" s="62"/>
    </row>
    <row r="366" spans="1:4" s="40" customFormat="1" x14ac:dyDescent="0.2">
      <c r="A366" s="55"/>
      <c r="B366" s="56"/>
      <c r="C366" s="47"/>
      <c r="D366" s="62"/>
    </row>
    <row r="367" spans="1:4" s="40" customFormat="1" x14ac:dyDescent="0.2">
      <c r="A367" s="55"/>
      <c r="B367" s="56"/>
      <c r="C367" s="47"/>
      <c r="D367" s="62"/>
    </row>
    <row r="368" spans="1:4" s="40" customFormat="1" x14ac:dyDescent="0.2">
      <c r="A368" s="55"/>
      <c r="B368" s="56"/>
      <c r="C368" s="47"/>
      <c r="D368" s="62"/>
    </row>
    <row r="369" spans="1:4" s="40" customFormat="1" x14ac:dyDescent="0.2">
      <c r="A369" s="55"/>
      <c r="B369" s="56"/>
      <c r="C369" s="47"/>
      <c r="D369" s="62"/>
    </row>
    <row r="370" spans="1:4" s="40" customFormat="1" x14ac:dyDescent="0.2">
      <c r="A370" s="55"/>
      <c r="B370" s="56"/>
      <c r="C370" s="47"/>
      <c r="D370" s="62"/>
    </row>
    <row r="371" spans="1:4" s="40" customFormat="1" x14ac:dyDescent="0.2">
      <c r="A371" s="55"/>
      <c r="B371" s="56"/>
      <c r="C371" s="47"/>
      <c r="D371" s="62"/>
    </row>
    <row r="372" spans="1:4" s="40" customFormat="1" x14ac:dyDescent="0.2">
      <c r="A372" s="55"/>
      <c r="B372" s="56"/>
      <c r="C372" s="47"/>
      <c r="D372" s="62"/>
    </row>
    <row r="373" spans="1:4" s="40" customFormat="1" x14ac:dyDescent="0.2">
      <c r="A373" s="55"/>
      <c r="B373" s="56"/>
      <c r="C373" s="47"/>
      <c r="D373" s="62"/>
    </row>
    <row r="374" spans="1:4" s="40" customFormat="1" x14ac:dyDescent="0.2">
      <c r="A374" s="55"/>
      <c r="B374" s="56"/>
      <c r="C374" s="47"/>
      <c r="D374" s="62"/>
    </row>
    <row r="375" spans="1:4" s="40" customFormat="1" x14ac:dyDescent="0.2">
      <c r="A375" s="55"/>
      <c r="B375" s="56"/>
      <c r="C375" s="47"/>
      <c r="D375" s="62"/>
    </row>
    <row r="376" spans="1:4" s="40" customFormat="1" x14ac:dyDescent="0.2">
      <c r="A376" s="55"/>
      <c r="B376" s="56"/>
      <c r="C376" s="47"/>
      <c r="D376" s="62"/>
    </row>
    <row r="377" spans="1:4" s="40" customFormat="1" x14ac:dyDescent="0.2">
      <c r="A377" s="55"/>
      <c r="B377" s="56"/>
      <c r="C377" s="47"/>
      <c r="D377" s="62"/>
    </row>
    <row r="378" spans="1:4" s="40" customFormat="1" x14ac:dyDescent="0.2">
      <c r="A378" s="55"/>
      <c r="B378" s="56"/>
      <c r="C378" s="47"/>
      <c r="D378" s="62"/>
    </row>
    <row r="379" spans="1:4" s="40" customFormat="1" x14ac:dyDescent="0.2">
      <c r="A379" s="55"/>
      <c r="B379" s="56"/>
      <c r="C379" s="47"/>
      <c r="D379" s="62"/>
    </row>
    <row r="380" spans="1:4" s="40" customFormat="1" x14ac:dyDescent="0.2">
      <c r="A380" s="55"/>
      <c r="B380" s="56"/>
      <c r="C380" s="47"/>
      <c r="D380" s="62"/>
    </row>
    <row r="381" spans="1:4" s="40" customFormat="1" x14ac:dyDescent="0.2">
      <c r="A381" s="55"/>
      <c r="B381" s="56"/>
      <c r="C381" s="47"/>
      <c r="D381" s="62"/>
    </row>
    <row r="382" spans="1:4" s="40" customFormat="1" x14ac:dyDescent="0.2">
      <c r="A382" s="55"/>
      <c r="B382" s="56"/>
      <c r="C382" s="47"/>
      <c r="D382" s="62"/>
    </row>
    <row r="383" spans="1:4" s="40" customFormat="1" x14ac:dyDescent="0.2">
      <c r="A383" s="55"/>
      <c r="B383" s="56"/>
      <c r="C383" s="47"/>
      <c r="D383" s="62"/>
    </row>
    <row r="384" spans="1:4" s="40" customFormat="1" x14ac:dyDescent="0.2">
      <c r="A384" s="55"/>
      <c r="B384" s="56"/>
      <c r="C384" s="47"/>
      <c r="D384" s="62"/>
    </row>
    <row r="385" spans="1:4" s="40" customFormat="1" x14ac:dyDescent="0.2">
      <c r="A385" s="55"/>
      <c r="B385" s="56"/>
      <c r="C385" s="47"/>
      <c r="D385" s="62"/>
    </row>
    <row r="386" spans="1:4" s="40" customFormat="1" x14ac:dyDescent="0.2">
      <c r="A386" s="55"/>
      <c r="B386" s="56"/>
      <c r="C386" s="47"/>
      <c r="D386" s="62"/>
    </row>
    <row r="387" spans="1:4" s="40" customFormat="1" x14ac:dyDescent="0.2">
      <c r="A387" s="55"/>
      <c r="B387" s="56"/>
      <c r="C387" s="47"/>
      <c r="D387" s="62"/>
    </row>
    <row r="388" spans="1:4" s="40" customFormat="1" x14ac:dyDescent="0.2">
      <c r="A388" s="55"/>
      <c r="B388" s="56"/>
      <c r="C388" s="47"/>
      <c r="D388" s="62"/>
    </row>
    <row r="389" spans="1:4" s="40" customFormat="1" x14ac:dyDescent="0.2">
      <c r="A389" s="55"/>
      <c r="B389" s="56"/>
      <c r="C389" s="47"/>
      <c r="D389" s="62"/>
    </row>
    <row r="390" spans="1:4" s="40" customFormat="1" x14ac:dyDescent="0.2">
      <c r="A390" s="55"/>
      <c r="B390" s="56"/>
      <c r="C390" s="47"/>
      <c r="D390" s="62"/>
    </row>
    <row r="391" spans="1:4" s="40" customFormat="1" x14ac:dyDescent="0.2">
      <c r="A391" s="55"/>
      <c r="B391" s="56"/>
      <c r="C391" s="47"/>
      <c r="D391" s="62"/>
    </row>
    <row r="392" spans="1:4" s="40" customFormat="1" x14ac:dyDescent="0.2">
      <c r="A392" s="55"/>
      <c r="B392" s="56"/>
      <c r="C392" s="47"/>
      <c r="D392" s="62"/>
    </row>
    <row r="393" spans="1:4" s="40" customFormat="1" x14ac:dyDescent="0.2">
      <c r="A393" s="55"/>
      <c r="B393" s="56"/>
      <c r="C393" s="47"/>
      <c r="D393" s="62"/>
    </row>
    <row r="394" spans="1:4" s="40" customFormat="1" x14ac:dyDescent="0.2">
      <c r="A394" s="55"/>
      <c r="B394" s="56"/>
      <c r="C394" s="47"/>
      <c r="D394" s="62"/>
    </row>
    <row r="395" spans="1:4" s="40" customFormat="1" x14ac:dyDescent="0.2">
      <c r="A395" s="55"/>
      <c r="B395" s="56"/>
      <c r="C395" s="47"/>
      <c r="D395" s="62"/>
    </row>
    <row r="396" spans="1:4" s="40" customFormat="1" x14ac:dyDescent="0.2">
      <c r="A396" s="55"/>
      <c r="B396" s="56"/>
      <c r="C396" s="47"/>
      <c r="D396" s="62"/>
    </row>
    <row r="397" spans="1:4" s="40" customFormat="1" x14ac:dyDescent="0.2">
      <c r="A397" s="55"/>
      <c r="B397" s="56"/>
      <c r="C397" s="47"/>
      <c r="D397" s="62"/>
    </row>
    <row r="398" spans="1:4" s="40" customFormat="1" x14ac:dyDescent="0.2">
      <c r="A398" s="55"/>
      <c r="B398" s="56"/>
      <c r="C398" s="47"/>
      <c r="D398" s="62"/>
    </row>
    <row r="399" spans="1:4" s="40" customFormat="1" x14ac:dyDescent="0.2">
      <c r="A399" s="55"/>
      <c r="B399" s="56"/>
      <c r="C399" s="47"/>
      <c r="D399" s="62"/>
    </row>
    <row r="400" spans="1:4" s="40" customFormat="1" x14ac:dyDescent="0.2">
      <c r="A400" s="55"/>
      <c r="B400" s="56"/>
      <c r="C400" s="47"/>
      <c r="D400" s="62"/>
    </row>
    <row r="401" spans="1:4" s="40" customFormat="1" x14ac:dyDescent="0.2">
      <c r="A401" s="55"/>
      <c r="B401" s="56"/>
      <c r="C401" s="47"/>
      <c r="D401" s="62"/>
    </row>
    <row r="402" spans="1:4" s="40" customFormat="1" x14ac:dyDescent="0.2">
      <c r="A402" s="55"/>
      <c r="B402" s="56"/>
      <c r="C402" s="47"/>
      <c r="D402" s="62"/>
    </row>
    <row r="403" spans="1:4" s="40" customFormat="1" x14ac:dyDescent="0.2">
      <c r="A403" s="55"/>
      <c r="B403" s="56"/>
      <c r="C403" s="47"/>
      <c r="D403" s="62"/>
    </row>
    <row r="404" spans="1:4" s="40" customFormat="1" x14ac:dyDescent="0.2">
      <c r="A404" s="55"/>
      <c r="B404" s="56"/>
      <c r="C404" s="47"/>
      <c r="D404" s="62"/>
    </row>
    <row r="405" spans="1:4" s="40" customFormat="1" x14ac:dyDescent="0.2">
      <c r="A405" s="55"/>
      <c r="B405" s="56"/>
      <c r="C405" s="47"/>
      <c r="D405" s="62"/>
    </row>
    <row r="406" spans="1:4" s="40" customFormat="1" x14ac:dyDescent="0.2">
      <c r="A406" s="55"/>
      <c r="B406" s="56"/>
      <c r="C406" s="47"/>
      <c r="D406" s="62"/>
    </row>
    <row r="407" spans="1:4" s="40" customFormat="1" x14ac:dyDescent="0.2">
      <c r="A407" s="55"/>
      <c r="B407" s="56"/>
      <c r="C407" s="47"/>
      <c r="D407" s="62"/>
    </row>
    <row r="408" spans="1:4" s="40" customFormat="1" x14ac:dyDescent="0.2">
      <c r="A408" s="55"/>
      <c r="B408" s="56"/>
      <c r="C408" s="47"/>
      <c r="D408" s="62"/>
    </row>
    <row r="409" spans="1:4" s="40" customFormat="1" x14ac:dyDescent="0.2">
      <c r="A409" s="55"/>
      <c r="B409" s="56"/>
      <c r="C409" s="47"/>
      <c r="D409" s="62"/>
    </row>
    <row r="410" spans="1:4" s="40" customFormat="1" x14ac:dyDescent="0.2">
      <c r="A410" s="55"/>
      <c r="B410" s="56"/>
      <c r="C410" s="47"/>
      <c r="D410" s="62"/>
    </row>
    <row r="411" spans="1:4" s="40" customFormat="1" x14ac:dyDescent="0.2">
      <c r="A411" s="55"/>
      <c r="B411" s="56"/>
      <c r="C411" s="47"/>
      <c r="D411" s="62"/>
    </row>
    <row r="412" spans="1:4" s="40" customFormat="1" x14ac:dyDescent="0.2">
      <c r="A412" s="55"/>
      <c r="B412" s="56"/>
      <c r="C412" s="47"/>
      <c r="D412" s="62"/>
    </row>
    <row r="413" spans="1:4" s="40" customFormat="1" x14ac:dyDescent="0.2">
      <c r="A413" s="55"/>
      <c r="B413" s="56"/>
      <c r="C413" s="47"/>
      <c r="D413" s="62"/>
    </row>
    <row r="414" spans="1:4" s="40" customFormat="1" x14ac:dyDescent="0.2">
      <c r="A414" s="55"/>
      <c r="B414" s="56"/>
      <c r="C414" s="47"/>
      <c r="D414" s="62"/>
    </row>
    <row r="415" spans="1:4" s="40" customFormat="1" x14ac:dyDescent="0.2">
      <c r="A415" s="55"/>
      <c r="B415" s="56"/>
      <c r="C415" s="47"/>
      <c r="D415" s="62"/>
    </row>
    <row r="416" spans="1:4" s="40" customFormat="1" x14ac:dyDescent="0.2">
      <c r="A416" s="55"/>
      <c r="B416" s="56"/>
      <c r="C416" s="47"/>
      <c r="D416" s="62"/>
    </row>
    <row r="417" spans="1:4" s="40" customFormat="1" x14ac:dyDescent="0.2">
      <c r="A417" s="55"/>
      <c r="B417" s="56"/>
      <c r="C417" s="47"/>
      <c r="D417" s="62"/>
    </row>
    <row r="418" spans="1:4" s="40" customFormat="1" x14ac:dyDescent="0.2">
      <c r="A418" s="55"/>
      <c r="B418" s="56"/>
      <c r="C418" s="47"/>
      <c r="D418" s="62"/>
    </row>
    <row r="419" spans="1:4" s="40" customFormat="1" x14ac:dyDescent="0.2">
      <c r="A419" s="55"/>
      <c r="B419" s="56"/>
      <c r="C419" s="47"/>
      <c r="D419" s="62"/>
    </row>
    <row r="420" spans="1:4" s="40" customFormat="1" x14ac:dyDescent="0.2">
      <c r="A420" s="55"/>
      <c r="B420" s="56"/>
      <c r="C420" s="47"/>
      <c r="D420" s="62"/>
    </row>
    <row r="421" spans="1:4" s="40" customFormat="1" x14ac:dyDescent="0.2">
      <c r="A421" s="55"/>
      <c r="B421" s="56"/>
      <c r="C421" s="47"/>
      <c r="D421" s="62"/>
    </row>
    <row r="422" spans="1:4" s="40" customFormat="1" x14ac:dyDescent="0.2">
      <c r="A422" s="55"/>
      <c r="B422" s="56"/>
      <c r="C422" s="47"/>
      <c r="D422" s="62"/>
    </row>
    <row r="423" spans="1:4" s="40" customFormat="1" x14ac:dyDescent="0.2">
      <c r="A423" s="55"/>
      <c r="B423" s="56"/>
      <c r="C423" s="47"/>
      <c r="D423" s="62"/>
    </row>
    <row r="424" spans="1:4" s="40" customFormat="1" x14ac:dyDescent="0.2">
      <c r="A424" s="55"/>
      <c r="B424" s="56"/>
      <c r="C424" s="47"/>
      <c r="D424" s="62"/>
    </row>
    <row r="425" spans="1:4" s="40" customFormat="1" x14ac:dyDescent="0.2">
      <c r="A425" s="55"/>
      <c r="B425" s="56"/>
      <c r="C425" s="47"/>
      <c r="D425" s="62"/>
    </row>
    <row r="426" spans="1:4" s="40" customFormat="1" x14ac:dyDescent="0.2">
      <c r="A426" s="55"/>
      <c r="B426" s="56"/>
      <c r="C426" s="47"/>
      <c r="D426" s="62"/>
    </row>
    <row r="427" spans="1:4" s="40" customFormat="1" x14ac:dyDescent="0.2">
      <c r="A427" s="55"/>
      <c r="B427" s="56"/>
      <c r="C427" s="47"/>
      <c r="D427" s="62"/>
    </row>
    <row r="428" spans="1:4" s="40" customFormat="1" x14ac:dyDescent="0.2">
      <c r="A428" s="55"/>
      <c r="B428" s="56"/>
      <c r="C428" s="47"/>
      <c r="D428" s="62"/>
    </row>
    <row r="429" spans="1:4" s="40" customFormat="1" x14ac:dyDescent="0.2">
      <c r="A429" s="55"/>
      <c r="B429" s="56"/>
      <c r="C429" s="47"/>
      <c r="D429" s="62"/>
    </row>
    <row r="430" spans="1:4" s="40" customFormat="1" x14ac:dyDescent="0.2">
      <c r="A430" s="55"/>
      <c r="B430" s="56"/>
      <c r="C430" s="47"/>
      <c r="D430" s="62"/>
    </row>
    <row r="431" spans="1:4" s="40" customFormat="1" x14ac:dyDescent="0.2">
      <c r="A431" s="55"/>
      <c r="B431" s="56"/>
      <c r="C431" s="47"/>
      <c r="D431" s="62"/>
    </row>
    <row r="432" spans="1:4" x14ac:dyDescent="0.2">
      <c r="A432" s="44"/>
    </row>
    <row r="433" spans="1:1" x14ac:dyDescent="0.2">
      <c r="A433" s="44"/>
    </row>
    <row r="434" spans="1:1" x14ac:dyDescent="0.2">
      <c r="A434" s="44"/>
    </row>
    <row r="435" spans="1:1" x14ac:dyDescent="0.2">
      <c r="A435" s="44"/>
    </row>
  </sheetData>
  <conditionalFormatting sqref="D232:D298">
    <cfRule type="colorScale" priority="1">
      <colorScale>
        <cfvo type="min"/>
        <cfvo type="percentile" val="50"/>
        <cfvo type="max"/>
        <color rgb="FFF8696B"/>
        <color rgb="FFFFEB84"/>
        <color rgb="FF63BE7B"/>
      </colorScale>
    </cfRule>
  </conditionalFormatting>
  <pageMargins left="0.7" right="0.7" top="0.75" bottom="0.75" header="0.3" footer="0.3"/>
  <ignoredErrors>
    <ignoredError sqref="C3:C290 C291:C292 C293:C298" calculatedColumn="1"/>
  </ignoredErrors>
  <drawing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Note</vt:lpstr>
      <vt:lpstr>Data qoq</vt:lpstr>
      <vt:lpstr>Data yoy</vt:lpstr>
      <vt:lpstr>Table yoy</vt:lpstr>
      <vt:lpstr>Table qoq</vt:lpstr>
      <vt:lpstr>Table qoq annualized</vt:lpstr>
      <vt:lpstr>World GDP</vt:lpstr>
      <vt:lpstr>Global View yoy</vt:lpstr>
      <vt:lpstr>Global View qoq</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2019-09-02T12:09:42Z</dcterms:created>
  <dcterms:modified xsi:type="dcterms:W3CDTF">2021-12-12T10:44:35Z</dcterms:modified>
</cp:coreProperties>
</file>