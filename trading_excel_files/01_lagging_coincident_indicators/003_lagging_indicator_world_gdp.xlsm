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000" yWindow="580" windowWidth="45400" windowHeight="26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9" headerRowCount="1" totalsRowShown="0" headerRowDxfId="10" dataDxfId="9">
  <autoFilter ref="A1:C299"/>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9" headerRowCount="1" totalsRowShown="0" headerRowDxfId="5" dataDxfId="4">
  <autoFilter ref="A1:D299"/>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5" min="1" max="1"/>
    <col width="12.83203125" customWidth="1" style="75" min="2" max="10"/>
    <col width="6.6640625" customWidth="1" style="75" min="11" max="11"/>
    <col width="9.1640625" customWidth="1" style="75" min="12" max="25"/>
    <col width="9.1640625" customWidth="1" style="75" min="26" max="16384"/>
  </cols>
  <sheetData>
    <row r="1" ht="16" customHeight="1" s="68" thickBot="1">
      <c r="B1" s="74" t="n"/>
    </row>
    <row r="2" ht="16" customHeight="1" s="68" thickBot="1">
      <c r="B2" s="76" t="n"/>
      <c r="C2" s="76" t="n"/>
      <c r="D2" s="76" t="n"/>
      <c r="E2" s="76" t="n"/>
      <c r="F2" s="76" t="n"/>
      <c r="G2" s="76" t="n"/>
      <c r="H2" s="76" t="n"/>
      <c r="I2" s="76" t="n"/>
      <c r="J2" s="76" t="n"/>
    </row>
    <row r="3" ht="16" customHeight="1" s="68" thickBot="1">
      <c r="B3" s="77" t="inlineStr">
        <is>
          <t>World GDP</t>
        </is>
      </c>
      <c r="C3" s="78" t="n"/>
      <c r="D3" s="78" t="n"/>
      <c r="E3" s="78" t="n"/>
      <c r="F3" s="78" t="n"/>
      <c r="G3" s="78" t="n"/>
      <c r="H3" s="78" t="n"/>
      <c r="I3" s="78" t="n"/>
      <c r="J3" s="79" t="n"/>
    </row>
    <row r="5">
      <c r="B5" s="80" t="inlineStr">
        <is>
          <t>Definition</t>
        </is>
      </c>
      <c r="C5" s="81" t="n"/>
      <c r="D5" s="81" t="n"/>
      <c r="E5" s="81" t="n"/>
      <c r="F5" s="81" t="n"/>
      <c r="G5" s="81" t="n"/>
      <c r="H5" s="81" t="n"/>
      <c r="I5" s="81" t="n"/>
      <c r="J5" s="82" t="n"/>
    </row>
    <row r="7" ht="132" customHeight="1" s="68">
      <c r="B7" s="83"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0" t="inlineStr">
        <is>
          <t>Process / TO DO LIST</t>
        </is>
      </c>
      <c r="C9" s="81" t="n"/>
      <c r="D9" s="81" t="n"/>
      <c r="E9" s="81" t="n"/>
      <c r="F9" s="81" t="n"/>
      <c r="G9" s="81" t="n"/>
      <c r="H9" s="81" t="n"/>
      <c r="I9" s="81" t="n"/>
      <c r="J9" s="82" t="n"/>
    </row>
    <row r="10" ht="16" customHeight="1" s="68"/>
    <row r="11" ht="17" customHeight="1" s="68">
      <c r="B11" s="80" t="inlineStr">
        <is>
          <t>TO DO LIST</t>
        </is>
      </c>
      <c r="C11" s="81" t="n"/>
      <c r="D11" s="81" t="n"/>
      <c r="E11" s="81" t="n"/>
      <c r="F11" s="82" t="n"/>
      <c r="G11" s="80" t="inlineStr">
        <is>
          <t>Comments</t>
        </is>
      </c>
      <c r="H11" s="81" t="n"/>
      <c r="I11" s="81" t="n"/>
      <c r="J11" s="82" t="n"/>
    </row>
    <row r="12" ht="16" customHeight="1" s="68"/>
    <row r="13" ht="16" customHeight="1" s="68">
      <c r="B13" s="85" t="inlineStr">
        <is>
          <t>https://data.oecd.org/gdp/quarterly-gdp.htm#indicator-chart</t>
        </is>
      </c>
      <c r="G13" s="75" t="inlineStr">
        <is>
          <t>Data qoq</t>
        </is>
      </c>
    </row>
    <row r="14" ht="16" customHeight="1" s="68">
      <c r="B14" s="75" t="inlineStr">
        <is>
          <t>Select Quarterly GDP</t>
        </is>
      </c>
      <c r="G14" s="75" t="inlineStr">
        <is>
          <t>To update manually or with macro</t>
        </is>
      </c>
    </row>
    <row r="15" ht="16" customHeight="1" s="68">
      <c r="B15" s="75" t="inlineStr">
        <is>
          <t>Select Table</t>
        </is>
      </c>
      <c r="G15" s="75" t="inlineStr">
        <is>
          <t>In Data qoq tab</t>
        </is>
      </c>
    </row>
    <row r="16" ht="16" customHeight="1" s="68">
      <c r="B16" s="75" t="inlineStr">
        <is>
          <t>Select Percentage change, previous period</t>
        </is>
      </c>
    </row>
    <row r="17" ht="16" customHeight="1" s="68">
      <c r="B17" s="75" t="inlineStr">
        <is>
          <t>Select latest data available</t>
        </is>
      </c>
    </row>
    <row r="18" ht="16" customHeight="1" s="68"/>
    <row r="19" ht="16" customHeight="1" s="68">
      <c r="B19" s="85" t="inlineStr">
        <is>
          <t>https://data.oecd.org/gdp/quarterly-gdp.htm#indicator-chart</t>
        </is>
      </c>
      <c r="G19" s="75" t="inlineStr">
        <is>
          <t>Data yoy</t>
        </is>
      </c>
    </row>
    <row r="20" ht="16" customHeight="1" s="68">
      <c r="B20" s="75" t="inlineStr">
        <is>
          <t>Select Quarterly GDP</t>
        </is>
      </c>
      <c r="G20" s="75" t="inlineStr">
        <is>
          <t>To update manually or with macro</t>
        </is>
      </c>
    </row>
    <row r="21" ht="16" customHeight="1" s="68">
      <c r="B21" s="75" t="inlineStr">
        <is>
          <t>Select Table</t>
        </is>
      </c>
      <c r="G21" s="75" t="inlineStr">
        <is>
          <t>In Data you tab</t>
        </is>
      </c>
    </row>
    <row r="22" ht="16" customHeight="1" s="68">
      <c r="B22" s="75" t="inlineStr">
        <is>
          <t>Select Percentage change, previous year</t>
        </is>
      </c>
    </row>
    <row r="23" ht="16" customHeight="1" s="68">
      <c r="B23" s="75" t="inlineStr">
        <is>
          <t>Select latest data available</t>
        </is>
      </c>
    </row>
    <row r="24" ht="16" customHeight="1" s="68"/>
    <row r="25" ht="16" customHeight="1" s="68">
      <c r="B25" s="75" t="inlineStr">
        <is>
          <t>https://data.oecd.org/gdp/quarterly-gdp.htm</t>
        </is>
      </c>
    </row>
    <row r="26" ht="16" customHeight="1" s="68"/>
    <row r="27" ht="16" customHeight="1" s="68">
      <c r="B27" s="75"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84"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0"/>
    <col width="9.1640625" customWidth="1" style="68" min="61"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E300" t="n">
        <v>-2.221334829</v>
      </c>
      <c r="F300" t="n">
        <v>0.504809392</v>
      </c>
      <c r="H300" t="n">
        <v>1.600008023</v>
      </c>
      <c r="K300" t="n">
        <v>1.6</v>
      </c>
      <c r="L300" t="n">
        <v>0.899968903</v>
      </c>
      <c r="M300" t="n">
        <v>-0.731986727</v>
      </c>
      <c r="O300" t="n">
        <v>0.294477</v>
      </c>
      <c r="P300" t="n">
        <v>2.011580755</v>
      </c>
      <c r="R300" t="n">
        <v>0.428945</v>
      </c>
      <c r="T300" t="n">
        <v>0.71059852</v>
      </c>
      <c r="AC300" t="n">
        <v>0.612598122</v>
      </c>
      <c r="AE300" t="n">
        <v>1.118547956</v>
      </c>
      <c r="AH300" t="n">
        <v>0.999489277</v>
      </c>
      <c r="AN300" t="n">
        <v>1.600006732</v>
      </c>
      <c r="AR300" t="n">
        <v>1.400036967</v>
      </c>
      <c r="AT300" t="n">
        <v>1.679094392</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2"/>
    <col width="9.1640625" customWidth="1" style="68" min="5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E300" t="n">
        <v>5.375035814</v>
      </c>
      <c r="F300" t="n">
        <v>5.624878053</v>
      </c>
      <c r="H300" t="n">
        <v>3.364372007</v>
      </c>
      <c r="K300" t="n">
        <v>4</v>
      </c>
      <c r="L300" t="n">
        <v>3.385131794</v>
      </c>
      <c r="M300" t="n">
        <v>1.375282927</v>
      </c>
      <c r="O300" t="n">
        <v>4.607040264</v>
      </c>
      <c r="P300" t="n">
        <v>5.233834699</v>
      </c>
      <c r="R300" t="n">
        <v>4.750314814</v>
      </c>
      <c r="U300" t="n">
        <v>5.420140196</v>
      </c>
      <c r="AE300" t="n">
        <v>6.396497393</v>
      </c>
      <c r="AG300" t="n">
        <v>3.993905937</v>
      </c>
      <c r="AJ300" t="n">
        <v>2.747212204</v>
      </c>
      <c r="AP300" t="n">
        <v>5.770635482</v>
      </c>
      <c r="AT300" t="n">
        <v>5.871456886</v>
      </c>
      <c r="AV300" t="n">
        <v>5.531736362</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2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cols>
    <col width="9.1640625" customWidth="1" style="75" min="1" max="1"/>
    <col width="13" bestFit="1" customWidth="1" style="68" min="2" max="2"/>
    <col width="9" bestFit="1" customWidth="1" style="68" min="3" max="26"/>
    <col width="9" customWidth="1" style="68" min="27" max="27"/>
    <col width="6.1640625" customWidth="1" style="68" min="28" max="28"/>
    <col width="8" bestFit="1" customWidth="1" style="75" min="29" max="29"/>
    <col width="16.33203125" bestFit="1" customWidth="1" style="75" min="30" max="30"/>
    <col width="8" bestFit="1" customWidth="1" style="75" min="31" max="31"/>
    <col width="5.33203125" bestFit="1" customWidth="1" style="75" min="32" max="32"/>
    <col width="37" bestFit="1" customWidth="1" style="75" min="33" max="33"/>
    <col width="41"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5">
      <c r="AD2" s="75" t="inlineStr">
        <is>
          <t>Last quarter</t>
        </is>
      </c>
      <c r="AE2" s="64" t="inlineStr">
        <is>
          <t>2021-Q2</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5" t="n"/>
      <c r="AD3" s="11" t="inlineStr">
        <is>
          <t>Previous Quarter</t>
        </is>
      </c>
      <c r="AE3" s="65" t="inlineStr">
        <is>
          <t>2020-Q2</t>
        </is>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75" t="n"/>
      <c r="AD4" s="14" t="inlineStr">
        <is>
          <t>12 months</t>
        </is>
      </c>
      <c r="AE4" s="66" t="inlineStr">
        <is>
          <t>2019-Q3</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75"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75" t="n"/>
      <c r="AC6" s="18" t="n"/>
      <c r="AD6" s="75" t="inlineStr">
        <is>
          <t>Country 1</t>
        </is>
      </c>
      <c r="AE6" s="17" t="inlineStr">
        <is>
          <t>GBR</t>
        </is>
      </c>
      <c r="AG6" s="75">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5"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5"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5"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5"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5"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5"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5"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5"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5"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5"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5"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5"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5"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5"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5"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5"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5"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5"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5"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5"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5"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5"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5"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5"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5"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5"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5"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5"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5"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5"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5"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5"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5"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5"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5"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5"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5"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5"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5"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5"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5"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5"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5"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5"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5"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5"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5"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5"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5"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5"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5"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5"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5"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5"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5"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5"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5"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5"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5"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5"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5"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5"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5"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5" t="n"/>
      <c r="AC70" s="26">
        <f>B70</f>
        <v/>
      </c>
      <c r="AD70" s="27">
        <f>(VLOOKUP(AC70,B:Y,MATCH($AE$6,$B$1:$Y$1,),))</f>
        <v/>
      </c>
      <c r="AE70" s="27">
        <f>(VLOOKUP(AC70,B:Y,MATCH($AE$7,$B$1:$Y$1,),))</f>
        <v/>
      </c>
      <c r="AF70" s="27">
        <f>AD70-AE70</f>
        <v/>
      </c>
    </row>
    <row r="71">
      <c r="B71" s="24" t="inlineStr">
        <is>
          <t>2015-Q1</t>
        </is>
      </c>
      <c r="C71" s="25">
        <f>VLOOKUP(B71,'Data yoy'!$A:$AW,MATCH($C$1,'Data yoy'!$A$1:$AW$1,),)</f>
        <v/>
      </c>
      <c r="D71" s="25">
        <f>VLOOKUP(B71,'Data yoy'!$A:$AW,MATCH($D$1,'Data yoy'!$A$1:$AW$1,),)</f>
        <v/>
      </c>
      <c r="E71" s="25">
        <f>VLOOKUP(B71,'Data yoy'!$A:$AW,MATCH($E$1,'Data yoy'!$A$1:$AW$1,),)</f>
        <v/>
      </c>
      <c r="F71" s="25">
        <f>VLOOKUP(B71,'Data yoy'!$A:$AW,MATCH($F$1,'Data yoy'!$A$1:$AW$1,),)</f>
        <v/>
      </c>
      <c r="G71" s="25">
        <f>VLOOKUP(B71,'Data yoy'!$A:$AW,MATCH($G$1,'Data yoy'!$A$1:$AW$1,),)</f>
        <v/>
      </c>
      <c r="H71" s="25">
        <f>VLOOKUP(B71,'Data yoy'!$A:$AW,MATCH($H$1,'Data yoy'!$A$1:$AW$1,),)</f>
        <v/>
      </c>
      <c r="I71" s="25">
        <f>VLOOKUP(B71,'Data yoy'!$A:$AW,MATCH($I$1,'Data yoy'!$A$1:$AW$1,),)</f>
        <v/>
      </c>
      <c r="J71" s="25">
        <f>VLOOKUP(B71,'Data yoy'!$A:$AW,MATCH($J$1,'Data yoy'!$A$1:$AW$1,),)</f>
        <v/>
      </c>
      <c r="K71" s="25">
        <f>VLOOKUP(B71,'Data yoy'!$A:$AW,MATCH($K$1,'Data yoy'!$A$1:$AW$1,),)</f>
        <v/>
      </c>
      <c r="L71" s="25">
        <f>VLOOKUP(B71,'Data yoy'!$A:$AW,MATCH($L$1,'Data yoy'!$A$1:$AW$1,),)</f>
        <v/>
      </c>
      <c r="M71" s="25">
        <f>VLOOKUP(B71,'Data yoy'!$A:$AW,MATCH($M$1,'Data yoy'!$A$1:$AW$1,),)</f>
        <v/>
      </c>
      <c r="N71" s="25">
        <f>VLOOKUP(B71,'Data yoy'!$A:$AW,MATCH($N$1,'Data yoy'!$A$1:$AW$1,),)</f>
        <v/>
      </c>
      <c r="O71" s="25">
        <f>VLOOKUP(B71,'Data yoy'!$A:$AW,MATCH($O$1,'Data yoy'!$A$1:$AW$1,),)</f>
        <v/>
      </c>
      <c r="P71" s="25">
        <f>VLOOKUP(B71,'Data yoy'!$A:$AW,MATCH($P$1,'Data yoy'!$A$1:$AW$1,),)</f>
        <v/>
      </c>
      <c r="Q71" s="25">
        <f>VLOOKUP(B71,'Data yoy'!$A:$AW,MATCH($Q$1,'Data yoy'!$A$1:$AW$1,),)</f>
        <v/>
      </c>
      <c r="R71" s="25">
        <f>VLOOKUP(B71,'Data yoy'!$A:$AW,MATCH($R$1,'Data yoy'!$A$1:$AW$1,),)</f>
        <v/>
      </c>
      <c r="S71" s="25">
        <f>VLOOKUP(B71,'Data yoy'!$A:$AW,MATCH($S$1,'Data yoy'!$A$1:$AW$1,),)</f>
        <v/>
      </c>
      <c r="T71" s="25">
        <f>VLOOKUP(B71,'Data yoy'!$A:$AW,MATCH($T$1,'Data yoy'!$A$1:$AW$1,),)</f>
        <v/>
      </c>
      <c r="U71" s="25">
        <f>VLOOKUP(B71,'Data yoy'!$A:$AW,MATCH($U$1,'Data yoy'!$A$1:$AW$1,),)</f>
        <v/>
      </c>
      <c r="V71" s="25">
        <f>VLOOKUP(B71,'Data yoy'!$A:$AW,MATCH($V$1,'Data yoy'!$A$1:$AW$1,),)</f>
        <v/>
      </c>
      <c r="W71" s="25">
        <f>VLOOKUP(B71,'Data yoy'!$A:$AW,MATCH($W$1,'Data yoy'!$A$1:$AW$1,),)</f>
        <v/>
      </c>
      <c r="X71" s="25">
        <f>VLOOKUP(B71,'Data yoy'!$A:$AW,MATCH($X$1,'Data yoy'!$A$1:$AW$1,),)</f>
        <v/>
      </c>
      <c r="Y71" s="25">
        <f>VLOOKUP(B71,'Data yoy'!$A:$AW,MATCH($Y$1,'Data yoy'!$A$1:$AW$1,),)</f>
        <v/>
      </c>
      <c r="Z71" s="25">
        <f>VLOOKUP(B71,'Data yoy'!$A:$AW,MATCH($Z$1,'Data yoy'!$A$1:$AW$1,),)</f>
        <v/>
      </c>
      <c r="AA71" s="25">
        <f>VLOOKUP(B71,'Data yoy'!$A:$AW,MATCH($AA$1,'Data yoy'!$A$1:$AW$1,),)</f>
        <v/>
      </c>
      <c r="AB71" s="75" t="n"/>
      <c r="AC71" s="26">
        <f>B71</f>
        <v/>
      </c>
      <c r="AD71" s="27">
        <f>(VLOOKUP(AC71,B:Y,MATCH($AE$6,$B$1:$Y$1,),))</f>
        <v/>
      </c>
      <c r="AE71" s="27">
        <f>(VLOOKUP(AC71,B:Y,MATCH($AE$7,$B$1:$Y$1,),))</f>
        <v/>
      </c>
      <c r="AF71" s="27">
        <f>AD71-AE71</f>
        <v/>
      </c>
    </row>
    <row r="72">
      <c r="B72" s="24" t="inlineStr">
        <is>
          <t>2015-Q2</t>
        </is>
      </c>
      <c r="C72" s="25">
        <f>VLOOKUP(B72,'Data yoy'!$A:$AW,MATCH($C$1,'Data yoy'!$A$1:$AW$1,),)</f>
        <v/>
      </c>
      <c r="D72" s="25">
        <f>VLOOKUP(B72,'Data yoy'!$A:$AW,MATCH($D$1,'Data yoy'!$A$1:$AW$1,),)</f>
        <v/>
      </c>
      <c r="E72" s="25">
        <f>VLOOKUP(B72,'Data yoy'!$A:$AW,MATCH($E$1,'Data yoy'!$A$1:$AW$1,),)</f>
        <v/>
      </c>
      <c r="F72" s="25">
        <f>VLOOKUP(B72,'Data yoy'!$A:$AW,MATCH($F$1,'Data yoy'!$A$1:$AW$1,),)</f>
        <v/>
      </c>
      <c r="G72" s="25">
        <f>VLOOKUP(B72,'Data yoy'!$A:$AW,MATCH($G$1,'Data yoy'!$A$1:$AW$1,),)</f>
        <v/>
      </c>
      <c r="H72" s="25">
        <f>VLOOKUP(B72,'Data yoy'!$A:$AW,MATCH($H$1,'Data yoy'!$A$1:$AW$1,),)</f>
        <v/>
      </c>
      <c r="I72" s="25">
        <f>VLOOKUP(B72,'Data yoy'!$A:$AW,MATCH($I$1,'Data yoy'!$A$1:$AW$1,),)</f>
        <v/>
      </c>
      <c r="J72" s="25">
        <f>VLOOKUP(B72,'Data yoy'!$A:$AW,MATCH($J$1,'Data yoy'!$A$1:$AW$1,),)</f>
        <v/>
      </c>
      <c r="K72" s="25">
        <f>VLOOKUP(B72,'Data yoy'!$A:$AW,MATCH($K$1,'Data yoy'!$A$1:$AW$1,),)</f>
        <v/>
      </c>
      <c r="L72" s="25">
        <f>VLOOKUP(B72,'Data yoy'!$A:$AW,MATCH($L$1,'Data yoy'!$A$1:$AW$1,),)</f>
        <v/>
      </c>
      <c r="M72" s="25">
        <f>VLOOKUP(B72,'Data yoy'!$A:$AW,MATCH($M$1,'Data yoy'!$A$1:$AW$1,),)</f>
        <v/>
      </c>
      <c r="N72" s="25">
        <f>VLOOKUP(B72,'Data yoy'!$A:$AW,MATCH($N$1,'Data yoy'!$A$1:$AW$1,),)</f>
        <v/>
      </c>
      <c r="O72" s="25">
        <f>VLOOKUP(B72,'Data yoy'!$A:$AW,MATCH($O$1,'Data yoy'!$A$1:$AW$1,),)</f>
        <v/>
      </c>
      <c r="P72" s="25">
        <f>VLOOKUP(B72,'Data yoy'!$A:$AW,MATCH($P$1,'Data yoy'!$A$1:$AW$1,),)</f>
        <v/>
      </c>
      <c r="Q72" s="25">
        <f>VLOOKUP(B72,'Data yoy'!$A:$AW,MATCH($Q$1,'Data yoy'!$A$1:$AW$1,),)</f>
        <v/>
      </c>
      <c r="R72" s="25">
        <f>VLOOKUP(B72,'Data yoy'!$A:$AW,MATCH($R$1,'Data yoy'!$A$1:$AW$1,),)</f>
        <v/>
      </c>
      <c r="S72" s="25">
        <f>VLOOKUP(B72,'Data yoy'!$A:$AW,MATCH($S$1,'Data yoy'!$A$1:$AW$1,),)</f>
        <v/>
      </c>
      <c r="T72" s="25">
        <f>VLOOKUP(B72,'Data yoy'!$A:$AW,MATCH($T$1,'Data yoy'!$A$1:$AW$1,),)</f>
        <v/>
      </c>
      <c r="U72" s="25">
        <f>VLOOKUP(B72,'Data yoy'!$A:$AW,MATCH($U$1,'Data yoy'!$A$1:$AW$1,),)</f>
        <v/>
      </c>
      <c r="V72" s="25">
        <f>VLOOKUP(B72,'Data yoy'!$A:$AW,MATCH($V$1,'Data yoy'!$A$1:$AW$1,),)</f>
        <v/>
      </c>
      <c r="W72" s="25">
        <f>VLOOKUP(B72,'Data yoy'!$A:$AW,MATCH($W$1,'Data yoy'!$A$1:$AW$1,),)</f>
        <v/>
      </c>
      <c r="X72" s="25">
        <f>VLOOKUP(B72,'Data yoy'!$A:$AW,MATCH($X$1,'Data yoy'!$A$1:$AW$1,),)</f>
        <v/>
      </c>
      <c r="Y72" s="25">
        <f>VLOOKUP(B72,'Data yoy'!$A:$AW,MATCH($Y$1,'Data yoy'!$A$1:$AW$1,),)</f>
        <v/>
      </c>
      <c r="Z72" s="25">
        <f>VLOOKUP(B72,'Data yoy'!$A:$AW,MATCH($Z$1,'Data yoy'!$A$1:$AW$1,),)</f>
        <v/>
      </c>
      <c r="AA72" s="25">
        <f>VLOOKUP(B72,'Data yoy'!$A:$AW,MATCH($AA$1,'Data yoy'!$A$1:$AW$1,),)</f>
        <v/>
      </c>
      <c r="AB72" s="75" t="n"/>
      <c r="AC72" s="26">
        <f>B72</f>
        <v/>
      </c>
      <c r="AD72" s="27">
        <f>(VLOOKUP(AC72,B:Y,MATCH($AE$6,$B$1:$Y$1,),))</f>
        <v/>
      </c>
      <c r="AE72" s="27">
        <f>(VLOOKUP(AC72,B:Y,MATCH($AE$7,$B$1:$Y$1,),))</f>
        <v/>
      </c>
      <c r="AF72" s="27">
        <f>AD72-AE72</f>
        <v/>
      </c>
    </row>
    <row r="73">
      <c r="B73" s="24" t="inlineStr">
        <is>
          <t>2015-Q3</t>
        </is>
      </c>
      <c r="C73" s="25">
        <f>VLOOKUP(B73,'Data yoy'!$A:$AW,MATCH($C$1,'Data yoy'!$A$1:$AW$1,),)</f>
        <v/>
      </c>
      <c r="D73" s="25">
        <f>VLOOKUP(B73,'Data yoy'!$A:$AW,MATCH($D$1,'Data yoy'!$A$1:$AW$1,),)</f>
        <v/>
      </c>
      <c r="E73" s="25">
        <f>VLOOKUP(B73,'Data yoy'!$A:$AW,MATCH($E$1,'Data yoy'!$A$1:$AW$1,),)</f>
        <v/>
      </c>
      <c r="F73" s="25">
        <f>VLOOKUP(B73,'Data yoy'!$A:$AW,MATCH($F$1,'Data yoy'!$A$1:$AW$1,),)</f>
        <v/>
      </c>
      <c r="G73" s="25">
        <f>VLOOKUP(B73,'Data yoy'!$A:$AW,MATCH($G$1,'Data yoy'!$A$1:$AW$1,),)</f>
        <v/>
      </c>
      <c r="H73" s="25">
        <f>VLOOKUP(B73,'Data yoy'!$A:$AW,MATCH($H$1,'Data yoy'!$A$1:$AW$1,),)</f>
        <v/>
      </c>
      <c r="I73" s="25">
        <f>VLOOKUP(B73,'Data yoy'!$A:$AW,MATCH($I$1,'Data yoy'!$A$1:$AW$1,),)</f>
        <v/>
      </c>
      <c r="J73" s="25">
        <f>VLOOKUP(B73,'Data yoy'!$A:$AW,MATCH($J$1,'Data yoy'!$A$1:$AW$1,),)</f>
        <v/>
      </c>
      <c r="K73" s="25">
        <f>VLOOKUP(B73,'Data yoy'!$A:$AW,MATCH($K$1,'Data yoy'!$A$1:$AW$1,),)</f>
        <v/>
      </c>
      <c r="L73" s="25">
        <f>VLOOKUP(B73,'Data yoy'!$A:$AW,MATCH($L$1,'Data yoy'!$A$1:$AW$1,),)</f>
        <v/>
      </c>
      <c r="M73" s="25">
        <f>VLOOKUP(B73,'Data yoy'!$A:$AW,MATCH($M$1,'Data yoy'!$A$1:$AW$1,),)</f>
        <v/>
      </c>
      <c r="N73" s="25">
        <f>VLOOKUP(B73,'Data yoy'!$A:$AW,MATCH($N$1,'Data yoy'!$A$1:$AW$1,),)</f>
        <v/>
      </c>
      <c r="O73" s="25">
        <f>VLOOKUP(B73,'Data yoy'!$A:$AW,MATCH($O$1,'Data yoy'!$A$1:$AW$1,),)</f>
        <v/>
      </c>
      <c r="P73" s="25">
        <f>VLOOKUP(B73,'Data yoy'!$A:$AW,MATCH($P$1,'Data yoy'!$A$1:$AW$1,),)</f>
        <v/>
      </c>
      <c r="Q73" s="25">
        <f>VLOOKUP(B73,'Data yoy'!$A:$AW,MATCH($Q$1,'Data yoy'!$A$1:$AW$1,),)</f>
        <v/>
      </c>
      <c r="R73" s="25">
        <f>VLOOKUP(B73,'Data yoy'!$A:$AW,MATCH($R$1,'Data yoy'!$A$1:$AW$1,),)</f>
        <v/>
      </c>
      <c r="S73" s="25">
        <f>VLOOKUP(B73,'Data yoy'!$A:$AW,MATCH($S$1,'Data yoy'!$A$1:$AW$1,),)</f>
        <v/>
      </c>
      <c r="T73" s="25">
        <f>VLOOKUP(B73,'Data yoy'!$A:$AW,MATCH($T$1,'Data yoy'!$A$1:$AW$1,),)</f>
        <v/>
      </c>
      <c r="U73" s="25">
        <f>VLOOKUP(B73,'Data yoy'!$A:$AW,MATCH($U$1,'Data yoy'!$A$1:$AW$1,),)</f>
        <v/>
      </c>
      <c r="V73" s="25">
        <f>VLOOKUP(B73,'Data yoy'!$A:$AW,MATCH($V$1,'Data yoy'!$A$1:$AW$1,),)</f>
        <v/>
      </c>
      <c r="W73" s="25">
        <f>VLOOKUP(B73,'Data yoy'!$A:$AW,MATCH($W$1,'Data yoy'!$A$1:$AW$1,),)</f>
        <v/>
      </c>
      <c r="X73" s="25">
        <f>VLOOKUP(B73,'Data yoy'!$A:$AW,MATCH($X$1,'Data yoy'!$A$1:$AW$1,),)</f>
        <v/>
      </c>
      <c r="Y73" s="25">
        <f>VLOOKUP(B73,'Data yoy'!$A:$AW,MATCH($Y$1,'Data yoy'!$A$1:$AW$1,),)</f>
        <v/>
      </c>
      <c r="Z73" s="25">
        <f>VLOOKUP(B73,'Data yoy'!$A:$AW,MATCH($Z$1,'Data yoy'!$A$1:$AW$1,),)</f>
        <v/>
      </c>
      <c r="AA73" s="25">
        <f>VLOOKUP(B73,'Data yoy'!$A:$AW,MATCH($AA$1,'Data yoy'!$A$1:$AW$1,),)</f>
        <v/>
      </c>
      <c r="AB73" s="75" t="n"/>
      <c r="AC73" s="26">
        <f>B73</f>
        <v/>
      </c>
      <c r="AD73" s="27">
        <f>(VLOOKUP(AC73,B:Y,MATCH($AE$6,$B$1:$Y$1,),))</f>
        <v/>
      </c>
      <c r="AE73" s="27">
        <f>(VLOOKUP(AC73,B:Y,MATCH($AE$7,$B$1:$Y$1,),))</f>
        <v/>
      </c>
      <c r="AF73" s="27">
        <f>AD73-AE73</f>
        <v/>
      </c>
    </row>
    <row r="74">
      <c r="B74" s="24" t="inlineStr">
        <is>
          <t>2015-Q4</t>
        </is>
      </c>
      <c r="C74" s="25">
        <f>VLOOKUP(B74,'Data yoy'!$A:$AW,MATCH($C$1,'Data yoy'!$A$1:$AW$1,),)</f>
        <v/>
      </c>
      <c r="D74" s="25">
        <f>VLOOKUP(B74,'Data yoy'!$A:$AW,MATCH($D$1,'Data yoy'!$A$1:$AW$1,),)</f>
        <v/>
      </c>
      <c r="E74" s="25">
        <f>VLOOKUP(B74,'Data yoy'!$A:$AW,MATCH($E$1,'Data yoy'!$A$1:$AW$1,),)</f>
        <v/>
      </c>
      <c r="F74" s="25">
        <f>VLOOKUP(B74,'Data yoy'!$A:$AW,MATCH($F$1,'Data yoy'!$A$1:$AW$1,),)</f>
        <v/>
      </c>
      <c r="G74" s="25">
        <f>VLOOKUP(B74,'Data yoy'!$A:$AW,MATCH($G$1,'Data yoy'!$A$1:$AW$1,),)</f>
        <v/>
      </c>
      <c r="H74" s="25">
        <f>VLOOKUP(B74,'Data yoy'!$A:$AW,MATCH($H$1,'Data yoy'!$A$1:$AW$1,),)</f>
        <v/>
      </c>
      <c r="I74" s="25">
        <f>VLOOKUP(B74,'Data yoy'!$A:$AW,MATCH($I$1,'Data yoy'!$A$1:$AW$1,),)</f>
        <v/>
      </c>
      <c r="J74" s="25">
        <f>VLOOKUP(B74,'Data yoy'!$A:$AW,MATCH($J$1,'Data yoy'!$A$1:$AW$1,),)</f>
        <v/>
      </c>
      <c r="K74" s="25">
        <f>VLOOKUP(B74,'Data yoy'!$A:$AW,MATCH($K$1,'Data yoy'!$A$1:$AW$1,),)</f>
        <v/>
      </c>
      <c r="L74" s="25">
        <f>VLOOKUP(B74,'Data yoy'!$A:$AW,MATCH($L$1,'Data yoy'!$A$1:$AW$1,),)</f>
        <v/>
      </c>
      <c r="M74" s="25">
        <f>VLOOKUP(B74,'Data yoy'!$A:$AW,MATCH($M$1,'Data yoy'!$A$1:$AW$1,),)</f>
        <v/>
      </c>
      <c r="N74" s="25">
        <f>VLOOKUP(B74,'Data yoy'!$A:$AW,MATCH($N$1,'Data yoy'!$A$1:$AW$1,),)</f>
        <v/>
      </c>
      <c r="O74" s="25">
        <f>VLOOKUP(B74,'Data yoy'!$A:$AW,MATCH($O$1,'Data yoy'!$A$1:$AW$1,),)</f>
        <v/>
      </c>
      <c r="P74" s="25">
        <f>VLOOKUP(B74,'Data yoy'!$A:$AW,MATCH($P$1,'Data yoy'!$A$1:$AW$1,),)</f>
        <v/>
      </c>
      <c r="Q74" s="25">
        <f>VLOOKUP(B74,'Data yoy'!$A:$AW,MATCH($Q$1,'Data yoy'!$A$1:$AW$1,),)</f>
        <v/>
      </c>
      <c r="R74" s="25">
        <f>VLOOKUP(B74,'Data yoy'!$A:$AW,MATCH($R$1,'Data yoy'!$A$1:$AW$1,),)</f>
        <v/>
      </c>
      <c r="S74" s="25">
        <f>VLOOKUP(B74,'Data yoy'!$A:$AW,MATCH($S$1,'Data yoy'!$A$1:$AW$1,),)</f>
        <v/>
      </c>
      <c r="T74" s="25">
        <f>VLOOKUP(B74,'Data yoy'!$A:$AW,MATCH($T$1,'Data yoy'!$A$1:$AW$1,),)</f>
        <v/>
      </c>
      <c r="U74" s="25">
        <f>VLOOKUP(B74,'Data yoy'!$A:$AW,MATCH($U$1,'Data yoy'!$A$1:$AW$1,),)</f>
        <v/>
      </c>
      <c r="V74" s="25">
        <f>VLOOKUP(B74,'Data yoy'!$A:$AW,MATCH($V$1,'Data yoy'!$A$1:$AW$1,),)</f>
        <v/>
      </c>
      <c r="W74" s="25">
        <f>VLOOKUP(B74,'Data yoy'!$A:$AW,MATCH($W$1,'Data yoy'!$A$1:$AW$1,),)</f>
        <v/>
      </c>
      <c r="X74" s="25">
        <f>VLOOKUP(B74,'Data yoy'!$A:$AW,MATCH($X$1,'Data yoy'!$A$1:$AW$1,),)</f>
        <v/>
      </c>
      <c r="Y74" s="25">
        <f>VLOOKUP(B74,'Data yoy'!$A:$AW,MATCH($Y$1,'Data yoy'!$A$1:$AW$1,),)</f>
        <v/>
      </c>
      <c r="Z74" s="25">
        <f>VLOOKUP(B74,'Data yoy'!$A:$AW,MATCH($Z$1,'Data yoy'!$A$1:$AW$1,),)</f>
        <v/>
      </c>
      <c r="AA74" s="25">
        <f>VLOOKUP(B74,'Data yoy'!$A:$AW,MATCH($AA$1,'Data yoy'!$A$1:$AW$1,),)</f>
        <v/>
      </c>
      <c r="AB74" s="75" t="n"/>
      <c r="AC74" s="26">
        <f>B74</f>
        <v/>
      </c>
      <c r="AD74" s="27">
        <f>(VLOOKUP(AC74,B:Y,MATCH($AE$6,$B$1:$Y$1,),))</f>
        <v/>
      </c>
      <c r="AE74" s="27">
        <f>(VLOOKUP(AC74,B:Y,MATCH($AE$7,$B$1:$Y$1,),))</f>
        <v/>
      </c>
      <c r="AF74" s="27">
        <f>AD74-AE74</f>
        <v/>
      </c>
    </row>
    <row r="75">
      <c r="B75" s="24" t="inlineStr">
        <is>
          <t>2016-Q1</t>
        </is>
      </c>
      <c r="C75" s="25">
        <f>VLOOKUP(B75,'Data yoy'!$A:$AW,MATCH($C$1,'Data yoy'!$A$1:$AW$1,),)</f>
        <v/>
      </c>
      <c r="D75" s="25">
        <f>VLOOKUP(B75,'Data yoy'!$A:$AW,MATCH($D$1,'Data yoy'!$A$1:$AW$1,),)</f>
        <v/>
      </c>
      <c r="E75" s="25">
        <f>VLOOKUP(B75,'Data yoy'!$A:$AW,MATCH($E$1,'Data yoy'!$A$1:$AW$1,),)</f>
        <v/>
      </c>
      <c r="F75" s="25">
        <f>VLOOKUP(B75,'Data yoy'!$A:$AW,MATCH($F$1,'Data yoy'!$A$1:$AW$1,),)</f>
        <v/>
      </c>
      <c r="G75" s="25">
        <f>VLOOKUP(B75,'Data yoy'!$A:$AW,MATCH($G$1,'Data yoy'!$A$1:$AW$1,),)</f>
        <v/>
      </c>
      <c r="H75" s="25">
        <f>VLOOKUP(B75,'Data yoy'!$A:$AW,MATCH($H$1,'Data yoy'!$A$1:$AW$1,),)</f>
        <v/>
      </c>
      <c r="I75" s="25">
        <f>VLOOKUP(B75,'Data yoy'!$A:$AW,MATCH($I$1,'Data yoy'!$A$1:$AW$1,),)</f>
        <v/>
      </c>
      <c r="J75" s="25">
        <f>VLOOKUP(B75,'Data yoy'!$A:$AW,MATCH($J$1,'Data yoy'!$A$1:$AW$1,),)</f>
        <v/>
      </c>
      <c r="K75" s="25">
        <f>VLOOKUP(B75,'Data yoy'!$A:$AW,MATCH($K$1,'Data yoy'!$A$1:$AW$1,),)</f>
        <v/>
      </c>
      <c r="L75" s="25">
        <f>VLOOKUP(B75,'Data yoy'!$A:$AW,MATCH($L$1,'Data yoy'!$A$1:$AW$1,),)</f>
        <v/>
      </c>
      <c r="M75" s="25">
        <f>VLOOKUP(B75,'Data yoy'!$A:$AW,MATCH($M$1,'Data yoy'!$A$1:$AW$1,),)</f>
        <v/>
      </c>
      <c r="N75" s="25">
        <f>VLOOKUP(B75,'Data yoy'!$A:$AW,MATCH($N$1,'Data yoy'!$A$1:$AW$1,),)</f>
        <v/>
      </c>
      <c r="O75" s="25">
        <f>VLOOKUP(B75,'Data yoy'!$A:$AW,MATCH($O$1,'Data yoy'!$A$1:$AW$1,),)</f>
        <v/>
      </c>
      <c r="P75" s="25">
        <f>VLOOKUP(B75,'Data yoy'!$A:$AW,MATCH($P$1,'Data yoy'!$A$1:$AW$1,),)</f>
        <v/>
      </c>
      <c r="Q75" s="25">
        <f>VLOOKUP(B75,'Data yoy'!$A:$AW,MATCH($Q$1,'Data yoy'!$A$1:$AW$1,),)</f>
        <v/>
      </c>
      <c r="R75" s="25">
        <f>VLOOKUP(B75,'Data yoy'!$A:$AW,MATCH($R$1,'Data yoy'!$A$1:$AW$1,),)</f>
        <v/>
      </c>
      <c r="S75" s="25">
        <f>VLOOKUP(B75,'Data yoy'!$A:$AW,MATCH($S$1,'Data yoy'!$A$1:$AW$1,),)</f>
        <v/>
      </c>
      <c r="T75" s="25">
        <f>VLOOKUP(B75,'Data yoy'!$A:$AW,MATCH($T$1,'Data yoy'!$A$1:$AW$1,),)</f>
        <v/>
      </c>
      <c r="U75" s="25">
        <f>VLOOKUP(B75,'Data yoy'!$A:$AW,MATCH($U$1,'Data yoy'!$A$1:$AW$1,),)</f>
        <v/>
      </c>
      <c r="V75" s="25">
        <f>VLOOKUP(B75,'Data yoy'!$A:$AW,MATCH($V$1,'Data yoy'!$A$1:$AW$1,),)</f>
        <v/>
      </c>
      <c r="W75" s="25">
        <f>VLOOKUP(B75,'Data yoy'!$A:$AW,MATCH($W$1,'Data yoy'!$A$1:$AW$1,),)</f>
        <v/>
      </c>
      <c r="X75" s="25">
        <f>VLOOKUP(B75,'Data yoy'!$A:$AW,MATCH($X$1,'Data yoy'!$A$1:$AW$1,),)</f>
        <v/>
      </c>
      <c r="Y75" s="25">
        <f>VLOOKUP(B75,'Data yoy'!$A:$AW,MATCH($Y$1,'Data yoy'!$A$1:$AW$1,),)</f>
        <v/>
      </c>
      <c r="Z75" s="25">
        <f>VLOOKUP(B75,'Data yoy'!$A:$AW,MATCH($Z$1,'Data yoy'!$A$1:$AW$1,),)</f>
        <v/>
      </c>
      <c r="AA75" s="25">
        <f>VLOOKUP(B75,'Data yoy'!$A:$AW,MATCH($AA$1,'Data yoy'!$A$1:$AW$1,),)</f>
        <v/>
      </c>
      <c r="AB75" s="75" t="n"/>
      <c r="AC75" s="26">
        <f>B75</f>
        <v/>
      </c>
      <c r="AD75" s="27">
        <f>(VLOOKUP(AC75,B:Y,MATCH($AE$6,$B$1:$Y$1,),))</f>
        <v/>
      </c>
      <c r="AE75" s="27">
        <f>(VLOOKUP(AC75,B:Y,MATCH($AE$7,$B$1:$Y$1,),))</f>
        <v/>
      </c>
      <c r="AF75" s="27">
        <f>AD75-AE75</f>
        <v/>
      </c>
    </row>
    <row r="76">
      <c r="B76" s="24" t="inlineStr">
        <is>
          <t>2016-Q2</t>
        </is>
      </c>
      <c r="C76" s="25">
        <f>VLOOKUP(B76,'Data yoy'!$A:$AW,MATCH($C$1,'Data yoy'!$A$1:$AW$1,),)</f>
        <v/>
      </c>
      <c r="D76" s="25">
        <f>VLOOKUP(B76,'Data yoy'!$A:$AW,MATCH($D$1,'Data yoy'!$A$1:$AW$1,),)</f>
        <v/>
      </c>
      <c r="E76" s="25">
        <f>VLOOKUP(B76,'Data yoy'!$A:$AW,MATCH($E$1,'Data yoy'!$A$1:$AW$1,),)</f>
        <v/>
      </c>
      <c r="F76" s="25">
        <f>VLOOKUP(B76,'Data yoy'!$A:$AW,MATCH($F$1,'Data yoy'!$A$1:$AW$1,),)</f>
        <v/>
      </c>
      <c r="G76" s="25">
        <f>VLOOKUP(B76,'Data yoy'!$A:$AW,MATCH($G$1,'Data yoy'!$A$1:$AW$1,),)</f>
        <v/>
      </c>
      <c r="H76" s="25">
        <f>VLOOKUP(B76,'Data yoy'!$A:$AW,MATCH($H$1,'Data yoy'!$A$1:$AW$1,),)</f>
        <v/>
      </c>
      <c r="I76" s="25">
        <f>VLOOKUP(B76,'Data yoy'!$A:$AW,MATCH($I$1,'Data yoy'!$A$1:$AW$1,),)</f>
        <v/>
      </c>
      <c r="J76" s="25">
        <f>VLOOKUP(B76,'Data yoy'!$A:$AW,MATCH($J$1,'Data yoy'!$A$1:$AW$1,),)</f>
        <v/>
      </c>
      <c r="K76" s="25">
        <f>VLOOKUP(B76,'Data yoy'!$A:$AW,MATCH($K$1,'Data yoy'!$A$1:$AW$1,),)</f>
        <v/>
      </c>
      <c r="L76" s="25">
        <f>VLOOKUP(B76,'Data yoy'!$A:$AW,MATCH($L$1,'Data yoy'!$A$1:$AW$1,),)</f>
        <v/>
      </c>
      <c r="M76" s="25">
        <f>VLOOKUP(B76,'Data yoy'!$A:$AW,MATCH($M$1,'Data yoy'!$A$1:$AW$1,),)</f>
        <v/>
      </c>
      <c r="N76" s="25">
        <f>VLOOKUP(B76,'Data yoy'!$A:$AW,MATCH($N$1,'Data yoy'!$A$1:$AW$1,),)</f>
        <v/>
      </c>
      <c r="O76" s="25">
        <f>VLOOKUP(B76,'Data yoy'!$A:$AW,MATCH($O$1,'Data yoy'!$A$1:$AW$1,),)</f>
        <v/>
      </c>
      <c r="P76" s="25">
        <f>VLOOKUP(B76,'Data yoy'!$A:$AW,MATCH($P$1,'Data yoy'!$A$1:$AW$1,),)</f>
        <v/>
      </c>
      <c r="Q76" s="25">
        <f>VLOOKUP(B76,'Data yoy'!$A:$AW,MATCH($Q$1,'Data yoy'!$A$1:$AW$1,),)</f>
        <v/>
      </c>
      <c r="R76" s="25">
        <f>VLOOKUP(B76,'Data yoy'!$A:$AW,MATCH($R$1,'Data yoy'!$A$1:$AW$1,),)</f>
        <v/>
      </c>
      <c r="S76" s="25">
        <f>VLOOKUP(B76,'Data yoy'!$A:$AW,MATCH($S$1,'Data yoy'!$A$1:$AW$1,),)</f>
        <v/>
      </c>
      <c r="T76" s="25">
        <f>VLOOKUP(B76,'Data yoy'!$A:$AW,MATCH($T$1,'Data yoy'!$A$1:$AW$1,),)</f>
        <v/>
      </c>
      <c r="U76" s="25">
        <f>VLOOKUP(B76,'Data yoy'!$A:$AW,MATCH($U$1,'Data yoy'!$A$1:$AW$1,),)</f>
        <v/>
      </c>
      <c r="V76" s="25">
        <f>VLOOKUP(B76,'Data yoy'!$A:$AW,MATCH($V$1,'Data yoy'!$A$1:$AW$1,),)</f>
        <v/>
      </c>
      <c r="W76" s="25">
        <f>VLOOKUP(B76,'Data yoy'!$A:$AW,MATCH($W$1,'Data yoy'!$A$1:$AW$1,),)</f>
        <v/>
      </c>
      <c r="X76" s="25">
        <f>VLOOKUP(B76,'Data yoy'!$A:$AW,MATCH($X$1,'Data yoy'!$A$1:$AW$1,),)</f>
        <v/>
      </c>
      <c r="Y76" s="25">
        <f>VLOOKUP(B76,'Data yoy'!$A:$AW,MATCH($Y$1,'Data yoy'!$A$1:$AW$1,),)</f>
        <v/>
      </c>
      <c r="Z76" s="25">
        <f>VLOOKUP(B76,'Data yoy'!$A:$AW,MATCH($Z$1,'Data yoy'!$A$1:$AW$1,),)</f>
        <v/>
      </c>
      <c r="AA76" s="25">
        <f>VLOOKUP(B76,'Data yoy'!$A:$AW,MATCH($AA$1,'Data yoy'!$A$1:$AW$1,),)</f>
        <v/>
      </c>
      <c r="AB76" s="75" t="n"/>
      <c r="AC76" s="26">
        <f>B76</f>
        <v/>
      </c>
      <c r="AD76" s="27">
        <f>(VLOOKUP(AC76,B:Y,MATCH($AE$6,$B$1:$Y$1,),))</f>
        <v/>
      </c>
      <c r="AE76" s="27">
        <f>(VLOOKUP(AC76,B:Y,MATCH($AE$7,$B$1:$Y$1,),))</f>
        <v/>
      </c>
      <c r="AF76" s="27">
        <f>AD76-AE76</f>
        <v/>
      </c>
    </row>
    <row r="77">
      <c r="B77" s="24" t="inlineStr">
        <is>
          <t>2016-Q3</t>
        </is>
      </c>
      <c r="C77" s="25">
        <f>VLOOKUP(B77,'Data yoy'!$A:$AW,MATCH($C$1,'Data yoy'!$A$1:$AW$1,),)</f>
        <v/>
      </c>
      <c r="D77" s="25">
        <f>VLOOKUP(B77,'Data yoy'!$A:$AW,MATCH($D$1,'Data yoy'!$A$1:$AW$1,),)</f>
        <v/>
      </c>
      <c r="E77" s="25">
        <f>VLOOKUP(B77,'Data yoy'!$A:$AW,MATCH($E$1,'Data yoy'!$A$1:$AW$1,),)</f>
        <v/>
      </c>
      <c r="F77" s="25">
        <f>VLOOKUP(B77,'Data yoy'!$A:$AW,MATCH($F$1,'Data yoy'!$A$1:$AW$1,),)</f>
        <v/>
      </c>
      <c r="G77" s="25">
        <f>VLOOKUP(B77,'Data yoy'!$A:$AW,MATCH($G$1,'Data yoy'!$A$1:$AW$1,),)</f>
        <v/>
      </c>
      <c r="H77" s="25">
        <f>VLOOKUP(B77,'Data yoy'!$A:$AW,MATCH($H$1,'Data yoy'!$A$1:$AW$1,),)</f>
        <v/>
      </c>
      <c r="I77" s="25">
        <f>VLOOKUP(B77,'Data yoy'!$A:$AW,MATCH($I$1,'Data yoy'!$A$1:$AW$1,),)</f>
        <v/>
      </c>
      <c r="J77" s="25">
        <f>VLOOKUP(B77,'Data yoy'!$A:$AW,MATCH($J$1,'Data yoy'!$A$1:$AW$1,),)</f>
        <v/>
      </c>
      <c r="K77" s="25">
        <f>VLOOKUP(B77,'Data yoy'!$A:$AW,MATCH($K$1,'Data yoy'!$A$1:$AW$1,),)</f>
        <v/>
      </c>
      <c r="L77" s="25">
        <f>VLOOKUP(B77,'Data yoy'!$A:$AW,MATCH($L$1,'Data yoy'!$A$1:$AW$1,),)</f>
        <v/>
      </c>
      <c r="M77" s="25">
        <f>VLOOKUP(B77,'Data yoy'!$A:$AW,MATCH($M$1,'Data yoy'!$A$1:$AW$1,),)</f>
        <v/>
      </c>
      <c r="N77" s="25">
        <f>VLOOKUP(B77,'Data yoy'!$A:$AW,MATCH($N$1,'Data yoy'!$A$1:$AW$1,),)</f>
        <v/>
      </c>
      <c r="O77" s="25">
        <f>VLOOKUP(B77,'Data yoy'!$A:$AW,MATCH($O$1,'Data yoy'!$A$1:$AW$1,),)</f>
        <v/>
      </c>
      <c r="P77" s="25">
        <f>VLOOKUP(B77,'Data yoy'!$A:$AW,MATCH($P$1,'Data yoy'!$A$1:$AW$1,),)</f>
        <v/>
      </c>
      <c r="Q77" s="25">
        <f>VLOOKUP(B77,'Data yoy'!$A:$AW,MATCH($Q$1,'Data yoy'!$A$1:$AW$1,),)</f>
        <v/>
      </c>
      <c r="R77" s="25">
        <f>VLOOKUP(B77,'Data yoy'!$A:$AW,MATCH($R$1,'Data yoy'!$A$1:$AW$1,),)</f>
        <v/>
      </c>
      <c r="S77" s="25">
        <f>VLOOKUP(B77,'Data yoy'!$A:$AW,MATCH($S$1,'Data yoy'!$A$1:$AW$1,),)</f>
        <v/>
      </c>
      <c r="T77" s="25">
        <f>VLOOKUP(B77,'Data yoy'!$A:$AW,MATCH($T$1,'Data yoy'!$A$1:$AW$1,),)</f>
        <v/>
      </c>
      <c r="U77" s="25">
        <f>VLOOKUP(B77,'Data yoy'!$A:$AW,MATCH($U$1,'Data yoy'!$A$1:$AW$1,),)</f>
        <v/>
      </c>
      <c r="V77" s="25">
        <f>VLOOKUP(B77,'Data yoy'!$A:$AW,MATCH($V$1,'Data yoy'!$A$1:$AW$1,),)</f>
        <v/>
      </c>
      <c r="W77" s="25">
        <f>VLOOKUP(B77,'Data yoy'!$A:$AW,MATCH($W$1,'Data yoy'!$A$1:$AW$1,),)</f>
        <v/>
      </c>
      <c r="X77" s="25">
        <f>VLOOKUP(B77,'Data yoy'!$A:$AW,MATCH($X$1,'Data yoy'!$A$1:$AW$1,),)</f>
        <v/>
      </c>
      <c r="Y77" s="25">
        <f>VLOOKUP(B77,'Data yoy'!$A:$AW,MATCH($Y$1,'Data yoy'!$A$1:$AW$1,),)</f>
        <v/>
      </c>
      <c r="Z77" s="25">
        <f>VLOOKUP(B77,'Data yoy'!$A:$AW,MATCH($Z$1,'Data yoy'!$A$1:$AW$1,),)</f>
        <v/>
      </c>
      <c r="AA77" s="25">
        <f>VLOOKUP(B77,'Data yoy'!$A:$AW,MATCH($AA$1,'Data yoy'!$A$1:$AW$1,),)</f>
        <v/>
      </c>
      <c r="AB77" s="75" t="n"/>
      <c r="AC77" s="26">
        <f>B77</f>
        <v/>
      </c>
      <c r="AD77" s="27">
        <f>(VLOOKUP(AC77,B:Y,MATCH($AE$6,$B$1:$Y$1,),))</f>
        <v/>
      </c>
      <c r="AE77" s="27">
        <f>(VLOOKUP(AC77,B:Y,MATCH($AE$7,$B$1:$Y$1,),))</f>
        <v/>
      </c>
      <c r="AF77" s="27">
        <f>AD77-AE77</f>
        <v/>
      </c>
    </row>
    <row r="78">
      <c r="B78" s="24" t="inlineStr">
        <is>
          <t>2016-Q4</t>
        </is>
      </c>
      <c r="C78" s="25">
        <f>VLOOKUP(B78,'Data yoy'!$A:$AW,MATCH($C$1,'Data yoy'!$A$1:$AW$1,),)</f>
        <v/>
      </c>
      <c r="D78" s="25">
        <f>VLOOKUP(B78,'Data yoy'!$A:$AW,MATCH($D$1,'Data yoy'!$A$1:$AW$1,),)</f>
        <v/>
      </c>
      <c r="E78" s="25">
        <f>VLOOKUP(B78,'Data yoy'!$A:$AW,MATCH($E$1,'Data yoy'!$A$1:$AW$1,),)</f>
        <v/>
      </c>
      <c r="F78" s="25">
        <f>VLOOKUP(B78,'Data yoy'!$A:$AW,MATCH($F$1,'Data yoy'!$A$1:$AW$1,),)</f>
        <v/>
      </c>
      <c r="G78" s="25">
        <f>VLOOKUP(B78,'Data yoy'!$A:$AW,MATCH($G$1,'Data yoy'!$A$1:$AW$1,),)</f>
        <v/>
      </c>
      <c r="H78" s="25">
        <f>VLOOKUP(B78,'Data yoy'!$A:$AW,MATCH($H$1,'Data yoy'!$A$1:$AW$1,),)</f>
        <v/>
      </c>
      <c r="I78" s="25">
        <f>VLOOKUP(B78,'Data yoy'!$A:$AW,MATCH($I$1,'Data yoy'!$A$1:$AW$1,),)</f>
        <v/>
      </c>
      <c r="J78" s="25">
        <f>VLOOKUP(B78,'Data yoy'!$A:$AW,MATCH($J$1,'Data yoy'!$A$1:$AW$1,),)</f>
        <v/>
      </c>
      <c r="K78" s="25">
        <f>VLOOKUP(B78,'Data yoy'!$A:$AW,MATCH($K$1,'Data yoy'!$A$1:$AW$1,),)</f>
        <v/>
      </c>
      <c r="L78" s="25">
        <f>VLOOKUP(B78,'Data yoy'!$A:$AW,MATCH($L$1,'Data yoy'!$A$1:$AW$1,),)</f>
        <v/>
      </c>
      <c r="M78" s="25">
        <f>VLOOKUP(B78,'Data yoy'!$A:$AW,MATCH($M$1,'Data yoy'!$A$1:$AW$1,),)</f>
        <v/>
      </c>
      <c r="N78" s="25">
        <f>VLOOKUP(B78,'Data yoy'!$A:$AW,MATCH($N$1,'Data yoy'!$A$1:$AW$1,),)</f>
        <v/>
      </c>
      <c r="O78" s="25">
        <f>VLOOKUP(B78,'Data yoy'!$A:$AW,MATCH($O$1,'Data yoy'!$A$1:$AW$1,),)</f>
        <v/>
      </c>
      <c r="P78" s="25">
        <f>VLOOKUP(B78,'Data yoy'!$A:$AW,MATCH($P$1,'Data yoy'!$A$1:$AW$1,),)</f>
        <v/>
      </c>
      <c r="Q78" s="25">
        <f>VLOOKUP(B78,'Data yoy'!$A:$AW,MATCH($Q$1,'Data yoy'!$A$1:$AW$1,),)</f>
        <v/>
      </c>
      <c r="R78" s="25">
        <f>VLOOKUP(B78,'Data yoy'!$A:$AW,MATCH($R$1,'Data yoy'!$A$1:$AW$1,),)</f>
        <v/>
      </c>
      <c r="S78" s="25">
        <f>VLOOKUP(B78,'Data yoy'!$A:$AW,MATCH($S$1,'Data yoy'!$A$1:$AW$1,),)</f>
        <v/>
      </c>
      <c r="T78" s="25">
        <f>VLOOKUP(B78,'Data yoy'!$A:$AW,MATCH($T$1,'Data yoy'!$A$1:$AW$1,),)</f>
        <v/>
      </c>
      <c r="U78" s="25">
        <f>VLOOKUP(B78,'Data yoy'!$A:$AW,MATCH($U$1,'Data yoy'!$A$1:$AW$1,),)</f>
        <v/>
      </c>
      <c r="V78" s="25">
        <f>VLOOKUP(B78,'Data yoy'!$A:$AW,MATCH($V$1,'Data yoy'!$A$1:$AW$1,),)</f>
        <v/>
      </c>
      <c r="W78" s="25">
        <f>VLOOKUP(B78,'Data yoy'!$A:$AW,MATCH($W$1,'Data yoy'!$A$1:$AW$1,),)</f>
        <v/>
      </c>
      <c r="X78" s="25">
        <f>VLOOKUP(B78,'Data yoy'!$A:$AW,MATCH($X$1,'Data yoy'!$A$1:$AW$1,),)</f>
        <v/>
      </c>
      <c r="Y78" s="25">
        <f>VLOOKUP(B78,'Data yoy'!$A:$AW,MATCH($Y$1,'Data yoy'!$A$1:$AW$1,),)</f>
        <v/>
      </c>
      <c r="Z78" s="25">
        <f>VLOOKUP(B78,'Data yoy'!$A:$AW,MATCH($Z$1,'Data yoy'!$A$1:$AW$1,),)</f>
        <v/>
      </c>
      <c r="AA78" s="25">
        <f>VLOOKUP(B78,'Data yoy'!$A:$AW,MATCH($AA$1,'Data yoy'!$A$1:$AW$1,),)</f>
        <v/>
      </c>
      <c r="AB78" s="75" t="n"/>
      <c r="AC78" s="26">
        <f>B78</f>
        <v/>
      </c>
      <c r="AD78" s="27">
        <f>(VLOOKUP(AC78,B:Y,MATCH($AE$6,$B$1:$Y$1,),))</f>
        <v/>
      </c>
      <c r="AE78" s="27">
        <f>(VLOOKUP(AC78,B:Y,MATCH($AE$7,$B$1:$Y$1,),))</f>
        <v/>
      </c>
      <c r="AF78" s="27">
        <f>AD78-AE78</f>
        <v/>
      </c>
    </row>
    <row r="79">
      <c r="B79" s="24" t="inlineStr">
        <is>
          <t>2017-Q1</t>
        </is>
      </c>
      <c r="C79" s="25">
        <f>VLOOKUP(B79,'Data yoy'!$A:$AW,MATCH($C$1,'Data yoy'!$A$1:$AW$1,),)</f>
        <v/>
      </c>
      <c r="D79" s="25">
        <f>VLOOKUP(B79,'Data yoy'!$A:$AW,MATCH($D$1,'Data yoy'!$A$1:$AW$1,),)</f>
        <v/>
      </c>
      <c r="E79" s="25">
        <f>VLOOKUP(B79,'Data yoy'!$A:$AW,MATCH($E$1,'Data yoy'!$A$1:$AW$1,),)</f>
        <v/>
      </c>
      <c r="F79" s="25">
        <f>VLOOKUP(B79,'Data yoy'!$A:$AW,MATCH($F$1,'Data yoy'!$A$1:$AW$1,),)</f>
        <v/>
      </c>
      <c r="G79" s="25">
        <f>VLOOKUP(B79,'Data yoy'!$A:$AW,MATCH($G$1,'Data yoy'!$A$1:$AW$1,),)</f>
        <v/>
      </c>
      <c r="H79" s="25">
        <f>VLOOKUP(B79,'Data yoy'!$A:$AW,MATCH($H$1,'Data yoy'!$A$1:$AW$1,),)</f>
        <v/>
      </c>
      <c r="I79" s="25">
        <f>VLOOKUP(B79,'Data yoy'!$A:$AW,MATCH($I$1,'Data yoy'!$A$1:$AW$1,),)</f>
        <v/>
      </c>
      <c r="J79" s="25">
        <f>VLOOKUP(B79,'Data yoy'!$A:$AW,MATCH($J$1,'Data yoy'!$A$1:$AW$1,),)</f>
        <v/>
      </c>
      <c r="K79" s="25">
        <f>VLOOKUP(B79,'Data yoy'!$A:$AW,MATCH($K$1,'Data yoy'!$A$1:$AW$1,),)</f>
        <v/>
      </c>
      <c r="L79" s="25">
        <f>VLOOKUP(B79,'Data yoy'!$A:$AW,MATCH($L$1,'Data yoy'!$A$1:$AW$1,),)</f>
        <v/>
      </c>
      <c r="M79" s="25">
        <f>VLOOKUP(B79,'Data yoy'!$A:$AW,MATCH($M$1,'Data yoy'!$A$1:$AW$1,),)</f>
        <v/>
      </c>
      <c r="N79" s="25">
        <f>VLOOKUP(B79,'Data yoy'!$A:$AW,MATCH($N$1,'Data yoy'!$A$1:$AW$1,),)</f>
        <v/>
      </c>
      <c r="O79" s="25">
        <f>VLOOKUP(B79,'Data yoy'!$A:$AW,MATCH($O$1,'Data yoy'!$A$1:$AW$1,),)</f>
        <v/>
      </c>
      <c r="P79" s="25">
        <f>VLOOKUP(B79,'Data yoy'!$A:$AW,MATCH($P$1,'Data yoy'!$A$1:$AW$1,),)</f>
        <v/>
      </c>
      <c r="Q79" s="25">
        <f>VLOOKUP(B79,'Data yoy'!$A:$AW,MATCH($Q$1,'Data yoy'!$A$1:$AW$1,),)</f>
        <v/>
      </c>
      <c r="R79" s="25">
        <f>VLOOKUP(B79,'Data yoy'!$A:$AW,MATCH($R$1,'Data yoy'!$A$1:$AW$1,),)</f>
        <v/>
      </c>
      <c r="S79" s="25">
        <f>VLOOKUP(B79,'Data yoy'!$A:$AW,MATCH($S$1,'Data yoy'!$A$1:$AW$1,),)</f>
        <v/>
      </c>
      <c r="T79" s="25">
        <f>VLOOKUP(B79,'Data yoy'!$A:$AW,MATCH($T$1,'Data yoy'!$A$1:$AW$1,),)</f>
        <v/>
      </c>
      <c r="U79" s="25">
        <f>VLOOKUP(B79,'Data yoy'!$A:$AW,MATCH($U$1,'Data yoy'!$A$1:$AW$1,),)</f>
        <v/>
      </c>
      <c r="V79" s="25">
        <f>VLOOKUP(B79,'Data yoy'!$A:$AW,MATCH($V$1,'Data yoy'!$A$1:$AW$1,),)</f>
        <v/>
      </c>
      <c r="W79" s="25">
        <f>VLOOKUP(B79,'Data yoy'!$A:$AW,MATCH($W$1,'Data yoy'!$A$1:$AW$1,),)</f>
        <v/>
      </c>
      <c r="X79" s="25">
        <f>VLOOKUP(B79,'Data yoy'!$A:$AW,MATCH($X$1,'Data yoy'!$A$1:$AW$1,),)</f>
        <v/>
      </c>
      <c r="Y79" s="25">
        <f>VLOOKUP(B79,'Data yoy'!$A:$AW,MATCH($Y$1,'Data yoy'!$A$1:$AW$1,),)</f>
        <v/>
      </c>
      <c r="Z79" s="25">
        <f>VLOOKUP(B79,'Data yoy'!$A:$AW,MATCH($Z$1,'Data yoy'!$A$1:$AW$1,),)</f>
        <v/>
      </c>
      <c r="AA79" s="25">
        <f>VLOOKUP(B79,'Data yoy'!$A:$AW,MATCH($AA$1,'Data yoy'!$A$1:$AW$1,),)</f>
        <v/>
      </c>
      <c r="AB79" s="75" t="n"/>
      <c r="AC79" s="26">
        <f>B79</f>
        <v/>
      </c>
      <c r="AD79" s="27">
        <f>(VLOOKUP(AC79,B:Y,MATCH($AE$6,$B$1:$Y$1,),))</f>
        <v/>
      </c>
      <c r="AE79" s="27">
        <f>(VLOOKUP(AC79,B:Y,MATCH($AE$7,$B$1:$Y$1,),))</f>
        <v/>
      </c>
      <c r="AF79" s="27">
        <f>AD79-AE79</f>
        <v/>
      </c>
    </row>
    <row r="80">
      <c r="B80" s="24" t="inlineStr">
        <is>
          <t>2017-Q2</t>
        </is>
      </c>
      <c r="C80" s="25">
        <f>VLOOKUP(B80,'Data yoy'!$A:$AW,MATCH($C$1,'Data yoy'!$A$1:$AW$1,),)</f>
        <v/>
      </c>
      <c r="D80" s="25">
        <f>VLOOKUP(B80,'Data yoy'!$A:$AW,MATCH($D$1,'Data yoy'!$A$1:$AW$1,),)</f>
        <v/>
      </c>
      <c r="E80" s="25">
        <f>VLOOKUP(B80,'Data yoy'!$A:$AW,MATCH($E$1,'Data yoy'!$A$1:$AW$1,),)</f>
        <v/>
      </c>
      <c r="F80" s="25">
        <f>VLOOKUP(B80,'Data yoy'!$A:$AW,MATCH($F$1,'Data yoy'!$A$1:$AW$1,),)</f>
        <v/>
      </c>
      <c r="G80" s="25">
        <f>VLOOKUP(B80,'Data yoy'!$A:$AW,MATCH($G$1,'Data yoy'!$A$1:$AW$1,),)</f>
        <v/>
      </c>
      <c r="H80" s="25">
        <f>VLOOKUP(B80,'Data yoy'!$A:$AW,MATCH($H$1,'Data yoy'!$A$1:$AW$1,),)</f>
        <v/>
      </c>
      <c r="I80" s="25">
        <f>VLOOKUP(B80,'Data yoy'!$A:$AW,MATCH($I$1,'Data yoy'!$A$1:$AW$1,),)</f>
        <v/>
      </c>
      <c r="J80" s="25">
        <f>VLOOKUP(B80,'Data yoy'!$A:$AW,MATCH($J$1,'Data yoy'!$A$1:$AW$1,),)</f>
        <v/>
      </c>
      <c r="K80" s="25">
        <f>VLOOKUP(B80,'Data yoy'!$A:$AW,MATCH($K$1,'Data yoy'!$A$1:$AW$1,),)</f>
        <v/>
      </c>
      <c r="L80" s="25">
        <f>VLOOKUP(B80,'Data yoy'!$A:$AW,MATCH($L$1,'Data yoy'!$A$1:$AW$1,),)</f>
        <v/>
      </c>
      <c r="M80" s="25">
        <f>VLOOKUP(B80,'Data yoy'!$A:$AW,MATCH($M$1,'Data yoy'!$A$1:$AW$1,),)</f>
        <v/>
      </c>
      <c r="N80" s="25">
        <f>VLOOKUP(B80,'Data yoy'!$A:$AW,MATCH($N$1,'Data yoy'!$A$1:$AW$1,),)</f>
        <v/>
      </c>
      <c r="O80" s="25">
        <f>VLOOKUP(B80,'Data yoy'!$A:$AW,MATCH($O$1,'Data yoy'!$A$1:$AW$1,),)</f>
        <v/>
      </c>
      <c r="P80" s="25">
        <f>VLOOKUP(B80,'Data yoy'!$A:$AW,MATCH($P$1,'Data yoy'!$A$1:$AW$1,),)</f>
        <v/>
      </c>
      <c r="Q80" s="25">
        <f>VLOOKUP(B80,'Data yoy'!$A:$AW,MATCH($Q$1,'Data yoy'!$A$1:$AW$1,),)</f>
        <v/>
      </c>
      <c r="R80" s="25">
        <f>VLOOKUP(B80,'Data yoy'!$A:$AW,MATCH($R$1,'Data yoy'!$A$1:$AW$1,),)</f>
        <v/>
      </c>
      <c r="S80" s="25">
        <f>VLOOKUP(B80,'Data yoy'!$A:$AW,MATCH($S$1,'Data yoy'!$A$1:$AW$1,),)</f>
        <v/>
      </c>
      <c r="T80" s="25">
        <f>VLOOKUP(B80,'Data yoy'!$A:$AW,MATCH($T$1,'Data yoy'!$A$1:$AW$1,),)</f>
        <v/>
      </c>
      <c r="U80" s="25">
        <f>VLOOKUP(B80,'Data yoy'!$A:$AW,MATCH($U$1,'Data yoy'!$A$1:$AW$1,),)</f>
        <v/>
      </c>
      <c r="V80" s="25">
        <f>VLOOKUP(B80,'Data yoy'!$A:$AW,MATCH($V$1,'Data yoy'!$A$1:$AW$1,),)</f>
        <v/>
      </c>
      <c r="W80" s="25">
        <f>VLOOKUP(B80,'Data yoy'!$A:$AW,MATCH($W$1,'Data yoy'!$A$1:$AW$1,),)</f>
        <v/>
      </c>
      <c r="X80" s="25">
        <f>VLOOKUP(B80,'Data yoy'!$A:$AW,MATCH($X$1,'Data yoy'!$A$1:$AW$1,),)</f>
        <v/>
      </c>
      <c r="Y80" s="25">
        <f>VLOOKUP(B80,'Data yoy'!$A:$AW,MATCH($Y$1,'Data yoy'!$A$1:$AW$1,),)</f>
        <v/>
      </c>
      <c r="Z80" s="25">
        <f>VLOOKUP(B80,'Data yoy'!$A:$AW,MATCH($Z$1,'Data yoy'!$A$1:$AW$1,),)</f>
        <v/>
      </c>
      <c r="AA80" s="25">
        <f>VLOOKUP(B80,'Data yoy'!$A:$AW,MATCH($AA$1,'Data yoy'!$A$1:$AW$1,),)</f>
        <v/>
      </c>
      <c r="AB80" s="75" t="n"/>
      <c r="AC80" s="26">
        <f>B80</f>
        <v/>
      </c>
      <c r="AD80" s="27">
        <f>(VLOOKUP(AC80,B:Y,MATCH($AE$6,$B$1:$Y$1,),))</f>
        <v/>
      </c>
      <c r="AE80" s="27">
        <f>(VLOOKUP(AC80,B:Y,MATCH($AE$7,$B$1:$Y$1,),))</f>
        <v/>
      </c>
      <c r="AF80" s="27">
        <f>AD80-AE80</f>
        <v/>
      </c>
    </row>
    <row r="81">
      <c r="B81" s="24" t="inlineStr">
        <is>
          <t>2017-Q3</t>
        </is>
      </c>
      <c r="C81" s="25">
        <f>VLOOKUP(B81,'Data yoy'!$A:$AW,MATCH($C$1,'Data yoy'!$A$1:$AW$1,),)</f>
        <v/>
      </c>
      <c r="D81" s="25">
        <f>VLOOKUP(B81,'Data yoy'!$A:$AW,MATCH($D$1,'Data yoy'!$A$1:$AW$1,),)</f>
        <v/>
      </c>
      <c r="E81" s="25">
        <f>VLOOKUP(B81,'Data yoy'!$A:$AW,MATCH($E$1,'Data yoy'!$A$1:$AW$1,),)</f>
        <v/>
      </c>
      <c r="F81" s="25">
        <f>VLOOKUP(B81,'Data yoy'!$A:$AW,MATCH($F$1,'Data yoy'!$A$1:$AW$1,),)</f>
        <v/>
      </c>
      <c r="G81" s="25">
        <f>VLOOKUP(B81,'Data yoy'!$A:$AW,MATCH($G$1,'Data yoy'!$A$1:$AW$1,),)</f>
        <v/>
      </c>
      <c r="H81" s="25">
        <f>VLOOKUP(B81,'Data yoy'!$A:$AW,MATCH($H$1,'Data yoy'!$A$1:$AW$1,),)</f>
        <v/>
      </c>
      <c r="I81" s="25">
        <f>VLOOKUP(B81,'Data yoy'!$A:$AW,MATCH($I$1,'Data yoy'!$A$1:$AW$1,),)</f>
        <v/>
      </c>
      <c r="J81" s="25">
        <f>VLOOKUP(B81,'Data yoy'!$A:$AW,MATCH($J$1,'Data yoy'!$A$1:$AW$1,),)</f>
        <v/>
      </c>
      <c r="K81" s="25">
        <f>VLOOKUP(B81,'Data yoy'!$A:$AW,MATCH($K$1,'Data yoy'!$A$1:$AW$1,),)</f>
        <v/>
      </c>
      <c r="L81" s="25">
        <f>VLOOKUP(B81,'Data yoy'!$A:$AW,MATCH($L$1,'Data yoy'!$A$1:$AW$1,),)</f>
        <v/>
      </c>
      <c r="M81" s="25">
        <f>VLOOKUP(B81,'Data yoy'!$A:$AW,MATCH($M$1,'Data yoy'!$A$1:$AW$1,),)</f>
        <v/>
      </c>
      <c r="N81" s="25">
        <f>VLOOKUP(B81,'Data yoy'!$A:$AW,MATCH($N$1,'Data yoy'!$A$1:$AW$1,),)</f>
        <v/>
      </c>
      <c r="O81" s="25">
        <f>VLOOKUP(B81,'Data yoy'!$A:$AW,MATCH($O$1,'Data yoy'!$A$1:$AW$1,),)</f>
        <v/>
      </c>
      <c r="P81" s="25">
        <f>VLOOKUP(B81,'Data yoy'!$A:$AW,MATCH($P$1,'Data yoy'!$A$1:$AW$1,),)</f>
        <v/>
      </c>
      <c r="Q81" s="25">
        <f>VLOOKUP(B81,'Data yoy'!$A:$AW,MATCH($Q$1,'Data yoy'!$A$1:$AW$1,),)</f>
        <v/>
      </c>
      <c r="R81" s="25">
        <f>VLOOKUP(B81,'Data yoy'!$A:$AW,MATCH($R$1,'Data yoy'!$A$1:$AW$1,),)</f>
        <v/>
      </c>
      <c r="S81" s="25">
        <f>VLOOKUP(B81,'Data yoy'!$A:$AW,MATCH($S$1,'Data yoy'!$A$1:$AW$1,),)</f>
        <v/>
      </c>
      <c r="T81" s="25">
        <f>VLOOKUP(B81,'Data yoy'!$A:$AW,MATCH($T$1,'Data yoy'!$A$1:$AW$1,),)</f>
        <v/>
      </c>
      <c r="U81" s="25">
        <f>VLOOKUP(B81,'Data yoy'!$A:$AW,MATCH($U$1,'Data yoy'!$A$1:$AW$1,),)</f>
        <v/>
      </c>
      <c r="V81" s="25">
        <f>VLOOKUP(B81,'Data yoy'!$A:$AW,MATCH($V$1,'Data yoy'!$A$1:$AW$1,),)</f>
        <v/>
      </c>
      <c r="W81" s="25">
        <f>VLOOKUP(B81,'Data yoy'!$A:$AW,MATCH($W$1,'Data yoy'!$A$1:$AW$1,),)</f>
        <v/>
      </c>
      <c r="X81" s="25">
        <f>VLOOKUP(B81,'Data yoy'!$A:$AW,MATCH($X$1,'Data yoy'!$A$1:$AW$1,),)</f>
        <v/>
      </c>
      <c r="Y81" s="25">
        <f>VLOOKUP(B81,'Data yoy'!$A:$AW,MATCH($Y$1,'Data yoy'!$A$1:$AW$1,),)</f>
        <v/>
      </c>
      <c r="Z81" s="25">
        <f>VLOOKUP(B81,'Data yoy'!$A:$AW,MATCH($Z$1,'Data yoy'!$A$1:$AW$1,),)</f>
        <v/>
      </c>
      <c r="AA81" s="25">
        <f>VLOOKUP(B81,'Data yoy'!$A:$AW,MATCH($AA$1,'Data yoy'!$A$1:$AW$1,),)</f>
        <v/>
      </c>
      <c r="AB81" s="75" t="n"/>
      <c r="AC81" s="26">
        <f>B81</f>
        <v/>
      </c>
      <c r="AD81" s="27">
        <f>(VLOOKUP(AC81,B:Y,MATCH($AE$6,$B$1:$Y$1,),))</f>
        <v/>
      </c>
      <c r="AE81" s="27">
        <f>(VLOOKUP(AC81,B:Y,MATCH($AE$7,$B$1:$Y$1,),))</f>
        <v/>
      </c>
      <c r="AF81" s="27">
        <f>AD81-AE81</f>
        <v/>
      </c>
    </row>
    <row r="82">
      <c r="B82" s="24" t="inlineStr">
        <is>
          <t>2017-Q4</t>
        </is>
      </c>
      <c r="C82" s="25">
        <f>VLOOKUP(B82,'Data yoy'!$A:$AW,MATCH($C$1,'Data yoy'!$A$1:$AW$1,),)</f>
        <v/>
      </c>
      <c r="D82" s="25">
        <f>VLOOKUP(B82,'Data yoy'!$A:$AW,MATCH($D$1,'Data yoy'!$A$1:$AW$1,),)</f>
        <v/>
      </c>
      <c r="E82" s="25">
        <f>VLOOKUP(B82,'Data yoy'!$A:$AW,MATCH($E$1,'Data yoy'!$A$1:$AW$1,),)</f>
        <v/>
      </c>
      <c r="F82" s="25">
        <f>VLOOKUP(B82,'Data yoy'!$A:$AW,MATCH($F$1,'Data yoy'!$A$1:$AW$1,),)</f>
        <v/>
      </c>
      <c r="G82" s="25">
        <f>VLOOKUP(B82,'Data yoy'!$A:$AW,MATCH($G$1,'Data yoy'!$A$1:$AW$1,),)</f>
        <v/>
      </c>
      <c r="H82" s="25">
        <f>VLOOKUP(B82,'Data yoy'!$A:$AW,MATCH($H$1,'Data yoy'!$A$1:$AW$1,),)</f>
        <v/>
      </c>
      <c r="I82" s="25">
        <f>VLOOKUP(B82,'Data yoy'!$A:$AW,MATCH($I$1,'Data yoy'!$A$1:$AW$1,),)</f>
        <v/>
      </c>
      <c r="J82" s="25">
        <f>VLOOKUP(B82,'Data yoy'!$A:$AW,MATCH($J$1,'Data yoy'!$A$1:$AW$1,),)</f>
        <v/>
      </c>
      <c r="K82" s="25">
        <f>VLOOKUP(B82,'Data yoy'!$A:$AW,MATCH($K$1,'Data yoy'!$A$1:$AW$1,),)</f>
        <v/>
      </c>
      <c r="L82" s="25">
        <f>VLOOKUP(B82,'Data yoy'!$A:$AW,MATCH($L$1,'Data yoy'!$A$1:$AW$1,),)</f>
        <v/>
      </c>
      <c r="M82" s="25">
        <f>VLOOKUP(B82,'Data yoy'!$A:$AW,MATCH($M$1,'Data yoy'!$A$1:$AW$1,),)</f>
        <v/>
      </c>
      <c r="N82" s="25">
        <f>VLOOKUP(B82,'Data yoy'!$A:$AW,MATCH($N$1,'Data yoy'!$A$1:$AW$1,),)</f>
        <v/>
      </c>
      <c r="O82" s="25">
        <f>VLOOKUP(B82,'Data yoy'!$A:$AW,MATCH($O$1,'Data yoy'!$A$1:$AW$1,),)</f>
        <v/>
      </c>
      <c r="P82" s="25">
        <f>VLOOKUP(B82,'Data yoy'!$A:$AW,MATCH($P$1,'Data yoy'!$A$1:$AW$1,),)</f>
        <v/>
      </c>
      <c r="Q82" s="25">
        <f>VLOOKUP(B82,'Data yoy'!$A:$AW,MATCH($Q$1,'Data yoy'!$A$1:$AW$1,),)</f>
        <v/>
      </c>
      <c r="R82" s="25">
        <f>VLOOKUP(B82,'Data yoy'!$A:$AW,MATCH($R$1,'Data yoy'!$A$1:$AW$1,),)</f>
        <v/>
      </c>
      <c r="S82" s="25">
        <f>VLOOKUP(B82,'Data yoy'!$A:$AW,MATCH($S$1,'Data yoy'!$A$1:$AW$1,),)</f>
        <v/>
      </c>
      <c r="T82" s="25">
        <f>VLOOKUP(B82,'Data yoy'!$A:$AW,MATCH($T$1,'Data yoy'!$A$1:$AW$1,),)</f>
        <v/>
      </c>
      <c r="U82" s="25">
        <f>VLOOKUP(B82,'Data yoy'!$A:$AW,MATCH($U$1,'Data yoy'!$A$1:$AW$1,),)</f>
        <v/>
      </c>
      <c r="V82" s="25">
        <f>VLOOKUP(B82,'Data yoy'!$A:$AW,MATCH($V$1,'Data yoy'!$A$1:$AW$1,),)</f>
        <v/>
      </c>
      <c r="W82" s="25">
        <f>VLOOKUP(B82,'Data yoy'!$A:$AW,MATCH($W$1,'Data yoy'!$A$1:$AW$1,),)</f>
        <v/>
      </c>
      <c r="X82" s="25">
        <f>VLOOKUP(B82,'Data yoy'!$A:$AW,MATCH($X$1,'Data yoy'!$A$1:$AW$1,),)</f>
        <v/>
      </c>
      <c r="Y82" s="25">
        <f>VLOOKUP(B82,'Data yoy'!$A:$AW,MATCH($Y$1,'Data yoy'!$A$1:$AW$1,),)</f>
        <v/>
      </c>
      <c r="Z82" s="25">
        <f>VLOOKUP(B82,'Data yoy'!$A:$AW,MATCH($Z$1,'Data yoy'!$A$1:$AW$1,),)</f>
        <v/>
      </c>
      <c r="AA82" s="25">
        <f>VLOOKUP(B82,'Data yoy'!$A:$AW,MATCH($AA$1,'Data yoy'!$A$1:$AW$1,),)</f>
        <v/>
      </c>
      <c r="AB82" s="75" t="n"/>
      <c r="AC82" s="26">
        <f>B82</f>
        <v/>
      </c>
      <c r="AD82" s="27">
        <f>(VLOOKUP(AC82,B:Y,MATCH($AE$6,$B$1:$Y$1,),))</f>
        <v/>
      </c>
      <c r="AE82" s="27">
        <f>(VLOOKUP(AC82,B:Y,MATCH($AE$7,$B$1:$Y$1,),))</f>
        <v/>
      </c>
      <c r="AF82" s="27">
        <f>AD82-AE82</f>
        <v/>
      </c>
    </row>
    <row r="83">
      <c r="B83" s="24" t="inlineStr">
        <is>
          <t>2018-Q1</t>
        </is>
      </c>
      <c r="C83" s="25">
        <f>VLOOKUP(B83,'Data yoy'!$A:$AW,MATCH($C$1,'Data yoy'!$A$1:$AW$1,),)</f>
        <v/>
      </c>
      <c r="D83" s="25">
        <f>VLOOKUP(B83,'Data yoy'!$A:$AW,MATCH($D$1,'Data yoy'!$A$1:$AW$1,),)</f>
        <v/>
      </c>
      <c r="E83" s="25">
        <f>VLOOKUP(B83,'Data yoy'!$A:$AW,MATCH($E$1,'Data yoy'!$A$1:$AW$1,),)</f>
        <v/>
      </c>
      <c r="F83" s="25">
        <f>VLOOKUP(B83,'Data yoy'!$A:$AW,MATCH($F$1,'Data yoy'!$A$1:$AW$1,),)</f>
        <v/>
      </c>
      <c r="G83" s="25">
        <f>VLOOKUP(B83,'Data yoy'!$A:$AW,MATCH($G$1,'Data yoy'!$A$1:$AW$1,),)</f>
        <v/>
      </c>
      <c r="H83" s="25">
        <f>VLOOKUP(B83,'Data yoy'!$A:$AW,MATCH($H$1,'Data yoy'!$A$1:$AW$1,),)</f>
        <v/>
      </c>
      <c r="I83" s="25">
        <f>VLOOKUP(B83,'Data yoy'!$A:$AW,MATCH($I$1,'Data yoy'!$A$1:$AW$1,),)</f>
        <v/>
      </c>
      <c r="J83" s="25">
        <f>VLOOKUP(B83,'Data yoy'!$A:$AW,MATCH($J$1,'Data yoy'!$A$1:$AW$1,),)</f>
        <v/>
      </c>
      <c r="K83" s="25">
        <f>VLOOKUP(B83,'Data yoy'!$A:$AW,MATCH($K$1,'Data yoy'!$A$1:$AW$1,),)</f>
        <v/>
      </c>
      <c r="L83" s="25">
        <f>VLOOKUP(B83,'Data yoy'!$A:$AW,MATCH($L$1,'Data yoy'!$A$1:$AW$1,),)</f>
        <v/>
      </c>
      <c r="M83" s="25">
        <f>VLOOKUP(B83,'Data yoy'!$A:$AW,MATCH($M$1,'Data yoy'!$A$1:$AW$1,),)</f>
        <v/>
      </c>
      <c r="N83" s="25">
        <f>VLOOKUP(B83,'Data yoy'!$A:$AW,MATCH($N$1,'Data yoy'!$A$1:$AW$1,),)</f>
        <v/>
      </c>
      <c r="O83" s="25">
        <f>VLOOKUP(B83,'Data yoy'!$A:$AW,MATCH($O$1,'Data yoy'!$A$1:$AW$1,),)</f>
        <v/>
      </c>
      <c r="P83" s="25">
        <f>VLOOKUP(B83,'Data yoy'!$A:$AW,MATCH($P$1,'Data yoy'!$A$1:$AW$1,),)</f>
        <v/>
      </c>
      <c r="Q83" s="25">
        <f>VLOOKUP(B83,'Data yoy'!$A:$AW,MATCH($Q$1,'Data yoy'!$A$1:$AW$1,),)</f>
        <v/>
      </c>
      <c r="R83" s="25">
        <f>VLOOKUP(B83,'Data yoy'!$A:$AW,MATCH($R$1,'Data yoy'!$A$1:$AW$1,),)</f>
        <v/>
      </c>
      <c r="S83" s="25">
        <f>VLOOKUP(B83,'Data yoy'!$A:$AW,MATCH($S$1,'Data yoy'!$A$1:$AW$1,),)</f>
        <v/>
      </c>
      <c r="T83" s="25">
        <f>VLOOKUP(B83,'Data yoy'!$A:$AW,MATCH($T$1,'Data yoy'!$A$1:$AW$1,),)</f>
        <v/>
      </c>
      <c r="U83" s="25">
        <f>VLOOKUP(B83,'Data yoy'!$A:$AW,MATCH($U$1,'Data yoy'!$A$1:$AW$1,),)</f>
        <v/>
      </c>
      <c r="V83" s="25">
        <f>VLOOKUP(B83,'Data yoy'!$A:$AW,MATCH($V$1,'Data yoy'!$A$1:$AW$1,),)</f>
        <v/>
      </c>
      <c r="W83" s="25">
        <f>VLOOKUP(B83,'Data yoy'!$A:$AW,MATCH($W$1,'Data yoy'!$A$1:$AW$1,),)</f>
        <v/>
      </c>
      <c r="X83" s="25">
        <f>VLOOKUP(B83,'Data yoy'!$A:$AW,MATCH($X$1,'Data yoy'!$A$1:$AW$1,),)</f>
        <v/>
      </c>
      <c r="Y83" s="25">
        <f>VLOOKUP(B83,'Data yoy'!$A:$AW,MATCH($Y$1,'Data yoy'!$A$1:$AW$1,),)</f>
        <v/>
      </c>
      <c r="Z83" s="25">
        <f>VLOOKUP(B83,'Data yoy'!$A:$AW,MATCH($Z$1,'Data yoy'!$A$1:$AW$1,),)</f>
        <v/>
      </c>
      <c r="AA83" s="25">
        <f>VLOOKUP(B83,'Data yoy'!$A:$AW,MATCH($AA$1,'Data yoy'!$A$1:$AW$1,),)</f>
        <v/>
      </c>
      <c r="AB83" s="75" t="n"/>
      <c r="AC83" s="26">
        <f>B83</f>
        <v/>
      </c>
      <c r="AD83" s="27">
        <f>(VLOOKUP(AC83,B:Y,MATCH($AE$6,$B$1:$Y$1,),))</f>
        <v/>
      </c>
      <c r="AE83" s="27">
        <f>(VLOOKUP(AC83,B:Y,MATCH($AE$7,$B$1:$Y$1,),))</f>
        <v/>
      </c>
      <c r="AF83" s="27">
        <f>AD83-AE83</f>
        <v/>
      </c>
    </row>
    <row r="84" customFormat="1" s="75">
      <c r="B84" s="24" t="inlineStr">
        <is>
          <t>2018-Q2</t>
        </is>
      </c>
      <c r="C84" s="25">
        <f>VLOOKUP(B84,'Data yoy'!$A:$AW,MATCH($C$1,'Data yoy'!$A$1:$AW$1,),)</f>
        <v/>
      </c>
      <c r="D84" s="25">
        <f>VLOOKUP(B84,'Data yoy'!$A:$AW,MATCH($D$1,'Data yoy'!$A$1:$AW$1,),)</f>
        <v/>
      </c>
      <c r="E84" s="25">
        <f>VLOOKUP(B84,'Data yoy'!$A:$AW,MATCH($E$1,'Data yoy'!$A$1:$AW$1,),)</f>
        <v/>
      </c>
      <c r="F84" s="25">
        <f>VLOOKUP(B84,'Data yoy'!$A:$AW,MATCH($F$1,'Data yoy'!$A$1:$AW$1,),)</f>
        <v/>
      </c>
      <c r="G84" s="25">
        <f>VLOOKUP(B84,'Data yoy'!$A:$AW,MATCH($G$1,'Data yoy'!$A$1:$AW$1,),)</f>
        <v/>
      </c>
      <c r="H84" s="25">
        <f>VLOOKUP(B84,'Data yoy'!$A:$AW,MATCH($H$1,'Data yoy'!$A$1:$AW$1,),)</f>
        <v/>
      </c>
      <c r="I84" s="25">
        <f>VLOOKUP(B84,'Data yoy'!$A:$AW,MATCH($I$1,'Data yoy'!$A$1:$AW$1,),)</f>
        <v/>
      </c>
      <c r="J84" s="25">
        <f>VLOOKUP(B84,'Data yoy'!$A:$AW,MATCH($J$1,'Data yoy'!$A$1:$AW$1,),)</f>
        <v/>
      </c>
      <c r="K84" s="25">
        <f>VLOOKUP(B84,'Data yoy'!$A:$AW,MATCH($K$1,'Data yoy'!$A$1:$AW$1,),)</f>
        <v/>
      </c>
      <c r="L84" s="25">
        <f>VLOOKUP(B84,'Data yoy'!$A:$AW,MATCH($L$1,'Data yoy'!$A$1:$AW$1,),)</f>
        <v/>
      </c>
      <c r="M84" s="25">
        <f>VLOOKUP(B84,'Data yoy'!$A:$AW,MATCH($M$1,'Data yoy'!$A$1:$AW$1,),)</f>
        <v/>
      </c>
      <c r="N84" s="25">
        <f>VLOOKUP(B84,'Data yoy'!$A:$AW,MATCH($N$1,'Data yoy'!$A$1:$AW$1,),)</f>
        <v/>
      </c>
      <c r="O84" s="25">
        <f>VLOOKUP(B84,'Data yoy'!$A:$AW,MATCH($O$1,'Data yoy'!$A$1:$AW$1,),)</f>
        <v/>
      </c>
      <c r="P84" s="25">
        <f>VLOOKUP(B84,'Data yoy'!$A:$AW,MATCH($P$1,'Data yoy'!$A$1:$AW$1,),)</f>
        <v/>
      </c>
      <c r="Q84" s="25">
        <f>VLOOKUP(B84,'Data yoy'!$A:$AW,MATCH($Q$1,'Data yoy'!$A$1:$AW$1,),)</f>
        <v/>
      </c>
      <c r="R84" s="25">
        <f>VLOOKUP(B84,'Data yoy'!$A:$AW,MATCH($R$1,'Data yoy'!$A$1:$AW$1,),)</f>
        <v/>
      </c>
      <c r="S84" s="25">
        <f>VLOOKUP(B84,'Data yoy'!$A:$AW,MATCH($S$1,'Data yoy'!$A$1:$AW$1,),)</f>
        <v/>
      </c>
      <c r="T84" s="25">
        <f>VLOOKUP(B84,'Data yoy'!$A:$AW,MATCH($T$1,'Data yoy'!$A$1:$AW$1,),)</f>
        <v/>
      </c>
      <c r="U84" s="25">
        <f>VLOOKUP(B84,'Data yoy'!$A:$AW,MATCH($U$1,'Data yoy'!$A$1:$AW$1,),)</f>
        <v/>
      </c>
      <c r="V84" s="25">
        <f>VLOOKUP(B84,'Data yoy'!$A:$AW,MATCH($V$1,'Data yoy'!$A$1:$AW$1,),)</f>
        <v/>
      </c>
      <c r="W84" s="25">
        <f>VLOOKUP(B84,'Data yoy'!$A:$AW,MATCH($W$1,'Data yoy'!$A$1:$AW$1,),)</f>
        <v/>
      </c>
      <c r="X84" s="25">
        <f>VLOOKUP(B84,'Data yoy'!$A:$AW,MATCH($X$1,'Data yoy'!$A$1:$AW$1,),)</f>
        <v/>
      </c>
      <c r="Y84" s="25">
        <f>VLOOKUP(B84,'Data yoy'!$A:$AW,MATCH($Y$1,'Data yoy'!$A$1:$AW$1,),)</f>
        <v/>
      </c>
      <c r="Z84" s="25">
        <f>VLOOKUP(B84,'Data yoy'!$A:$AW,MATCH($Z$1,'Data yoy'!$A$1:$AW$1,),)</f>
        <v/>
      </c>
      <c r="AA84" s="25">
        <f>VLOOKUP(B84,'Data yoy'!$A:$AW,MATCH($AA$1,'Data yoy'!$A$1:$AW$1,),)</f>
        <v/>
      </c>
      <c r="AC84" s="26">
        <f>B84</f>
        <v/>
      </c>
      <c r="AD84" s="27">
        <f>(VLOOKUP(AC84,B:Y,MATCH($AE$6,$B$1:$Y$1,),))</f>
        <v/>
      </c>
      <c r="AE84" s="27">
        <f>(VLOOKUP(AC84,B:Y,MATCH($AE$7,$B$1:$Y$1,),))</f>
        <v/>
      </c>
      <c r="AF84" s="27">
        <f>AD84-AE84</f>
        <v/>
      </c>
    </row>
    <row r="85" customFormat="1" s="75">
      <c r="B85" s="24" t="inlineStr">
        <is>
          <t>2018-Q3</t>
        </is>
      </c>
      <c r="C85" s="25">
        <f>VLOOKUP(B85,'Data yoy'!$A:$AW,MATCH($C$1,'Data yoy'!$A$1:$AW$1,),)</f>
        <v/>
      </c>
      <c r="D85" s="25">
        <f>VLOOKUP(B85,'Data yoy'!$A:$AW,MATCH($D$1,'Data yoy'!$A$1:$AW$1,),)</f>
        <v/>
      </c>
      <c r="E85" s="25">
        <f>VLOOKUP(B85,'Data yoy'!$A:$AW,MATCH($E$1,'Data yoy'!$A$1:$AW$1,),)</f>
        <v/>
      </c>
      <c r="F85" s="25">
        <f>VLOOKUP(B85,'Data yoy'!$A:$AW,MATCH($F$1,'Data yoy'!$A$1:$AW$1,),)</f>
        <v/>
      </c>
      <c r="G85" s="25">
        <f>VLOOKUP(B85,'Data yoy'!$A:$AW,MATCH($G$1,'Data yoy'!$A$1:$AW$1,),)</f>
        <v/>
      </c>
      <c r="H85" s="25">
        <f>VLOOKUP(B85,'Data yoy'!$A:$AW,MATCH($H$1,'Data yoy'!$A$1:$AW$1,),)</f>
        <v/>
      </c>
      <c r="I85" s="25">
        <f>VLOOKUP(B85,'Data yoy'!$A:$AW,MATCH($I$1,'Data yoy'!$A$1:$AW$1,),)</f>
        <v/>
      </c>
      <c r="J85" s="25">
        <f>VLOOKUP(B85,'Data yoy'!$A:$AW,MATCH($J$1,'Data yoy'!$A$1:$AW$1,),)</f>
        <v/>
      </c>
      <c r="K85" s="25">
        <f>VLOOKUP(B85,'Data yoy'!$A:$AW,MATCH($K$1,'Data yoy'!$A$1:$AW$1,),)</f>
        <v/>
      </c>
      <c r="L85" s="25">
        <f>VLOOKUP(B85,'Data yoy'!$A:$AW,MATCH($L$1,'Data yoy'!$A$1:$AW$1,),)</f>
        <v/>
      </c>
      <c r="M85" s="25">
        <f>VLOOKUP(B85,'Data yoy'!$A:$AW,MATCH($M$1,'Data yoy'!$A$1:$AW$1,),)</f>
        <v/>
      </c>
      <c r="N85" s="25">
        <f>VLOOKUP(B85,'Data yoy'!$A:$AW,MATCH($N$1,'Data yoy'!$A$1:$AW$1,),)</f>
        <v/>
      </c>
      <c r="O85" s="25">
        <f>VLOOKUP(B85,'Data yoy'!$A:$AW,MATCH($O$1,'Data yoy'!$A$1:$AW$1,),)</f>
        <v/>
      </c>
      <c r="P85" s="25">
        <f>VLOOKUP(B85,'Data yoy'!$A:$AW,MATCH($P$1,'Data yoy'!$A$1:$AW$1,),)</f>
        <v/>
      </c>
      <c r="Q85" s="25">
        <f>VLOOKUP(B85,'Data yoy'!$A:$AW,MATCH($Q$1,'Data yoy'!$A$1:$AW$1,),)</f>
        <v/>
      </c>
      <c r="R85" s="25">
        <f>VLOOKUP(B85,'Data yoy'!$A:$AW,MATCH($R$1,'Data yoy'!$A$1:$AW$1,),)</f>
        <v/>
      </c>
      <c r="S85" s="25">
        <f>VLOOKUP(B85,'Data yoy'!$A:$AW,MATCH($S$1,'Data yoy'!$A$1:$AW$1,),)</f>
        <v/>
      </c>
      <c r="T85" s="25">
        <f>VLOOKUP(B85,'Data yoy'!$A:$AW,MATCH($T$1,'Data yoy'!$A$1:$AW$1,),)</f>
        <v/>
      </c>
      <c r="U85" s="25">
        <f>VLOOKUP(B85,'Data yoy'!$A:$AW,MATCH($U$1,'Data yoy'!$A$1:$AW$1,),)</f>
        <v/>
      </c>
      <c r="V85" s="25">
        <f>VLOOKUP(B85,'Data yoy'!$A:$AW,MATCH($V$1,'Data yoy'!$A$1:$AW$1,),)</f>
        <v/>
      </c>
      <c r="W85" s="25">
        <f>VLOOKUP(B85,'Data yoy'!$A:$AW,MATCH($W$1,'Data yoy'!$A$1:$AW$1,),)</f>
        <v/>
      </c>
      <c r="X85" s="25">
        <f>VLOOKUP(B85,'Data yoy'!$A:$AW,MATCH($X$1,'Data yoy'!$A$1:$AW$1,),)</f>
        <v/>
      </c>
      <c r="Y85" s="25">
        <f>VLOOKUP(B85,'Data yoy'!$A:$AW,MATCH($Y$1,'Data yoy'!$A$1:$AW$1,),)</f>
        <v/>
      </c>
      <c r="Z85" s="25">
        <f>VLOOKUP(B85,'Data yoy'!$A:$AW,MATCH($Z$1,'Data yoy'!$A$1:$AW$1,),)</f>
        <v/>
      </c>
      <c r="AA85" s="25">
        <f>VLOOKUP(B85,'Data yoy'!$A:$AW,MATCH($AA$1,'Data yoy'!$A$1:$AW$1,),)</f>
        <v/>
      </c>
      <c r="AC85" s="26">
        <f>B85</f>
        <v/>
      </c>
      <c r="AD85" s="27">
        <f>(VLOOKUP(AC85,B:Y,MATCH($AE$6,$B$1:$Y$1,),))</f>
        <v/>
      </c>
      <c r="AE85" s="27">
        <f>(VLOOKUP(AC85,B:Y,MATCH($AE$7,$B$1:$Y$1,),))</f>
        <v/>
      </c>
      <c r="AF85" s="27">
        <f>AD85-AE85</f>
        <v/>
      </c>
    </row>
    <row r="86" customFormat="1" s="75">
      <c r="B86" s="24" t="inlineStr">
        <is>
          <t>2018-Q4</t>
        </is>
      </c>
      <c r="C86" s="25">
        <f>VLOOKUP(B86,'Data yoy'!$A:$AW,MATCH($C$1,'Data yoy'!$A$1:$AW$1,),)</f>
        <v/>
      </c>
      <c r="D86" s="25">
        <f>VLOOKUP(B86,'Data yoy'!$A:$AW,MATCH($D$1,'Data yoy'!$A$1:$AW$1,),)</f>
        <v/>
      </c>
      <c r="E86" s="25">
        <f>VLOOKUP(B86,'Data yoy'!$A:$AW,MATCH($E$1,'Data yoy'!$A$1:$AW$1,),)</f>
        <v/>
      </c>
      <c r="F86" s="25">
        <f>VLOOKUP(B86,'Data yoy'!$A:$AW,MATCH($F$1,'Data yoy'!$A$1:$AW$1,),)</f>
        <v/>
      </c>
      <c r="G86" s="25">
        <f>VLOOKUP(B86,'Data yoy'!$A:$AW,MATCH($G$1,'Data yoy'!$A$1:$AW$1,),)</f>
        <v/>
      </c>
      <c r="H86" s="25">
        <f>VLOOKUP(B86,'Data yoy'!$A:$AW,MATCH($H$1,'Data yoy'!$A$1:$AW$1,),)</f>
        <v/>
      </c>
      <c r="I86" s="25">
        <f>VLOOKUP(B86,'Data yoy'!$A:$AW,MATCH($I$1,'Data yoy'!$A$1:$AW$1,),)</f>
        <v/>
      </c>
      <c r="J86" s="25">
        <f>VLOOKUP(B86,'Data yoy'!$A:$AW,MATCH($J$1,'Data yoy'!$A$1:$AW$1,),)</f>
        <v/>
      </c>
      <c r="K86" s="25">
        <f>VLOOKUP(B86,'Data yoy'!$A:$AW,MATCH($K$1,'Data yoy'!$A$1:$AW$1,),)</f>
        <v/>
      </c>
      <c r="L86" s="25">
        <f>VLOOKUP(B86,'Data yoy'!$A:$AW,MATCH($L$1,'Data yoy'!$A$1:$AW$1,),)</f>
        <v/>
      </c>
      <c r="M86" s="25">
        <f>VLOOKUP(B86,'Data yoy'!$A:$AW,MATCH($M$1,'Data yoy'!$A$1:$AW$1,),)</f>
        <v/>
      </c>
      <c r="N86" s="25">
        <f>VLOOKUP(B86,'Data yoy'!$A:$AW,MATCH($N$1,'Data yoy'!$A$1:$AW$1,),)</f>
        <v/>
      </c>
      <c r="O86" s="25">
        <f>VLOOKUP(B86,'Data yoy'!$A:$AW,MATCH($O$1,'Data yoy'!$A$1:$AW$1,),)</f>
        <v/>
      </c>
      <c r="P86" s="25">
        <f>VLOOKUP(B86,'Data yoy'!$A:$AW,MATCH($P$1,'Data yoy'!$A$1:$AW$1,),)</f>
        <v/>
      </c>
      <c r="Q86" s="25">
        <f>VLOOKUP(B86,'Data yoy'!$A:$AW,MATCH($Q$1,'Data yoy'!$A$1:$AW$1,),)</f>
        <v/>
      </c>
      <c r="R86" s="25">
        <f>VLOOKUP(B86,'Data yoy'!$A:$AW,MATCH($R$1,'Data yoy'!$A$1:$AW$1,),)</f>
        <v/>
      </c>
      <c r="S86" s="25">
        <f>VLOOKUP(B86,'Data yoy'!$A:$AW,MATCH($S$1,'Data yoy'!$A$1:$AW$1,),)</f>
        <v/>
      </c>
      <c r="T86" s="25">
        <f>VLOOKUP(B86,'Data yoy'!$A:$AW,MATCH($T$1,'Data yoy'!$A$1:$AW$1,),)</f>
        <v/>
      </c>
      <c r="U86" s="25">
        <f>VLOOKUP(B86,'Data yoy'!$A:$AW,MATCH($U$1,'Data yoy'!$A$1:$AW$1,),)</f>
        <v/>
      </c>
      <c r="V86" s="25">
        <f>VLOOKUP(B86,'Data yoy'!$A:$AW,MATCH($V$1,'Data yoy'!$A$1:$AW$1,),)</f>
        <v/>
      </c>
      <c r="W86" s="25">
        <f>VLOOKUP(B86,'Data yoy'!$A:$AW,MATCH($W$1,'Data yoy'!$A$1:$AW$1,),)</f>
        <v/>
      </c>
      <c r="X86" s="25">
        <f>VLOOKUP(B86,'Data yoy'!$A:$AW,MATCH($X$1,'Data yoy'!$A$1:$AW$1,),)</f>
        <v/>
      </c>
      <c r="Y86" s="25">
        <f>VLOOKUP(B86,'Data yoy'!$A:$AW,MATCH($Y$1,'Data yoy'!$A$1:$AW$1,),)</f>
        <v/>
      </c>
      <c r="Z86" s="25">
        <f>VLOOKUP(B86,'Data yoy'!$A:$AW,MATCH($Z$1,'Data yoy'!$A$1:$AW$1,),)</f>
        <v/>
      </c>
      <c r="AA86" s="25">
        <f>VLOOKUP(B86,'Data yoy'!$A:$AW,MATCH($AA$1,'Data yoy'!$A$1:$AW$1,),)</f>
        <v/>
      </c>
      <c r="AC86" s="26">
        <f>B86</f>
        <v/>
      </c>
      <c r="AD86" s="27">
        <f>(VLOOKUP(AC86,B:Y,MATCH($AE$6,$B$1:$Y$1,),))</f>
        <v/>
      </c>
      <c r="AE86" s="27">
        <f>(VLOOKUP(AC86,B:Y,MATCH($AE$7,$B$1:$Y$1,),))</f>
        <v/>
      </c>
      <c r="AF86" s="27">
        <f>AD86-AE86</f>
        <v/>
      </c>
    </row>
    <row r="87" customFormat="1" s="75">
      <c r="B87" s="24" t="inlineStr">
        <is>
          <t>2019-Q1</t>
        </is>
      </c>
      <c r="C87" s="25">
        <f>VLOOKUP(B87,'Data yoy'!$A:$AW,MATCH($C$1,'Data yoy'!$A$1:$AW$1,),)</f>
        <v/>
      </c>
      <c r="D87" s="25">
        <f>VLOOKUP(B87,'Data yoy'!$A:$AW,MATCH($D$1,'Data yoy'!$A$1:$AW$1,),)</f>
        <v/>
      </c>
      <c r="E87" s="25">
        <f>VLOOKUP(B87,'Data yoy'!$A:$AW,MATCH($E$1,'Data yoy'!$A$1:$AW$1,),)</f>
        <v/>
      </c>
      <c r="F87" s="25">
        <f>VLOOKUP(B87,'Data yoy'!$A:$AW,MATCH($F$1,'Data yoy'!$A$1:$AW$1,),)</f>
        <v/>
      </c>
      <c r="G87" s="25">
        <f>VLOOKUP(B87,'Data yoy'!$A:$AW,MATCH($G$1,'Data yoy'!$A$1:$AW$1,),)</f>
        <v/>
      </c>
      <c r="H87" s="25">
        <f>VLOOKUP(B87,'Data yoy'!$A:$AW,MATCH($H$1,'Data yoy'!$A$1:$AW$1,),)</f>
        <v/>
      </c>
      <c r="I87" s="25">
        <f>VLOOKUP(B87,'Data yoy'!$A:$AW,MATCH($I$1,'Data yoy'!$A$1:$AW$1,),)</f>
        <v/>
      </c>
      <c r="J87" s="25">
        <f>VLOOKUP(B87,'Data yoy'!$A:$AW,MATCH($J$1,'Data yoy'!$A$1:$AW$1,),)</f>
        <v/>
      </c>
      <c r="K87" s="25">
        <f>VLOOKUP(B87,'Data yoy'!$A:$AW,MATCH($K$1,'Data yoy'!$A$1:$AW$1,),)</f>
        <v/>
      </c>
      <c r="L87" s="25">
        <f>VLOOKUP(B87,'Data yoy'!$A:$AW,MATCH($L$1,'Data yoy'!$A$1:$AW$1,),)</f>
        <v/>
      </c>
      <c r="M87" s="25">
        <f>VLOOKUP(B87,'Data yoy'!$A:$AW,MATCH($M$1,'Data yoy'!$A$1:$AW$1,),)</f>
        <v/>
      </c>
      <c r="N87" s="25">
        <f>VLOOKUP(B87,'Data yoy'!$A:$AW,MATCH($N$1,'Data yoy'!$A$1:$AW$1,),)</f>
        <v/>
      </c>
      <c r="O87" s="25">
        <f>VLOOKUP(B87,'Data yoy'!$A:$AW,MATCH($O$1,'Data yoy'!$A$1:$AW$1,),)</f>
        <v/>
      </c>
      <c r="P87" s="25">
        <f>VLOOKUP(B87,'Data yoy'!$A:$AW,MATCH($P$1,'Data yoy'!$A$1:$AW$1,),)</f>
        <v/>
      </c>
      <c r="Q87" s="25">
        <f>VLOOKUP(B87,'Data yoy'!$A:$AW,MATCH($Q$1,'Data yoy'!$A$1:$AW$1,),)</f>
        <v/>
      </c>
      <c r="R87" s="25">
        <f>VLOOKUP(B87,'Data yoy'!$A:$AW,MATCH($R$1,'Data yoy'!$A$1:$AW$1,),)</f>
        <v/>
      </c>
      <c r="S87" s="25">
        <f>VLOOKUP(B87,'Data yoy'!$A:$AW,MATCH($S$1,'Data yoy'!$A$1:$AW$1,),)</f>
        <v/>
      </c>
      <c r="T87" s="25">
        <f>VLOOKUP(B87,'Data yoy'!$A:$AW,MATCH($T$1,'Data yoy'!$A$1:$AW$1,),)</f>
        <v/>
      </c>
      <c r="U87" s="25">
        <f>VLOOKUP(B87,'Data yoy'!$A:$AW,MATCH($U$1,'Data yoy'!$A$1:$AW$1,),)</f>
        <v/>
      </c>
      <c r="V87" s="25">
        <f>VLOOKUP(B87,'Data yoy'!$A:$AW,MATCH($V$1,'Data yoy'!$A$1:$AW$1,),)</f>
        <v/>
      </c>
      <c r="W87" s="25">
        <f>VLOOKUP(B87,'Data yoy'!$A:$AW,MATCH($W$1,'Data yoy'!$A$1:$AW$1,),)</f>
        <v/>
      </c>
      <c r="X87" s="25">
        <f>VLOOKUP(B87,'Data yoy'!$A:$AW,MATCH($X$1,'Data yoy'!$A$1:$AW$1,),)</f>
        <v/>
      </c>
      <c r="Y87" s="25">
        <f>VLOOKUP(B87,'Data yoy'!$A:$AW,MATCH($Y$1,'Data yoy'!$A$1:$AW$1,),)</f>
        <v/>
      </c>
      <c r="Z87" s="25">
        <f>VLOOKUP(B87,'Data yoy'!$A:$AW,MATCH($Z$1,'Data yoy'!$A$1:$AW$1,),)</f>
        <v/>
      </c>
      <c r="AA87" s="25">
        <f>VLOOKUP(B87,'Data yoy'!$A:$AW,MATCH($AA$1,'Data yoy'!$A$1:$AW$1,),)</f>
        <v/>
      </c>
      <c r="AC87" s="26">
        <f>B87</f>
        <v/>
      </c>
      <c r="AD87" s="27">
        <f>(VLOOKUP(AC87,B:Y,MATCH($AE$6,$B$1:$Y$1,),))</f>
        <v/>
      </c>
      <c r="AE87" s="27">
        <f>(VLOOKUP(AC87,B:Y,MATCH($AE$7,$B$1:$Y$1,),))</f>
        <v/>
      </c>
      <c r="AF87" s="27">
        <f>AD87-AE87</f>
        <v/>
      </c>
    </row>
    <row r="88" customFormat="1" s="75">
      <c r="B88" s="24" t="inlineStr">
        <is>
          <t>2019-Q2</t>
        </is>
      </c>
      <c r="C88" s="25">
        <f>VLOOKUP(B88,'Data yoy'!$A:$AW,MATCH($C$1,'Data yoy'!$A$1:$AW$1,),)</f>
        <v/>
      </c>
      <c r="D88" s="25">
        <f>VLOOKUP(B88,'Data yoy'!$A:$AW,MATCH($D$1,'Data yoy'!$A$1:$AW$1,),)</f>
        <v/>
      </c>
      <c r="E88" s="25">
        <f>VLOOKUP(B88,'Data yoy'!$A:$AW,MATCH($E$1,'Data yoy'!$A$1:$AW$1,),)</f>
        <v/>
      </c>
      <c r="F88" s="25">
        <f>VLOOKUP(B88,'Data yoy'!$A:$AW,MATCH($F$1,'Data yoy'!$A$1:$AW$1,),)</f>
        <v/>
      </c>
      <c r="G88" s="25">
        <f>VLOOKUP(B88,'Data yoy'!$A:$AW,MATCH($G$1,'Data yoy'!$A$1:$AW$1,),)</f>
        <v/>
      </c>
      <c r="H88" s="25">
        <f>VLOOKUP(B88,'Data yoy'!$A:$AW,MATCH($H$1,'Data yoy'!$A$1:$AW$1,),)</f>
        <v/>
      </c>
      <c r="I88" s="25">
        <f>VLOOKUP(B88,'Data yoy'!$A:$AW,MATCH($I$1,'Data yoy'!$A$1:$AW$1,),)</f>
        <v/>
      </c>
      <c r="J88" s="25">
        <f>VLOOKUP(B88,'Data yoy'!$A:$AW,MATCH($J$1,'Data yoy'!$A$1:$AW$1,),)</f>
        <v/>
      </c>
      <c r="K88" s="25">
        <f>VLOOKUP(B88,'Data yoy'!$A:$AW,MATCH($K$1,'Data yoy'!$A$1:$AW$1,),)</f>
        <v/>
      </c>
      <c r="L88" s="25">
        <f>VLOOKUP(B88,'Data yoy'!$A:$AW,MATCH($L$1,'Data yoy'!$A$1:$AW$1,),)</f>
        <v/>
      </c>
      <c r="M88" s="25">
        <f>VLOOKUP(B88,'Data yoy'!$A:$AW,MATCH($M$1,'Data yoy'!$A$1:$AW$1,),)</f>
        <v/>
      </c>
      <c r="N88" s="25">
        <f>VLOOKUP(B88,'Data yoy'!$A:$AW,MATCH($N$1,'Data yoy'!$A$1:$AW$1,),)</f>
        <v/>
      </c>
      <c r="O88" s="25">
        <f>VLOOKUP(B88,'Data yoy'!$A:$AW,MATCH($O$1,'Data yoy'!$A$1:$AW$1,),)</f>
        <v/>
      </c>
      <c r="P88" s="25">
        <f>VLOOKUP(B88,'Data yoy'!$A:$AW,MATCH($P$1,'Data yoy'!$A$1:$AW$1,),)</f>
        <v/>
      </c>
      <c r="Q88" s="25">
        <f>VLOOKUP(B88,'Data yoy'!$A:$AW,MATCH($Q$1,'Data yoy'!$A$1:$AW$1,),)</f>
        <v/>
      </c>
      <c r="R88" s="25">
        <f>VLOOKUP(B88,'Data yoy'!$A:$AW,MATCH($R$1,'Data yoy'!$A$1:$AW$1,),)</f>
        <v/>
      </c>
      <c r="S88" s="25">
        <f>VLOOKUP(B88,'Data yoy'!$A:$AW,MATCH($S$1,'Data yoy'!$A$1:$AW$1,),)</f>
        <v/>
      </c>
      <c r="T88" s="25">
        <f>VLOOKUP(B88,'Data yoy'!$A:$AW,MATCH($T$1,'Data yoy'!$A$1:$AW$1,),)</f>
        <v/>
      </c>
      <c r="U88" s="25">
        <f>VLOOKUP(B88,'Data yoy'!$A:$AW,MATCH($U$1,'Data yoy'!$A$1:$AW$1,),)</f>
        <v/>
      </c>
      <c r="V88" s="25">
        <f>VLOOKUP(B88,'Data yoy'!$A:$AW,MATCH($V$1,'Data yoy'!$A$1:$AW$1,),)</f>
        <v/>
      </c>
      <c r="W88" s="25">
        <f>VLOOKUP(B88,'Data yoy'!$A:$AW,MATCH($W$1,'Data yoy'!$A$1:$AW$1,),)</f>
        <v/>
      </c>
      <c r="X88" s="25">
        <f>VLOOKUP(B88,'Data yoy'!$A:$AW,MATCH($X$1,'Data yoy'!$A$1:$AW$1,),)</f>
        <v/>
      </c>
      <c r="Y88" s="25">
        <f>VLOOKUP(B88,'Data yoy'!$A:$AW,MATCH($Y$1,'Data yoy'!$A$1:$AW$1,),)</f>
        <v/>
      </c>
      <c r="Z88" s="25">
        <f>VLOOKUP(B88,'Data yoy'!$A:$AW,MATCH($Z$1,'Data yoy'!$A$1:$AW$1,),)</f>
        <v/>
      </c>
      <c r="AA88" s="25">
        <f>VLOOKUP(B88,'Data yoy'!$A:$AW,MATCH($AA$1,'Data yoy'!$A$1:$AW$1,),)</f>
        <v/>
      </c>
      <c r="AC88" s="26">
        <f>B88</f>
        <v/>
      </c>
      <c r="AD88" s="27">
        <f>(VLOOKUP(AC88,B:Y,MATCH($AE$6,$B$1:$Y$1,),))</f>
        <v/>
      </c>
      <c r="AE88" s="27">
        <f>(VLOOKUP(AC88,B:Y,MATCH($AE$7,$B$1:$Y$1,),))</f>
        <v/>
      </c>
      <c r="AF88" s="27">
        <f>AD88-AE88</f>
        <v/>
      </c>
    </row>
    <row r="89" customFormat="1" s="75">
      <c r="B89" s="24" t="inlineStr">
        <is>
          <t>2019-Q3</t>
        </is>
      </c>
      <c r="C89" s="25">
        <f>VLOOKUP(B89,'Data yoy'!$A:$AW,MATCH($C$1,'Data yoy'!$A$1:$AW$1,),)</f>
        <v/>
      </c>
      <c r="D89" s="25">
        <f>VLOOKUP(B89,'Data yoy'!$A:$AW,MATCH($D$1,'Data yoy'!$A$1:$AW$1,),)</f>
        <v/>
      </c>
      <c r="E89" s="25">
        <f>VLOOKUP(B89,'Data yoy'!$A:$AW,MATCH($E$1,'Data yoy'!$A$1:$AW$1,),)</f>
        <v/>
      </c>
      <c r="F89" s="25">
        <f>VLOOKUP(B89,'Data yoy'!$A:$AW,MATCH($F$1,'Data yoy'!$A$1:$AW$1,),)</f>
        <v/>
      </c>
      <c r="G89" s="25">
        <f>VLOOKUP(B89,'Data yoy'!$A:$AW,MATCH($G$1,'Data yoy'!$A$1:$AW$1,),)</f>
        <v/>
      </c>
      <c r="H89" s="25">
        <f>VLOOKUP(B89,'Data yoy'!$A:$AW,MATCH($H$1,'Data yoy'!$A$1:$AW$1,),)</f>
        <v/>
      </c>
      <c r="I89" s="25">
        <f>VLOOKUP(B89,'Data yoy'!$A:$AW,MATCH($I$1,'Data yoy'!$A$1:$AW$1,),)</f>
        <v/>
      </c>
      <c r="J89" s="25">
        <f>VLOOKUP(B89,'Data yoy'!$A:$AW,MATCH($J$1,'Data yoy'!$A$1:$AW$1,),)</f>
        <v/>
      </c>
      <c r="K89" s="25">
        <f>VLOOKUP(B89,'Data yoy'!$A:$AW,MATCH($K$1,'Data yoy'!$A$1:$AW$1,),)</f>
        <v/>
      </c>
      <c r="L89" s="25">
        <f>VLOOKUP(B89,'Data yoy'!$A:$AW,MATCH($L$1,'Data yoy'!$A$1:$AW$1,),)</f>
        <v/>
      </c>
      <c r="M89" s="25">
        <f>VLOOKUP(B89,'Data yoy'!$A:$AW,MATCH($M$1,'Data yoy'!$A$1:$AW$1,),)</f>
        <v/>
      </c>
      <c r="N89" s="25">
        <f>VLOOKUP(B89,'Data yoy'!$A:$AW,MATCH($N$1,'Data yoy'!$A$1:$AW$1,),)</f>
        <v/>
      </c>
      <c r="O89" s="25">
        <f>VLOOKUP(B89,'Data yoy'!$A:$AW,MATCH($O$1,'Data yoy'!$A$1:$AW$1,),)</f>
        <v/>
      </c>
      <c r="P89" s="25">
        <f>VLOOKUP(B89,'Data yoy'!$A:$AW,MATCH($P$1,'Data yoy'!$A$1:$AW$1,),)</f>
        <v/>
      </c>
      <c r="Q89" s="25">
        <f>VLOOKUP(B89,'Data yoy'!$A:$AW,MATCH($Q$1,'Data yoy'!$A$1:$AW$1,),)</f>
        <v/>
      </c>
      <c r="R89" s="25">
        <f>VLOOKUP(B89,'Data yoy'!$A:$AW,MATCH($R$1,'Data yoy'!$A$1:$AW$1,),)</f>
        <v/>
      </c>
      <c r="S89" s="25">
        <f>VLOOKUP(B89,'Data yoy'!$A:$AW,MATCH($S$1,'Data yoy'!$A$1:$AW$1,),)</f>
        <v/>
      </c>
      <c r="T89" s="25">
        <f>VLOOKUP(B89,'Data yoy'!$A:$AW,MATCH($T$1,'Data yoy'!$A$1:$AW$1,),)</f>
        <v/>
      </c>
      <c r="U89" s="25">
        <f>VLOOKUP(B89,'Data yoy'!$A:$AW,MATCH($U$1,'Data yoy'!$A$1:$AW$1,),)</f>
        <v/>
      </c>
      <c r="V89" s="25">
        <f>VLOOKUP(B89,'Data yoy'!$A:$AW,MATCH($V$1,'Data yoy'!$A$1:$AW$1,),)</f>
        <v/>
      </c>
      <c r="W89" s="25">
        <f>VLOOKUP(B89,'Data yoy'!$A:$AW,MATCH($W$1,'Data yoy'!$A$1:$AW$1,),)</f>
        <v/>
      </c>
      <c r="X89" s="25">
        <f>VLOOKUP(B89,'Data yoy'!$A:$AW,MATCH($X$1,'Data yoy'!$A$1:$AW$1,),)</f>
        <v/>
      </c>
      <c r="Y89" s="25">
        <f>VLOOKUP(B89,'Data yoy'!$A:$AW,MATCH($Y$1,'Data yoy'!$A$1:$AW$1,),)</f>
        <v/>
      </c>
      <c r="Z89" s="25">
        <f>VLOOKUP(B89,'Data yoy'!$A:$AW,MATCH($Z$1,'Data yoy'!$A$1:$AW$1,),)</f>
        <v/>
      </c>
      <c r="AA89" s="25">
        <f>VLOOKUP(B89,'Data yoy'!$A:$AW,MATCH($AA$1,'Data yoy'!$A$1:$AW$1,),)</f>
        <v/>
      </c>
      <c r="AC89" s="26">
        <f>B89</f>
        <v/>
      </c>
      <c r="AD89" s="27">
        <f>(VLOOKUP(AC89,B:Y,MATCH($AE$6,$B$1:$Y$1,),))</f>
        <v/>
      </c>
      <c r="AE89" s="27">
        <f>(VLOOKUP(AC89,B:Y,MATCH($AE$7,$B$1:$Y$1,),))</f>
        <v/>
      </c>
      <c r="AF89" s="27">
        <f>AD89-AE89</f>
        <v/>
      </c>
    </row>
    <row r="90" customFormat="1" s="75">
      <c r="B90" s="24" t="inlineStr">
        <is>
          <t>2019-Q4</t>
        </is>
      </c>
      <c r="C90" s="25">
        <f>VLOOKUP(B90,'Data yoy'!$A:$AW,MATCH($C$1,'Data yoy'!$A$1:$AW$1,),)</f>
        <v/>
      </c>
      <c r="D90" s="25">
        <f>VLOOKUP(B90,'Data yoy'!$A:$AW,MATCH($D$1,'Data yoy'!$A$1:$AW$1,),)</f>
        <v/>
      </c>
      <c r="E90" s="25">
        <f>VLOOKUP(B90,'Data yoy'!$A:$AW,MATCH($E$1,'Data yoy'!$A$1:$AW$1,),)</f>
        <v/>
      </c>
      <c r="F90" s="25">
        <f>VLOOKUP(B90,'Data yoy'!$A:$AW,MATCH($F$1,'Data yoy'!$A$1:$AW$1,),)</f>
        <v/>
      </c>
      <c r="G90" s="25">
        <f>VLOOKUP(B90,'Data yoy'!$A:$AW,MATCH($G$1,'Data yoy'!$A$1:$AW$1,),)</f>
        <v/>
      </c>
      <c r="H90" s="25">
        <f>VLOOKUP(B90,'Data yoy'!$A:$AW,MATCH($H$1,'Data yoy'!$A$1:$AW$1,),)</f>
        <v/>
      </c>
      <c r="I90" s="25">
        <f>VLOOKUP(B90,'Data yoy'!$A:$AW,MATCH($I$1,'Data yoy'!$A$1:$AW$1,),)</f>
        <v/>
      </c>
      <c r="J90" s="25">
        <f>VLOOKUP(B90,'Data yoy'!$A:$AW,MATCH($J$1,'Data yoy'!$A$1:$AW$1,),)</f>
        <v/>
      </c>
      <c r="K90" s="25">
        <f>VLOOKUP(B90,'Data yoy'!$A:$AW,MATCH($K$1,'Data yoy'!$A$1:$AW$1,),)</f>
        <v/>
      </c>
      <c r="L90" s="25">
        <f>VLOOKUP(B90,'Data yoy'!$A:$AW,MATCH($L$1,'Data yoy'!$A$1:$AW$1,),)</f>
        <v/>
      </c>
      <c r="M90" s="25">
        <f>VLOOKUP(B90,'Data yoy'!$A:$AW,MATCH($M$1,'Data yoy'!$A$1:$AW$1,),)</f>
        <v/>
      </c>
      <c r="N90" s="25">
        <f>VLOOKUP(B90,'Data yoy'!$A:$AW,MATCH($N$1,'Data yoy'!$A$1:$AW$1,),)</f>
        <v/>
      </c>
      <c r="O90" s="25">
        <f>VLOOKUP(B90,'Data yoy'!$A:$AW,MATCH($O$1,'Data yoy'!$A$1:$AW$1,),)</f>
        <v/>
      </c>
      <c r="P90" s="25">
        <f>VLOOKUP(B90,'Data yoy'!$A:$AW,MATCH($P$1,'Data yoy'!$A$1:$AW$1,),)</f>
        <v/>
      </c>
      <c r="Q90" s="25">
        <f>VLOOKUP(B90,'Data yoy'!$A:$AW,MATCH($Q$1,'Data yoy'!$A$1:$AW$1,),)</f>
        <v/>
      </c>
      <c r="R90" s="25">
        <f>VLOOKUP(B90,'Data yoy'!$A:$AW,MATCH($R$1,'Data yoy'!$A$1:$AW$1,),)</f>
        <v/>
      </c>
      <c r="S90" s="25">
        <f>VLOOKUP(B90,'Data yoy'!$A:$AW,MATCH($S$1,'Data yoy'!$A$1:$AW$1,),)</f>
        <v/>
      </c>
      <c r="T90" s="25">
        <f>VLOOKUP(B90,'Data yoy'!$A:$AW,MATCH($T$1,'Data yoy'!$A$1:$AW$1,),)</f>
        <v/>
      </c>
      <c r="U90" s="25">
        <f>VLOOKUP(B90,'Data yoy'!$A:$AW,MATCH($U$1,'Data yoy'!$A$1:$AW$1,),)</f>
        <v/>
      </c>
      <c r="V90" s="25">
        <f>VLOOKUP(B90,'Data yoy'!$A:$AW,MATCH($V$1,'Data yoy'!$A$1:$AW$1,),)</f>
        <v/>
      </c>
      <c r="W90" s="25">
        <f>VLOOKUP(B90,'Data yoy'!$A:$AW,MATCH($W$1,'Data yoy'!$A$1:$AW$1,),)</f>
        <v/>
      </c>
      <c r="X90" s="25">
        <f>VLOOKUP(B90,'Data yoy'!$A:$AW,MATCH($X$1,'Data yoy'!$A$1:$AW$1,),)</f>
        <v/>
      </c>
      <c r="Y90" s="25">
        <f>VLOOKUP(B90,'Data yoy'!$A:$AW,MATCH($Y$1,'Data yoy'!$A$1:$AW$1,),)</f>
        <v/>
      </c>
      <c r="Z90" s="25">
        <f>VLOOKUP(B90,'Data yoy'!$A:$AW,MATCH($Z$1,'Data yoy'!$A$1:$AW$1,),)</f>
        <v/>
      </c>
      <c r="AA90" s="25">
        <f>VLOOKUP(B90,'Data yoy'!$A:$AW,MATCH($AA$1,'Data yoy'!$A$1:$AW$1,),)</f>
        <v/>
      </c>
      <c r="AC90" s="26">
        <f>B90</f>
        <v/>
      </c>
      <c r="AD90" s="27">
        <f>(VLOOKUP(AC90,B:Y,MATCH($AE$6,$B$1:$Y$1,),))</f>
        <v/>
      </c>
      <c r="AE90" s="27">
        <f>(VLOOKUP(AC90,B:Y,MATCH($AE$7,$B$1:$Y$1,),))</f>
        <v/>
      </c>
      <c r="AF90" s="27">
        <f>AD90-AE90</f>
        <v/>
      </c>
    </row>
    <row r="91" customFormat="1" s="75">
      <c r="B91" s="24" t="inlineStr">
        <is>
          <t>2020-Q1</t>
        </is>
      </c>
      <c r="C91" s="25">
        <f>VLOOKUP(B91,'Data yoy'!$A:$AW,MATCH($C$1,'Data yoy'!$A$1:$AW$1,),)</f>
        <v/>
      </c>
      <c r="D91" s="25">
        <f>VLOOKUP(B91,'Data yoy'!$A:$AW,MATCH($D$1,'Data yoy'!$A$1:$AW$1,),)</f>
        <v/>
      </c>
      <c r="E91" s="25">
        <f>VLOOKUP(B91,'Data yoy'!$A:$AW,MATCH($E$1,'Data yoy'!$A$1:$AW$1,),)</f>
        <v/>
      </c>
      <c r="F91" s="25">
        <f>VLOOKUP(B91,'Data yoy'!$A:$AW,MATCH($F$1,'Data yoy'!$A$1:$AW$1,),)</f>
        <v/>
      </c>
      <c r="G91" s="25">
        <f>VLOOKUP(B91,'Data yoy'!$A:$AW,MATCH($G$1,'Data yoy'!$A$1:$AW$1,),)</f>
        <v/>
      </c>
      <c r="H91" s="25">
        <f>VLOOKUP(B91,'Data yoy'!$A:$AW,MATCH($H$1,'Data yoy'!$A$1:$AW$1,),)</f>
        <v/>
      </c>
      <c r="I91" s="25">
        <f>VLOOKUP(B91,'Data yoy'!$A:$AW,MATCH($I$1,'Data yoy'!$A$1:$AW$1,),)</f>
        <v/>
      </c>
      <c r="J91" s="25">
        <f>VLOOKUP(B91,'Data yoy'!$A:$AW,MATCH($J$1,'Data yoy'!$A$1:$AW$1,),)</f>
        <v/>
      </c>
      <c r="K91" s="25">
        <f>VLOOKUP(B91,'Data yoy'!$A:$AW,MATCH($K$1,'Data yoy'!$A$1:$AW$1,),)</f>
        <v/>
      </c>
      <c r="L91" s="25">
        <f>VLOOKUP(B91,'Data yoy'!$A:$AW,MATCH($L$1,'Data yoy'!$A$1:$AW$1,),)</f>
        <v/>
      </c>
      <c r="M91" s="25">
        <f>VLOOKUP(B91,'Data yoy'!$A:$AW,MATCH($M$1,'Data yoy'!$A$1:$AW$1,),)</f>
        <v/>
      </c>
      <c r="N91" s="25">
        <f>VLOOKUP(B91,'Data yoy'!$A:$AW,MATCH($N$1,'Data yoy'!$A$1:$AW$1,),)</f>
        <v/>
      </c>
      <c r="O91" s="25">
        <f>VLOOKUP(B91,'Data yoy'!$A:$AW,MATCH($O$1,'Data yoy'!$A$1:$AW$1,),)</f>
        <v/>
      </c>
      <c r="P91" s="25">
        <f>VLOOKUP(B91,'Data yoy'!$A:$AW,MATCH($P$1,'Data yoy'!$A$1:$AW$1,),)</f>
        <v/>
      </c>
      <c r="Q91" s="25">
        <f>VLOOKUP(B91,'Data yoy'!$A:$AW,MATCH($Q$1,'Data yoy'!$A$1:$AW$1,),)</f>
        <v/>
      </c>
      <c r="R91" s="25">
        <f>VLOOKUP(B91,'Data yoy'!$A:$AW,MATCH($R$1,'Data yoy'!$A$1:$AW$1,),)</f>
        <v/>
      </c>
      <c r="S91" s="25">
        <f>VLOOKUP(B91,'Data yoy'!$A:$AW,MATCH($S$1,'Data yoy'!$A$1:$AW$1,),)</f>
        <v/>
      </c>
      <c r="T91" s="25">
        <f>VLOOKUP(B91,'Data yoy'!$A:$AW,MATCH($T$1,'Data yoy'!$A$1:$AW$1,),)</f>
        <v/>
      </c>
      <c r="U91" s="25">
        <f>VLOOKUP(B91,'Data yoy'!$A:$AW,MATCH($U$1,'Data yoy'!$A$1:$AW$1,),)</f>
        <v/>
      </c>
      <c r="V91" s="25">
        <f>VLOOKUP(B91,'Data yoy'!$A:$AW,MATCH($V$1,'Data yoy'!$A$1:$AW$1,),)</f>
        <v/>
      </c>
      <c r="W91" s="25">
        <f>VLOOKUP(B91,'Data yoy'!$A:$AW,MATCH($W$1,'Data yoy'!$A$1:$AW$1,),)</f>
        <v/>
      </c>
      <c r="X91" s="25">
        <f>VLOOKUP(B91,'Data yoy'!$A:$AW,MATCH($X$1,'Data yoy'!$A$1:$AW$1,),)</f>
        <v/>
      </c>
      <c r="Y91" s="25">
        <f>VLOOKUP(B91,'Data yoy'!$A:$AW,MATCH($Y$1,'Data yoy'!$A$1:$AW$1,),)</f>
        <v/>
      </c>
      <c r="Z91" s="25">
        <f>VLOOKUP(B91,'Data yoy'!$A:$AW,MATCH($Z$1,'Data yoy'!$A$1:$AW$1,),)</f>
        <v/>
      </c>
      <c r="AA91" s="25">
        <f>VLOOKUP(B91,'Data yoy'!$A:$AW,MATCH($AA$1,'Data yoy'!$A$1:$AW$1,),)</f>
        <v/>
      </c>
      <c r="AC91" s="26">
        <f>B91</f>
        <v/>
      </c>
      <c r="AD91" s="27">
        <f>(VLOOKUP(AC91,B:Y,MATCH($AE$6,$B$1:$Y$1,),))</f>
        <v/>
      </c>
      <c r="AE91" s="27">
        <f>(VLOOKUP(AC91,B:Y,MATCH($AE$7,$B$1:$Y$1,),))</f>
        <v/>
      </c>
      <c r="AF91" s="27">
        <f>AD91-AE91</f>
        <v/>
      </c>
    </row>
    <row r="92" customFormat="1" s="75">
      <c r="B92" s="24" t="inlineStr">
        <is>
          <t>2020-Q2</t>
        </is>
      </c>
      <c r="C92" s="25">
        <f>VLOOKUP(B92,'Data yoy'!$A:$AW,MATCH($C$1,'Data yoy'!$A$1:$AW$1,),)</f>
        <v/>
      </c>
      <c r="D92" s="25">
        <f>VLOOKUP(B92,'Data yoy'!$A:$AW,MATCH($D$1,'Data yoy'!$A$1:$AW$1,),)</f>
        <v/>
      </c>
      <c r="E92" s="25">
        <f>VLOOKUP(B92,'Data yoy'!$A:$AW,MATCH($E$1,'Data yoy'!$A$1:$AW$1,),)</f>
        <v/>
      </c>
      <c r="F92" s="25">
        <f>VLOOKUP(B92,'Data yoy'!$A:$AW,MATCH($F$1,'Data yoy'!$A$1:$AW$1,),)</f>
        <v/>
      </c>
      <c r="G92" s="25">
        <f>VLOOKUP(B92,'Data yoy'!$A:$AW,MATCH($G$1,'Data yoy'!$A$1:$AW$1,),)</f>
        <v/>
      </c>
      <c r="H92" s="25">
        <f>VLOOKUP(B92,'Data yoy'!$A:$AW,MATCH($H$1,'Data yoy'!$A$1:$AW$1,),)</f>
        <v/>
      </c>
      <c r="I92" s="25">
        <f>VLOOKUP(B92,'Data yoy'!$A:$AW,MATCH($I$1,'Data yoy'!$A$1:$AW$1,),)</f>
        <v/>
      </c>
      <c r="J92" s="25">
        <f>VLOOKUP(B92,'Data yoy'!$A:$AW,MATCH($J$1,'Data yoy'!$A$1:$AW$1,),)</f>
        <v/>
      </c>
      <c r="K92" s="25">
        <f>VLOOKUP(B92,'Data yoy'!$A:$AW,MATCH($K$1,'Data yoy'!$A$1:$AW$1,),)</f>
        <v/>
      </c>
      <c r="L92" s="25">
        <f>VLOOKUP(B92,'Data yoy'!$A:$AW,MATCH($L$1,'Data yoy'!$A$1:$AW$1,),)</f>
        <v/>
      </c>
      <c r="M92" s="25">
        <f>VLOOKUP(B92,'Data yoy'!$A:$AW,MATCH($M$1,'Data yoy'!$A$1:$AW$1,),)</f>
        <v/>
      </c>
      <c r="N92" s="25">
        <f>VLOOKUP(B92,'Data yoy'!$A:$AW,MATCH($N$1,'Data yoy'!$A$1:$AW$1,),)</f>
        <v/>
      </c>
      <c r="O92" s="25">
        <f>VLOOKUP(B92,'Data yoy'!$A:$AW,MATCH($O$1,'Data yoy'!$A$1:$AW$1,),)</f>
        <v/>
      </c>
      <c r="P92" s="25">
        <f>VLOOKUP(B92,'Data yoy'!$A:$AW,MATCH($P$1,'Data yoy'!$A$1:$AW$1,),)</f>
        <v/>
      </c>
      <c r="Q92" s="25">
        <f>VLOOKUP(B92,'Data yoy'!$A:$AW,MATCH($Q$1,'Data yoy'!$A$1:$AW$1,),)</f>
        <v/>
      </c>
      <c r="R92" s="25">
        <f>VLOOKUP(B92,'Data yoy'!$A:$AW,MATCH($R$1,'Data yoy'!$A$1:$AW$1,),)</f>
        <v/>
      </c>
      <c r="S92" s="25">
        <f>VLOOKUP(B92,'Data yoy'!$A:$AW,MATCH($S$1,'Data yoy'!$A$1:$AW$1,),)</f>
        <v/>
      </c>
      <c r="T92" s="25">
        <f>VLOOKUP(B92,'Data yoy'!$A:$AW,MATCH($T$1,'Data yoy'!$A$1:$AW$1,),)</f>
        <v/>
      </c>
      <c r="U92" s="25">
        <f>VLOOKUP(B92,'Data yoy'!$A:$AW,MATCH($U$1,'Data yoy'!$A$1:$AW$1,),)</f>
        <v/>
      </c>
      <c r="V92" s="25">
        <f>VLOOKUP(B92,'Data yoy'!$A:$AW,MATCH($V$1,'Data yoy'!$A$1:$AW$1,),)</f>
        <v/>
      </c>
      <c r="W92" s="25">
        <f>VLOOKUP(B92,'Data yoy'!$A:$AW,MATCH($W$1,'Data yoy'!$A$1:$AW$1,),)</f>
        <v/>
      </c>
      <c r="X92" s="25">
        <f>VLOOKUP(B92,'Data yoy'!$A:$AW,MATCH($X$1,'Data yoy'!$A$1:$AW$1,),)</f>
        <v/>
      </c>
      <c r="Y92" s="25">
        <f>VLOOKUP(B92,'Data yoy'!$A:$AW,MATCH($Y$1,'Data yoy'!$A$1:$AW$1,),)</f>
        <v/>
      </c>
      <c r="Z92" s="25">
        <f>VLOOKUP(B92,'Data yoy'!$A:$AW,MATCH($Z$1,'Data yoy'!$A$1:$AW$1,),)</f>
        <v/>
      </c>
      <c r="AA92" s="25">
        <f>VLOOKUP(B92,'Data yoy'!$A:$AW,MATCH($AA$1,'Data yoy'!$A$1:$AW$1,),)</f>
        <v/>
      </c>
      <c r="AC92" s="26">
        <f>B92</f>
        <v/>
      </c>
      <c r="AD92" s="27">
        <f>(VLOOKUP(AC92,B:Y,MATCH($AE$6,$B$1:$Y$1,),))</f>
        <v/>
      </c>
      <c r="AE92" s="27">
        <f>(VLOOKUP(AC92,B:Y,MATCH($AE$7,$B$1:$Y$1,),))</f>
        <v/>
      </c>
      <c r="AF92" s="27">
        <f>AD92-AE92</f>
        <v/>
      </c>
    </row>
    <row r="93" customFormat="1" s="75">
      <c r="B93" s="24" t="inlineStr">
        <is>
          <t>2020-Q3</t>
        </is>
      </c>
      <c r="C93" s="25">
        <f>VLOOKUP(B93,'Data yoy'!$A:$AW,MATCH($C$1,'Data yoy'!$A$1:$AW$1,),)</f>
        <v/>
      </c>
      <c r="D93" s="25">
        <f>VLOOKUP(B93,'Data yoy'!$A:$AW,MATCH($D$1,'Data yoy'!$A$1:$AW$1,),)</f>
        <v/>
      </c>
      <c r="E93" s="25">
        <f>VLOOKUP(B93,'Data yoy'!$A:$AW,MATCH($E$1,'Data yoy'!$A$1:$AW$1,),)</f>
        <v/>
      </c>
      <c r="F93" s="25">
        <f>VLOOKUP(B93,'Data yoy'!$A:$AW,MATCH($F$1,'Data yoy'!$A$1:$AW$1,),)</f>
        <v/>
      </c>
      <c r="G93" s="25">
        <f>VLOOKUP(B93,'Data yoy'!$A:$AW,MATCH($G$1,'Data yoy'!$A$1:$AW$1,),)</f>
        <v/>
      </c>
      <c r="H93" s="25">
        <f>VLOOKUP(B93,'Data yoy'!$A:$AW,MATCH($H$1,'Data yoy'!$A$1:$AW$1,),)</f>
        <v/>
      </c>
      <c r="I93" s="25">
        <f>VLOOKUP(B93,'Data yoy'!$A:$AW,MATCH($I$1,'Data yoy'!$A$1:$AW$1,),)</f>
        <v/>
      </c>
      <c r="J93" s="25">
        <f>VLOOKUP(B93,'Data yoy'!$A:$AW,MATCH($J$1,'Data yoy'!$A$1:$AW$1,),)</f>
        <v/>
      </c>
      <c r="K93" s="25">
        <f>VLOOKUP(B93,'Data yoy'!$A:$AW,MATCH($K$1,'Data yoy'!$A$1:$AW$1,),)</f>
        <v/>
      </c>
      <c r="L93" s="25">
        <f>VLOOKUP(B93,'Data yoy'!$A:$AW,MATCH($L$1,'Data yoy'!$A$1:$AW$1,),)</f>
        <v/>
      </c>
      <c r="M93" s="25">
        <f>VLOOKUP(B93,'Data yoy'!$A:$AW,MATCH($M$1,'Data yoy'!$A$1:$AW$1,),)</f>
        <v/>
      </c>
      <c r="N93" s="25">
        <f>VLOOKUP(B93,'Data yoy'!$A:$AW,MATCH($N$1,'Data yoy'!$A$1:$AW$1,),)</f>
        <v/>
      </c>
      <c r="O93" s="25">
        <f>VLOOKUP(B93,'Data yoy'!$A:$AW,MATCH($O$1,'Data yoy'!$A$1:$AW$1,),)</f>
        <v/>
      </c>
      <c r="P93" s="25">
        <f>VLOOKUP(B93,'Data yoy'!$A:$AW,MATCH($P$1,'Data yoy'!$A$1:$AW$1,),)</f>
        <v/>
      </c>
      <c r="Q93" s="25">
        <f>VLOOKUP(B93,'Data yoy'!$A:$AW,MATCH($Q$1,'Data yoy'!$A$1:$AW$1,),)</f>
        <v/>
      </c>
      <c r="R93" s="25">
        <f>VLOOKUP(B93,'Data yoy'!$A:$AW,MATCH($R$1,'Data yoy'!$A$1:$AW$1,),)</f>
        <v/>
      </c>
      <c r="S93" s="25">
        <f>VLOOKUP(B93,'Data yoy'!$A:$AW,MATCH($S$1,'Data yoy'!$A$1:$AW$1,),)</f>
        <v/>
      </c>
      <c r="T93" s="25">
        <f>VLOOKUP(B93,'Data yoy'!$A:$AW,MATCH($T$1,'Data yoy'!$A$1:$AW$1,),)</f>
        <v/>
      </c>
      <c r="U93" s="25">
        <f>VLOOKUP(B93,'Data yoy'!$A:$AW,MATCH($U$1,'Data yoy'!$A$1:$AW$1,),)</f>
        <v/>
      </c>
      <c r="V93" s="25">
        <f>VLOOKUP(B93,'Data yoy'!$A:$AW,MATCH($V$1,'Data yoy'!$A$1:$AW$1,),)</f>
        <v/>
      </c>
      <c r="W93" s="25">
        <f>VLOOKUP(B93,'Data yoy'!$A:$AW,MATCH($W$1,'Data yoy'!$A$1:$AW$1,),)</f>
        <v/>
      </c>
      <c r="X93" s="25">
        <f>VLOOKUP(B93,'Data yoy'!$A:$AW,MATCH($X$1,'Data yoy'!$A$1:$AW$1,),)</f>
        <v/>
      </c>
      <c r="Y93" s="25">
        <f>VLOOKUP(B93,'Data yoy'!$A:$AW,MATCH($Y$1,'Data yoy'!$A$1:$AW$1,),)</f>
        <v/>
      </c>
      <c r="Z93" s="25">
        <f>VLOOKUP(B93,'Data yoy'!$A:$AW,MATCH($Z$1,'Data yoy'!$A$1:$AW$1,),)</f>
        <v/>
      </c>
      <c r="AA93" s="25">
        <f>VLOOKUP(B93,'Data yoy'!$A:$AW,MATCH($AA$1,'Data yoy'!$A$1:$AW$1,),)</f>
        <v/>
      </c>
      <c r="AC93" s="26">
        <f>B93</f>
        <v/>
      </c>
      <c r="AD93" s="27">
        <f>(VLOOKUP(AC93,B:Y,MATCH($AE$6,$B$1:$Y$1,),))</f>
        <v/>
      </c>
      <c r="AE93" s="27">
        <f>(VLOOKUP(AC93,B:Y,MATCH($AE$7,$B$1:$Y$1,),))</f>
        <v/>
      </c>
      <c r="AF93" s="27">
        <f>AD93-AE93</f>
        <v/>
      </c>
    </row>
    <row r="94" customFormat="1" s="75">
      <c r="B94" s="24" t="inlineStr">
        <is>
          <t>2020-Q4</t>
        </is>
      </c>
      <c r="C94" s="25">
        <f>VLOOKUP(B94,'Data yoy'!$A:$AW,MATCH($C$1,'Data yoy'!$A$1:$AW$1,),)</f>
        <v/>
      </c>
      <c r="D94" s="25">
        <f>VLOOKUP(B94,'Data yoy'!$A:$AW,MATCH($D$1,'Data yoy'!$A$1:$AW$1,),)</f>
        <v/>
      </c>
      <c r="E94" s="25">
        <f>VLOOKUP(B94,'Data yoy'!$A:$AW,MATCH($E$1,'Data yoy'!$A$1:$AW$1,),)</f>
        <v/>
      </c>
      <c r="F94" s="25">
        <f>VLOOKUP(B94,'Data yoy'!$A:$AW,MATCH($F$1,'Data yoy'!$A$1:$AW$1,),)</f>
        <v/>
      </c>
      <c r="G94" s="25">
        <f>VLOOKUP(B94,'Data yoy'!$A:$AW,MATCH($G$1,'Data yoy'!$A$1:$AW$1,),)</f>
        <v/>
      </c>
      <c r="H94" s="25">
        <f>VLOOKUP(B94,'Data yoy'!$A:$AW,MATCH($H$1,'Data yoy'!$A$1:$AW$1,),)</f>
        <v/>
      </c>
      <c r="I94" s="25">
        <f>VLOOKUP(B94,'Data yoy'!$A:$AW,MATCH($I$1,'Data yoy'!$A$1:$AW$1,),)</f>
        <v/>
      </c>
      <c r="J94" s="25">
        <f>VLOOKUP(B94,'Data yoy'!$A:$AW,MATCH($J$1,'Data yoy'!$A$1:$AW$1,),)</f>
        <v/>
      </c>
      <c r="K94" s="25">
        <f>VLOOKUP(B94,'Data yoy'!$A:$AW,MATCH($K$1,'Data yoy'!$A$1:$AW$1,),)</f>
        <v/>
      </c>
      <c r="L94" s="25">
        <f>VLOOKUP(B94,'Data yoy'!$A:$AW,MATCH($L$1,'Data yoy'!$A$1:$AW$1,),)</f>
        <v/>
      </c>
      <c r="M94" s="25">
        <f>VLOOKUP(B94,'Data yoy'!$A:$AW,MATCH($M$1,'Data yoy'!$A$1:$AW$1,),)</f>
        <v/>
      </c>
      <c r="N94" s="25">
        <f>VLOOKUP(B94,'Data yoy'!$A:$AW,MATCH($N$1,'Data yoy'!$A$1:$AW$1,),)</f>
        <v/>
      </c>
      <c r="O94" s="25">
        <f>VLOOKUP(B94,'Data yoy'!$A:$AW,MATCH($O$1,'Data yoy'!$A$1:$AW$1,),)</f>
        <v/>
      </c>
      <c r="P94" s="25">
        <f>VLOOKUP(B94,'Data yoy'!$A:$AW,MATCH($P$1,'Data yoy'!$A$1:$AW$1,),)</f>
        <v/>
      </c>
      <c r="Q94" s="25">
        <f>VLOOKUP(B94,'Data yoy'!$A:$AW,MATCH($Q$1,'Data yoy'!$A$1:$AW$1,),)</f>
        <v/>
      </c>
      <c r="R94" s="25">
        <f>VLOOKUP(B94,'Data yoy'!$A:$AW,MATCH($R$1,'Data yoy'!$A$1:$AW$1,),)</f>
        <v/>
      </c>
      <c r="S94" s="25">
        <f>VLOOKUP(B94,'Data yoy'!$A:$AW,MATCH($S$1,'Data yoy'!$A$1:$AW$1,),)</f>
        <v/>
      </c>
      <c r="T94" s="25">
        <f>VLOOKUP(B94,'Data yoy'!$A:$AW,MATCH($T$1,'Data yoy'!$A$1:$AW$1,),)</f>
        <v/>
      </c>
      <c r="U94" s="25">
        <f>VLOOKUP(B94,'Data yoy'!$A:$AW,MATCH($U$1,'Data yoy'!$A$1:$AW$1,),)</f>
        <v/>
      </c>
      <c r="V94" s="25">
        <f>VLOOKUP(B94,'Data yoy'!$A:$AW,MATCH($V$1,'Data yoy'!$A$1:$AW$1,),)</f>
        <v/>
      </c>
      <c r="W94" s="25">
        <f>VLOOKUP(B94,'Data yoy'!$A:$AW,MATCH($W$1,'Data yoy'!$A$1:$AW$1,),)</f>
        <v/>
      </c>
      <c r="X94" s="25">
        <f>VLOOKUP(B94,'Data yoy'!$A:$AW,MATCH($X$1,'Data yoy'!$A$1:$AW$1,),)</f>
        <v/>
      </c>
      <c r="Y94" s="25">
        <f>VLOOKUP(B94,'Data yoy'!$A:$AW,MATCH($Y$1,'Data yoy'!$A$1:$AW$1,),)</f>
        <v/>
      </c>
      <c r="Z94" s="25">
        <f>VLOOKUP(B94,'Data yoy'!$A:$AW,MATCH($Z$1,'Data yoy'!$A$1:$AW$1,),)</f>
        <v/>
      </c>
      <c r="AA94" s="25">
        <f>VLOOKUP(B94,'Data yoy'!$A:$AW,MATCH($AA$1,'Data yoy'!$A$1:$AW$1,),)</f>
        <v/>
      </c>
      <c r="AC94" s="26">
        <f>B94</f>
        <v/>
      </c>
      <c r="AD94" s="27">
        <f>(VLOOKUP(AC94,B:Y,MATCH($AE$6,$B$1:$Y$1,),))</f>
        <v/>
      </c>
      <c r="AE94" s="27">
        <f>(VLOOKUP(AC94,B:Y,MATCH($AE$7,$B$1:$Y$1,),))</f>
        <v/>
      </c>
      <c r="AF94" s="27">
        <f>AD94-AE94</f>
        <v/>
      </c>
    </row>
    <row r="95" customFormat="1" s="75">
      <c r="B95" s="24" t="inlineStr">
        <is>
          <t>2021-Q1</t>
        </is>
      </c>
      <c r="C95" s="25">
        <f>VLOOKUP(B95,'Data yoy'!$A:$AW,MATCH($C$1,'Data yoy'!$A$1:$AW$1,),)</f>
        <v/>
      </c>
      <c r="D95" s="25">
        <f>VLOOKUP(B95,'Data yoy'!$A:$AW,MATCH($D$1,'Data yoy'!$A$1:$AW$1,),)</f>
        <v/>
      </c>
      <c r="E95" s="25">
        <f>VLOOKUP(B95,'Data yoy'!$A:$AW,MATCH($E$1,'Data yoy'!$A$1:$AW$1,),)</f>
        <v/>
      </c>
      <c r="F95" s="25">
        <f>VLOOKUP(B95,'Data yoy'!$A:$AW,MATCH($F$1,'Data yoy'!$A$1:$AW$1,),)</f>
        <v/>
      </c>
      <c r="G95" s="25">
        <f>VLOOKUP(B95,'Data yoy'!$A:$AW,MATCH($G$1,'Data yoy'!$A$1:$AW$1,),)</f>
        <v/>
      </c>
      <c r="H95" s="25">
        <f>VLOOKUP(B95,'Data yoy'!$A:$AW,MATCH($H$1,'Data yoy'!$A$1:$AW$1,),)</f>
        <v/>
      </c>
      <c r="I95" s="25">
        <f>VLOOKUP(B95,'Data yoy'!$A:$AW,MATCH($I$1,'Data yoy'!$A$1:$AW$1,),)</f>
        <v/>
      </c>
      <c r="J95" s="25">
        <f>VLOOKUP(B95,'Data yoy'!$A:$AW,MATCH($J$1,'Data yoy'!$A$1:$AW$1,),)</f>
        <v/>
      </c>
      <c r="K95" s="25">
        <f>VLOOKUP(B95,'Data yoy'!$A:$AW,MATCH($K$1,'Data yoy'!$A$1:$AW$1,),)</f>
        <v/>
      </c>
      <c r="L95" s="25">
        <f>VLOOKUP(B95,'Data yoy'!$A:$AW,MATCH($L$1,'Data yoy'!$A$1:$AW$1,),)</f>
        <v/>
      </c>
      <c r="M95" s="25">
        <f>VLOOKUP(B95,'Data yoy'!$A:$AW,MATCH($M$1,'Data yoy'!$A$1:$AW$1,),)</f>
        <v/>
      </c>
      <c r="N95" s="25">
        <f>VLOOKUP(B95,'Data yoy'!$A:$AW,MATCH($N$1,'Data yoy'!$A$1:$AW$1,),)</f>
        <v/>
      </c>
      <c r="O95" s="25">
        <f>VLOOKUP(B95,'Data yoy'!$A:$AW,MATCH($O$1,'Data yoy'!$A$1:$AW$1,),)</f>
        <v/>
      </c>
      <c r="P95" s="25">
        <f>VLOOKUP(B95,'Data yoy'!$A:$AW,MATCH($P$1,'Data yoy'!$A$1:$AW$1,),)</f>
        <v/>
      </c>
      <c r="Q95" s="25">
        <f>VLOOKUP(B95,'Data yoy'!$A:$AW,MATCH($Q$1,'Data yoy'!$A$1:$AW$1,),)</f>
        <v/>
      </c>
      <c r="R95" s="25">
        <f>VLOOKUP(B95,'Data yoy'!$A:$AW,MATCH($R$1,'Data yoy'!$A$1:$AW$1,),)</f>
        <v/>
      </c>
      <c r="S95" s="25">
        <f>VLOOKUP(B95,'Data yoy'!$A:$AW,MATCH($S$1,'Data yoy'!$A$1:$AW$1,),)</f>
        <v/>
      </c>
      <c r="T95" s="25">
        <f>VLOOKUP(B95,'Data yoy'!$A:$AW,MATCH($T$1,'Data yoy'!$A$1:$AW$1,),)</f>
        <v/>
      </c>
      <c r="U95" s="25">
        <f>VLOOKUP(B95,'Data yoy'!$A:$AW,MATCH($U$1,'Data yoy'!$A$1:$AW$1,),)</f>
        <v/>
      </c>
      <c r="V95" s="25">
        <f>VLOOKUP(B95,'Data yoy'!$A:$AW,MATCH($V$1,'Data yoy'!$A$1:$AW$1,),)</f>
        <v/>
      </c>
      <c r="W95" s="25">
        <f>VLOOKUP(B95,'Data yoy'!$A:$AW,MATCH($W$1,'Data yoy'!$A$1:$AW$1,),)</f>
        <v/>
      </c>
      <c r="X95" s="25">
        <f>VLOOKUP(B95,'Data yoy'!$A:$AW,MATCH($X$1,'Data yoy'!$A$1:$AW$1,),)</f>
        <v/>
      </c>
      <c r="Y95" s="25">
        <f>VLOOKUP(B95,'Data yoy'!$A:$AW,MATCH($Y$1,'Data yoy'!$A$1:$AW$1,),)</f>
        <v/>
      </c>
      <c r="Z95" s="25">
        <f>VLOOKUP(B95,'Data yoy'!$A:$AW,MATCH($Z$1,'Data yoy'!$A$1:$AW$1,),)</f>
        <v/>
      </c>
      <c r="AA95" s="25">
        <f>VLOOKUP(B95,'Data yoy'!$A:$AW,MATCH($AA$1,'Data yoy'!$A$1:$AW$1,),)</f>
        <v/>
      </c>
      <c r="AC95" s="26">
        <f>B95</f>
        <v/>
      </c>
      <c r="AD95" s="27">
        <f>(VLOOKUP(AC95,B:Y,MATCH($AE$6,$B$1:$Y$1,),))</f>
        <v/>
      </c>
      <c r="AE95" s="27">
        <f>(VLOOKUP(AC95,B:Y,MATCH($AE$7,$B$1:$Y$1,),))</f>
        <v/>
      </c>
      <c r="AF95" s="27">
        <f>AD95-AE95</f>
        <v/>
      </c>
    </row>
    <row r="96" customFormat="1" s="75">
      <c r="B96" s="24" t="inlineStr">
        <is>
          <t>2021-Q2</t>
        </is>
      </c>
      <c r="C96" s="25">
        <f>VLOOKUP(B96,'Data yoy'!$A:$AW,MATCH($C$1,'Data yoy'!$A$1:$AW$1,),)</f>
        <v/>
      </c>
      <c r="D96" s="25">
        <f>VLOOKUP(B96,'Data yoy'!$A:$AW,MATCH($D$1,'Data yoy'!$A$1:$AW$1,),)</f>
        <v/>
      </c>
      <c r="E96" s="25">
        <f>VLOOKUP(B96,'Data yoy'!$A:$AW,MATCH($E$1,'Data yoy'!$A$1:$AW$1,),)</f>
        <v/>
      </c>
      <c r="F96" s="25">
        <f>VLOOKUP(B96,'Data yoy'!$A:$AW,MATCH($F$1,'Data yoy'!$A$1:$AW$1,),)</f>
        <v/>
      </c>
      <c r="G96" s="25">
        <f>VLOOKUP(B96,'Data yoy'!$A:$AW,MATCH($G$1,'Data yoy'!$A$1:$AW$1,),)</f>
        <v/>
      </c>
      <c r="H96" s="25">
        <f>VLOOKUP(B96,'Data yoy'!$A:$AW,MATCH($H$1,'Data yoy'!$A$1:$AW$1,),)</f>
        <v/>
      </c>
      <c r="I96" s="25">
        <f>VLOOKUP(B96,'Data yoy'!$A:$AW,MATCH($I$1,'Data yoy'!$A$1:$AW$1,),)</f>
        <v/>
      </c>
      <c r="J96" s="25">
        <f>VLOOKUP(B96,'Data yoy'!$A:$AW,MATCH($J$1,'Data yoy'!$A$1:$AW$1,),)</f>
        <v/>
      </c>
      <c r="K96" s="25">
        <f>VLOOKUP(B96,'Data yoy'!$A:$AW,MATCH($K$1,'Data yoy'!$A$1:$AW$1,),)</f>
        <v/>
      </c>
      <c r="L96" s="25">
        <f>VLOOKUP(B96,'Data yoy'!$A:$AW,MATCH($L$1,'Data yoy'!$A$1:$AW$1,),)</f>
        <v/>
      </c>
      <c r="M96" s="25">
        <f>VLOOKUP(B96,'Data yoy'!$A:$AW,MATCH($M$1,'Data yoy'!$A$1:$AW$1,),)</f>
        <v/>
      </c>
      <c r="N96" s="25">
        <f>VLOOKUP(B96,'Data yoy'!$A:$AW,MATCH($N$1,'Data yoy'!$A$1:$AW$1,),)</f>
        <v/>
      </c>
      <c r="O96" s="25">
        <f>VLOOKUP(B96,'Data yoy'!$A:$AW,MATCH($O$1,'Data yoy'!$A$1:$AW$1,),)</f>
        <v/>
      </c>
      <c r="P96" s="25">
        <f>VLOOKUP(B96,'Data yoy'!$A:$AW,MATCH($P$1,'Data yoy'!$A$1:$AW$1,),)</f>
        <v/>
      </c>
      <c r="Q96" s="25">
        <f>VLOOKUP(B96,'Data yoy'!$A:$AW,MATCH($Q$1,'Data yoy'!$A$1:$AW$1,),)</f>
        <v/>
      </c>
      <c r="R96" s="25">
        <f>VLOOKUP(B96,'Data yoy'!$A:$AW,MATCH($R$1,'Data yoy'!$A$1:$AW$1,),)</f>
        <v/>
      </c>
      <c r="S96" s="25">
        <f>VLOOKUP(B96,'Data yoy'!$A:$AW,MATCH($S$1,'Data yoy'!$A$1:$AW$1,),)</f>
        <v/>
      </c>
      <c r="T96" s="25">
        <f>VLOOKUP(B96,'Data yoy'!$A:$AW,MATCH($T$1,'Data yoy'!$A$1:$AW$1,),)</f>
        <v/>
      </c>
      <c r="U96" s="25">
        <f>VLOOKUP(B96,'Data yoy'!$A:$AW,MATCH($U$1,'Data yoy'!$A$1:$AW$1,),)</f>
        <v/>
      </c>
      <c r="V96" s="25">
        <f>VLOOKUP(B96,'Data yoy'!$A:$AW,MATCH($V$1,'Data yoy'!$A$1:$AW$1,),)</f>
        <v/>
      </c>
      <c r="W96" s="25">
        <f>VLOOKUP(B96,'Data yoy'!$A:$AW,MATCH($W$1,'Data yoy'!$A$1:$AW$1,),)</f>
        <v/>
      </c>
      <c r="X96" s="25">
        <f>VLOOKUP(B96,'Data yoy'!$A:$AW,MATCH($X$1,'Data yoy'!$A$1:$AW$1,),)</f>
        <v/>
      </c>
      <c r="Y96" s="25">
        <f>VLOOKUP(B96,'Data yoy'!$A:$AW,MATCH($Y$1,'Data yoy'!$A$1:$AW$1,),)</f>
        <v/>
      </c>
      <c r="Z96" s="25">
        <f>VLOOKUP(B96,'Data yoy'!$A:$AW,MATCH($Z$1,'Data yoy'!$A$1:$AW$1,),)</f>
        <v/>
      </c>
      <c r="AA96" s="25">
        <f>VLOOKUP(B96,'Data yoy'!$A:$AW,MATCH($AA$1,'Data yoy'!$A$1:$AW$1,),)</f>
        <v/>
      </c>
      <c r="AC96" s="26">
        <f>B96</f>
        <v/>
      </c>
      <c r="AD96" s="27">
        <f>(VLOOKUP(AC96,B:Y,MATCH($AE$6,$B$1:$Y$1,),))</f>
        <v/>
      </c>
      <c r="AE96" s="27">
        <f>(VLOOKUP(AC96,B:Y,MATCH($AE$7,$B$1:$Y$1,),))</f>
        <v/>
      </c>
      <c r="AF96" s="27">
        <f>AD96-AE96</f>
        <v/>
      </c>
    </row>
    <row r="97" customFormat="1" s="75">
      <c r="B97" s="24" t="inlineStr">
        <is>
          <t>2021-Q3</t>
        </is>
      </c>
      <c r="C97" s="25">
        <f>VLOOKUP(B97,'Data yoy'!$A:$AW,MATCH($C$1,'Data yoy'!$A$1:$AW$1,),)</f>
        <v/>
      </c>
      <c r="D97" s="25">
        <f>VLOOKUP(B97,'Data yoy'!$A:$AW,MATCH($D$1,'Data yoy'!$A$1:$AW$1,),)</f>
        <v/>
      </c>
      <c r="E97" s="25">
        <f>VLOOKUP(B97,'Data yoy'!$A:$AW,MATCH($E$1,'Data yoy'!$A$1:$AW$1,),)</f>
        <v/>
      </c>
      <c r="F97" s="25">
        <f>VLOOKUP(B97,'Data yoy'!$A:$AW,MATCH($F$1,'Data yoy'!$A$1:$AW$1,),)</f>
        <v/>
      </c>
      <c r="G97" s="25">
        <f>VLOOKUP(B97,'Data yoy'!$A:$AW,MATCH($G$1,'Data yoy'!$A$1:$AW$1,),)</f>
        <v/>
      </c>
      <c r="H97" s="25">
        <f>VLOOKUP(B97,'Data yoy'!$A:$AW,MATCH($H$1,'Data yoy'!$A$1:$AW$1,),)</f>
        <v/>
      </c>
      <c r="I97" s="25">
        <f>VLOOKUP(B97,'Data yoy'!$A:$AW,MATCH($I$1,'Data yoy'!$A$1:$AW$1,),)</f>
        <v/>
      </c>
      <c r="J97" s="25">
        <f>VLOOKUP(B97,'Data yoy'!$A:$AW,MATCH($J$1,'Data yoy'!$A$1:$AW$1,),)</f>
        <v/>
      </c>
      <c r="K97" s="25">
        <f>VLOOKUP(B97,'Data yoy'!$A:$AW,MATCH($K$1,'Data yoy'!$A$1:$AW$1,),)</f>
        <v/>
      </c>
      <c r="L97" s="25">
        <f>VLOOKUP(B97,'Data yoy'!$A:$AW,MATCH($L$1,'Data yoy'!$A$1:$AW$1,),)</f>
        <v/>
      </c>
      <c r="M97" s="25">
        <f>VLOOKUP(B97,'Data yoy'!$A:$AW,MATCH($M$1,'Data yoy'!$A$1:$AW$1,),)</f>
        <v/>
      </c>
      <c r="N97" s="25">
        <f>VLOOKUP(B97,'Data yoy'!$A:$AW,MATCH($N$1,'Data yoy'!$A$1:$AW$1,),)</f>
        <v/>
      </c>
      <c r="O97" s="25">
        <f>VLOOKUP(B97,'Data yoy'!$A:$AW,MATCH($O$1,'Data yoy'!$A$1:$AW$1,),)</f>
        <v/>
      </c>
      <c r="P97" s="25">
        <f>VLOOKUP(B97,'Data yoy'!$A:$AW,MATCH($P$1,'Data yoy'!$A$1:$AW$1,),)</f>
        <v/>
      </c>
      <c r="Q97" s="25">
        <f>VLOOKUP(B97,'Data yoy'!$A:$AW,MATCH($Q$1,'Data yoy'!$A$1:$AW$1,),)</f>
        <v/>
      </c>
      <c r="R97" s="25">
        <f>VLOOKUP(B97,'Data yoy'!$A:$AW,MATCH($R$1,'Data yoy'!$A$1:$AW$1,),)</f>
        <v/>
      </c>
      <c r="S97" s="25">
        <f>VLOOKUP(B97,'Data yoy'!$A:$AW,MATCH($S$1,'Data yoy'!$A$1:$AW$1,),)</f>
        <v/>
      </c>
      <c r="T97" s="25">
        <f>VLOOKUP(B97,'Data yoy'!$A:$AW,MATCH($T$1,'Data yoy'!$A$1:$AW$1,),)</f>
        <v/>
      </c>
      <c r="U97" s="25">
        <f>VLOOKUP(B97,'Data yoy'!$A:$AW,MATCH($U$1,'Data yoy'!$A$1:$AW$1,),)</f>
        <v/>
      </c>
      <c r="V97" s="25">
        <f>VLOOKUP(B97,'Data yoy'!$A:$AW,MATCH($V$1,'Data yoy'!$A$1:$AW$1,),)</f>
        <v/>
      </c>
      <c r="W97" s="25">
        <f>VLOOKUP(B97,'Data yoy'!$A:$AW,MATCH($W$1,'Data yoy'!$A$1:$AW$1,),)</f>
        <v/>
      </c>
      <c r="X97" s="25">
        <f>VLOOKUP(B97,'Data yoy'!$A:$AW,MATCH($X$1,'Data yoy'!$A$1:$AW$1,),)</f>
        <v/>
      </c>
      <c r="Y97" s="25">
        <f>VLOOKUP(B97,'Data yoy'!$A:$AW,MATCH($Y$1,'Data yoy'!$A$1:$AW$1,),)</f>
        <v/>
      </c>
      <c r="Z97" s="25">
        <f>VLOOKUP(B97,'Data yoy'!$A:$AW,MATCH($Z$1,'Data yoy'!$A$1:$AW$1,),)</f>
        <v/>
      </c>
      <c r="AA97" s="25">
        <f>VLOOKUP(B97,'Data yoy'!$A:$AW,MATCH($AA$1,'Data yoy'!$A$1:$AW$1,),)</f>
        <v/>
      </c>
      <c r="AC97" s="26">
        <f>B97</f>
        <v/>
      </c>
      <c r="AD97" s="27">
        <f>(VLOOKUP(AC97,B:Y,MATCH($AE$6,$B$1:$Y$1,),))</f>
        <v/>
      </c>
      <c r="AE97" s="27">
        <f>(VLOOKUP(AC97,B:Y,MATCH($AE$7,$B$1:$Y$1,),))</f>
        <v/>
      </c>
      <c r="AF97" s="27">
        <f>AD97-AE97</f>
        <v/>
      </c>
    </row>
    <row r="98" customFormat="1" s="75">
      <c r="B98" s="24" t="inlineStr">
        <is>
          <t>2021-Q4</t>
        </is>
      </c>
      <c r="C98" s="25">
        <f>VLOOKUP(B98,'Data yoy'!$A:$AW,MATCH($C$1,'Data yoy'!$A$1:$AW$1,),)</f>
        <v/>
      </c>
      <c r="D98" s="25">
        <f>VLOOKUP(B98,'Data yoy'!$A:$AW,MATCH($D$1,'Data yoy'!$A$1:$AW$1,),)</f>
        <v/>
      </c>
      <c r="E98" s="25">
        <f>VLOOKUP(B98,'Data yoy'!$A:$AW,MATCH($E$1,'Data yoy'!$A$1:$AW$1,),)</f>
        <v/>
      </c>
      <c r="F98" s="25">
        <f>VLOOKUP(B98,'Data yoy'!$A:$AW,MATCH($F$1,'Data yoy'!$A$1:$AW$1,),)</f>
        <v/>
      </c>
      <c r="G98" s="25">
        <f>VLOOKUP(B98,'Data yoy'!$A:$AW,MATCH($G$1,'Data yoy'!$A$1:$AW$1,),)</f>
        <v/>
      </c>
      <c r="H98" s="25">
        <f>VLOOKUP(B98,'Data yoy'!$A:$AW,MATCH($H$1,'Data yoy'!$A$1:$AW$1,),)</f>
        <v/>
      </c>
      <c r="I98" s="25">
        <f>VLOOKUP(B98,'Data yoy'!$A:$AW,MATCH($I$1,'Data yoy'!$A$1:$AW$1,),)</f>
        <v/>
      </c>
      <c r="J98" s="25">
        <f>VLOOKUP(B98,'Data yoy'!$A:$AW,MATCH($J$1,'Data yoy'!$A$1:$AW$1,),)</f>
        <v/>
      </c>
      <c r="K98" s="25">
        <f>VLOOKUP(B98,'Data yoy'!$A:$AW,MATCH($K$1,'Data yoy'!$A$1:$AW$1,),)</f>
        <v/>
      </c>
      <c r="L98" s="25">
        <f>VLOOKUP(B98,'Data yoy'!$A:$AW,MATCH($L$1,'Data yoy'!$A$1:$AW$1,),)</f>
        <v/>
      </c>
      <c r="M98" s="25">
        <f>VLOOKUP(B98,'Data yoy'!$A:$AW,MATCH($M$1,'Data yoy'!$A$1:$AW$1,),)</f>
        <v/>
      </c>
      <c r="N98" s="25">
        <f>VLOOKUP(B98,'Data yoy'!$A:$AW,MATCH($N$1,'Data yoy'!$A$1:$AW$1,),)</f>
        <v/>
      </c>
      <c r="O98" s="25">
        <f>VLOOKUP(B98,'Data yoy'!$A:$AW,MATCH($O$1,'Data yoy'!$A$1:$AW$1,),)</f>
        <v/>
      </c>
      <c r="P98" s="25">
        <f>VLOOKUP(B98,'Data yoy'!$A:$AW,MATCH($P$1,'Data yoy'!$A$1:$AW$1,),)</f>
        <v/>
      </c>
      <c r="Q98" s="25">
        <f>VLOOKUP(B98,'Data yoy'!$A:$AW,MATCH($Q$1,'Data yoy'!$A$1:$AW$1,),)</f>
        <v/>
      </c>
      <c r="R98" s="25">
        <f>VLOOKUP(B98,'Data yoy'!$A:$AW,MATCH($R$1,'Data yoy'!$A$1:$AW$1,),)</f>
        <v/>
      </c>
      <c r="S98" s="25">
        <f>VLOOKUP(B98,'Data yoy'!$A:$AW,MATCH($S$1,'Data yoy'!$A$1:$AW$1,),)</f>
        <v/>
      </c>
      <c r="T98" s="25">
        <f>VLOOKUP(B98,'Data yoy'!$A:$AW,MATCH($T$1,'Data yoy'!$A$1:$AW$1,),)</f>
        <v/>
      </c>
      <c r="U98" s="25">
        <f>VLOOKUP(B98,'Data yoy'!$A:$AW,MATCH($U$1,'Data yoy'!$A$1:$AW$1,),)</f>
        <v/>
      </c>
      <c r="V98" s="25">
        <f>VLOOKUP(B98,'Data yoy'!$A:$AW,MATCH($V$1,'Data yoy'!$A$1:$AW$1,),)</f>
        <v/>
      </c>
      <c r="W98" s="25">
        <f>VLOOKUP(B98,'Data yoy'!$A:$AW,MATCH($W$1,'Data yoy'!$A$1:$AW$1,),)</f>
        <v/>
      </c>
      <c r="X98" s="25">
        <f>VLOOKUP(B98,'Data yoy'!$A:$AW,MATCH($X$1,'Data yoy'!$A$1:$AW$1,),)</f>
        <v/>
      </c>
      <c r="Y98" s="25">
        <f>VLOOKUP(B98,'Data yoy'!$A:$AW,MATCH($Y$1,'Data yoy'!$A$1:$AW$1,),)</f>
        <v/>
      </c>
      <c r="Z98" s="25">
        <f>VLOOKUP(B98,'Data yoy'!$A:$AW,MATCH($Z$1,'Data yoy'!$A$1:$AW$1,),)</f>
        <v/>
      </c>
      <c r="AA98" s="25">
        <f>VLOOKUP(B98,'Data yoy'!$A:$AW,MATCH($AA$1,'Data yoy'!$A$1:$AW$1,),)</f>
        <v/>
      </c>
      <c r="AC98" s="26">
        <f>B98</f>
        <v/>
      </c>
      <c r="AD98" s="27">
        <f>(VLOOKUP(AC98,B:Y,MATCH($AE$6,$B$1:$Y$1,),))</f>
        <v/>
      </c>
      <c r="AE98" s="27">
        <f>(VLOOKUP(AC98,B:Y,MATCH($AE$7,$B$1:$Y$1,),))</f>
        <v/>
      </c>
      <c r="AF98" s="27">
        <f>AD98-AE98</f>
        <v/>
      </c>
    </row>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C71" sqref="C71"/>
    </sheetView>
  </sheetViews>
  <sheetFormatPr baseColWidth="10" defaultColWidth="8.83203125" defaultRowHeight="15"/>
  <cols>
    <col width="9.1640625" customWidth="1" style="75" min="1" max="1"/>
    <col width="13.6640625" customWidth="1" style="68" min="2" max="2"/>
    <col width="6.1640625" customWidth="1" style="68" min="3" max="27"/>
    <col width="6.1640625" customWidth="1" style="75"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quarter</t>
        </is>
      </c>
      <c r="AE2" s="3">
        <f>'Table yoy'!AE2</f>
        <v/>
      </c>
      <c r="AH2" s="75"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5"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75">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75">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75">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75">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75">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75">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75">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75">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75">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75">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75">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75">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75">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75">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75"/>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75"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5" min="28" max="28"/>
    <col width="8" bestFit="1" customWidth="1" style="75" min="29" max="29"/>
    <col width="15" bestFit="1" customWidth="1" style="75" min="30" max="30"/>
    <col width="8" bestFit="1" customWidth="1" style="75" min="31" max="31"/>
    <col width="9.1640625" customWidth="1" style="75" min="32" max="33"/>
    <col width="18.1640625"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month</t>
        </is>
      </c>
      <c r="AE2" s="3">
        <f>'Table yoy'!AE2</f>
        <v/>
      </c>
      <c r="AH2" s="75"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5"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75">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75">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75">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75">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75">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75">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75">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75">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75">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75">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75">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75">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75">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75">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75">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C2" sqref="C2"/>
    </sheetView>
  </sheetViews>
  <sheetFormatPr baseColWidth="10" defaultColWidth="9.1640625" defaultRowHeight="15"/>
  <cols>
    <col width="9.1640625" customWidth="1" style="75" min="1" max="1"/>
    <col width="31.83203125" customWidth="1" style="75" min="2" max="2"/>
    <col width="13.83203125" customWidth="1" style="75" min="3" max="3"/>
    <col width="12.33203125" customWidth="1" style="75" min="4" max="4"/>
    <col width="18.33203125" customWidth="1" style="75" min="5" max="5"/>
    <col width="9.1640625" customWidth="1" style="75" min="6" max="19"/>
    <col width="9.1640625" customWidth="1" style="75" min="20"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5"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5"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5" t="inlineStr">
        <is>
          <t>Total GDP</t>
        </is>
      </c>
      <c r="C31" s="75">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64" activePane="bottomLeft" state="frozen"/>
      <selection pane="bottomLeft" activeCell="F299" sqref="F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5"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5">
        <f>B1&amp;" GDP % yoy"</f>
        <v/>
      </c>
    </row>
    <row r="2">
      <c r="A2" s="42" t="n">
        <v>17349</v>
      </c>
      <c r="B2" s="43">
        <f>VLOOKUP(A2,'Data yoy'!$B:$AW,MATCH($B$1,'Data yoy'!$B$1:$AW$1,0),FALSE)</f>
        <v/>
      </c>
      <c r="C2" s="44" t="n"/>
      <c r="D2" s="46" t="n"/>
      <c r="E2" s="46" t="n"/>
      <c r="F2" s="46" t="n"/>
      <c r="G2" s="46" t="n"/>
      <c r="H2" s="46" t="n"/>
      <c r="J2" s="75">
        <f>B1&amp;" "&amp;C1</f>
        <v/>
      </c>
      <c r="V2" s="75" t="inlineStr">
        <is>
          <t>AUT</t>
        </is>
      </c>
    </row>
    <row r="3">
      <c r="A3" s="42" t="n">
        <v>17441</v>
      </c>
      <c r="B3" s="43">
        <f>VLOOKUP(A3,'Data yoy'!$B:$AW,MATCH($B$1,'Data yoy'!$B$1:$AW$1,0),FALSE)</f>
        <v/>
      </c>
      <c r="C3" s="43">
        <f>Table13456789101112131415161734[[#This Row],[USA]]-B2</f>
        <v/>
      </c>
      <c r="D3" s="46" t="n"/>
      <c r="E3" s="46" t="n"/>
      <c r="F3" s="46" t="n"/>
      <c r="G3" s="46" t="n"/>
      <c r="H3" s="46" t="n"/>
      <c r="J3" s="75">
        <f>J2&amp;" 2000-"</f>
        <v/>
      </c>
      <c r="V3" s="75" t="inlineStr">
        <is>
          <t>BEL</t>
        </is>
      </c>
    </row>
    <row r="4">
      <c r="A4" s="42" t="n">
        <v>17533</v>
      </c>
      <c r="B4" s="43">
        <f>VLOOKUP(A4,'Data yoy'!$B:$AW,MATCH($B$1,'Data yoy'!$B$1:$AW$1,0),FALSE)</f>
        <v/>
      </c>
      <c r="C4" s="43">
        <f>Table13456789101112131415161734[[#This Row],[USA]]-B3</f>
        <v/>
      </c>
      <c r="D4" s="46" t="n"/>
      <c r="E4" s="46" t="n"/>
      <c r="F4" s="46" t="n"/>
      <c r="G4" s="46" t="n"/>
      <c r="H4" s="46" t="n"/>
      <c r="V4" s="75" t="inlineStr">
        <is>
          <t>CAN</t>
        </is>
      </c>
    </row>
    <row r="5">
      <c r="A5" s="42" t="n">
        <v>17624</v>
      </c>
      <c r="B5" s="43">
        <f>VLOOKUP(A5,'Data yoy'!$B:$AW,MATCH($B$1,'Data yoy'!$B$1:$AW$1,0),FALSE)</f>
        <v/>
      </c>
      <c r="C5" s="43">
        <f>Table13456789101112131415161734[[#This Row],[USA]]-B4</f>
        <v/>
      </c>
      <c r="D5" s="46" t="n"/>
      <c r="E5" s="46" t="n"/>
      <c r="F5" s="46" t="n"/>
      <c r="G5" s="46" t="n"/>
      <c r="H5" s="46" t="n"/>
      <c r="V5" s="75" t="inlineStr">
        <is>
          <t>CHL</t>
        </is>
      </c>
    </row>
    <row r="6">
      <c r="A6" s="42" t="n">
        <v>17715</v>
      </c>
      <c r="B6" s="43">
        <f>VLOOKUP(A6,'Data yoy'!$B:$AW,MATCH($B$1,'Data yoy'!$B$1:$AW$1,0),FALSE)</f>
        <v/>
      </c>
      <c r="C6" s="43">
        <f>Table13456789101112131415161734[[#This Row],[USA]]-B5</f>
        <v/>
      </c>
      <c r="D6" s="46" t="n"/>
      <c r="E6" s="46" t="n"/>
      <c r="F6" s="46" t="n"/>
      <c r="G6" s="46" t="n"/>
      <c r="H6" s="46" t="n"/>
      <c r="V6" s="75" t="inlineStr">
        <is>
          <t>CZE</t>
        </is>
      </c>
    </row>
    <row r="7">
      <c r="A7" s="42" t="n">
        <v>17807</v>
      </c>
      <c r="B7" s="43">
        <f>VLOOKUP(A7,'Data yoy'!$B:$AW,MATCH($B$1,'Data yoy'!$B$1:$AW$1,0),FALSE)</f>
        <v/>
      </c>
      <c r="C7" s="43">
        <f>Table13456789101112131415161734[[#This Row],[USA]]-B6</f>
        <v/>
      </c>
      <c r="D7" s="46" t="n"/>
      <c r="E7" s="46" t="n"/>
      <c r="F7" s="46" t="n"/>
      <c r="G7" s="46" t="n"/>
      <c r="H7" s="46" t="n"/>
      <c r="V7" s="75" t="inlineStr">
        <is>
          <t>DEU</t>
        </is>
      </c>
    </row>
    <row r="8">
      <c r="A8" s="42" t="n">
        <v>17899</v>
      </c>
      <c r="B8" s="43">
        <f>VLOOKUP(A8,'Data yoy'!$B:$AW,MATCH($B$1,'Data yoy'!$B$1:$AW$1,0),FALSE)</f>
        <v/>
      </c>
      <c r="C8" s="43">
        <f>Table13456789101112131415161734[[#This Row],[USA]]-B7</f>
        <v/>
      </c>
      <c r="D8" s="46" t="n"/>
      <c r="E8" s="46" t="n"/>
      <c r="F8" s="46" t="n"/>
      <c r="G8" s="46" t="n"/>
      <c r="H8" s="46" t="n"/>
      <c r="V8" s="75" t="inlineStr">
        <is>
          <t>DNK</t>
        </is>
      </c>
    </row>
    <row r="9">
      <c r="A9" s="42" t="n">
        <v>17989</v>
      </c>
      <c r="B9" s="43">
        <f>VLOOKUP(A9,'Data yoy'!$B:$AW,MATCH($B$1,'Data yoy'!$B$1:$AW$1,0),FALSE)</f>
        <v/>
      </c>
      <c r="C9" s="43">
        <f>Table13456789101112131415161734[[#This Row],[USA]]-B8</f>
        <v/>
      </c>
      <c r="D9" s="46" t="n"/>
      <c r="E9" s="46" t="n"/>
      <c r="F9" s="46" t="n"/>
      <c r="G9" s="46" t="n"/>
      <c r="H9" s="46" t="n"/>
      <c r="V9" s="75" t="inlineStr">
        <is>
          <t>ESP</t>
        </is>
      </c>
    </row>
    <row r="10">
      <c r="A10" s="42" t="n">
        <v>18080</v>
      </c>
      <c r="B10" s="43">
        <f>VLOOKUP(A10,'Data yoy'!$B:$AW,MATCH($B$1,'Data yoy'!$B$1:$AW$1,0),FALSE)</f>
        <v/>
      </c>
      <c r="C10" s="43">
        <f>Table13456789101112131415161734[[#This Row],[USA]]-B9</f>
        <v/>
      </c>
      <c r="D10" s="46" t="n"/>
      <c r="E10" s="46" t="n"/>
      <c r="F10" s="46" t="n"/>
      <c r="G10" s="46" t="n"/>
      <c r="H10" s="46" t="n"/>
      <c r="V10" s="75" t="inlineStr">
        <is>
          <t>EST</t>
        </is>
      </c>
    </row>
    <row r="11">
      <c r="A11" s="42" t="n">
        <v>18172</v>
      </c>
      <c r="B11" s="43">
        <f>VLOOKUP(A11,'Data yoy'!$B:$AW,MATCH($B$1,'Data yoy'!$B$1:$AW$1,0),FALSE)</f>
        <v/>
      </c>
      <c r="C11" s="43">
        <f>Table13456789101112131415161734[[#This Row],[USA]]-B10</f>
        <v/>
      </c>
      <c r="D11" s="46" t="n"/>
      <c r="E11" s="46" t="n"/>
      <c r="F11" s="46" t="n"/>
      <c r="G11" s="46" t="n"/>
      <c r="H11" s="46" t="n"/>
      <c r="V11" s="75" t="inlineStr">
        <is>
          <t>FIN</t>
        </is>
      </c>
    </row>
    <row r="12">
      <c r="A12" s="42" t="n">
        <v>18264</v>
      </c>
      <c r="B12" s="43">
        <f>VLOOKUP(A12,'Data yoy'!$B:$AW,MATCH($B$1,'Data yoy'!$B$1:$AW$1,0),FALSE)</f>
        <v/>
      </c>
      <c r="C12" s="43">
        <f>Table13456789101112131415161734[[#This Row],[USA]]-B11</f>
        <v/>
      </c>
      <c r="D12" s="27" t="n"/>
      <c r="V12" s="75" t="inlineStr">
        <is>
          <t>FRA</t>
        </is>
      </c>
    </row>
    <row r="13">
      <c r="A13" s="42" t="n">
        <v>18354</v>
      </c>
      <c r="B13" s="43">
        <f>VLOOKUP(A13,'Data yoy'!$B:$AW,MATCH($B$1,'Data yoy'!$B$1:$AW$1,0),FALSE)</f>
        <v/>
      </c>
      <c r="C13" s="43">
        <f>Table13456789101112131415161734[[#This Row],[USA]]-B12</f>
        <v/>
      </c>
      <c r="D13" s="27" t="n"/>
      <c r="V13" s="75" t="inlineStr">
        <is>
          <t>GBR</t>
        </is>
      </c>
    </row>
    <row r="14">
      <c r="A14" s="42" t="n">
        <v>18445</v>
      </c>
      <c r="B14" s="43">
        <f>VLOOKUP(A14,'Data yoy'!$B:$AW,MATCH($B$1,'Data yoy'!$B$1:$AW$1,0),FALSE)</f>
        <v/>
      </c>
      <c r="C14" s="43">
        <f>Table13456789101112131415161734[[#This Row],[USA]]-B13</f>
        <v/>
      </c>
      <c r="D14" s="27" t="n"/>
      <c r="V14" s="75" t="inlineStr">
        <is>
          <t>GRC</t>
        </is>
      </c>
    </row>
    <row r="15">
      <c r="A15" s="42" t="n">
        <v>18537</v>
      </c>
      <c r="B15" s="43">
        <f>VLOOKUP(A15,'Data yoy'!$B:$AW,MATCH($B$1,'Data yoy'!$B$1:$AW$1,0),FALSE)</f>
        <v/>
      </c>
      <c r="C15" s="43">
        <f>Table13456789101112131415161734[[#This Row],[USA]]-B14</f>
        <v/>
      </c>
      <c r="D15" s="27" t="n"/>
      <c r="V15" s="75" t="inlineStr">
        <is>
          <t>HUN</t>
        </is>
      </c>
    </row>
    <row r="16">
      <c r="A16" s="42" t="n">
        <v>18629</v>
      </c>
      <c r="B16" s="43">
        <f>VLOOKUP(A16,'Data yoy'!$B:$AW,MATCH($B$1,'Data yoy'!$B$1:$AW$1,0),FALSE)</f>
        <v/>
      </c>
      <c r="C16" s="43">
        <f>Table13456789101112131415161734[[#This Row],[USA]]-B15</f>
        <v/>
      </c>
      <c r="D16" s="27" t="n"/>
      <c r="V16" s="75" t="inlineStr">
        <is>
          <t>IRL</t>
        </is>
      </c>
    </row>
    <row r="17">
      <c r="A17" s="42" t="n">
        <v>18719</v>
      </c>
      <c r="B17" s="43">
        <f>VLOOKUP(A17,'Data yoy'!$B:$AW,MATCH($B$1,'Data yoy'!$B$1:$AW$1,0),FALSE)</f>
        <v/>
      </c>
      <c r="C17" s="43">
        <f>Table13456789101112131415161734[[#This Row],[USA]]-B16</f>
        <v/>
      </c>
      <c r="D17" s="27" t="n"/>
      <c r="V17" s="75" t="inlineStr">
        <is>
          <t>ISL</t>
        </is>
      </c>
    </row>
    <row r="18">
      <c r="A18" s="42" t="n">
        <v>18810</v>
      </c>
      <c r="B18" s="43">
        <f>VLOOKUP(A18,'Data yoy'!$B:$AW,MATCH($B$1,'Data yoy'!$B$1:$AW$1,0),FALSE)</f>
        <v/>
      </c>
      <c r="C18" s="43">
        <f>Table13456789101112131415161734[[#This Row],[USA]]-B17</f>
        <v/>
      </c>
      <c r="D18" s="27" t="n"/>
      <c r="V18" s="75" t="inlineStr">
        <is>
          <t>ISR</t>
        </is>
      </c>
    </row>
    <row r="19">
      <c r="A19" s="42" t="n">
        <v>18902</v>
      </c>
      <c r="B19" s="43">
        <f>VLOOKUP(A19,'Data yoy'!$B:$AW,MATCH($B$1,'Data yoy'!$B$1:$AW$1,0),FALSE)</f>
        <v/>
      </c>
      <c r="C19" s="43">
        <f>Table13456789101112131415161734[[#This Row],[USA]]-B18</f>
        <v/>
      </c>
      <c r="D19" s="27" t="n"/>
      <c r="V19" s="75" t="inlineStr">
        <is>
          <t>ITA</t>
        </is>
      </c>
    </row>
    <row r="20">
      <c r="A20" s="42" t="n">
        <v>18994</v>
      </c>
      <c r="B20" s="43">
        <f>VLOOKUP(A20,'Data yoy'!$B:$AW,MATCH($B$1,'Data yoy'!$B$1:$AW$1,0),FALSE)</f>
        <v/>
      </c>
      <c r="C20" s="43">
        <f>Table13456789101112131415161734[[#This Row],[USA]]-B19</f>
        <v/>
      </c>
      <c r="D20" s="27" t="n"/>
      <c r="V20" s="75" t="inlineStr">
        <is>
          <t>JPN</t>
        </is>
      </c>
    </row>
    <row r="21">
      <c r="A21" s="42" t="n">
        <v>19085</v>
      </c>
      <c r="B21" s="43">
        <f>VLOOKUP(A21,'Data yoy'!$B:$AW,MATCH($B$1,'Data yoy'!$B$1:$AW$1,0),FALSE)</f>
        <v/>
      </c>
      <c r="C21" s="43">
        <f>Table13456789101112131415161734[[#This Row],[USA]]-B20</f>
        <v/>
      </c>
      <c r="D21" s="27" t="n"/>
      <c r="V21" s="75" t="inlineStr">
        <is>
          <t>KOR</t>
        </is>
      </c>
    </row>
    <row r="22">
      <c r="A22" s="42" t="n">
        <v>19176</v>
      </c>
      <c r="B22" s="43">
        <f>VLOOKUP(A22,'Data yoy'!$B:$AW,MATCH($B$1,'Data yoy'!$B$1:$AW$1,0),FALSE)</f>
        <v/>
      </c>
      <c r="C22" s="43">
        <f>Table13456789101112131415161734[[#This Row],[USA]]-B21</f>
        <v/>
      </c>
      <c r="D22" s="27" t="n"/>
      <c r="V22" s="75" t="inlineStr">
        <is>
          <t>LUX</t>
        </is>
      </c>
    </row>
    <row r="23">
      <c r="A23" s="42" t="n">
        <v>19268</v>
      </c>
      <c r="B23" s="43">
        <f>VLOOKUP(A23,'Data yoy'!$B:$AW,MATCH($B$1,'Data yoy'!$B$1:$AW$1,0),FALSE)</f>
        <v/>
      </c>
      <c r="C23" s="43">
        <f>Table13456789101112131415161734[[#This Row],[USA]]-B22</f>
        <v/>
      </c>
      <c r="D23" s="27" t="n"/>
      <c r="V23" s="75" t="inlineStr">
        <is>
          <t>LVA</t>
        </is>
      </c>
    </row>
    <row r="24">
      <c r="A24" s="42" t="n">
        <v>19360</v>
      </c>
      <c r="B24" s="43">
        <f>VLOOKUP(A24,'Data yoy'!$B:$AW,MATCH($B$1,'Data yoy'!$B$1:$AW$1,0),FALSE)</f>
        <v/>
      </c>
      <c r="C24" s="43">
        <f>Table13456789101112131415161734[[#This Row],[USA]]-B23</f>
        <v/>
      </c>
      <c r="D24" s="27" t="n"/>
      <c r="V24" s="75" t="inlineStr">
        <is>
          <t>MEX</t>
        </is>
      </c>
    </row>
    <row r="25">
      <c r="A25" s="42" t="n">
        <v>19450</v>
      </c>
      <c r="B25" s="43">
        <f>VLOOKUP(A25,'Data yoy'!$B:$AW,MATCH($B$1,'Data yoy'!$B$1:$AW$1,0),FALSE)</f>
        <v/>
      </c>
      <c r="C25" s="43">
        <f>Table13456789101112131415161734[[#This Row],[USA]]-B24</f>
        <v/>
      </c>
      <c r="D25" s="27" t="n"/>
      <c r="V25" s="75" t="inlineStr">
        <is>
          <t>NLD</t>
        </is>
      </c>
    </row>
    <row r="26">
      <c r="A26" s="42" t="n">
        <v>19541</v>
      </c>
      <c r="B26" s="43">
        <f>VLOOKUP(A26,'Data yoy'!$B:$AW,MATCH($B$1,'Data yoy'!$B$1:$AW$1,0),FALSE)</f>
        <v/>
      </c>
      <c r="C26" s="43">
        <f>Table13456789101112131415161734[[#This Row],[USA]]-B25</f>
        <v/>
      </c>
      <c r="D26" s="27" t="n"/>
      <c r="V26" s="75" t="inlineStr">
        <is>
          <t>NOR</t>
        </is>
      </c>
    </row>
    <row r="27">
      <c r="A27" s="42" t="n">
        <v>19633</v>
      </c>
      <c r="B27" s="43">
        <f>VLOOKUP(A27,'Data yoy'!$B:$AW,MATCH($B$1,'Data yoy'!$B$1:$AW$1,0),FALSE)</f>
        <v/>
      </c>
      <c r="C27" s="43">
        <f>Table13456789101112131415161734[[#This Row],[USA]]-B26</f>
        <v/>
      </c>
      <c r="D27" s="27" t="n"/>
      <c r="V27" s="75" t="inlineStr">
        <is>
          <t>OECD</t>
        </is>
      </c>
    </row>
    <row r="28">
      <c r="A28" s="42" t="n">
        <v>19725</v>
      </c>
      <c r="B28" s="43">
        <f>VLOOKUP(A28,'Data yoy'!$B:$AW,MATCH($B$1,'Data yoy'!$B$1:$AW$1,0),FALSE)</f>
        <v/>
      </c>
      <c r="C28" s="43">
        <f>Table13456789101112131415161734[[#This Row],[USA]]-B27</f>
        <v/>
      </c>
      <c r="D28" s="27" t="n"/>
      <c r="V28" s="75" t="inlineStr">
        <is>
          <t>POL</t>
        </is>
      </c>
    </row>
    <row r="29">
      <c r="A29" s="42" t="n">
        <v>19815</v>
      </c>
      <c r="B29" s="43">
        <f>VLOOKUP(A29,'Data yoy'!$B:$AW,MATCH($B$1,'Data yoy'!$B$1:$AW$1,0),FALSE)</f>
        <v/>
      </c>
      <c r="C29" s="43">
        <f>Table13456789101112131415161734[[#This Row],[USA]]-B28</f>
        <v/>
      </c>
      <c r="D29" s="27" t="n"/>
      <c r="V29" s="75" t="inlineStr">
        <is>
          <t>PRT</t>
        </is>
      </c>
    </row>
    <row r="30">
      <c r="A30" s="42" t="n">
        <v>19906</v>
      </c>
      <c r="B30" s="43">
        <f>VLOOKUP(A30,'Data yoy'!$B:$AW,MATCH($B$1,'Data yoy'!$B$1:$AW$1,0),FALSE)</f>
        <v/>
      </c>
      <c r="C30" s="43">
        <f>Table13456789101112131415161734[[#This Row],[USA]]-B29</f>
        <v/>
      </c>
      <c r="D30" s="27" t="n"/>
      <c r="V30" s="75" t="inlineStr">
        <is>
          <t>SVK</t>
        </is>
      </c>
    </row>
    <row r="31">
      <c r="A31" s="42" t="n">
        <v>19998</v>
      </c>
      <c r="B31" s="43">
        <f>VLOOKUP(A31,'Data yoy'!$B:$AW,MATCH($B$1,'Data yoy'!$B$1:$AW$1,0),FALSE)</f>
        <v/>
      </c>
      <c r="C31" s="43">
        <f>Table13456789101112131415161734[[#This Row],[USA]]-B30</f>
        <v/>
      </c>
      <c r="D31" s="27" t="n"/>
      <c r="V31" s="75" t="inlineStr">
        <is>
          <t>SVN</t>
        </is>
      </c>
    </row>
    <row r="32">
      <c r="A32" s="42" t="n">
        <v>20090</v>
      </c>
      <c r="B32" s="43">
        <f>VLOOKUP(A32,'Data yoy'!$B:$AW,MATCH($B$1,'Data yoy'!$B$1:$AW$1,0),FALSE)</f>
        <v/>
      </c>
      <c r="C32" s="43">
        <f>Table13456789101112131415161734[[#This Row],[USA]]-B31</f>
        <v/>
      </c>
      <c r="D32" s="27" t="n"/>
      <c r="V32" s="75" t="inlineStr">
        <is>
          <t>SWE</t>
        </is>
      </c>
    </row>
    <row r="33">
      <c r="A33" s="42" t="n">
        <v>20180</v>
      </c>
      <c r="B33" s="43">
        <f>VLOOKUP(A33,'Data yoy'!$B:$AW,MATCH($B$1,'Data yoy'!$B$1:$AW$1,0),FALSE)</f>
        <v/>
      </c>
      <c r="C33" s="43">
        <f>Table13456789101112131415161734[[#This Row],[USA]]-B32</f>
        <v/>
      </c>
      <c r="D33" s="27" t="n"/>
      <c r="V33" s="75" t="inlineStr">
        <is>
          <t>TUR</t>
        </is>
      </c>
    </row>
    <row r="34">
      <c r="A34" s="42" t="n">
        <v>20271</v>
      </c>
      <c r="B34" s="43">
        <f>VLOOKUP(A34,'Data yoy'!$B:$AW,MATCH($B$1,'Data yoy'!$B$1:$AW$1,0),FALSE)</f>
        <v/>
      </c>
      <c r="C34" s="43">
        <f>Table13456789101112131415161734[[#This Row],[USA]]-B33</f>
        <v/>
      </c>
      <c r="D34" s="27" t="n"/>
      <c r="V34" s="75" t="inlineStr">
        <is>
          <t>USA</t>
        </is>
      </c>
    </row>
    <row r="35">
      <c r="A35" s="42" t="n">
        <v>20363</v>
      </c>
      <c r="B35" s="43">
        <f>VLOOKUP(A35,'Data yoy'!$B:$AW,MATCH($B$1,'Data yoy'!$B$1:$AW$1,0),FALSE)</f>
        <v/>
      </c>
      <c r="C35" s="43">
        <f>Table13456789101112131415161734[[#This Row],[USA]]-B34</f>
        <v/>
      </c>
      <c r="D35" s="27" t="n"/>
      <c r="V35" s="75"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5" t="inlineStr">
        <is>
          <t>G-7</t>
        </is>
      </c>
    </row>
    <row r="38">
      <c r="A38" s="42" t="n">
        <v>20637</v>
      </c>
      <c r="B38" s="43">
        <f>VLOOKUP(A38,'Data yoy'!$B:$AW,MATCH($B$1,'Data yoy'!$B$1:$AW$1,0),FALSE)</f>
        <v/>
      </c>
      <c r="C38" s="43">
        <f>Table13456789101112131415161734[[#This Row],[USA]]-B37</f>
        <v/>
      </c>
      <c r="D38" s="27" t="n"/>
      <c r="V38" s="75" t="inlineStr">
        <is>
          <t>CHE</t>
        </is>
      </c>
    </row>
    <row r="39">
      <c r="A39" s="42" t="n">
        <v>20729</v>
      </c>
      <c r="B39" s="43">
        <f>VLOOKUP(A39,'Data yoy'!$B:$AW,MATCH($B$1,'Data yoy'!$B$1:$AW$1,0),FALSE)</f>
        <v/>
      </c>
      <c r="C39" s="43">
        <f>Table13456789101112131415161734[[#This Row],[USA]]-B38</f>
        <v/>
      </c>
      <c r="D39" s="27" t="n"/>
      <c r="V39" s="75" t="inlineStr">
        <is>
          <t>IND</t>
        </is>
      </c>
    </row>
    <row r="40">
      <c r="A40" s="42" t="n">
        <v>20821</v>
      </c>
      <c r="B40" s="43">
        <f>VLOOKUP(A40,'Data yoy'!$B:$AW,MATCH($B$1,'Data yoy'!$B$1:$AW$1,0),FALSE)</f>
        <v/>
      </c>
      <c r="C40" s="43">
        <f>Table13456789101112131415161734[[#This Row],[USA]]-B39</f>
        <v/>
      </c>
      <c r="D40" s="27" t="n"/>
      <c r="V40" s="75" t="inlineStr">
        <is>
          <t>ZAF</t>
        </is>
      </c>
    </row>
    <row r="41">
      <c r="A41" s="42" t="n">
        <v>20911</v>
      </c>
      <c r="B41" s="43">
        <f>VLOOKUP(A41,'Data yoy'!$B:$AW,MATCH($B$1,'Data yoy'!$B$1:$AW$1,0),FALSE)</f>
        <v/>
      </c>
      <c r="C41" s="43">
        <f>Table13456789101112131415161734[[#This Row],[USA]]-B40</f>
        <v/>
      </c>
      <c r="D41" s="27" t="n"/>
      <c r="V41" s="75"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5">
      <c r="A291" s="42" t="n">
        <v>43739</v>
      </c>
      <c r="B291" s="43">
        <f>VLOOKUP(A291,'Data yoy'!$B:$AW,MATCH($B$1,'Data yoy'!$B$1:$AW$1,0),FALSE)</f>
        <v/>
      </c>
      <c r="C291" s="43">
        <f>Table13456789101112131415161734[[#This Row],[USA]]-B290</f>
        <v/>
      </c>
      <c r="D291" s="48" t="n"/>
    </row>
    <row r="292" customFormat="1" s="75">
      <c r="A292" s="42" t="n">
        <v>43831</v>
      </c>
      <c r="B292" s="43">
        <f>VLOOKUP(A292,'Data yoy'!$B:$AW,MATCH($B$1,'Data yoy'!$B$1:$AW$1,0),FALSE)</f>
        <v/>
      </c>
      <c r="C292" s="43">
        <f>Table13456789101112131415161734[[#This Row],[USA]]-B291</f>
        <v/>
      </c>
      <c r="D292" s="48" t="n"/>
    </row>
    <row r="293" customFormat="1" s="75">
      <c r="A293" s="42" t="n">
        <v>43922</v>
      </c>
      <c r="B293" s="43">
        <f>VLOOKUP(A293,'Data yoy'!$B:$AW,MATCH($B$1,'Data yoy'!$B$1:$AW$1,0),FALSE)</f>
        <v/>
      </c>
      <c r="C293" s="43">
        <f>Table13456789101112131415161734[[#This Row],[USA]]-B292</f>
        <v/>
      </c>
      <c r="D293" s="48" t="n"/>
    </row>
    <row r="294" customFormat="1" s="75">
      <c r="A294" s="42" t="n">
        <v>44013</v>
      </c>
      <c r="B294" s="43">
        <f>VLOOKUP(A294,'Data yoy'!$B:$AW,MATCH($B$1,'Data yoy'!$B$1:$AW$1,0),FALSE)</f>
        <v/>
      </c>
      <c r="C294" s="43">
        <f>Table13456789101112131415161734[[#This Row],[USA]]-B293</f>
        <v/>
      </c>
      <c r="D294" s="48" t="n"/>
    </row>
    <row r="295" customFormat="1" s="75">
      <c r="A295" s="42" t="n">
        <v>44105</v>
      </c>
      <c r="B295" s="43">
        <f>VLOOKUP(A295,'Data yoy'!$B:$AW,MATCH($B$1,'Data yoy'!$B$1:$AW$1,0),FALSE)</f>
        <v/>
      </c>
      <c r="C295" s="43">
        <f>Table13456789101112131415161734[[#This Row],[USA]]-B294</f>
        <v/>
      </c>
      <c r="D295" s="48" t="n"/>
    </row>
    <row r="296" customFormat="1" s="75">
      <c r="A296" s="42" t="n">
        <v>44197</v>
      </c>
      <c r="B296" s="43">
        <f>VLOOKUP(A296,'Data yoy'!$B:$AW,MATCH($B$1,'Data yoy'!$B$1:$AW$1,0),FALSE)</f>
        <v/>
      </c>
      <c r="C296" s="43">
        <f>Table13456789101112131415161734[[#This Row],[USA]]-B295</f>
        <v/>
      </c>
      <c r="D296" s="48" t="n"/>
    </row>
    <row r="297" customFormat="1" s="75">
      <c r="A297" s="42" t="n">
        <v>44287</v>
      </c>
      <c r="B297" s="43">
        <f>VLOOKUP(A297,'Data yoy'!$B:$AW,MATCH($B$1,'Data yoy'!$B$1:$AW$1,0),FALSE)</f>
        <v/>
      </c>
      <c r="C297" s="43">
        <f>Table13456789101112131415161734[[#This Row],[USA]]-B296</f>
        <v/>
      </c>
      <c r="D297" s="48" t="n"/>
    </row>
    <row r="298" customFormat="1" s="75">
      <c r="A298" s="42" t="n">
        <v>44378</v>
      </c>
      <c r="B298" s="43">
        <f>VLOOKUP(A298,'Data yoy'!$B:$AW,MATCH($B$1,'Data yoy'!$B$1:$AW$1,0),FALSE)</f>
        <v/>
      </c>
      <c r="C298" s="43">
        <f>Table13456789101112131415161734[[#This Row],[USA]]-B297</f>
        <v/>
      </c>
      <c r="D298" s="48" t="n"/>
    </row>
    <row r="299" customFormat="1" s="75">
      <c r="A299" s="42" t="n">
        <v>44470</v>
      </c>
      <c r="B299" s="43">
        <f>VLOOKUP(A299,'Data yoy'!$B:$AW,MATCH($B$1,'Data yoy'!$B$1:$AW$1,0),FALSE)</f>
        <v/>
      </c>
      <c r="C299" s="43">
        <f>Table13456789101112131415161734[[#This Row],[USA]]-B298</f>
        <v/>
      </c>
      <c r="D299" s="48" t="n"/>
    </row>
    <row r="300" customFormat="1" s="75">
      <c r="A300" s="49" t="n"/>
      <c r="B300" s="50" t="n"/>
      <c r="C300" s="41" t="n"/>
      <c r="D300" s="48" t="n"/>
    </row>
    <row r="301" customFormat="1" s="75">
      <c r="A301" s="49" t="n"/>
      <c r="B301" s="50" t="n"/>
      <c r="C301" s="41" t="n"/>
      <c r="D301" s="48" t="n"/>
    </row>
    <row r="302" customFormat="1" s="75">
      <c r="A302" s="49" t="n"/>
      <c r="B302" s="50" t="n"/>
      <c r="C302" s="41" t="n"/>
      <c r="D302" s="48" t="n"/>
    </row>
    <row r="303" customFormat="1" s="75">
      <c r="A303" s="49" t="n"/>
      <c r="B303" s="50" t="n"/>
      <c r="C303" s="41" t="n"/>
      <c r="D303" s="48" t="n"/>
    </row>
    <row r="304" customFormat="1" s="75">
      <c r="A304" s="49" t="n"/>
      <c r="B304" s="50" t="n"/>
      <c r="C304" s="41" t="n"/>
      <c r="D304" s="48" t="n"/>
    </row>
    <row r="305" customFormat="1" s="75">
      <c r="A305" s="49" t="n"/>
      <c r="B305" s="50" t="n"/>
      <c r="C305" s="41" t="n"/>
      <c r="D305" s="48" t="n"/>
    </row>
    <row r="306" customFormat="1" s="75">
      <c r="A306" s="49" t="n"/>
      <c r="B306" s="50" t="n"/>
      <c r="C306" s="41" t="n"/>
      <c r="D306" s="48" t="n"/>
    </row>
    <row r="307" customFormat="1" s="75">
      <c r="A307" s="49" t="n"/>
      <c r="B307" s="50" t="n"/>
      <c r="C307" s="41" t="n"/>
      <c r="D307" s="48" t="n"/>
    </row>
    <row r="308" customFormat="1" s="75">
      <c r="A308" s="49" t="n"/>
      <c r="B308" s="50" t="n"/>
      <c r="C308" s="41" t="n"/>
      <c r="D308" s="48" t="n"/>
    </row>
    <row r="309" customFormat="1" s="75">
      <c r="A309" s="49" t="n"/>
      <c r="B309" s="50" t="n"/>
      <c r="C309" s="41" t="n"/>
      <c r="D309" s="48" t="n"/>
    </row>
    <row r="310" customFormat="1" s="75">
      <c r="A310" s="49" t="n"/>
      <c r="B310" s="50" t="n"/>
      <c r="C310" s="41" t="n"/>
      <c r="D310" s="48" t="n"/>
    </row>
    <row r="311" customFormat="1" s="75">
      <c r="A311" s="49" t="n"/>
      <c r="B311" s="50" t="n"/>
      <c r="C311" s="41" t="n"/>
      <c r="D311" s="48" t="n"/>
    </row>
    <row r="312" customFormat="1" s="75">
      <c r="A312" s="49" t="n"/>
      <c r="B312" s="50" t="n"/>
      <c r="C312" s="41" t="n"/>
      <c r="D312" s="48" t="n"/>
    </row>
    <row r="313" customFormat="1" s="75">
      <c r="A313" s="49" t="n"/>
      <c r="B313" s="50" t="n"/>
      <c r="C313" s="41" t="n"/>
      <c r="D313" s="48" t="n"/>
    </row>
    <row r="314" customFormat="1" s="75">
      <c r="A314" s="49" t="n"/>
      <c r="B314" s="50" t="n"/>
      <c r="C314" s="41" t="n"/>
      <c r="D314" s="48" t="n"/>
    </row>
    <row r="315" customFormat="1" s="75">
      <c r="A315" s="49" t="n"/>
      <c r="B315" s="50" t="n"/>
      <c r="C315" s="41" t="n"/>
      <c r="D315" s="48" t="n"/>
    </row>
    <row r="316" customFormat="1" s="75">
      <c r="A316" s="49" t="n"/>
      <c r="B316" s="50" t="n"/>
      <c r="C316" s="41" t="n"/>
      <c r="D316" s="48" t="n"/>
    </row>
    <row r="317" customFormat="1" s="75">
      <c r="A317" s="49" t="n"/>
      <c r="B317" s="50" t="n"/>
      <c r="C317" s="41" t="n"/>
      <c r="D317" s="48" t="n"/>
    </row>
    <row r="318" customFormat="1" s="75">
      <c r="A318" s="49" t="n"/>
      <c r="B318" s="50" t="n"/>
      <c r="C318" s="41" t="n"/>
      <c r="D318" s="48" t="n"/>
    </row>
    <row r="319" customFormat="1" s="75">
      <c r="A319" s="49" t="n"/>
      <c r="B319" s="50" t="n"/>
      <c r="C319" s="41" t="n"/>
      <c r="D319" s="48" t="n"/>
    </row>
    <row r="320" customFormat="1" s="75">
      <c r="A320" s="49" t="n"/>
      <c r="B320" s="50" t="n"/>
      <c r="C320" s="41" t="n"/>
      <c r="D320" s="48" t="n"/>
    </row>
    <row r="321" customFormat="1" s="75">
      <c r="A321" s="49" t="n"/>
      <c r="B321" s="50" t="n"/>
      <c r="C321" s="41" t="n"/>
      <c r="D321" s="48" t="n"/>
    </row>
    <row r="322" customFormat="1" s="75">
      <c r="A322" s="49" t="n"/>
      <c r="B322" s="50" t="n"/>
      <c r="C322" s="41" t="n"/>
      <c r="D322" s="48" t="n"/>
    </row>
    <row r="323" customFormat="1" s="75">
      <c r="A323" s="49" t="n"/>
      <c r="B323" s="50" t="n"/>
      <c r="C323" s="41" t="n"/>
      <c r="D323" s="48" t="n"/>
    </row>
    <row r="324" customFormat="1" s="75">
      <c r="A324" s="49" t="n"/>
      <c r="B324" s="50" t="n"/>
      <c r="C324" s="41" t="n"/>
      <c r="D324" s="48" t="n"/>
    </row>
    <row r="325" customFormat="1" s="75">
      <c r="A325" s="49" t="n"/>
      <c r="B325" s="50" t="n"/>
      <c r="C325" s="41" t="n"/>
      <c r="D325" s="48" t="n"/>
    </row>
    <row r="326" customFormat="1" s="75">
      <c r="A326" s="49" t="n"/>
      <c r="B326" s="50" t="n"/>
      <c r="C326" s="41" t="n"/>
      <c r="D326" s="48" t="n"/>
    </row>
    <row r="327" customFormat="1" s="75">
      <c r="A327" s="49" t="n"/>
      <c r="B327" s="50" t="n"/>
      <c r="C327" s="41" t="n"/>
      <c r="D327" s="48" t="n"/>
    </row>
    <row r="328" customFormat="1" s="75">
      <c r="A328" s="49" t="n"/>
      <c r="B328" s="50" t="n"/>
      <c r="C328" s="41" t="n"/>
      <c r="D328" s="48" t="n"/>
    </row>
    <row r="329" customFormat="1" s="75">
      <c r="A329" s="49" t="n"/>
      <c r="B329" s="50" t="n"/>
      <c r="C329" s="41" t="n"/>
      <c r="D329" s="48" t="n"/>
    </row>
    <row r="330" customFormat="1" s="75">
      <c r="A330" s="49" t="n"/>
      <c r="B330" s="50" t="n"/>
      <c r="C330" s="41" t="n"/>
      <c r="D330" s="48" t="n"/>
    </row>
    <row r="331" customFormat="1" s="75">
      <c r="A331" s="49" t="n"/>
      <c r="B331" s="50" t="n"/>
      <c r="C331" s="41" t="n"/>
      <c r="D331" s="48" t="n"/>
    </row>
    <row r="332" customFormat="1" s="75">
      <c r="A332" s="49" t="n"/>
      <c r="B332" s="50" t="n"/>
      <c r="C332" s="41" t="n"/>
      <c r="D332" s="48" t="n"/>
    </row>
    <row r="333" customFormat="1" s="75">
      <c r="A333" s="49" t="n"/>
      <c r="B333" s="50" t="n"/>
      <c r="C333" s="41" t="n"/>
      <c r="D333" s="48" t="n"/>
    </row>
    <row r="334" customFormat="1" s="75">
      <c r="A334" s="49" t="n"/>
      <c r="B334" s="50" t="n"/>
      <c r="C334" s="41" t="n"/>
      <c r="D334" s="48" t="n"/>
    </row>
    <row r="335" customFormat="1" s="75">
      <c r="A335" s="49" t="n"/>
      <c r="B335" s="50" t="n"/>
      <c r="C335" s="41" t="n"/>
      <c r="D335" s="48" t="n"/>
    </row>
    <row r="336" customFormat="1" s="75">
      <c r="A336" s="49" t="n"/>
      <c r="B336" s="50" t="n"/>
      <c r="C336" s="41" t="n"/>
      <c r="D336" s="48" t="n"/>
    </row>
    <row r="337" customFormat="1" s="75">
      <c r="A337" s="49" t="n"/>
      <c r="B337" s="50" t="n"/>
      <c r="C337" s="41" t="n"/>
      <c r="D337" s="48" t="n"/>
    </row>
    <row r="338" customFormat="1" s="75">
      <c r="A338" s="49" t="n"/>
      <c r="B338" s="50" t="n"/>
      <c r="C338" s="41" t="n"/>
      <c r="D338" s="48" t="n"/>
    </row>
    <row r="339" customFormat="1" s="75">
      <c r="A339" s="49" t="n"/>
      <c r="B339" s="50" t="n"/>
      <c r="C339" s="41" t="n"/>
      <c r="D339" s="48" t="n"/>
    </row>
    <row r="340" customFormat="1" s="75">
      <c r="A340" s="49" t="n"/>
      <c r="B340" s="50" t="n"/>
      <c r="C340" s="41" t="n"/>
      <c r="D340" s="48" t="n"/>
    </row>
    <row r="341" customFormat="1" s="75">
      <c r="A341" s="49" t="n"/>
      <c r="B341" s="50" t="n"/>
      <c r="C341" s="41" t="n"/>
      <c r="D341" s="48" t="n"/>
    </row>
    <row r="342" customFormat="1" s="75">
      <c r="A342" s="49" t="n"/>
      <c r="B342" s="50" t="n"/>
      <c r="C342" s="41" t="n"/>
      <c r="D342" s="48" t="n"/>
    </row>
    <row r="343" customFormat="1" s="75">
      <c r="A343" s="49" t="n"/>
      <c r="B343" s="50" t="n"/>
      <c r="C343" s="41" t="n"/>
      <c r="D343" s="48" t="n"/>
    </row>
    <row r="344" customFormat="1" s="75">
      <c r="A344" s="49" t="n"/>
      <c r="B344" s="50" t="n"/>
      <c r="C344" s="41" t="n"/>
      <c r="D344" s="48" t="n"/>
    </row>
    <row r="345" customFormat="1" s="75">
      <c r="A345" s="49" t="n"/>
      <c r="B345" s="50" t="n"/>
      <c r="C345" s="41" t="n"/>
      <c r="D345" s="48" t="n"/>
    </row>
    <row r="346" customFormat="1" s="75">
      <c r="A346" s="49" t="n"/>
      <c r="B346" s="50" t="n"/>
      <c r="C346" s="41" t="n"/>
      <c r="D346" s="48" t="n"/>
    </row>
    <row r="347" customFormat="1" s="75">
      <c r="A347" s="49" t="n"/>
      <c r="B347" s="50" t="n"/>
      <c r="C347" s="41" t="n"/>
      <c r="D347" s="48" t="n"/>
    </row>
    <row r="348" customFormat="1" s="75">
      <c r="A348" s="49" t="n"/>
      <c r="B348" s="50" t="n"/>
      <c r="C348" s="41" t="n"/>
      <c r="D348" s="48" t="n"/>
    </row>
    <row r="349" customFormat="1" s="75">
      <c r="A349" s="49" t="n"/>
      <c r="B349" s="50" t="n"/>
      <c r="C349" s="41" t="n"/>
      <c r="D349" s="48" t="n"/>
    </row>
    <row r="350" customFormat="1" s="75">
      <c r="A350" s="49" t="n"/>
      <c r="B350" s="50" t="n"/>
      <c r="C350" s="41" t="n"/>
      <c r="D350" s="48" t="n"/>
    </row>
    <row r="351" customFormat="1" s="75">
      <c r="A351" s="49" t="n"/>
      <c r="B351" s="50" t="n"/>
      <c r="C351" s="41" t="n"/>
      <c r="D351" s="48" t="n"/>
    </row>
    <row r="352" customFormat="1" s="75">
      <c r="A352" s="49" t="n"/>
      <c r="B352" s="50" t="n"/>
      <c r="C352" s="41" t="n"/>
      <c r="D352" s="48" t="n"/>
    </row>
    <row r="353" customFormat="1" s="75">
      <c r="A353" s="49" t="n"/>
      <c r="B353" s="50" t="n"/>
      <c r="C353" s="41" t="n"/>
      <c r="D353" s="48" t="n"/>
    </row>
    <row r="354" customFormat="1" s="75">
      <c r="A354" s="49" t="n"/>
      <c r="B354" s="50" t="n"/>
      <c r="C354" s="41" t="n"/>
      <c r="D354" s="48" t="n"/>
    </row>
    <row r="355" customFormat="1" s="75">
      <c r="A355" s="49" t="n"/>
      <c r="B355" s="50" t="n"/>
      <c r="C355" s="41" t="n"/>
      <c r="D355" s="48" t="n"/>
    </row>
    <row r="356" customFormat="1" s="75">
      <c r="A356" s="49" t="n"/>
      <c r="B356" s="50" t="n"/>
      <c r="C356" s="41" t="n"/>
      <c r="D356" s="48" t="n"/>
    </row>
    <row r="357" customFormat="1" s="75">
      <c r="A357" s="49" t="n"/>
      <c r="B357" s="50" t="n"/>
      <c r="C357" s="41" t="n"/>
      <c r="D357" s="48" t="n"/>
    </row>
    <row r="358" customFormat="1" s="75">
      <c r="A358" s="49" t="n"/>
      <c r="B358" s="50" t="n"/>
      <c r="C358" s="41" t="n"/>
      <c r="D358" s="48" t="n"/>
    </row>
    <row r="359" customFormat="1" s="75">
      <c r="A359" s="49" t="n"/>
      <c r="B359" s="50" t="n"/>
      <c r="C359" s="41" t="n"/>
      <c r="D359" s="48" t="n"/>
    </row>
    <row r="360" customFormat="1" s="75">
      <c r="A360" s="49" t="n"/>
      <c r="B360" s="50" t="n"/>
      <c r="C360" s="41" t="n"/>
      <c r="D360" s="48" t="n"/>
    </row>
    <row r="361" customFormat="1" s="75">
      <c r="A361" s="49" t="n"/>
      <c r="B361" s="50" t="n"/>
      <c r="C361" s="41" t="n"/>
      <c r="D361" s="48" t="n"/>
    </row>
    <row r="362" customFormat="1" s="75">
      <c r="A362" s="49" t="n"/>
      <c r="B362" s="50" t="n"/>
      <c r="C362" s="41" t="n"/>
      <c r="D362" s="48" t="n"/>
    </row>
    <row r="363" customFormat="1" s="75">
      <c r="A363" s="49" t="n"/>
      <c r="B363" s="50" t="n"/>
      <c r="C363" s="41" t="n"/>
      <c r="D363" s="48" t="n"/>
    </row>
    <row r="364" customFormat="1" s="75">
      <c r="A364" s="49" t="n"/>
      <c r="B364" s="50" t="n"/>
      <c r="C364" s="41" t="n"/>
      <c r="D364" s="48" t="n"/>
    </row>
    <row r="365" customFormat="1" s="75">
      <c r="A365" s="49" t="n"/>
      <c r="B365" s="50" t="n"/>
      <c r="C365" s="41" t="n"/>
      <c r="D365" s="48" t="n"/>
    </row>
    <row r="366" customFormat="1" s="75">
      <c r="A366" s="49" t="n"/>
      <c r="B366" s="50" t="n"/>
      <c r="C366" s="41" t="n"/>
      <c r="D366" s="48" t="n"/>
    </row>
    <row r="367" customFormat="1" s="75">
      <c r="A367" s="49" t="n"/>
      <c r="B367" s="50" t="n"/>
      <c r="C367" s="41" t="n"/>
      <c r="D367" s="48" t="n"/>
    </row>
    <row r="368" customFormat="1" s="75">
      <c r="A368" s="49" t="n"/>
      <c r="B368" s="50" t="n"/>
      <c r="C368" s="41" t="n"/>
      <c r="D368" s="48" t="n"/>
    </row>
    <row r="369" customFormat="1" s="75">
      <c r="A369" s="49" t="n"/>
      <c r="B369" s="50" t="n"/>
      <c r="C369" s="41" t="n"/>
      <c r="D369" s="48" t="n"/>
    </row>
    <row r="370" customFormat="1" s="75">
      <c r="A370" s="49" t="n"/>
      <c r="B370" s="50" t="n"/>
      <c r="C370" s="41" t="n"/>
      <c r="D370" s="48" t="n"/>
    </row>
    <row r="371" customFormat="1" s="75">
      <c r="A371" s="49" t="n"/>
      <c r="B371" s="50" t="n"/>
      <c r="C371" s="41" t="n"/>
      <c r="D371" s="48" t="n"/>
    </row>
    <row r="372" customFormat="1" s="75">
      <c r="A372" s="49" t="n"/>
      <c r="B372" s="50" t="n"/>
      <c r="C372" s="41" t="n"/>
      <c r="D372" s="48" t="n"/>
    </row>
    <row r="373" customFormat="1" s="75">
      <c r="A373" s="49" t="n"/>
      <c r="B373" s="50" t="n"/>
      <c r="C373" s="41" t="n"/>
      <c r="D373" s="48" t="n"/>
    </row>
    <row r="374" customFormat="1" s="75">
      <c r="A374" s="49" t="n"/>
      <c r="B374" s="50" t="n"/>
      <c r="C374" s="41" t="n"/>
      <c r="D374" s="48" t="n"/>
    </row>
    <row r="375" customFormat="1" s="75">
      <c r="A375" s="49" t="n"/>
      <c r="B375" s="50" t="n"/>
      <c r="C375" s="41" t="n"/>
      <c r="D375" s="48" t="n"/>
    </row>
    <row r="376" customFormat="1" s="75">
      <c r="A376" s="49" t="n"/>
      <c r="B376" s="50" t="n"/>
      <c r="C376" s="41" t="n"/>
      <c r="D376" s="48" t="n"/>
    </row>
    <row r="377" customFormat="1" s="75">
      <c r="A377" s="49" t="n"/>
      <c r="B377" s="50" t="n"/>
      <c r="C377" s="41" t="n"/>
      <c r="D377" s="48" t="n"/>
    </row>
    <row r="378" customFormat="1" s="75">
      <c r="A378" s="49" t="n"/>
      <c r="B378" s="50" t="n"/>
      <c r="C378" s="41" t="n"/>
      <c r="D378" s="48" t="n"/>
    </row>
    <row r="379" customFormat="1" s="75">
      <c r="A379" s="49" t="n"/>
      <c r="B379" s="50" t="n"/>
      <c r="C379" s="41" t="n"/>
      <c r="D379" s="48" t="n"/>
    </row>
    <row r="380" customFormat="1" s="75">
      <c r="A380" s="49" t="n"/>
      <c r="B380" s="50" t="n"/>
      <c r="C380" s="41" t="n"/>
      <c r="D380" s="48" t="n"/>
    </row>
    <row r="381" customFormat="1" s="75">
      <c r="A381" s="49" t="n"/>
      <c r="B381" s="50" t="n"/>
      <c r="C381" s="41" t="n"/>
      <c r="D381" s="48" t="n"/>
    </row>
    <row r="382" customFormat="1" s="75">
      <c r="A382" s="49" t="n"/>
      <c r="B382" s="50" t="n"/>
      <c r="C382" s="41" t="n"/>
      <c r="D382" s="48" t="n"/>
    </row>
    <row r="383" customFormat="1" s="75">
      <c r="A383" s="49" t="n"/>
      <c r="B383" s="50" t="n"/>
      <c r="C383" s="41" t="n"/>
      <c r="D383" s="48" t="n"/>
    </row>
    <row r="384" customFormat="1" s="75">
      <c r="A384" s="49" t="n"/>
      <c r="B384" s="50" t="n"/>
      <c r="C384" s="41" t="n"/>
      <c r="D384" s="48" t="n"/>
    </row>
    <row r="385" customFormat="1" s="75">
      <c r="A385" s="49" t="n"/>
      <c r="B385" s="50" t="n"/>
      <c r="C385" s="41" t="n"/>
      <c r="D385" s="48" t="n"/>
    </row>
    <row r="386" customFormat="1" s="75">
      <c r="A386" s="49" t="n"/>
      <c r="B386" s="50" t="n"/>
      <c r="C386" s="41" t="n"/>
      <c r="D386" s="48" t="n"/>
    </row>
    <row r="387" customFormat="1" s="75">
      <c r="A387" s="49" t="n"/>
      <c r="B387" s="50" t="n"/>
      <c r="C387" s="41" t="n"/>
      <c r="D387" s="48" t="n"/>
    </row>
    <row r="388" customFormat="1" s="75">
      <c r="A388" s="49" t="n"/>
      <c r="B388" s="50" t="n"/>
      <c r="C388" s="41" t="n"/>
      <c r="D388" s="48" t="n"/>
    </row>
    <row r="389" customFormat="1" s="75">
      <c r="A389" s="49" t="n"/>
      <c r="B389" s="50" t="n"/>
      <c r="C389" s="41" t="n"/>
      <c r="D389" s="48" t="n"/>
    </row>
    <row r="390" customFormat="1" s="75">
      <c r="A390" s="49" t="n"/>
      <c r="B390" s="50" t="n"/>
      <c r="C390" s="41" t="n"/>
      <c r="D390" s="48" t="n"/>
    </row>
    <row r="391" customFormat="1" s="75">
      <c r="A391" s="49" t="n"/>
      <c r="B391" s="50" t="n"/>
      <c r="C391" s="41" t="n"/>
      <c r="D391" s="48" t="n"/>
    </row>
    <row r="392" customFormat="1" s="75">
      <c r="A392" s="49" t="n"/>
      <c r="B392" s="50" t="n"/>
      <c r="C392" s="41" t="n"/>
      <c r="D392" s="48" t="n"/>
    </row>
    <row r="393" customFormat="1" s="75">
      <c r="A393" s="49" t="n"/>
      <c r="B393" s="50" t="n"/>
      <c r="C393" s="41" t="n"/>
      <c r="D393" s="48" t="n"/>
    </row>
    <row r="394" customFormat="1" s="75">
      <c r="A394" s="49" t="n"/>
      <c r="B394" s="50" t="n"/>
      <c r="C394" s="41" t="n"/>
      <c r="D394" s="48" t="n"/>
    </row>
    <row r="395" customFormat="1" s="75">
      <c r="A395" s="49" t="n"/>
      <c r="B395" s="50" t="n"/>
      <c r="C395" s="41" t="n"/>
      <c r="D395" s="48" t="n"/>
    </row>
    <row r="396" customFormat="1" s="75">
      <c r="A396" s="49" t="n"/>
      <c r="B396" s="50" t="n"/>
      <c r="C396" s="41" t="n"/>
      <c r="D396" s="48" t="n"/>
    </row>
    <row r="397" customFormat="1" s="75">
      <c r="A397" s="49" t="n"/>
      <c r="B397" s="50" t="n"/>
      <c r="C397" s="41" t="n"/>
      <c r="D397" s="48" t="n"/>
    </row>
    <row r="398" customFormat="1" s="75">
      <c r="A398" s="49" t="n"/>
      <c r="B398" s="50" t="n"/>
      <c r="C398" s="41" t="n"/>
      <c r="D398" s="48" t="n"/>
    </row>
    <row r="399" customFormat="1" s="75">
      <c r="A399" s="49" t="n"/>
      <c r="B399" s="50" t="n"/>
      <c r="C399" s="41" t="n"/>
      <c r="D399" s="48" t="n"/>
    </row>
    <row r="400" customFormat="1" s="75">
      <c r="A400" s="49" t="n"/>
      <c r="B400" s="50" t="n"/>
      <c r="C400" s="41" t="n"/>
      <c r="D400" s="48" t="n"/>
    </row>
    <row r="401" customFormat="1" s="75">
      <c r="A401" s="49" t="n"/>
      <c r="B401" s="50" t="n"/>
      <c r="C401" s="41" t="n"/>
      <c r="D401" s="48" t="n"/>
    </row>
    <row r="402" customFormat="1" s="75">
      <c r="A402" s="49" t="n"/>
      <c r="B402" s="50" t="n"/>
      <c r="C402" s="41" t="n"/>
      <c r="D402" s="48" t="n"/>
    </row>
    <row r="403" customFormat="1" s="75">
      <c r="A403" s="49" t="n"/>
      <c r="B403" s="50" t="n"/>
      <c r="C403" s="41" t="n"/>
      <c r="D403" s="48" t="n"/>
    </row>
    <row r="404" customFormat="1" s="75">
      <c r="A404" s="49" t="n"/>
      <c r="B404" s="50" t="n"/>
      <c r="C404" s="41" t="n"/>
      <c r="D404" s="48" t="n"/>
    </row>
    <row r="405" customFormat="1" s="75">
      <c r="A405" s="49" t="n"/>
      <c r="B405" s="50" t="n"/>
      <c r="C405" s="41" t="n"/>
      <c r="D405" s="48" t="n"/>
    </row>
    <row r="406" customFormat="1" s="75">
      <c r="A406" s="49" t="n"/>
      <c r="B406" s="50" t="n"/>
      <c r="C406" s="41" t="n"/>
      <c r="D406" s="48" t="n"/>
    </row>
    <row r="407" customFormat="1" s="75">
      <c r="A407" s="49" t="n"/>
      <c r="B407" s="50" t="n"/>
      <c r="C407" s="41" t="n"/>
      <c r="D407" s="48" t="n"/>
    </row>
    <row r="408" customFormat="1" s="75">
      <c r="A408" s="49" t="n"/>
      <c r="B408" s="50" t="n"/>
      <c r="C408" s="41" t="n"/>
      <c r="D408" s="48" t="n"/>
    </row>
    <row r="409" customFormat="1" s="75">
      <c r="A409" s="49" t="n"/>
      <c r="B409" s="50" t="n"/>
      <c r="C409" s="41" t="n"/>
      <c r="D409" s="48" t="n"/>
    </row>
    <row r="410" customFormat="1" s="75">
      <c r="A410" s="49" t="n"/>
      <c r="B410" s="50" t="n"/>
      <c r="C410" s="41" t="n"/>
      <c r="D410" s="48" t="n"/>
    </row>
    <row r="411" customFormat="1" s="75">
      <c r="A411" s="49" t="n"/>
      <c r="B411" s="50" t="n"/>
      <c r="C411" s="41" t="n"/>
      <c r="D411" s="48" t="n"/>
    </row>
    <row r="412" customFormat="1" s="75">
      <c r="A412" s="49" t="n"/>
      <c r="B412" s="50" t="n"/>
      <c r="C412" s="41" t="n"/>
      <c r="D412" s="48" t="n"/>
    </row>
    <row r="413" customFormat="1" s="75">
      <c r="A413" s="49" t="n"/>
      <c r="B413" s="50" t="n"/>
      <c r="C413" s="41" t="n"/>
      <c r="D413" s="48" t="n"/>
    </row>
    <row r="414" customFormat="1" s="75">
      <c r="A414" s="49" t="n"/>
      <c r="B414" s="50" t="n"/>
      <c r="C414" s="41" t="n"/>
      <c r="D414" s="48" t="n"/>
    </row>
    <row r="415" customFormat="1" s="75">
      <c r="A415" s="49" t="n"/>
      <c r="B415" s="50" t="n"/>
      <c r="C415" s="41" t="n"/>
      <c r="D415" s="48" t="n"/>
    </row>
    <row r="416" customFormat="1" s="75">
      <c r="A416" s="49" t="n"/>
      <c r="B416" s="50" t="n"/>
      <c r="C416" s="41" t="n"/>
      <c r="D416" s="48" t="n"/>
    </row>
    <row r="417" customFormat="1" s="75">
      <c r="A417" s="49" t="n"/>
      <c r="B417" s="50" t="n"/>
      <c r="C417" s="41" t="n"/>
      <c r="D417" s="48" t="n"/>
    </row>
    <row r="418" customFormat="1" s="75">
      <c r="A418" s="49" t="n"/>
      <c r="B418" s="50" t="n"/>
      <c r="C418" s="41" t="n"/>
      <c r="D418" s="48" t="n"/>
    </row>
    <row r="419" customFormat="1" s="75">
      <c r="A419" s="49" t="n"/>
      <c r="B419" s="50" t="n"/>
      <c r="C419" s="41" t="n"/>
      <c r="D419" s="48" t="n"/>
    </row>
    <row r="420" customFormat="1" s="75">
      <c r="A420" s="49" t="n"/>
      <c r="B420" s="50" t="n"/>
      <c r="C420" s="41" t="n"/>
      <c r="D420" s="48" t="n"/>
    </row>
    <row r="421" customFormat="1" s="75">
      <c r="A421" s="49" t="n"/>
      <c r="B421" s="50" t="n"/>
      <c r="C421" s="41" t="n"/>
      <c r="D421" s="48" t="n"/>
    </row>
    <row r="422" customFormat="1" s="75">
      <c r="A422" s="49" t="n"/>
      <c r="B422" s="50" t="n"/>
      <c r="C422" s="41" t="n"/>
      <c r="D422" s="48" t="n"/>
    </row>
    <row r="423" customFormat="1" s="75">
      <c r="A423" s="49" t="n"/>
      <c r="B423" s="50" t="n"/>
      <c r="C423" s="41" t="n"/>
      <c r="D423" s="48" t="n"/>
    </row>
    <row r="424" customFormat="1" s="75">
      <c r="A424" s="49" t="n"/>
      <c r="B424" s="50" t="n"/>
      <c r="C424" s="41" t="n"/>
      <c r="D424" s="48" t="n"/>
    </row>
    <row r="425" customFormat="1" s="75">
      <c r="A425" s="49" t="n"/>
      <c r="B425" s="50" t="n"/>
      <c r="C425" s="41" t="n"/>
      <c r="D425" s="48" t="n"/>
    </row>
    <row r="426" customFormat="1" s="75">
      <c r="A426" s="49" t="n"/>
      <c r="B426" s="50" t="n"/>
      <c r="C426" s="41" t="n"/>
      <c r="D426" s="48" t="n"/>
    </row>
    <row r="427" customFormat="1" s="75">
      <c r="A427" s="49" t="n"/>
      <c r="B427" s="50" t="n"/>
      <c r="C427" s="41" t="n"/>
      <c r="D427" s="48" t="n"/>
    </row>
    <row r="428" customFormat="1" s="75">
      <c r="A428" s="49" t="n"/>
      <c r="B428" s="50" t="n"/>
      <c r="C428" s="41" t="n"/>
      <c r="D428" s="48" t="n"/>
    </row>
    <row r="429" customFormat="1" s="75">
      <c r="A429" s="49" t="n"/>
      <c r="B429" s="50" t="n"/>
      <c r="C429" s="41" t="n"/>
      <c r="D429" s="48" t="n"/>
    </row>
    <row r="430" customFormat="1" s="75">
      <c r="A430" s="49" t="n"/>
      <c r="B430" s="50" t="n"/>
      <c r="C430" s="41" t="n"/>
      <c r="D430" s="48" t="n"/>
    </row>
    <row r="431" customFormat="1" s="75">
      <c r="A431" s="49" t="n"/>
      <c r="B431" s="50" t="n"/>
      <c r="C431" s="41" t="n"/>
      <c r="D431" s="48" t="n"/>
    </row>
    <row r="432" customFormat="1" s="75">
      <c r="A432" s="49" t="n"/>
      <c r="B432" s="50" t="n"/>
      <c r="C432" s="41" t="n"/>
      <c r="D432" s="48" t="n"/>
    </row>
    <row r="433" customFormat="1" s="75">
      <c r="A433" s="49" t="n"/>
      <c r="B433" s="50" t="n"/>
      <c r="C433" s="41" t="n"/>
      <c r="D433" s="48" t="n"/>
    </row>
    <row r="434" customFormat="1" s="75">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54" activePane="bottomLeft" state="frozen"/>
      <selection activeCell="B31" sqref="B31"/>
      <selection pane="bottomLeft" activeCell="S281" sqref="S281"/>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5"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5">
        <f>B1&amp;" GDP % qoq"</f>
        <v/>
      </c>
      <c r="V1" s="75" t="inlineStr">
        <is>
          <t>AUS</t>
        </is>
      </c>
    </row>
    <row r="2">
      <c r="A2" s="42" t="n">
        <v>17349</v>
      </c>
      <c r="B2" s="43">
        <f>VLOOKUP(A2,'Data qoq'!$B:$AT,MATCH($B$1,'Data qoq'!$B$1:$AT$1,0),FALSE)</f>
        <v/>
      </c>
      <c r="C2" s="44" t="n"/>
      <c r="D2" s="54">
        <f>(Table134567891011121314151617343[[#This Row],[USA]]/100 +1)^4-1</f>
        <v/>
      </c>
      <c r="E2" s="46" t="n"/>
      <c r="F2" s="46" t="n"/>
      <c r="G2" s="46" t="n"/>
      <c r="H2" s="46" t="n"/>
      <c r="J2" s="75">
        <f>B1&amp;" GDP % qoq annualized"</f>
        <v/>
      </c>
      <c r="V2" s="75"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5"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5"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5"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5"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5"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5"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5"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5"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5" t="inlineStr">
        <is>
          <t>FIN</t>
        </is>
      </c>
    </row>
    <row r="12">
      <c r="A12" s="42" t="n">
        <v>18264</v>
      </c>
      <c r="B12" s="43">
        <f>VLOOKUP(A12,'Data qoq'!$B:$AT,MATCH($B$1,'Data qoq'!$B$1:$AT$1,0),FALSE)</f>
        <v/>
      </c>
      <c r="C12" s="43">
        <f>Table134567891011121314151617343[[#This Row],[USA]]-B11</f>
        <v/>
      </c>
      <c r="D12" s="55">
        <f>(Table134567891011121314151617343[[#This Row],[USA]]/100 +1)^4-1</f>
        <v/>
      </c>
      <c r="V12" s="75" t="inlineStr">
        <is>
          <t>FRA</t>
        </is>
      </c>
    </row>
    <row r="13">
      <c r="A13" s="42" t="n">
        <v>18354</v>
      </c>
      <c r="B13" s="43">
        <f>VLOOKUP(A13,'Data qoq'!$B:$AT,MATCH($B$1,'Data qoq'!$B$1:$AT$1,0),FALSE)</f>
        <v/>
      </c>
      <c r="C13" s="43">
        <f>Table134567891011121314151617343[[#This Row],[USA]]-B12</f>
        <v/>
      </c>
      <c r="D13" s="55">
        <f>(Table134567891011121314151617343[[#This Row],[USA]]/100 +1)^4-1</f>
        <v/>
      </c>
      <c r="V13" s="75" t="inlineStr">
        <is>
          <t>GBR</t>
        </is>
      </c>
    </row>
    <row r="14">
      <c r="A14" s="42" t="n">
        <v>18445</v>
      </c>
      <c r="B14" s="43">
        <f>VLOOKUP(A14,'Data qoq'!$B:$AT,MATCH($B$1,'Data qoq'!$B$1:$AT$1,0),FALSE)</f>
        <v/>
      </c>
      <c r="C14" s="43">
        <f>Table134567891011121314151617343[[#This Row],[USA]]-B13</f>
        <v/>
      </c>
      <c r="D14" s="55">
        <f>(Table134567891011121314151617343[[#This Row],[USA]]/100 +1)^4-1</f>
        <v/>
      </c>
      <c r="V14" s="75" t="inlineStr">
        <is>
          <t>GRC</t>
        </is>
      </c>
    </row>
    <row r="15">
      <c r="A15" s="42" t="n">
        <v>18537</v>
      </c>
      <c r="B15" s="43">
        <f>VLOOKUP(A15,'Data qoq'!$B:$AT,MATCH($B$1,'Data qoq'!$B$1:$AT$1,0),FALSE)</f>
        <v/>
      </c>
      <c r="C15" s="43">
        <f>Table134567891011121314151617343[[#This Row],[USA]]-B14</f>
        <v/>
      </c>
      <c r="D15" s="55">
        <f>(Table134567891011121314151617343[[#This Row],[USA]]/100 +1)^4-1</f>
        <v/>
      </c>
      <c r="V15" s="75" t="inlineStr">
        <is>
          <t>HUN</t>
        </is>
      </c>
    </row>
    <row r="16">
      <c r="A16" s="42" t="n">
        <v>18629</v>
      </c>
      <c r="B16" s="43">
        <f>VLOOKUP(A16,'Data qoq'!$B:$AT,MATCH($B$1,'Data qoq'!$B$1:$AT$1,0),FALSE)</f>
        <v/>
      </c>
      <c r="C16" s="43">
        <f>Table134567891011121314151617343[[#This Row],[USA]]-B15</f>
        <v/>
      </c>
      <c r="D16" s="55">
        <f>(Table134567891011121314151617343[[#This Row],[USA]]/100 +1)^4-1</f>
        <v/>
      </c>
      <c r="V16" s="75" t="inlineStr">
        <is>
          <t>IRL</t>
        </is>
      </c>
    </row>
    <row r="17">
      <c r="A17" s="42" t="n">
        <v>18719</v>
      </c>
      <c r="B17" s="43">
        <f>VLOOKUP(A17,'Data qoq'!$B:$AT,MATCH($B$1,'Data qoq'!$B$1:$AT$1,0),FALSE)</f>
        <v/>
      </c>
      <c r="C17" s="43">
        <f>Table134567891011121314151617343[[#This Row],[USA]]-B16</f>
        <v/>
      </c>
      <c r="D17" s="55">
        <f>(Table134567891011121314151617343[[#This Row],[USA]]/100 +1)^4-1</f>
        <v/>
      </c>
      <c r="V17" s="75" t="inlineStr">
        <is>
          <t>ISL</t>
        </is>
      </c>
    </row>
    <row r="18">
      <c r="A18" s="42" t="n">
        <v>18810</v>
      </c>
      <c r="B18" s="43">
        <f>VLOOKUP(A18,'Data qoq'!$B:$AT,MATCH($B$1,'Data qoq'!$B$1:$AT$1,0),FALSE)</f>
        <v/>
      </c>
      <c r="C18" s="43">
        <f>Table134567891011121314151617343[[#This Row],[USA]]-B17</f>
        <v/>
      </c>
      <c r="D18" s="55">
        <f>(Table134567891011121314151617343[[#This Row],[USA]]/100 +1)^4-1</f>
        <v/>
      </c>
      <c r="V18" s="75" t="inlineStr">
        <is>
          <t>ISR</t>
        </is>
      </c>
    </row>
    <row r="19">
      <c r="A19" s="42" t="n">
        <v>18902</v>
      </c>
      <c r="B19" s="43">
        <f>VLOOKUP(A19,'Data qoq'!$B:$AT,MATCH($B$1,'Data qoq'!$B$1:$AT$1,0),FALSE)</f>
        <v/>
      </c>
      <c r="C19" s="43">
        <f>Table134567891011121314151617343[[#This Row],[USA]]-B18</f>
        <v/>
      </c>
      <c r="D19" s="55">
        <f>(Table134567891011121314151617343[[#This Row],[USA]]/100 +1)^4-1</f>
        <v/>
      </c>
      <c r="V19" s="75" t="inlineStr">
        <is>
          <t>ITA</t>
        </is>
      </c>
    </row>
    <row r="20">
      <c r="A20" s="42" t="n">
        <v>18994</v>
      </c>
      <c r="B20" s="43">
        <f>VLOOKUP(A20,'Data qoq'!$B:$AT,MATCH($B$1,'Data qoq'!$B$1:$AT$1,0),FALSE)</f>
        <v/>
      </c>
      <c r="C20" s="43">
        <f>Table134567891011121314151617343[[#This Row],[USA]]-B19</f>
        <v/>
      </c>
      <c r="D20" s="55">
        <f>(Table134567891011121314151617343[[#This Row],[USA]]/100 +1)^4-1</f>
        <v/>
      </c>
      <c r="V20" s="75" t="inlineStr">
        <is>
          <t>JPN</t>
        </is>
      </c>
    </row>
    <row r="21">
      <c r="A21" s="42" t="n">
        <v>19085</v>
      </c>
      <c r="B21" s="43">
        <f>VLOOKUP(A21,'Data qoq'!$B:$AT,MATCH($B$1,'Data qoq'!$B$1:$AT$1,0),FALSE)</f>
        <v/>
      </c>
      <c r="C21" s="43">
        <f>Table134567891011121314151617343[[#This Row],[USA]]-B20</f>
        <v/>
      </c>
      <c r="D21" s="55">
        <f>(Table134567891011121314151617343[[#This Row],[USA]]/100 +1)^4-1</f>
        <v/>
      </c>
      <c r="V21" s="75" t="inlineStr">
        <is>
          <t>KOR</t>
        </is>
      </c>
    </row>
    <row r="22">
      <c r="A22" s="42" t="n">
        <v>19176</v>
      </c>
      <c r="B22" s="43">
        <f>VLOOKUP(A22,'Data qoq'!$B:$AT,MATCH($B$1,'Data qoq'!$B$1:$AT$1,0),FALSE)</f>
        <v/>
      </c>
      <c r="C22" s="43">
        <f>Table134567891011121314151617343[[#This Row],[USA]]-B21</f>
        <v/>
      </c>
      <c r="D22" s="55">
        <f>(Table134567891011121314151617343[[#This Row],[USA]]/100 +1)^4-1</f>
        <v/>
      </c>
      <c r="V22" s="75" t="inlineStr">
        <is>
          <t>LUX</t>
        </is>
      </c>
    </row>
    <row r="23">
      <c r="A23" s="42" t="n">
        <v>19268</v>
      </c>
      <c r="B23" s="43">
        <f>VLOOKUP(A23,'Data qoq'!$B:$AT,MATCH($B$1,'Data qoq'!$B$1:$AT$1,0),FALSE)</f>
        <v/>
      </c>
      <c r="C23" s="43">
        <f>Table134567891011121314151617343[[#This Row],[USA]]-B22</f>
        <v/>
      </c>
      <c r="D23" s="55">
        <f>(Table134567891011121314151617343[[#This Row],[USA]]/100 +1)^4-1</f>
        <v/>
      </c>
      <c r="V23" s="75" t="inlineStr">
        <is>
          <t>LVA</t>
        </is>
      </c>
    </row>
    <row r="24">
      <c r="A24" s="42" t="n">
        <v>19360</v>
      </c>
      <c r="B24" s="43">
        <f>VLOOKUP(A24,'Data qoq'!$B:$AT,MATCH($B$1,'Data qoq'!$B$1:$AT$1,0),FALSE)</f>
        <v/>
      </c>
      <c r="C24" s="43">
        <f>Table134567891011121314151617343[[#This Row],[USA]]-B23</f>
        <v/>
      </c>
      <c r="D24" s="55">
        <f>(Table134567891011121314151617343[[#This Row],[USA]]/100 +1)^4-1</f>
        <v/>
      </c>
      <c r="V24" s="75" t="inlineStr">
        <is>
          <t>MEX</t>
        </is>
      </c>
    </row>
    <row r="25">
      <c r="A25" s="42" t="n">
        <v>19450</v>
      </c>
      <c r="B25" s="43">
        <f>VLOOKUP(A25,'Data qoq'!$B:$AT,MATCH($B$1,'Data qoq'!$B$1:$AT$1,0),FALSE)</f>
        <v/>
      </c>
      <c r="C25" s="43">
        <f>Table134567891011121314151617343[[#This Row],[USA]]-B24</f>
        <v/>
      </c>
      <c r="D25" s="55">
        <f>(Table134567891011121314151617343[[#This Row],[USA]]/100 +1)^4-1</f>
        <v/>
      </c>
      <c r="V25" s="75" t="inlineStr">
        <is>
          <t>NLD</t>
        </is>
      </c>
    </row>
    <row r="26">
      <c r="A26" s="42" t="n">
        <v>19541</v>
      </c>
      <c r="B26" s="43">
        <f>VLOOKUP(A26,'Data qoq'!$B:$AT,MATCH($B$1,'Data qoq'!$B$1:$AT$1,0),FALSE)</f>
        <v/>
      </c>
      <c r="C26" s="43">
        <f>Table134567891011121314151617343[[#This Row],[USA]]-B25</f>
        <v/>
      </c>
      <c r="D26" s="55">
        <f>(Table134567891011121314151617343[[#This Row],[USA]]/100 +1)^4-1</f>
        <v/>
      </c>
      <c r="V26" s="75" t="inlineStr">
        <is>
          <t>NOR</t>
        </is>
      </c>
    </row>
    <row r="27">
      <c r="A27" s="42" t="n">
        <v>19633</v>
      </c>
      <c r="B27" s="43">
        <f>VLOOKUP(A27,'Data qoq'!$B:$AT,MATCH($B$1,'Data qoq'!$B$1:$AT$1,0),FALSE)</f>
        <v/>
      </c>
      <c r="C27" s="43">
        <f>Table134567891011121314151617343[[#This Row],[USA]]-B26</f>
        <v/>
      </c>
      <c r="D27" s="55">
        <f>(Table134567891011121314151617343[[#This Row],[USA]]/100 +1)^4-1</f>
        <v/>
      </c>
      <c r="V27" s="75" t="inlineStr">
        <is>
          <t>OECD</t>
        </is>
      </c>
    </row>
    <row r="28">
      <c r="A28" s="42" t="n">
        <v>19725</v>
      </c>
      <c r="B28" s="43">
        <f>VLOOKUP(A28,'Data qoq'!$B:$AT,MATCH($B$1,'Data qoq'!$B$1:$AT$1,0),FALSE)</f>
        <v/>
      </c>
      <c r="C28" s="43">
        <f>Table134567891011121314151617343[[#This Row],[USA]]-B27</f>
        <v/>
      </c>
      <c r="D28" s="55">
        <f>(Table134567891011121314151617343[[#This Row],[USA]]/100 +1)^4-1</f>
        <v/>
      </c>
      <c r="V28" s="75" t="inlineStr">
        <is>
          <t>POL</t>
        </is>
      </c>
    </row>
    <row r="29">
      <c r="A29" s="42" t="n">
        <v>19815</v>
      </c>
      <c r="B29" s="43">
        <f>VLOOKUP(A29,'Data qoq'!$B:$AT,MATCH($B$1,'Data qoq'!$B$1:$AT$1,0),FALSE)</f>
        <v/>
      </c>
      <c r="C29" s="43">
        <f>Table134567891011121314151617343[[#This Row],[USA]]-B28</f>
        <v/>
      </c>
      <c r="D29" s="55">
        <f>(Table134567891011121314151617343[[#This Row],[USA]]/100 +1)^4-1</f>
        <v/>
      </c>
      <c r="V29" s="75" t="inlineStr">
        <is>
          <t>PRT</t>
        </is>
      </c>
    </row>
    <row r="30">
      <c r="A30" s="42" t="n">
        <v>19906</v>
      </c>
      <c r="B30" s="43">
        <f>VLOOKUP(A30,'Data qoq'!$B:$AT,MATCH($B$1,'Data qoq'!$B$1:$AT$1,0),FALSE)</f>
        <v/>
      </c>
      <c r="C30" s="43">
        <f>Table134567891011121314151617343[[#This Row],[USA]]-B29</f>
        <v/>
      </c>
      <c r="D30" s="55">
        <f>(Table134567891011121314151617343[[#This Row],[USA]]/100 +1)^4-1</f>
        <v/>
      </c>
      <c r="V30" s="75" t="inlineStr">
        <is>
          <t>SVK</t>
        </is>
      </c>
    </row>
    <row r="31">
      <c r="A31" s="42" t="n">
        <v>19998</v>
      </c>
      <c r="B31" s="43">
        <f>VLOOKUP(A31,'Data qoq'!$B:$AT,MATCH($B$1,'Data qoq'!$B$1:$AT$1,0),FALSE)</f>
        <v/>
      </c>
      <c r="C31" s="43">
        <f>Table134567891011121314151617343[[#This Row],[USA]]-B30</f>
        <v/>
      </c>
      <c r="D31" s="55">
        <f>(Table134567891011121314151617343[[#This Row],[USA]]/100 +1)^4-1</f>
        <v/>
      </c>
      <c r="V31" s="75" t="inlineStr">
        <is>
          <t>SVN</t>
        </is>
      </c>
    </row>
    <row r="32">
      <c r="A32" s="42" t="n">
        <v>20090</v>
      </c>
      <c r="B32" s="43">
        <f>VLOOKUP(A32,'Data qoq'!$B:$AT,MATCH($B$1,'Data qoq'!$B$1:$AT$1,0),FALSE)</f>
        <v/>
      </c>
      <c r="C32" s="43">
        <f>Table134567891011121314151617343[[#This Row],[USA]]-B31</f>
        <v/>
      </c>
      <c r="D32" s="55">
        <f>(Table134567891011121314151617343[[#This Row],[USA]]/100 +1)^4-1</f>
        <v/>
      </c>
      <c r="V32" s="75" t="inlineStr">
        <is>
          <t>SWE</t>
        </is>
      </c>
    </row>
    <row r="33">
      <c r="A33" s="42" t="n">
        <v>20180</v>
      </c>
      <c r="B33" s="43">
        <f>VLOOKUP(A33,'Data qoq'!$B:$AT,MATCH($B$1,'Data qoq'!$B$1:$AT$1,0),FALSE)</f>
        <v/>
      </c>
      <c r="C33" s="43">
        <f>Table134567891011121314151617343[[#This Row],[USA]]-B32</f>
        <v/>
      </c>
      <c r="D33" s="55">
        <f>(Table134567891011121314151617343[[#This Row],[USA]]/100 +1)^4-1</f>
        <v/>
      </c>
      <c r="V33" s="75" t="inlineStr">
        <is>
          <t>TUR</t>
        </is>
      </c>
    </row>
    <row r="34">
      <c r="A34" s="42" t="n">
        <v>20271</v>
      </c>
      <c r="B34" s="43">
        <f>VLOOKUP(A34,'Data qoq'!$B:$AT,MATCH($B$1,'Data qoq'!$B$1:$AT$1,0),FALSE)</f>
        <v/>
      </c>
      <c r="C34" s="43">
        <f>Table134567891011121314151617343[[#This Row],[USA]]-B33</f>
        <v/>
      </c>
      <c r="D34" s="55">
        <f>(Table134567891011121314151617343[[#This Row],[USA]]/100 +1)^4-1</f>
        <v/>
      </c>
      <c r="V34" s="75" t="inlineStr">
        <is>
          <t>USA</t>
        </is>
      </c>
    </row>
    <row r="35">
      <c r="A35" s="42" t="n">
        <v>20363</v>
      </c>
      <c r="B35" s="43">
        <f>VLOOKUP(A35,'Data qoq'!$B:$AT,MATCH($B$1,'Data qoq'!$B$1:$AT$1,0),FALSE)</f>
        <v/>
      </c>
      <c r="C35" s="43">
        <f>Table134567891011121314151617343[[#This Row],[USA]]-B34</f>
        <v/>
      </c>
      <c r="D35" s="55">
        <f>(Table134567891011121314151617343[[#This Row],[USA]]/100 +1)^4-1</f>
        <v/>
      </c>
      <c r="V35" s="75" t="inlineStr">
        <is>
          <t>EA19</t>
        </is>
      </c>
    </row>
    <row r="36">
      <c r="A36" s="42" t="n">
        <v>20455</v>
      </c>
      <c r="B36" s="43">
        <f>VLOOKUP(A36,'Data qoq'!$B:$AT,MATCH($B$1,'Data qoq'!$B$1:$AT$1,0),FALSE)</f>
        <v/>
      </c>
      <c r="C36" s="43">
        <f>Table134567891011121314151617343[[#This Row],[USA]]-B35</f>
        <v/>
      </c>
      <c r="D36" s="55">
        <f>(Table134567891011121314151617343[[#This Row],[USA]]/100 +1)^4-1</f>
        <v/>
      </c>
      <c r="V36" s="75" t="inlineStr">
        <is>
          <t>EU27_2020</t>
        </is>
      </c>
    </row>
    <row r="37">
      <c r="A37" s="42" t="n">
        <v>20546</v>
      </c>
      <c r="B37" s="43">
        <f>VLOOKUP(A37,'Data qoq'!$B:$AT,MATCH($B$1,'Data qoq'!$B$1:$AT$1,0),FALSE)</f>
        <v/>
      </c>
      <c r="C37" s="43">
        <f>Table134567891011121314151617343[[#This Row],[USA]]-B36</f>
        <v/>
      </c>
      <c r="D37" s="55">
        <f>(Table134567891011121314151617343[[#This Row],[USA]]/100 +1)^4-1</f>
        <v/>
      </c>
      <c r="V37" s="75" t="inlineStr">
        <is>
          <t>G-7</t>
        </is>
      </c>
    </row>
    <row r="38">
      <c r="A38" s="42" t="n">
        <v>20637</v>
      </c>
      <c r="B38" s="43">
        <f>VLOOKUP(A38,'Data qoq'!$B:$AT,MATCH($B$1,'Data qoq'!$B$1:$AT$1,0),FALSE)</f>
        <v/>
      </c>
      <c r="C38" s="43">
        <f>Table134567891011121314151617343[[#This Row],[USA]]-B37</f>
        <v/>
      </c>
      <c r="D38" s="55">
        <f>(Table134567891011121314151617343[[#This Row],[USA]]/100 +1)^4-1</f>
        <v/>
      </c>
      <c r="V38" s="75" t="inlineStr">
        <is>
          <t>CHE</t>
        </is>
      </c>
    </row>
    <row r="39">
      <c r="A39" s="42" t="n">
        <v>20729</v>
      </c>
      <c r="B39" s="43">
        <f>VLOOKUP(A39,'Data qoq'!$B:$AT,MATCH($B$1,'Data qoq'!$B$1:$AT$1,0),FALSE)</f>
        <v/>
      </c>
      <c r="C39" s="43">
        <f>Table134567891011121314151617343[[#This Row],[USA]]-B38</f>
        <v/>
      </c>
      <c r="D39" s="55">
        <f>(Table134567891011121314151617343[[#This Row],[USA]]/100 +1)^4-1</f>
        <v/>
      </c>
      <c r="V39" s="75" t="inlineStr">
        <is>
          <t>IND</t>
        </is>
      </c>
    </row>
    <row r="40">
      <c r="A40" s="42" t="n">
        <v>20821</v>
      </c>
      <c r="B40" s="43">
        <f>VLOOKUP(A40,'Data qoq'!$B:$AT,MATCH($B$1,'Data qoq'!$B$1:$AT$1,0),FALSE)</f>
        <v/>
      </c>
      <c r="C40" s="43">
        <f>Table134567891011121314151617343[[#This Row],[USA]]-B39</f>
        <v/>
      </c>
      <c r="D40" s="55">
        <f>(Table134567891011121314151617343[[#This Row],[USA]]/100 +1)^4-1</f>
        <v/>
      </c>
      <c r="V40" s="75" t="inlineStr">
        <is>
          <t>ZAF</t>
        </is>
      </c>
    </row>
    <row r="41">
      <c r="A41" s="42" t="n">
        <v>20911</v>
      </c>
      <c r="B41" s="43">
        <f>VLOOKUP(A41,'Data qoq'!$B:$AT,MATCH($B$1,'Data qoq'!$B$1:$AT$1,0),FALSE)</f>
        <v/>
      </c>
      <c r="C41" s="43">
        <f>Table134567891011121314151617343[[#This Row],[USA]]-B40</f>
        <v/>
      </c>
      <c r="D41" s="55">
        <f>(Table134567891011121314151617343[[#This Row],[USA]]/100 +1)^4-1</f>
        <v/>
      </c>
      <c r="V41" s="75"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5">
      <c r="A291" s="42" t="n">
        <v>43739</v>
      </c>
      <c r="B291" s="43">
        <f>VLOOKUP(A291,'Data qoq'!$B:$AT,MATCH($B$1,'Data qoq'!$B$1:$AT$1,0),FALSE)</f>
        <v/>
      </c>
      <c r="C291" s="43">
        <f>Table134567891011121314151617343[[#This Row],[USA]]-B290</f>
        <v/>
      </c>
      <c r="D291" s="55">
        <f>(Table134567891011121314151617343[[#This Row],[USA]]/100 +1)^4-1</f>
        <v/>
      </c>
    </row>
    <row r="292" customFormat="1" s="75">
      <c r="A292" s="42" t="n">
        <v>43831</v>
      </c>
      <c r="B292" s="43">
        <f>VLOOKUP(A292,'Data qoq'!$B:$AT,MATCH($B$1,'Data qoq'!$B$1:$AT$1,0),FALSE)</f>
        <v/>
      </c>
      <c r="C292" s="43">
        <f>Table134567891011121314151617343[[#This Row],[USA]]-B291</f>
        <v/>
      </c>
      <c r="D292" s="55">
        <f>(Table134567891011121314151617343[[#This Row],[USA]]/100 +1)^4-1</f>
        <v/>
      </c>
    </row>
    <row r="293" customFormat="1" s="75">
      <c r="A293" s="42" t="n">
        <v>43922</v>
      </c>
      <c r="B293" s="43">
        <f>VLOOKUP(A293,'Data qoq'!$B:$AT,MATCH($B$1,'Data qoq'!$B$1:$AT$1,0),FALSE)</f>
        <v/>
      </c>
      <c r="C293" s="43">
        <f>Table134567891011121314151617343[[#This Row],[USA]]-B292</f>
        <v/>
      </c>
      <c r="D293" s="55">
        <f>(Table134567891011121314151617343[[#This Row],[USA]]/100 +1)^4-1</f>
        <v/>
      </c>
    </row>
    <row r="294" customFormat="1" s="75">
      <c r="A294" s="42" t="n">
        <v>44013</v>
      </c>
      <c r="B294" s="43">
        <f>VLOOKUP(A294,'Data qoq'!$B:$AT,MATCH($B$1,'Data qoq'!$B$1:$AT$1,0),FALSE)</f>
        <v/>
      </c>
      <c r="C294" s="43">
        <f>Table134567891011121314151617343[[#This Row],[USA]]-B293</f>
        <v/>
      </c>
      <c r="D294" s="55">
        <f>(Table134567891011121314151617343[[#This Row],[USA]]/100 +1)^4-1</f>
        <v/>
      </c>
    </row>
    <row r="295" customFormat="1" s="75">
      <c r="A295" s="42" t="n">
        <v>44105</v>
      </c>
      <c r="B295" s="43">
        <f>VLOOKUP(A295,'Data qoq'!$B:$AT,MATCH($B$1,'Data qoq'!$B$1:$AT$1,0),FALSE)</f>
        <v/>
      </c>
      <c r="C295" s="43">
        <f>Table134567891011121314151617343[[#This Row],[USA]]-B294</f>
        <v/>
      </c>
      <c r="D295" s="55">
        <f>(Table134567891011121314151617343[[#This Row],[USA]]/100 +1)^4-1</f>
        <v/>
      </c>
    </row>
    <row r="296" customFormat="1" s="75">
      <c r="A296" s="42" t="n">
        <v>44197</v>
      </c>
      <c r="B296" s="43">
        <f>VLOOKUP(A296,'Data qoq'!$B:$AT,MATCH($B$1,'Data qoq'!$B$1:$AT$1,0),FALSE)</f>
        <v/>
      </c>
      <c r="C296" s="43">
        <f>Table134567891011121314151617343[[#This Row],[USA]]-B295</f>
        <v/>
      </c>
      <c r="D296" s="55">
        <f>(Table134567891011121314151617343[[#This Row],[USA]]/100 +1)^4-1</f>
        <v/>
      </c>
    </row>
    <row r="297" customFormat="1" s="75">
      <c r="A297" s="42" t="n">
        <v>44287</v>
      </c>
      <c r="B297" s="43">
        <f>VLOOKUP(A297,'Data qoq'!$B:$AT,MATCH($B$1,'Data qoq'!$B$1:$AT$1,0),FALSE)</f>
        <v/>
      </c>
      <c r="C297" s="43">
        <f>Table134567891011121314151617343[[#This Row],[USA]]-B296</f>
        <v/>
      </c>
      <c r="D297" s="55">
        <f>(Table134567891011121314151617343[[#This Row],[USA]]/100 +1)^4-1</f>
        <v/>
      </c>
    </row>
    <row r="298" customFormat="1" s="75">
      <c r="A298" s="42" t="n">
        <v>44378</v>
      </c>
      <c r="B298" s="43">
        <f>VLOOKUP(A298,'Data qoq'!$B:$AT,MATCH($B$1,'Data qoq'!$B$1:$AT$1,0),FALSE)</f>
        <v/>
      </c>
      <c r="C298" s="43">
        <f>Table134567891011121314151617343[[#This Row],[USA]]-B297</f>
        <v/>
      </c>
      <c r="D298" s="55">
        <f>(Table134567891011121314151617343[[#This Row],[USA]]/100 +1)^4-1</f>
        <v/>
      </c>
    </row>
    <row r="299" customFormat="1" s="75">
      <c r="A299" s="42" t="n">
        <v>44470</v>
      </c>
      <c r="B299" s="43">
        <f>VLOOKUP(A299,'Data qoq'!$B:$AT,MATCH($B$1,'Data qoq'!$B$1:$AT$1,0),FALSE)</f>
        <v/>
      </c>
      <c r="C299" s="43">
        <f>Table134567891011121314151617343[[#This Row],[USA]]-B298</f>
        <v/>
      </c>
      <c r="D299" s="55">
        <f>(Table134567891011121314151617343[[#This Row],[USA]]/100 +1)^4-1</f>
        <v/>
      </c>
    </row>
    <row r="300" customFormat="1" s="75">
      <c r="A300" s="49" t="n"/>
      <c r="B300" s="50" t="n"/>
      <c r="C300" s="41" t="n"/>
      <c r="D300" s="56" t="n"/>
    </row>
    <row r="301" customFormat="1" s="75">
      <c r="A301" s="49" t="n"/>
      <c r="B301" s="50" t="n"/>
      <c r="C301" s="41" t="n"/>
      <c r="D301" s="56" t="n"/>
    </row>
    <row r="302" customFormat="1" s="75">
      <c r="A302" s="49" t="n"/>
      <c r="B302" s="50" t="n"/>
      <c r="C302" s="41" t="n"/>
      <c r="D302" s="56" t="n"/>
    </row>
    <row r="303" customFormat="1" s="75">
      <c r="A303" s="49" t="n"/>
      <c r="B303" s="50" t="n"/>
      <c r="C303" s="41" t="n"/>
      <c r="D303" s="56" t="n"/>
    </row>
    <row r="304" customFormat="1" s="75">
      <c r="A304" s="49" t="n"/>
      <c r="B304" s="50" t="n"/>
      <c r="C304" s="41" t="n"/>
      <c r="D304" s="56" t="n"/>
    </row>
    <row r="305" customFormat="1" s="75">
      <c r="A305" s="49" t="n"/>
      <c r="B305" s="50" t="n"/>
      <c r="C305" s="41" t="n"/>
      <c r="D305" s="56" t="n"/>
    </row>
    <row r="306" customFormat="1" s="75">
      <c r="A306" s="49" t="n"/>
      <c r="B306" s="50" t="n"/>
      <c r="C306" s="41" t="n"/>
      <c r="D306" s="56" t="n"/>
    </row>
    <row r="307" customFormat="1" s="75">
      <c r="A307" s="49" t="n"/>
      <c r="B307" s="50" t="n"/>
      <c r="C307" s="41" t="n"/>
      <c r="D307" s="56" t="n"/>
    </row>
    <row r="308" customFormat="1" s="75">
      <c r="A308" s="49" t="n"/>
      <c r="B308" s="50" t="n"/>
      <c r="C308" s="41" t="n"/>
      <c r="D308" s="56" t="n"/>
    </row>
    <row r="309" customFormat="1" s="75">
      <c r="A309" s="49" t="n"/>
      <c r="B309" s="50" t="n"/>
      <c r="C309" s="41" t="n"/>
      <c r="D309" s="56" t="n"/>
    </row>
    <row r="310" customFormat="1" s="75">
      <c r="A310" s="49" t="n"/>
      <c r="B310" s="50" t="n"/>
      <c r="C310" s="41" t="n"/>
      <c r="D310" s="56" t="n"/>
    </row>
    <row r="311" customFormat="1" s="75">
      <c r="A311" s="49" t="n"/>
      <c r="B311" s="50" t="n"/>
      <c r="C311" s="41" t="n"/>
      <c r="D311" s="56" t="n"/>
    </row>
    <row r="312" customFormat="1" s="75">
      <c r="A312" s="49" t="n"/>
      <c r="B312" s="50" t="n"/>
      <c r="C312" s="41" t="n"/>
      <c r="D312" s="56" t="n"/>
    </row>
    <row r="313" customFormat="1" s="75">
      <c r="A313" s="49" t="n"/>
      <c r="B313" s="50" t="n"/>
      <c r="C313" s="41" t="n"/>
      <c r="D313" s="56" t="n"/>
    </row>
    <row r="314" customFormat="1" s="75">
      <c r="A314" s="49" t="n"/>
      <c r="B314" s="50" t="n"/>
      <c r="C314" s="41" t="n"/>
      <c r="D314" s="56" t="n"/>
    </row>
    <row r="315" customFormat="1" s="75">
      <c r="A315" s="49" t="n"/>
      <c r="B315" s="50" t="n"/>
      <c r="C315" s="41" t="n"/>
      <c r="D315" s="56" t="n"/>
    </row>
    <row r="316" customFormat="1" s="75">
      <c r="A316" s="49" t="n"/>
      <c r="B316" s="50" t="n"/>
      <c r="C316" s="41" t="n"/>
      <c r="D316" s="56" t="n"/>
    </row>
    <row r="317" customFormat="1" s="75">
      <c r="A317" s="49" t="n"/>
      <c r="B317" s="50" t="n"/>
      <c r="C317" s="41" t="n"/>
      <c r="D317" s="56" t="n"/>
    </row>
    <row r="318" customFormat="1" s="75">
      <c r="A318" s="49" t="n"/>
      <c r="B318" s="50" t="n"/>
      <c r="C318" s="41" t="n"/>
      <c r="D318" s="56" t="n"/>
    </row>
    <row r="319" customFormat="1" s="75">
      <c r="A319" s="49" t="n"/>
      <c r="B319" s="50" t="n"/>
      <c r="C319" s="41" t="n"/>
      <c r="D319" s="56" t="n"/>
    </row>
    <row r="320" customFormat="1" s="75">
      <c r="A320" s="49" t="n"/>
      <c r="B320" s="50" t="n"/>
      <c r="C320" s="41" t="n"/>
      <c r="D320" s="56" t="n"/>
    </row>
    <row r="321" customFormat="1" s="75">
      <c r="A321" s="49" t="n"/>
      <c r="B321" s="50" t="n"/>
      <c r="C321" s="41" t="n"/>
      <c r="D321" s="56" t="n"/>
    </row>
    <row r="322" customFormat="1" s="75">
      <c r="A322" s="49" t="n"/>
      <c r="B322" s="50" t="n"/>
      <c r="C322" s="41" t="n"/>
      <c r="D322" s="56" t="n"/>
    </row>
    <row r="323" customFormat="1" s="75">
      <c r="A323" s="49" t="n"/>
      <c r="B323" s="50" t="n"/>
      <c r="C323" s="41" t="n"/>
      <c r="D323" s="56" t="n"/>
    </row>
    <row r="324" customFormat="1" s="75">
      <c r="A324" s="49" t="n"/>
      <c r="B324" s="50" t="n"/>
      <c r="C324" s="41" t="n"/>
      <c r="D324" s="56" t="n"/>
    </row>
    <row r="325" customFormat="1" s="75">
      <c r="A325" s="49" t="n"/>
      <c r="B325" s="50" t="n"/>
      <c r="C325" s="41" t="n"/>
      <c r="D325" s="56" t="n"/>
    </row>
    <row r="326" customFormat="1" s="75">
      <c r="A326" s="49" t="n"/>
      <c r="B326" s="50" t="n"/>
      <c r="C326" s="41" t="n"/>
      <c r="D326" s="56" t="n"/>
    </row>
    <row r="327" customFormat="1" s="75">
      <c r="A327" s="49" t="n"/>
      <c r="B327" s="50" t="n"/>
      <c r="C327" s="41" t="n"/>
      <c r="D327" s="56" t="n"/>
    </row>
    <row r="328" customFormat="1" s="75">
      <c r="A328" s="49" t="n"/>
      <c r="B328" s="50" t="n"/>
      <c r="C328" s="41" t="n"/>
      <c r="D328" s="56" t="n"/>
    </row>
    <row r="329" customFormat="1" s="75">
      <c r="A329" s="49" t="n"/>
      <c r="B329" s="50" t="n"/>
      <c r="C329" s="41" t="n"/>
      <c r="D329" s="56" t="n"/>
    </row>
    <row r="330" customFormat="1" s="75">
      <c r="A330" s="49" t="n"/>
      <c r="B330" s="50" t="n"/>
      <c r="C330" s="41" t="n"/>
      <c r="D330" s="56" t="n"/>
    </row>
    <row r="331" customFormat="1" s="75">
      <c r="A331" s="49" t="n"/>
      <c r="B331" s="50" t="n"/>
      <c r="C331" s="41" t="n"/>
      <c r="D331" s="56" t="n"/>
    </row>
    <row r="332" customFormat="1" s="75">
      <c r="A332" s="49" t="n"/>
      <c r="B332" s="50" t="n"/>
      <c r="C332" s="41" t="n"/>
      <c r="D332" s="56" t="n"/>
    </row>
    <row r="333" customFormat="1" s="75">
      <c r="A333" s="49" t="n"/>
      <c r="B333" s="50" t="n"/>
      <c r="C333" s="41" t="n"/>
      <c r="D333" s="56" t="n"/>
    </row>
    <row r="334" customFormat="1" s="75">
      <c r="A334" s="49" t="n"/>
      <c r="B334" s="50" t="n"/>
      <c r="C334" s="41" t="n"/>
      <c r="D334" s="56" t="n"/>
    </row>
    <row r="335" customFormat="1" s="75">
      <c r="A335" s="49" t="n"/>
      <c r="B335" s="50" t="n"/>
      <c r="C335" s="41" t="n"/>
      <c r="D335" s="56" t="n"/>
    </row>
    <row r="336" customFormat="1" s="75">
      <c r="A336" s="49" t="n"/>
      <c r="B336" s="50" t="n"/>
      <c r="C336" s="41" t="n"/>
      <c r="D336" s="56" t="n"/>
    </row>
    <row r="337" customFormat="1" s="75">
      <c r="A337" s="49" t="n"/>
      <c r="B337" s="50" t="n"/>
      <c r="C337" s="41" t="n"/>
      <c r="D337" s="56" t="n"/>
    </row>
    <row r="338" customFormat="1" s="75">
      <c r="A338" s="49" t="n"/>
      <c r="B338" s="50" t="n"/>
      <c r="C338" s="41" t="n"/>
      <c r="D338" s="56" t="n"/>
    </row>
    <row r="339" customFormat="1" s="75">
      <c r="A339" s="49" t="n"/>
      <c r="B339" s="50" t="n"/>
      <c r="C339" s="41" t="n"/>
      <c r="D339" s="56" t="n"/>
    </row>
    <row r="340" customFormat="1" s="75">
      <c r="A340" s="49" t="n"/>
      <c r="B340" s="50" t="n"/>
      <c r="C340" s="41" t="n"/>
      <c r="D340" s="56" t="n"/>
    </row>
    <row r="341" customFormat="1" s="75">
      <c r="A341" s="49" t="n"/>
      <c r="B341" s="50" t="n"/>
      <c r="C341" s="41" t="n"/>
      <c r="D341" s="56" t="n"/>
    </row>
    <row r="342" customFormat="1" s="75">
      <c r="A342" s="49" t="n"/>
      <c r="B342" s="50" t="n"/>
      <c r="C342" s="41" t="n"/>
      <c r="D342" s="56" t="n"/>
    </row>
    <row r="343" customFormat="1" s="75">
      <c r="A343" s="49" t="n"/>
      <c r="B343" s="50" t="n"/>
      <c r="C343" s="41" t="n"/>
      <c r="D343" s="56" t="n"/>
    </row>
    <row r="344" customFormat="1" s="75">
      <c r="A344" s="49" t="n"/>
      <c r="B344" s="50" t="n"/>
      <c r="C344" s="41" t="n"/>
      <c r="D344" s="56" t="n"/>
    </row>
    <row r="345" customFormat="1" s="75">
      <c r="A345" s="49" t="n"/>
      <c r="B345" s="50" t="n"/>
      <c r="C345" s="41" t="n"/>
      <c r="D345" s="56" t="n"/>
    </row>
    <row r="346" customFormat="1" s="75">
      <c r="A346" s="49" t="n"/>
      <c r="B346" s="50" t="n"/>
      <c r="C346" s="41" t="n"/>
      <c r="D346" s="56" t="n"/>
    </row>
    <row r="347" customFormat="1" s="75">
      <c r="A347" s="49" t="n"/>
      <c r="B347" s="50" t="n"/>
      <c r="C347" s="41" t="n"/>
      <c r="D347" s="56" t="n"/>
    </row>
    <row r="348" customFormat="1" s="75">
      <c r="A348" s="49" t="n"/>
      <c r="B348" s="50" t="n"/>
      <c r="C348" s="41" t="n"/>
      <c r="D348" s="56" t="n"/>
    </row>
    <row r="349" customFormat="1" s="75">
      <c r="A349" s="49" t="n"/>
      <c r="B349" s="50" t="n"/>
      <c r="C349" s="41" t="n"/>
      <c r="D349" s="56" t="n"/>
    </row>
    <row r="350" customFormat="1" s="75">
      <c r="A350" s="49" t="n"/>
      <c r="B350" s="50" t="n"/>
      <c r="C350" s="41" t="n"/>
      <c r="D350" s="56" t="n"/>
    </row>
    <row r="351" customFormat="1" s="75">
      <c r="A351" s="49" t="n"/>
      <c r="B351" s="50" t="n"/>
      <c r="C351" s="41" t="n"/>
      <c r="D351" s="56" t="n"/>
    </row>
    <row r="352" customFormat="1" s="75">
      <c r="A352" s="49" t="n"/>
      <c r="B352" s="50" t="n"/>
      <c r="C352" s="41" t="n"/>
      <c r="D352" s="56" t="n"/>
    </row>
    <row r="353" customFormat="1" s="75">
      <c r="A353" s="49" t="n"/>
      <c r="B353" s="50" t="n"/>
      <c r="C353" s="41" t="n"/>
      <c r="D353" s="56" t="n"/>
    </row>
    <row r="354" customFormat="1" s="75">
      <c r="A354" s="49" t="n"/>
      <c r="B354" s="50" t="n"/>
      <c r="C354" s="41" t="n"/>
      <c r="D354" s="56" t="n"/>
    </row>
    <row r="355" customFormat="1" s="75">
      <c r="A355" s="49" t="n"/>
      <c r="B355" s="50" t="n"/>
      <c r="C355" s="41" t="n"/>
      <c r="D355" s="56" t="n"/>
    </row>
    <row r="356" customFormat="1" s="75">
      <c r="A356" s="49" t="n"/>
      <c r="B356" s="50" t="n"/>
      <c r="C356" s="41" t="n"/>
      <c r="D356" s="56" t="n"/>
    </row>
    <row r="357" customFormat="1" s="75">
      <c r="A357" s="49" t="n"/>
      <c r="B357" s="50" t="n"/>
      <c r="C357" s="41" t="n"/>
      <c r="D357" s="56" t="n"/>
    </row>
    <row r="358" customFormat="1" s="75">
      <c r="A358" s="49" t="n"/>
      <c r="B358" s="50" t="n"/>
      <c r="C358" s="41" t="n"/>
      <c r="D358" s="56" t="n"/>
    </row>
    <row r="359" customFormat="1" s="75">
      <c r="A359" s="49" t="n"/>
      <c r="B359" s="50" t="n"/>
      <c r="C359" s="41" t="n"/>
      <c r="D359" s="56" t="n"/>
    </row>
    <row r="360" customFormat="1" s="75">
      <c r="A360" s="49" t="n"/>
      <c r="B360" s="50" t="n"/>
      <c r="C360" s="41" t="n"/>
      <c r="D360" s="56" t="n"/>
    </row>
    <row r="361" customFormat="1" s="75">
      <c r="A361" s="49" t="n"/>
      <c r="B361" s="50" t="n"/>
      <c r="C361" s="41" t="n"/>
      <c r="D361" s="56" t="n"/>
    </row>
    <row r="362" customFormat="1" s="75">
      <c r="A362" s="49" t="n"/>
      <c r="B362" s="50" t="n"/>
      <c r="C362" s="41" t="n"/>
      <c r="D362" s="56" t="n"/>
    </row>
    <row r="363" customFormat="1" s="75">
      <c r="A363" s="49" t="n"/>
      <c r="B363" s="50" t="n"/>
      <c r="C363" s="41" t="n"/>
      <c r="D363" s="56" t="n"/>
    </row>
    <row r="364" customFormat="1" s="75">
      <c r="A364" s="49" t="n"/>
      <c r="B364" s="50" t="n"/>
      <c r="C364" s="41" t="n"/>
      <c r="D364" s="56" t="n"/>
    </row>
    <row r="365" customFormat="1" s="75">
      <c r="A365" s="49" t="n"/>
      <c r="B365" s="50" t="n"/>
      <c r="C365" s="41" t="n"/>
      <c r="D365" s="56" t="n"/>
    </row>
    <row r="366" customFormat="1" s="75">
      <c r="A366" s="49" t="n"/>
      <c r="B366" s="50" t="n"/>
      <c r="C366" s="41" t="n"/>
      <c r="D366" s="56" t="n"/>
    </row>
    <row r="367" customFormat="1" s="75">
      <c r="A367" s="49" t="n"/>
      <c r="B367" s="50" t="n"/>
      <c r="C367" s="41" t="n"/>
      <c r="D367" s="56" t="n"/>
    </row>
    <row r="368" customFormat="1" s="75">
      <c r="A368" s="49" t="n"/>
      <c r="B368" s="50" t="n"/>
      <c r="C368" s="41" t="n"/>
      <c r="D368" s="56" t="n"/>
    </row>
    <row r="369" customFormat="1" s="75">
      <c r="A369" s="49" t="n"/>
      <c r="B369" s="50" t="n"/>
      <c r="C369" s="41" t="n"/>
      <c r="D369" s="56" t="n"/>
    </row>
    <row r="370" customFormat="1" s="75">
      <c r="A370" s="49" t="n"/>
      <c r="B370" s="50" t="n"/>
      <c r="C370" s="41" t="n"/>
      <c r="D370" s="56" t="n"/>
    </row>
    <row r="371" customFormat="1" s="75">
      <c r="A371" s="49" t="n"/>
      <c r="B371" s="50" t="n"/>
      <c r="C371" s="41" t="n"/>
      <c r="D371" s="56" t="n"/>
    </row>
    <row r="372" customFormat="1" s="75">
      <c r="A372" s="49" t="n"/>
      <c r="B372" s="50" t="n"/>
      <c r="C372" s="41" t="n"/>
      <c r="D372" s="56" t="n"/>
    </row>
    <row r="373" customFormat="1" s="75">
      <c r="A373" s="49" t="n"/>
      <c r="B373" s="50" t="n"/>
      <c r="C373" s="41" t="n"/>
      <c r="D373" s="56" t="n"/>
    </row>
    <row r="374" customFormat="1" s="75">
      <c r="A374" s="49" t="n"/>
      <c r="B374" s="50" t="n"/>
      <c r="C374" s="41" t="n"/>
      <c r="D374" s="56" t="n"/>
    </row>
    <row r="375" customFormat="1" s="75">
      <c r="A375" s="49" t="n"/>
      <c r="B375" s="50" t="n"/>
      <c r="C375" s="41" t="n"/>
      <c r="D375" s="56" t="n"/>
    </row>
    <row r="376" customFormat="1" s="75">
      <c r="A376" s="49" t="n"/>
      <c r="B376" s="50" t="n"/>
      <c r="C376" s="41" t="n"/>
      <c r="D376" s="56" t="n"/>
    </row>
    <row r="377" customFormat="1" s="75">
      <c r="A377" s="49" t="n"/>
      <c r="B377" s="50" t="n"/>
      <c r="C377" s="41" t="n"/>
      <c r="D377" s="56" t="n"/>
    </row>
    <row r="378" customFormat="1" s="75">
      <c r="A378" s="49" t="n"/>
      <c r="B378" s="50" t="n"/>
      <c r="C378" s="41" t="n"/>
      <c r="D378" s="56" t="n"/>
    </row>
    <row r="379" customFormat="1" s="75">
      <c r="A379" s="49" t="n"/>
      <c r="B379" s="50" t="n"/>
      <c r="C379" s="41" t="n"/>
      <c r="D379" s="56" t="n"/>
    </row>
    <row r="380" customFormat="1" s="75">
      <c r="A380" s="49" t="n"/>
      <c r="B380" s="50" t="n"/>
      <c r="C380" s="41" t="n"/>
      <c r="D380" s="56" t="n"/>
    </row>
    <row r="381" customFormat="1" s="75">
      <c r="A381" s="49" t="n"/>
      <c r="B381" s="50" t="n"/>
      <c r="C381" s="41" t="n"/>
      <c r="D381" s="56" t="n"/>
    </row>
    <row r="382" customFormat="1" s="75">
      <c r="A382" s="49" t="n"/>
      <c r="B382" s="50" t="n"/>
      <c r="C382" s="41" t="n"/>
      <c r="D382" s="56" t="n"/>
    </row>
    <row r="383" customFormat="1" s="75">
      <c r="A383" s="49" t="n"/>
      <c r="B383" s="50" t="n"/>
      <c r="C383" s="41" t="n"/>
      <c r="D383" s="56" t="n"/>
    </row>
    <row r="384" customFormat="1" s="75">
      <c r="A384" s="49" t="n"/>
      <c r="B384" s="50" t="n"/>
      <c r="C384" s="41" t="n"/>
      <c r="D384" s="56" t="n"/>
    </row>
    <row r="385" customFormat="1" s="75">
      <c r="A385" s="49" t="n"/>
      <c r="B385" s="50" t="n"/>
      <c r="C385" s="41" t="n"/>
      <c r="D385" s="56" t="n"/>
    </row>
    <row r="386" customFormat="1" s="75">
      <c r="A386" s="49" t="n"/>
      <c r="B386" s="50" t="n"/>
      <c r="C386" s="41" t="n"/>
      <c r="D386" s="56" t="n"/>
    </row>
    <row r="387" customFormat="1" s="75">
      <c r="A387" s="49" t="n"/>
      <c r="B387" s="50" t="n"/>
      <c r="C387" s="41" t="n"/>
      <c r="D387" s="56" t="n"/>
    </row>
    <row r="388" customFormat="1" s="75">
      <c r="A388" s="49" t="n"/>
      <c r="B388" s="50" t="n"/>
      <c r="C388" s="41" t="n"/>
      <c r="D388" s="56" t="n"/>
    </row>
    <row r="389" customFormat="1" s="75">
      <c r="A389" s="49" t="n"/>
      <c r="B389" s="50" t="n"/>
      <c r="C389" s="41" t="n"/>
      <c r="D389" s="56" t="n"/>
    </row>
    <row r="390" customFormat="1" s="75">
      <c r="A390" s="49" t="n"/>
      <c r="B390" s="50" t="n"/>
      <c r="C390" s="41" t="n"/>
      <c r="D390" s="56" t="n"/>
    </row>
    <row r="391" customFormat="1" s="75">
      <c r="A391" s="49" t="n"/>
      <c r="B391" s="50" t="n"/>
      <c r="C391" s="41" t="n"/>
      <c r="D391" s="56" t="n"/>
    </row>
    <row r="392" customFormat="1" s="75">
      <c r="A392" s="49" t="n"/>
      <c r="B392" s="50" t="n"/>
      <c r="C392" s="41" t="n"/>
      <c r="D392" s="56" t="n"/>
    </row>
    <row r="393" customFormat="1" s="75">
      <c r="A393" s="49" t="n"/>
      <c r="B393" s="50" t="n"/>
      <c r="C393" s="41" t="n"/>
      <c r="D393" s="56" t="n"/>
    </row>
    <row r="394" customFormat="1" s="75">
      <c r="A394" s="49" t="n"/>
      <c r="B394" s="50" t="n"/>
      <c r="C394" s="41" t="n"/>
      <c r="D394" s="56" t="n"/>
    </row>
    <row r="395" customFormat="1" s="75">
      <c r="A395" s="49" t="n"/>
      <c r="B395" s="50" t="n"/>
      <c r="C395" s="41" t="n"/>
      <c r="D395" s="56" t="n"/>
    </row>
    <row r="396" customFormat="1" s="75">
      <c r="A396" s="49" t="n"/>
      <c r="B396" s="50" t="n"/>
      <c r="C396" s="41" t="n"/>
      <c r="D396" s="56" t="n"/>
    </row>
    <row r="397" customFormat="1" s="75">
      <c r="A397" s="49" t="n"/>
      <c r="B397" s="50" t="n"/>
      <c r="C397" s="41" t="n"/>
      <c r="D397" s="56" t="n"/>
    </row>
    <row r="398" customFormat="1" s="75">
      <c r="A398" s="49" t="n"/>
      <c r="B398" s="50" t="n"/>
      <c r="C398" s="41" t="n"/>
      <c r="D398" s="56" t="n"/>
    </row>
    <row r="399" customFormat="1" s="75">
      <c r="A399" s="49" t="n"/>
      <c r="B399" s="50" t="n"/>
      <c r="C399" s="41" t="n"/>
      <c r="D399" s="56" t="n"/>
    </row>
    <row r="400" customFormat="1" s="75">
      <c r="A400" s="49" t="n"/>
      <c r="B400" s="50" t="n"/>
      <c r="C400" s="41" t="n"/>
      <c r="D400" s="56" t="n"/>
    </row>
    <row r="401" customFormat="1" s="75">
      <c r="A401" s="49" t="n"/>
      <c r="B401" s="50" t="n"/>
      <c r="C401" s="41" t="n"/>
      <c r="D401" s="56" t="n"/>
    </row>
    <row r="402" customFormat="1" s="75">
      <c r="A402" s="49" t="n"/>
      <c r="B402" s="50" t="n"/>
      <c r="C402" s="41" t="n"/>
      <c r="D402" s="56" t="n"/>
    </row>
    <row r="403" customFormat="1" s="75">
      <c r="A403" s="49" t="n"/>
      <c r="B403" s="50" t="n"/>
      <c r="C403" s="41" t="n"/>
      <c r="D403" s="56" t="n"/>
    </row>
    <row r="404" customFormat="1" s="75">
      <c r="A404" s="49" t="n"/>
      <c r="B404" s="50" t="n"/>
      <c r="C404" s="41" t="n"/>
      <c r="D404" s="56" t="n"/>
    </row>
    <row r="405" customFormat="1" s="75">
      <c r="A405" s="49" t="n"/>
      <c r="B405" s="50" t="n"/>
      <c r="C405" s="41" t="n"/>
      <c r="D405" s="56" t="n"/>
    </row>
    <row r="406" customFormat="1" s="75">
      <c r="A406" s="49" t="n"/>
      <c r="B406" s="50" t="n"/>
      <c r="C406" s="41" t="n"/>
      <c r="D406" s="56" t="n"/>
    </row>
    <row r="407" customFormat="1" s="75">
      <c r="A407" s="49" t="n"/>
      <c r="B407" s="50" t="n"/>
      <c r="C407" s="41" t="n"/>
      <c r="D407" s="56" t="n"/>
    </row>
    <row r="408" customFormat="1" s="75">
      <c r="A408" s="49" t="n"/>
      <c r="B408" s="50" t="n"/>
      <c r="C408" s="41" t="n"/>
      <c r="D408" s="56" t="n"/>
    </row>
    <row r="409" customFormat="1" s="75">
      <c r="A409" s="49" t="n"/>
      <c r="B409" s="50" t="n"/>
      <c r="C409" s="41" t="n"/>
      <c r="D409" s="56" t="n"/>
    </row>
    <row r="410" customFormat="1" s="75">
      <c r="A410" s="49" t="n"/>
      <c r="B410" s="50" t="n"/>
      <c r="C410" s="41" t="n"/>
      <c r="D410" s="56" t="n"/>
    </row>
    <row r="411" customFormat="1" s="75">
      <c r="A411" s="49" t="n"/>
      <c r="B411" s="50" t="n"/>
      <c r="C411" s="41" t="n"/>
      <c r="D411" s="56" t="n"/>
    </row>
    <row r="412" customFormat="1" s="75">
      <c r="A412" s="49" t="n"/>
      <c r="B412" s="50" t="n"/>
      <c r="C412" s="41" t="n"/>
      <c r="D412" s="56" t="n"/>
    </row>
    <row r="413" customFormat="1" s="75">
      <c r="A413" s="49" t="n"/>
      <c r="B413" s="50" t="n"/>
      <c r="C413" s="41" t="n"/>
      <c r="D413" s="56" t="n"/>
    </row>
    <row r="414" customFormat="1" s="75">
      <c r="A414" s="49" t="n"/>
      <c r="B414" s="50" t="n"/>
      <c r="C414" s="41" t="n"/>
      <c r="D414" s="56" t="n"/>
    </row>
    <row r="415" customFormat="1" s="75">
      <c r="A415" s="49" t="n"/>
      <c r="B415" s="50" t="n"/>
      <c r="C415" s="41" t="n"/>
      <c r="D415" s="56" t="n"/>
    </row>
    <row r="416" customFormat="1" s="75">
      <c r="A416" s="49" t="n"/>
      <c r="B416" s="50" t="n"/>
      <c r="C416" s="41" t="n"/>
      <c r="D416" s="56" t="n"/>
    </row>
    <row r="417" customFormat="1" s="75">
      <c r="A417" s="49" t="n"/>
      <c r="B417" s="50" t="n"/>
      <c r="C417" s="41" t="n"/>
      <c r="D417" s="56" t="n"/>
    </row>
    <row r="418" customFormat="1" s="75">
      <c r="A418" s="49" t="n"/>
      <c r="B418" s="50" t="n"/>
      <c r="C418" s="41" t="n"/>
      <c r="D418" s="56" t="n"/>
    </row>
    <row r="419" customFormat="1" s="75">
      <c r="A419" s="49" t="n"/>
      <c r="B419" s="50" t="n"/>
      <c r="C419" s="41" t="n"/>
      <c r="D419" s="56" t="n"/>
    </row>
    <row r="420" customFormat="1" s="75">
      <c r="A420" s="49" t="n"/>
      <c r="B420" s="50" t="n"/>
      <c r="C420" s="41" t="n"/>
      <c r="D420" s="56" t="n"/>
    </row>
    <row r="421" customFormat="1" s="75">
      <c r="A421" s="49" t="n"/>
      <c r="B421" s="50" t="n"/>
      <c r="C421" s="41" t="n"/>
      <c r="D421" s="56" t="n"/>
    </row>
    <row r="422" customFormat="1" s="75">
      <c r="A422" s="49" t="n"/>
      <c r="B422" s="50" t="n"/>
      <c r="C422" s="41" t="n"/>
      <c r="D422" s="56" t="n"/>
    </row>
    <row r="423" customFormat="1" s="75">
      <c r="A423" s="49" t="n"/>
      <c r="B423" s="50" t="n"/>
      <c r="C423" s="41" t="n"/>
      <c r="D423" s="56" t="n"/>
    </row>
    <row r="424" customFormat="1" s="75">
      <c r="A424" s="49" t="n"/>
      <c r="B424" s="50" t="n"/>
      <c r="C424" s="41" t="n"/>
      <c r="D424" s="56" t="n"/>
    </row>
    <row r="425" customFormat="1" s="75">
      <c r="A425" s="49" t="n"/>
      <c r="B425" s="50" t="n"/>
      <c r="C425" s="41" t="n"/>
      <c r="D425" s="56" t="n"/>
    </row>
    <row r="426" customFormat="1" s="75">
      <c r="A426" s="49" t="n"/>
      <c r="B426" s="50" t="n"/>
      <c r="C426" s="41" t="n"/>
      <c r="D426" s="56" t="n"/>
    </row>
    <row r="427" customFormat="1" s="75">
      <c r="A427" s="49" t="n"/>
      <c r="B427" s="50" t="n"/>
      <c r="C427" s="41" t="n"/>
      <c r="D427" s="56" t="n"/>
    </row>
    <row r="428" customFormat="1" s="75">
      <c r="A428" s="49" t="n"/>
      <c r="B428" s="50" t="n"/>
      <c r="C428" s="41" t="n"/>
      <c r="D428" s="56" t="n"/>
    </row>
    <row r="429" customFormat="1" s="75">
      <c r="A429" s="49" t="n"/>
      <c r="B429" s="50" t="n"/>
      <c r="C429" s="41" t="n"/>
      <c r="D429" s="56" t="n"/>
    </row>
    <row r="430" customFormat="1" s="75">
      <c r="A430" s="49" t="n"/>
      <c r="B430" s="50" t="n"/>
      <c r="C430" s="41" t="n"/>
      <c r="D430" s="56" t="n"/>
    </row>
    <row r="431" customFormat="1" s="75">
      <c r="A431" s="49" t="n"/>
      <c r="B431" s="50" t="n"/>
      <c r="C431" s="41" t="n"/>
      <c r="D431" s="56" t="n"/>
    </row>
    <row r="432">
      <c r="A432" s="38" t="n"/>
    </row>
    <row r="433">
      <c r="A433" s="38" t="n"/>
    </row>
    <row r="434">
      <c r="A434" s="38" t="n"/>
    </row>
    <row r="435">
      <c r="A435" s="38" t="n"/>
    </row>
  </sheetData>
  <conditionalFormatting sqref="D232:D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2022-01-28T16:32:28Z</dcterms:modified>
  <cp:lastModifiedBy>Mark Mukherjee</cp:lastModifiedBy>
</cp:coreProperties>
</file>