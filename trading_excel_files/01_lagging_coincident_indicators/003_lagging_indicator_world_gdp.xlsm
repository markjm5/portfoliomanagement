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58D94FA7-29C2-9046-BDBF-9B3458A0F90C}" xr6:coauthVersionLast="47" xr6:coauthVersionMax="47" xr10:uidLastSave="{00000000-0000-0000-0000-000000000000}"/>
  <bookViews>
    <workbookView xWindow="0" yWindow="500" windowWidth="28800" windowHeight="1750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00" i="9" l="1"/>
  <c r="C300" i="9"/>
  <c r="B300" i="10"/>
  <c r="C300" i="10"/>
  <c r="D300" i="10"/>
  <c r="B299" i="10"/>
  <c r="D299" i="10" s="1"/>
  <c r="B298" i="10"/>
  <c r="C299" i="10" s="1"/>
  <c r="B297" i="10"/>
  <c r="C298" i="10" s="1"/>
  <c r="B296" i="10"/>
  <c r="D296" i="10" s="1"/>
  <c r="C295" i="10"/>
  <c r="B295" i="10"/>
  <c r="C296" i="10" s="1"/>
  <c r="D294" i="10"/>
  <c r="B294" i="10"/>
  <c r="C293" i="10"/>
  <c r="B293" i="10"/>
  <c r="C294" i="10" s="1"/>
  <c r="D292" i="10"/>
  <c r="C292" i="10"/>
  <c r="B292" i="10"/>
  <c r="B291" i="10"/>
  <c r="D291" i="10" s="1"/>
  <c r="B290" i="10"/>
  <c r="C291" i="10" s="1"/>
  <c r="D289" i="10"/>
  <c r="B289" i="10"/>
  <c r="B288" i="10"/>
  <c r="D288" i="10" s="1"/>
  <c r="C287" i="10"/>
  <c r="B287" i="10"/>
  <c r="C288" i="10" s="1"/>
  <c r="D286" i="10"/>
  <c r="B286" i="10"/>
  <c r="C285" i="10"/>
  <c r="B285" i="10"/>
  <c r="C286" i="10" s="1"/>
  <c r="D284" i="10"/>
  <c r="C284" i="10"/>
  <c r="B284" i="10"/>
  <c r="B283" i="10"/>
  <c r="D283" i="10" s="1"/>
  <c r="B282" i="10"/>
  <c r="C283" i="10" s="1"/>
  <c r="D281" i="10"/>
  <c r="B281" i="10"/>
  <c r="B280" i="10"/>
  <c r="D280" i="10" s="1"/>
  <c r="C279" i="10"/>
  <c r="B279" i="10"/>
  <c r="C280" i="10" s="1"/>
  <c r="D278" i="10"/>
  <c r="B278" i="10"/>
  <c r="C277" i="10"/>
  <c r="B277" i="10"/>
  <c r="C278" i="10" s="1"/>
  <c r="D276" i="10"/>
  <c r="C276" i="10"/>
  <c r="B276" i="10"/>
  <c r="B275" i="10"/>
  <c r="D275" i="10" s="1"/>
  <c r="B274" i="10"/>
  <c r="C275" i="10" s="1"/>
  <c r="D273" i="10"/>
  <c r="B273" i="10"/>
  <c r="B272" i="10"/>
  <c r="D272" i="10" s="1"/>
  <c r="C271" i="10"/>
  <c r="B271" i="10"/>
  <c r="C272" i="10" s="1"/>
  <c r="D270" i="10"/>
  <c r="B270" i="10"/>
  <c r="C269" i="10"/>
  <c r="B269" i="10"/>
  <c r="C270" i="10" s="1"/>
  <c r="D268" i="10"/>
  <c r="C268" i="10"/>
  <c r="B268" i="10"/>
  <c r="B267" i="10"/>
  <c r="D267" i="10" s="1"/>
  <c r="B266" i="10"/>
  <c r="C267" i="10" s="1"/>
  <c r="D265" i="10"/>
  <c r="B265" i="10"/>
  <c r="B264" i="10"/>
  <c r="D264" i="10" s="1"/>
  <c r="C263" i="10"/>
  <c r="B263" i="10"/>
  <c r="C264" i="10" s="1"/>
  <c r="D262" i="10"/>
  <c r="B262" i="10"/>
  <c r="C261" i="10"/>
  <c r="B261" i="10"/>
  <c r="C262" i="10" s="1"/>
  <c r="D260" i="10"/>
  <c r="C260" i="10"/>
  <c r="B260" i="10"/>
  <c r="B259" i="10"/>
  <c r="D259" i="10" s="1"/>
  <c r="B258" i="10"/>
  <c r="C259" i="10" s="1"/>
  <c r="D257" i="10"/>
  <c r="B257" i="10"/>
  <c r="B256" i="10"/>
  <c r="D256" i="10" s="1"/>
  <c r="C255" i="10"/>
  <c r="B255" i="10"/>
  <c r="C256" i="10" s="1"/>
  <c r="D254" i="10"/>
  <c r="B254" i="10"/>
  <c r="C253" i="10"/>
  <c r="B253" i="10"/>
  <c r="C254" i="10" s="1"/>
  <c r="D252" i="10"/>
  <c r="C252" i="10"/>
  <c r="B252" i="10"/>
  <c r="B251" i="10"/>
  <c r="D251" i="10" s="1"/>
  <c r="B250" i="10"/>
  <c r="C251" i="10" s="1"/>
  <c r="D249" i="10"/>
  <c r="B249" i="10"/>
  <c r="B248" i="10"/>
  <c r="D248" i="10" s="1"/>
  <c r="C247" i="10"/>
  <c r="B247" i="10"/>
  <c r="C248" i="10" s="1"/>
  <c r="D246" i="10"/>
  <c r="B246" i="10"/>
  <c r="C245" i="10"/>
  <c r="B245" i="10"/>
  <c r="C246" i="10" s="1"/>
  <c r="D244" i="10"/>
  <c r="C244" i="10"/>
  <c r="B244" i="10"/>
  <c r="B243" i="10"/>
  <c r="D243" i="10" s="1"/>
  <c r="B242" i="10"/>
  <c r="C243" i="10" s="1"/>
  <c r="D241" i="10"/>
  <c r="B241" i="10"/>
  <c r="B240" i="10"/>
  <c r="D240" i="10" s="1"/>
  <c r="C239" i="10"/>
  <c r="B239" i="10"/>
  <c r="C240" i="10" s="1"/>
  <c r="D238" i="10"/>
  <c r="B238" i="10"/>
  <c r="C237" i="10"/>
  <c r="B237" i="10"/>
  <c r="C238" i="10" s="1"/>
  <c r="D236" i="10"/>
  <c r="C236" i="10"/>
  <c r="B236" i="10"/>
  <c r="B235" i="10"/>
  <c r="D235" i="10" s="1"/>
  <c r="B234" i="10"/>
  <c r="C235" i="10" s="1"/>
  <c r="D233" i="10"/>
  <c r="B233" i="10"/>
  <c r="B232" i="10"/>
  <c r="D231" i="10"/>
  <c r="C231" i="10"/>
  <c r="B231" i="10"/>
  <c r="D230" i="10"/>
  <c r="B230" i="10"/>
  <c r="B229" i="10"/>
  <c r="D228" i="10"/>
  <c r="C228" i="10"/>
  <c r="B228" i="10"/>
  <c r="B227" i="10"/>
  <c r="D227" i="10" s="1"/>
  <c r="B226" i="10"/>
  <c r="C227" i="10" s="1"/>
  <c r="D225" i="10"/>
  <c r="B225" i="10"/>
  <c r="B224" i="10"/>
  <c r="D223" i="10"/>
  <c r="B223" i="10"/>
  <c r="D222" i="10"/>
  <c r="B222" i="10"/>
  <c r="C221" i="10"/>
  <c r="B221" i="10"/>
  <c r="D220" i="10"/>
  <c r="C220" i="10"/>
  <c r="B220" i="10"/>
  <c r="B219" i="10"/>
  <c r="D219" i="10" s="1"/>
  <c r="B218" i="10"/>
  <c r="D217" i="10"/>
  <c r="B217" i="10"/>
  <c r="B216" i="10"/>
  <c r="B215" i="10"/>
  <c r="D214" i="10"/>
  <c r="B214" i="10"/>
  <c r="B213" i="10"/>
  <c r="D212" i="10"/>
  <c r="C212" i="10"/>
  <c r="B212" i="10"/>
  <c r="B211" i="10"/>
  <c r="D211" i="10" s="1"/>
  <c r="C210" i="10"/>
  <c r="B210" i="10"/>
  <c r="D209" i="10"/>
  <c r="B209" i="10"/>
  <c r="B208" i="10"/>
  <c r="B207" i="10"/>
  <c r="C208" i="10" s="1"/>
  <c r="D206" i="10"/>
  <c r="B206" i="10"/>
  <c r="C205" i="10"/>
  <c r="B205" i="10"/>
  <c r="D204" i="10"/>
  <c r="C204" i="10"/>
  <c r="B204" i="10"/>
  <c r="B203" i="10"/>
  <c r="D203" i="10" s="1"/>
  <c r="B202" i="10"/>
  <c r="C203" i="10" s="1"/>
  <c r="D201" i="10"/>
  <c r="B201" i="10"/>
  <c r="B200" i="10"/>
  <c r="B199" i="10"/>
  <c r="D198" i="10"/>
  <c r="B198" i="10"/>
  <c r="C197" i="10"/>
  <c r="B197" i="10"/>
  <c r="D196" i="10"/>
  <c r="C196" i="10"/>
  <c r="B196" i="10"/>
  <c r="B195" i="10"/>
  <c r="D195" i="10" s="1"/>
  <c r="D194" i="10"/>
  <c r="C194" i="10"/>
  <c r="B194" i="10"/>
  <c r="C195" i="10" s="1"/>
  <c r="D193" i="10"/>
  <c r="B193" i="10"/>
  <c r="B192" i="10"/>
  <c r="B191" i="10"/>
  <c r="D190" i="10"/>
  <c r="B190" i="10"/>
  <c r="B189" i="10"/>
  <c r="D188" i="10"/>
  <c r="C188" i="10"/>
  <c r="B188" i="10"/>
  <c r="B187" i="10"/>
  <c r="D187" i="10" s="1"/>
  <c r="D186" i="10"/>
  <c r="C186" i="10"/>
  <c r="B186" i="10"/>
  <c r="C187" i="10" s="1"/>
  <c r="D185" i="10"/>
  <c r="B185" i="10"/>
  <c r="B184" i="10"/>
  <c r="B183" i="10"/>
  <c r="C184" i="10" s="1"/>
  <c r="D182" i="10"/>
  <c r="B182" i="10"/>
  <c r="B181" i="10"/>
  <c r="D180" i="10"/>
  <c r="C180" i="10"/>
  <c r="B180" i="10"/>
  <c r="B179" i="10"/>
  <c r="D179" i="10" s="1"/>
  <c r="D178" i="10"/>
  <c r="B178" i="10"/>
  <c r="C179" i="10" s="1"/>
  <c r="D177" i="10"/>
  <c r="B177" i="10"/>
  <c r="B176" i="10"/>
  <c r="D175" i="10"/>
  <c r="C175" i="10"/>
  <c r="B175" i="10"/>
  <c r="D174" i="10"/>
  <c r="B174" i="10"/>
  <c r="B173" i="10"/>
  <c r="D172" i="10"/>
  <c r="C172" i="10"/>
  <c r="B172" i="10"/>
  <c r="B171" i="10"/>
  <c r="D171" i="10" s="1"/>
  <c r="B170" i="10"/>
  <c r="C171" i="10" s="1"/>
  <c r="D169" i="10"/>
  <c r="B169" i="10"/>
  <c r="B168" i="10"/>
  <c r="D167" i="10"/>
  <c r="C167" i="10"/>
  <c r="B167" i="10"/>
  <c r="D166" i="10"/>
  <c r="B166" i="10"/>
  <c r="C165" i="10"/>
  <c r="B165" i="10"/>
  <c r="D164" i="10"/>
  <c r="C164" i="10"/>
  <c r="B164" i="10"/>
  <c r="B163" i="10"/>
  <c r="D163" i="10" s="1"/>
  <c r="B162" i="10"/>
  <c r="D161" i="10"/>
  <c r="B161" i="10"/>
  <c r="B160" i="10"/>
  <c r="D159" i="10"/>
  <c r="B159" i="10"/>
  <c r="D158" i="10"/>
  <c r="B158" i="10"/>
  <c r="B157" i="10"/>
  <c r="D156" i="10"/>
  <c r="C156" i="10"/>
  <c r="B156" i="10"/>
  <c r="B155" i="10"/>
  <c r="D155" i="10" s="1"/>
  <c r="C154" i="10"/>
  <c r="B154" i="10"/>
  <c r="D153" i="10"/>
  <c r="B153" i="10"/>
  <c r="B152" i="10"/>
  <c r="B151" i="10"/>
  <c r="D150" i="10"/>
  <c r="B150" i="10"/>
  <c r="C149" i="10"/>
  <c r="B149" i="10"/>
  <c r="D148" i="10"/>
  <c r="C148" i="10"/>
  <c r="B148" i="10"/>
  <c r="B147" i="10"/>
  <c r="D147" i="10" s="1"/>
  <c r="B146" i="10"/>
  <c r="C147" i="10" s="1"/>
  <c r="D145" i="10"/>
  <c r="B145" i="10"/>
  <c r="B144" i="10"/>
  <c r="B143" i="10"/>
  <c r="D142" i="10"/>
  <c r="B142" i="10"/>
  <c r="C141" i="10"/>
  <c r="B141" i="10"/>
  <c r="D140" i="10"/>
  <c r="C140" i="10"/>
  <c r="B140" i="10"/>
  <c r="B139" i="10"/>
  <c r="D139" i="10" s="1"/>
  <c r="D138" i="10"/>
  <c r="C138" i="10"/>
  <c r="B138" i="10"/>
  <c r="C139" i="10" s="1"/>
  <c r="D137" i="10"/>
  <c r="B137" i="10"/>
  <c r="B136" i="10"/>
  <c r="B135" i="10"/>
  <c r="D134" i="10"/>
  <c r="B134" i="10"/>
  <c r="C133" i="10"/>
  <c r="B133" i="10"/>
  <c r="D132" i="10"/>
  <c r="C132" i="10"/>
  <c r="B132" i="10"/>
  <c r="B131" i="10"/>
  <c r="D131" i="10" s="1"/>
  <c r="D130" i="10"/>
  <c r="C130" i="10"/>
  <c r="B130" i="10"/>
  <c r="C131" i="10" s="1"/>
  <c r="D129" i="10"/>
  <c r="B129" i="10"/>
  <c r="B128" i="10"/>
  <c r="C127" i="10"/>
  <c r="B127" i="10"/>
  <c r="C128" i="10" s="1"/>
  <c r="D126" i="10"/>
  <c r="B126" i="10"/>
  <c r="B125" i="10"/>
  <c r="D124" i="10"/>
  <c r="C124" i="10"/>
  <c r="B124" i="10"/>
  <c r="B123" i="10"/>
  <c r="D123" i="10" s="1"/>
  <c r="D122" i="10"/>
  <c r="C122" i="10"/>
  <c r="B122" i="10"/>
  <c r="C123" i="10" s="1"/>
  <c r="D121" i="10"/>
  <c r="B121" i="10"/>
  <c r="B120" i="10"/>
  <c r="C119" i="10"/>
  <c r="B119" i="10"/>
  <c r="C120" i="10" s="1"/>
  <c r="D118" i="10"/>
  <c r="B118" i="10"/>
  <c r="B117" i="10"/>
  <c r="D116" i="10"/>
  <c r="C116" i="10"/>
  <c r="B116" i="10"/>
  <c r="B115" i="10"/>
  <c r="D115" i="10" s="1"/>
  <c r="D114" i="10"/>
  <c r="B114" i="10"/>
  <c r="C115" i="10" s="1"/>
  <c r="D113" i="10"/>
  <c r="B113" i="10"/>
  <c r="B112" i="10"/>
  <c r="D111" i="10"/>
  <c r="C111" i="10"/>
  <c r="B111" i="10"/>
  <c r="D110" i="10"/>
  <c r="B110" i="10"/>
  <c r="B109" i="10"/>
  <c r="D108" i="10"/>
  <c r="C108" i="10"/>
  <c r="B108" i="10"/>
  <c r="B107" i="10"/>
  <c r="D107" i="10" s="1"/>
  <c r="B106" i="10"/>
  <c r="C107" i="10" s="1"/>
  <c r="D105" i="10"/>
  <c r="B105" i="10"/>
  <c r="B104" i="10"/>
  <c r="D103" i="10"/>
  <c r="C103" i="10"/>
  <c r="B103" i="10"/>
  <c r="D102" i="10"/>
  <c r="B102" i="10"/>
  <c r="C101" i="10"/>
  <c r="B101" i="10"/>
  <c r="D100" i="10"/>
  <c r="C100" i="10"/>
  <c r="B100" i="10"/>
  <c r="B99" i="10"/>
  <c r="D99" i="10" s="1"/>
  <c r="B98" i="10"/>
  <c r="D97" i="10"/>
  <c r="B97" i="10"/>
  <c r="B96" i="10"/>
  <c r="D95" i="10"/>
  <c r="B95" i="10"/>
  <c r="D94" i="10"/>
  <c r="B94" i="10"/>
  <c r="B93" i="10"/>
  <c r="D92" i="10"/>
  <c r="C92" i="10"/>
  <c r="B92" i="10"/>
  <c r="B91" i="10"/>
  <c r="D91" i="10" s="1"/>
  <c r="B90" i="10"/>
  <c r="D89" i="10"/>
  <c r="B89" i="10"/>
  <c r="B88" i="10"/>
  <c r="B87" i="10"/>
  <c r="D86" i="10"/>
  <c r="B86" i="10"/>
  <c r="B85" i="10"/>
  <c r="D84" i="10"/>
  <c r="C84" i="10"/>
  <c r="B84" i="10"/>
  <c r="B83" i="10"/>
  <c r="D83" i="10" s="1"/>
  <c r="C82" i="10"/>
  <c r="B82" i="10"/>
  <c r="C83" i="10" s="1"/>
  <c r="D81" i="10"/>
  <c r="B81" i="10"/>
  <c r="B80" i="10"/>
  <c r="B79" i="10"/>
  <c r="D78" i="10"/>
  <c r="B78" i="10"/>
  <c r="C77" i="10"/>
  <c r="B77" i="10"/>
  <c r="D76" i="10"/>
  <c r="C76" i="10"/>
  <c r="B76" i="10"/>
  <c r="B75" i="10"/>
  <c r="D75" i="10" s="1"/>
  <c r="B74" i="10"/>
  <c r="C75" i="10" s="1"/>
  <c r="D73" i="10"/>
  <c r="B73" i="10"/>
  <c r="B72" i="10"/>
  <c r="D72" i="10" s="1"/>
  <c r="D71" i="10"/>
  <c r="C71" i="10"/>
  <c r="B71" i="10"/>
  <c r="C72" i="10" s="1"/>
  <c r="D70" i="10"/>
  <c r="B70" i="10"/>
  <c r="B69" i="10"/>
  <c r="B68" i="10"/>
  <c r="B67" i="10"/>
  <c r="D67" i="10" s="1"/>
  <c r="D66" i="10"/>
  <c r="C66" i="10"/>
  <c r="B66" i="10"/>
  <c r="C67" i="10" s="1"/>
  <c r="D65" i="10"/>
  <c r="B65" i="10"/>
  <c r="B64" i="10"/>
  <c r="D63" i="10"/>
  <c r="C63" i="10"/>
  <c r="B63" i="10"/>
  <c r="D62" i="10"/>
  <c r="B62" i="10"/>
  <c r="B61" i="10"/>
  <c r="B60" i="10"/>
  <c r="C61" i="10" s="1"/>
  <c r="B59" i="10"/>
  <c r="D59" i="10" s="1"/>
  <c r="B58" i="10"/>
  <c r="C59" i="10" s="1"/>
  <c r="D57" i="10"/>
  <c r="B57" i="10"/>
  <c r="B56" i="10"/>
  <c r="D56" i="10" s="1"/>
  <c r="D55" i="10"/>
  <c r="C55" i="10"/>
  <c r="B55" i="10"/>
  <c r="D54" i="10"/>
  <c r="B54" i="10"/>
  <c r="B53" i="10"/>
  <c r="D52" i="10"/>
  <c r="C52" i="10"/>
  <c r="B52" i="10"/>
  <c r="B51" i="10"/>
  <c r="D51" i="10" s="1"/>
  <c r="C50" i="10"/>
  <c r="B50" i="10"/>
  <c r="D49" i="10"/>
  <c r="C49" i="10"/>
  <c r="B49" i="10"/>
  <c r="B48" i="10"/>
  <c r="D48" i="10" s="1"/>
  <c r="B47" i="10"/>
  <c r="D46" i="10"/>
  <c r="B46" i="10"/>
  <c r="D45" i="10"/>
  <c r="B45" i="10"/>
  <c r="C46" i="10" s="1"/>
  <c r="B44" i="10"/>
  <c r="B43" i="10"/>
  <c r="D43" i="10" s="1"/>
  <c r="D42" i="10"/>
  <c r="C42" i="10"/>
  <c r="B42" i="10"/>
  <c r="D41" i="10"/>
  <c r="B41" i="10"/>
  <c r="B40" i="10"/>
  <c r="D39" i="10"/>
  <c r="C39" i="10"/>
  <c r="B39" i="10"/>
  <c r="D38" i="10"/>
  <c r="B38" i="10"/>
  <c r="B37" i="10"/>
  <c r="C38" i="10" s="1"/>
  <c r="D36" i="10"/>
  <c r="C36" i="10"/>
  <c r="B36" i="10"/>
  <c r="B35" i="10"/>
  <c r="D35" i="10" s="1"/>
  <c r="B34" i="10"/>
  <c r="D33" i="10"/>
  <c r="C33" i="10"/>
  <c r="B33" i="10"/>
  <c r="B32" i="10"/>
  <c r="D32" i="10" s="1"/>
  <c r="C31" i="10"/>
  <c r="B31" i="10"/>
  <c r="D30" i="10"/>
  <c r="B30" i="10"/>
  <c r="D29" i="10"/>
  <c r="B29" i="10"/>
  <c r="C30" i="10" s="1"/>
  <c r="B28" i="10"/>
  <c r="B27" i="10"/>
  <c r="D27" i="10" s="1"/>
  <c r="D26" i="10"/>
  <c r="C26" i="10"/>
  <c r="B26" i="10"/>
  <c r="D25" i="10"/>
  <c r="B25" i="10"/>
  <c r="B24" i="10"/>
  <c r="D23" i="10"/>
  <c r="C23" i="10"/>
  <c r="B23" i="10"/>
  <c r="D22" i="10"/>
  <c r="B22" i="10"/>
  <c r="B21" i="10"/>
  <c r="C22" i="10" s="1"/>
  <c r="D20" i="10"/>
  <c r="B20" i="10"/>
  <c r="B19" i="10"/>
  <c r="D19" i="10" s="1"/>
  <c r="C18" i="10"/>
  <c r="B18" i="10"/>
  <c r="D17" i="10"/>
  <c r="C17" i="10"/>
  <c r="B17" i="10"/>
  <c r="B16" i="10"/>
  <c r="D16" i="10" s="1"/>
  <c r="C15" i="10"/>
  <c r="B15" i="10"/>
  <c r="D14" i="10"/>
  <c r="B14" i="10"/>
  <c r="B13" i="10"/>
  <c r="C14" i="10" s="1"/>
  <c r="B12" i="10"/>
  <c r="B11" i="10"/>
  <c r="D11" i="10" s="1"/>
  <c r="D10" i="10"/>
  <c r="B10" i="10"/>
  <c r="C10" i="10" s="1"/>
  <c r="D9" i="10"/>
  <c r="B9" i="10"/>
  <c r="B8" i="10"/>
  <c r="D7" i="10"/>
  <c r="B7" i="10"/>
  <c r="C7" i="10" s="1"/>
  <c r="D6" i="10"/>
  <c r="B6" i="10"/>
  <c r="B5" i="10"/>
  <c r="C6" i="10" s="1"/>
  <c r="D4" i="10"/>
  <c r="B4" i="10"/>
  <c r="B3" i="10"/>
  <c r="D3" i="10" s="1"/>
  <c r="J2" i="10"/>
  <c r="B2" i="10"/>
  <c r="C3" i="10" s="1"/>
  <c r="J1" i="10"/>
  <c r="C299" i="9"/>
  <c r="B299" i="9"/>
  <c r="B298" i="9"/>
  <c r="B297" i="9"/>
  <c r="C296" i="9"/>
  <c r="B296" i="9"/>
  <c r="C297" i="9" s="1"/>
  <c r="C295" i="9"/>
  <c r="B295" i="9"/>
  <c r="B294" i="9"/>
  <c r="B293" i="9"/>
  <c r="C294" i="9" s="1"/>
  <c r="B292" i="9"/>
  <c r="C293" i="9" s="1"/>
  <c r="C291" i="9"/>
  <c r="B291" i="9"/>
  <c r="B290" i="9"/>
  <c r="B289" i="9"/>
  <c r="C289" i="9" s="1"/>
  <c r="B288" i="9"/>
  <c r="B287" i="9"/>
  <c r="C288" i="9" s="1"/>
  <c r="B286" i="9"/>
  <c r="C287" i="9" s="1"/>
  <c r="C285" i="9"/>
  <c r="B285" i="9"/>
  <c r="B284" i="9"/>
  <c r="B283" i="9"/>
  <c r="C284" i="9" s="1"/>
  <c r="B282" i="9"/>
  <c r="B281" i="9"/>
  <c r="C282" i="9" s="1"/>
  <c r="B280" i="9"/>
  <c r="C280" i="9" s="1"/>
  <c r="B279" i="9"/>
  <c r="B278" i="9"/>
  <c r="C279" i="9" s="1"/>
  <c r="B277" i="9"/>
  <c r="C278" i="9" s="1"/>
  <c r="B276" i="9"/>
  <c r="B275" i="9"/>
  <c r="C275" i="9" s="1"/>
  <c r="B274" i="9"/>
  <c r="C273" i="9"/>
  <c r="B273" i="9"/>
  <c r="C274" i="9" s="1"/>
  <c r="B272" i="9"/>
  <c r="C272" i="9" s="1"/>
  <c r="B271" i="9"/>
  <c r="B270" i="9"/>
  <c r="C271" i="9" s="1"/>
  <c r="B269" i="9"/>
  <c r="C270" i="9" s="1"/>
  <c r="C268" i="9"/>
  <c r="B268" i="9"/>
  <c r="C269" i="9" s="1"/>
  <c r="B267" i="9"/>
  <c r="B266" i="9"/>
  <c r="C267" i="9" s="1"/>
  <c r="B265" i="9"/>
  <c r="B264" i="9"/>
  <c r="C265" i="9" s="1"/>
  <c r="C263" i="9"/>
  <c r="B263" i="9"/>
  <c r="B262" i="9"/>
  <c r="B261" i="9"/>
  <c r="C262" i="9" s="1"/>
  <c r="B260" i="9"/>
  <c r="C261" i="9" s="1"/>
  <c r="B259" i="9"/>
  <c r="C260" i="9" s="1"/>
  <c r="C258" i="9"/>
  <c r="B258" i="9"/>
  <c r="B257" i="9"/>
  <c r="B256" i="9"/>
  <c r="C257" i="9" s="1"/>
  <c r="B255" i="9"/>
  <c r="C256" i="9" s="1"/>
  <c r="C254" i="9"/>
  <c r="B254" i="9"/>
  <c r="C255" i="9" s="1"/>
  <c r="B253" i="9"/>
  <c r="B252" i="9"/>
  <c r="C253" i="9" s="1"/>
  <c r="B251" i="9"/>
  <c r="C252" i="9" s="1"/>
  <c r="B250" i="9"/>
  <c r="C251" i="9" s="1"/>
  <c r="C249" i="9"/>
  <c r="B249" i="9"/>
  <c r="B248" i="9"/>
  <c r="B247" i="9"/>
  <c r="C248" i="9" s="1"/>
  <c r="B246" i="9"/>
  <c r="C247" i="9" s="1"/>
  <c r="C245" i="9"/>
  <c r="B245" i="9"/>
  <c r="C246" i="9" s="1"/>
  <c r="B244" i="9"/>
  <c r="B243" i="9"/>
  <c r="C244" i="9" s="1"/>
  <c r="B242" i="9"/>
  <c r="C243" i="9" s="1"/>
  <c r="B241" i="9"/>
  <c r="C242" i="9" s="1"/>
  <c r="B240" i="9"/>
  <c r="C241" i="9" s="1"/>
  <c r="C239" i="9"/>
  <c r="B239" i="9"/>
  <c r="B238" i="9"/>
  <c r="B237" i="9"/>
  <c r="C238" i="9" s="1"/>
  <c r="B236" i="9"/>
  <c r="C237" i="9" s="1"/>
  <c r="C235" i="9"/>
  <c r="B235" i="9"/>
  <c r="B234" i="9"/>
  <c r="B233" i="9"/>
  <c r="C234" i="9" s="1"/>
  <c r="B232" i="9"/>
  <c r="C233" i="9" s="1"/>
  <c r="C231" i="9"/>
  <c r="B231" i="9"/>
  <c r="C232" i="9" s="1"/>
  <c r="C230" i="9"/>
  <c r="B230" i="9"/>
  <c r="B229" i="9"/>
  <c r="B228" i="9"/>
  <c r="C229" i="9" s="1"/>
  <c r="B227" i="9"/>
  <c r="C228" i="9" s="1"/>
  <c r="C226" i="9"/>
  <c r="B226" i="9"/>
  <c r="B225" i="9"/>
  <c r="B224" i="9"/>
  <c r="C225" i="9" s="1"/>
  <c r="B223" i="9"/>
  <c r="C224" i="9" s="1"/>
  <c r="C222" i="9"/>
  <c r="B222" i="9"/>
  <c r="C223" i="9" s="1"/>
  <c r="B221" i="9"/>
  <c r="B220" i="9"/>
  <c r="C221" i="9" s="1"/>
  <c r="B219" i="9"/>
  <c r="C220" i="9" s="1"/>
  <c r="B218" i="9"/>
  <c r="C219" i="9" s="1"/>
  <c r="C217" i="9"/>
  <c r="B217" i="9"/>
  <c r="B216" i="9"/>
  <c r="B215" i="9"/>
  <c r="C216" i="9" s="1"/>
  <c r="B214" i="9"/>
  <c r="C215" i="9" s="1"/>
  <c r="C213" i="9"/>
  <c r="B213" i="9"/>
  <c r="C214" i="9" s="1"/>
  <c r="B212" i="9"/>
  <c r="B211" i="9"/>
  <c r="C212" i="9" s="1"/>
  <c r="B210" i="9"/>
  <c r="C211" i="9" s="1"/>
  <c r="B209" i="9"/>
  <c r="C210" i="9" s="1"/>
  <c r="B208" i="9"/>
  <c r="C209" i="9" s="1"/>
  <c r="C207" i="9"/>
  <c r="B207" i="9"/>
  <c r="B206" i="9"/>
  <c r="B205" i="9"/>
  <c r="C206" i="9" s="1"/>
  <c r="B204" i="9"/>
  <c r="C205" i="9" s="1"/>
  <c r="C203" i="9"/>
  <c r="B203" i="9"/>
  <c r="B202" i="9"/>
  <c r="B201" i="9"/>
  <c r="C202" i="9" s="1"/>
  <c r="B200" i="9"/>
  <c r="C201" i="9" s="1"/>
  <c r="C199" i="9"/>
  <c r="B199" i="9"/>
  <c r="C200" i="9" s="1"/>
  <c r="C198" i="9"/>
  <c r="B198" i="9"/>
  <c r="B197" i="9"/>
  <c r="B196" i="9"/>
  <c r="C197" i="9" s="1"/>
  <c r="B195" i="9"/>
  <c r="C196" i="9" s="1"/>
  <c r="C194" i="9"/>
  <c r="B194" i="9"/>
  <c r="B193" i="9"/>
  <c r="B192" i="9"/>
  <c r="C193" i="9" s="1"/>
  <c r="B191" i="9"/>
  <c r="C192" i="9" s="1"/>
  <c r="C190" i="9"/>
  <c r="B190" i="9"/>
  <c r="C191" i="9" s="1"/>
  <c r="B189" i="9"/>
  <c r="B188" i="9"/>
  <c r="C189" i="9" s="1"/>
  <c r="B187" i="9"/>
  <c r="C188" i="9" s="1"/>
  <c r="B186" i="9"/>
  <c r="C187" i="9" s="1"/>
  <c r="C185" i="9"/>
  <c r="B185" i="9"/>
  <c r="B184" i="9"/>
  <c r="B183" i="9"/>
  <c r="C184" i="9" s="1"/>
  <c r="B182" i="9"/>
  <c r="C183" i="9" s="1"/>
  <c r="C181" i="9"/>
  <c r="B181" i="9"/>
  <c r="C182" i="9" s="1"/>
  <c r="B180" i="9"/>
  <c r="B179" i="9"/>
  <c r="C180" i="9" s="1"/>
  <c r="B178" i="9"/>
  <c r="C179" i="9" s="1"/>
  <c r="B177" i="9"/>
  <c r="C178" i="9" s="1"/>
  <c r="B176" i="9"/>
  <c r="C177" i="9" s="1"/>
  <c r="C175" i="9"/>
  <c r="B175" i="9"/>
  <c r="B174" i="9"/>
  <c r="B173" i="9"/>
  <c r="C174" i="9" s="1"/>
  <c r="B172" i="9"/>
  <c r="C173" i="9" s="1"/>
  <c r="C171" i="9"/>
  <c r="B171" i="9"/>
  <c r="B170" i="9"/>
  <c r="B169" i="9"/>
  <c r="C170" i="9" s="1"/>
  <c r="B168" i="9"/>
  <c r="C169" i="9" s="1"/>
  <c r="C167" i="9"/>
  <c r="B167" i="9"/>
  <c r="C168" i="9" s="1"/>
  <c r="C166" i="9"/>
  <c r="B166" i="9"/>
  <c r="B165" i="9"/>
  <c r="B164" i="9"/>
  <c r="C165" i="9" s="1"/>
  <c r="B163" i="9"/>
  <c r="C164" i="9" s="1"/>
  <c r="C162" i="9"/>
  <c r="B162" i="9"/>
  <c r="B161" i="9"/>
  <c r="B160" i="9"/>
  <c r="C161" i="9" s="1"/>
  <c r="B159" i="9"/>
  <c r="C160" i="9" s="1"/>
  <c r="C158" i="9"/>
  <c r="B158" i="9"/>
  <c r="C159" i="9" s="1"/>
  <c r="B157" i="9"/>
  <c r="B156" i="9"/>
  <c r="C157" i="9" s="1"/>
  <c r="B155" i="9"/>
  <c r="C156" i="9" s="1"/>
  <c r="B154" i="9"/>
  <c r="C155" i="9" s="1"/>
  <c r="C153" i="9"/>
  <c r="B153" i="9"/>
  <c r="B152" i="9"/>
  <c r="B151" i="9"/>
  <c r="C152" i="9" s="1"/>
  <c r="B150" i="9"/>
  <c r="C151" i="9" s="1"/>
  <c r="C149" i="9"/>
  <c r="B149" i="9"/>
  <c r="C150" i="9" s="1"/>
  <c r="B148" i="9"/>
  <c r="B147" i="9"/>
  <c r="C148" i="9" s="1"/>
  <c r="B146" i="9"/>
  <c r="C147" i="9" s="1"/>
  <c r="B145" i="9"/>
  <c r="C146" i="9" s="1"/>
  <c r="B144" i="9"/>
  <c r="C145" i="9" s="1"/>
  <c r="C143" i="9"/>
  <c r="B143" i="9"/>
  <c r="B142" i="9"/>
  <c r="B141" i="9"/>
  <c r="C142" i="9" s="1"/>
  <c r="B140" i="9"/>
  <c r="C141" i="9" s="1"/>
  <c r="C139" i="9"/>
  <c r="B139" i="9"/>
  <c r="B138" i="9"/>
  <c r="B137" i="9"/>
  <c r="C138" i="9" s="1"/>
  <c r="B136" i="9"/>
  <c r="C137" i="9" s="1"/>
  <c r="C135" i="9"/>
  <c r="B135" i="9"/>
  <c r="C136" i="9" s="1"/>
  <c r="C134" i="9"/>
  <c r="B134" i="9"/>
  <c r="B133" i="9"/>
  <c r="B132" i="9"/>
  <c r="C133" i="9" s="1"/>
  <c r="B131" i="9"/>
  <c r="C132" i="9" s="1"/>
  <c r="C130" i="9"/>
  <c r="B130" i="9"/>
  <c r="B129" i="9"/>
  <c r="B128" i="9"/>
  <c r="C129" i="9" s="1"/>
  <c r="B127" i="9"/>
  <c r="C128" i="9" s="1"/>
  <c r="C126" i="9"/>
  <c r="B126" i="9"/>
  <c r="C127" i="9" s="1"/>
  <c r="B125" i="9"/>
  <c r="B124" i="9"/>
  <c r="C125" i="9" s="1"/>
  <c r="B123" i="9"/>
  <c r="C124" i="9" s="1"/>
  <c r="B122" i="9"/>
  <c r="C123" i="9" s="1"/>
  <c r="C121" i="9"/>
  <c r="B121" i="9"/>
  <c r="B120" i="9"/>
  <c r="B119" i="9"/>
  <c r="C120" i="9" s="1"/>
  <c r="B118" i="9"/>
  <c r="C119" i="9" s="1"/>
  <c r="C117" i="9"/>
  <c r="B117" i="9"/>
  <c r="C118" i="9" s="1"/>
  <c r="B116" i="9"/>
  <c r="B115" i="9"/>
  <c r="B114" i="9"/>
  <c r="C115" i="9" s="1"/>
  <c r="B113" i="9"/>
  <c r="C114" i="9" s="1"/>
  <c r="B112" i="9"/>
  <c r="C113" i="9" s="1"/>
  <c r="C111" i="9"/>
  <c r="B111" i="9"/>
  <c r="B110" i="9"/>
  <c r="B109" i="9"/>
  <c r="C110" i="9" s="1"/>
  <c r="B108" i="9"/>
  <c r="C109" i="9" s="1"/>
  <c r="C107" i="9"/>
  <c r="B107" i="9"/>
  <c r="B106" i="9"/>
  <c r="B105" i="9"/>
  <c r="C106" i="9" s="1"/>
  <c r="B104" i="9"/>
  <c r="C105" i="9" s="1"/>
  <c r="C103" i="9"/>
  <c r="B103" i="9"/>
  <c r="C104" i="9" s="1"/>
  <c r="C102" i="9"/>
  <c r="B102" i="9"/>
  <c r="B101" i="9"/>
  <c r="B100" i="9"/>
  <c r="C101" i="9" s="1"/>
  <c r="B99" i="9"/>
  <c r="C100" i="9" s="1"/>
  <c r="C98" i="9"/>
  <c r="B98" i="9"/>
  <c r="B97" i="9"/>
  <c r="B96" i="9"/>
  <c r="C97" i="9" s="1"/>
  <c r="B95" i="9"/>
  <c r="C96" i="9" s="1"/>
  <c r="C94" i="9"/>
  <c r="B94" i="9"/>
  <c r="C95" i="9" s="1"/>
  <c r="B93" i="9"/>
  <c r="B92" i="9"/>
  <c r="C93" i="9" s="1"/>
  <c r="B91" i="9"/>
  <c r="C92" i="9" s="1"/>
  <c r="B90" i="9"/>
  <c r="C91" i="9" s="1"/>
  <c r="C89" i="9"/>
  <c r="B89" i="9"/>
  <c r="B88" i="9"/>
  <c r="B87" i="9"/>
  <c r="C88" i="9" s="1"/>
  <c r="B86" i="9"/>
  <c r="C87" i="9" s="1"/>
  <c r="C85" i="9"/>
  <c r="B85" i="9"/>
  <c r="C86" i="9" s="1"/>
  <c r="B84" i="9"/>
  <c r="B83" i="9"/>
  <c r="B82" i="9"/>
  <c r="C83" i="9" s="1"/>
  <c r="B81" i="9"/>
  <c r="C82" i="9" s="1"/>
  <c r="B80" i="9"/>
  <c r="C81" i="9" s="1"/>
  <c r="C79" i="9"/>
  <c r="B79" i="9"/>
  <c r="B78" i="9"/>
  <c r="B77" i="9"/>
  <c r="C78" i="9" s="1"/>
  <c r="B76" i="9"/>
  <c r="C77" i="9" s="1"/>
  <c r="C75" i="9"/>
  <c r="B75" i="9"/>
  <c r="B74" i="9"/>
  <c r="B73" i="9"/>
  <c r="C74" i="9" s="1"/>
  <c r="B72" i="9"/>
  <c r="C73" i="9" s="1"/>
  <c r="C71" i="9"/>
  <c r="B71" i="9"/>
  <c r="C72" i="9" s="1"/>
  <c r="C70" i="9"/>
  <c r="B70" i="9"/>
  <c r="B69" i="9"/>
  <c r="B68" i="9"/>
  <c r="C69" i="9" s="1"/>
  <c r="C67" i="9"/>
  <c r="B67" i="9"/>
  <c r="C68" i="9" s="1"/>
  <c r="C66" i="9"/>
  <c r="B66" i="9"/>
  <c r="B65" i="9"/>
  <c r="B64" i="9"/>
  <c r="C65" i="9" s="1"/>
  <c r="C63" i="9"/>
  <c r="B63" i="9"/>
  <c r="C64" i="9" s="1"/>
  <c r="C62" i="9"/>
  <c r="B62" i="9"/>
  <c r="B61" i="9"/>
  <c r="B60" i="9"/>
  <c r="C61" i="9" s="1"/>
  <c r="C59" i="9"/>
  <c r="B59" i="9"/>
  <c r="C60" i="9" s="1"/>
  <c r="C58" i="9"/>
  <c r="B58" i="9"/>
  <c r="B57" i="9"/>
  <c r="B56" i="9"/>
  <c r="C57" i="9" s="1"/>
  <c r="C55" i="9"/>
  <c r="B55" i="9"/>
  <c r="C56" i="9" s="1"/>
  <c r="C54" i="9"/>
  <c r="B54" i="9"/>
  <c r="B53" i="9"/>
  <c r="B52" i="9"/>
  <c r="C53" i="9" s="1"/>
  <c r="C51" i="9"/>
  <c r="B51" i="9"/>
  <c r="C52" i="9" s="1"/>
  <c r="C50" i="9"/>
  <c r="B50" i="9"/>
  <c r="B49" i="9"/>
  <c r="B48" i="9"/>
  <c r="C49" i="9" s="1"/>
  <c r="C47" i="9"/>
  <c r="B47" i="9"/>
  <c r="C48" i="9" s="1"/>
  <c r="C46" i="9"/>
  <c r="B46" i="9"/>
  <c r="B45" i="9"/>
  <c r="B44" i="9"/>
  <c r="C45" i="9" s="1"/>
  <c r="C43" i="9"/>
  <c r="B43" i="9"/>
  <c r="C44" i="9" s="1"/>
  <c r="C42" i="9"/>
  <c r="B42" i="9"/>
  <c r="B41" i="9"/>
  <c r="B40" i="9"/>
  <c r="C41" i="9" s="1"/>
  <c r="C39" i="9"/>
  <c r="B39" i="9"/>
  <c r="C40" i="9" s="1"/>
  <c r="C38" i="9"/>
  <c r="B38" i="9"/>
  <c r="B37" i="9"/>
  <c r="B36" i="9"/>
  <c r="C37" i="9" s="1"/>
  <c r="C35" i="9"/>
  <c r="B35" i="9"/>
  <c r="C36" i="9" s="1"/>
  <c r="B34" i="9"/>
  <c r="B33" i="9"/>
  <c r="C34" i="9" s="1"/>
  <c r="B32" i="9"/>
  <c r="C33" i="9" s="1"/>
  <c r="B31" i="9"/>
  <c r="C32" i="9" s="1"/>
  <c r="B30" i="9"/>
  <c r="B29" i="9"/>
  <c r="C30" i="9" s="1"/>
  <c r="B28" i="9"/>
  <c r="C29" i="9" s="1"/>
  <c r="B27" i="9"/>
  <c r="C28" i="9" s="1"/>
  <c r="B26" i="9"/>
  <c r="B25" i="9"/>
  <c r="C26" i="9" s="1"/>
  <c r="B24" i="9"/>
  <c r="C25" i="9" s="1"/>
  <c r="B23" i="9"/>
  <c r="C24" i="9" s="1"/>
  <c r="B22" i="9"/>
  <c r="B21" i="9"/>
  <c r="C22" i="9" s="1"/>
  <c r="B20" i="9"/>
  <c r="C21" i="9" s="1"/>
  <c r="B19" i="9"/>
  <c r="C20" i="9" s="1"/>
  <c r="B18" i="9"/>
  <c r="B17" i="9"/>
  <c r="C18" i="9" s="1"/>
  <c r="B16" i="9"/>
  <c r="C17" i="9" s="1"/>
  <c r="B15" i="9"/>
  <c r="C16" i="9" s="1"/>
  <c r="B14" i="9"/>
  <c r="B13" i="9"/>
  <c r="C14" i="9" s="1"/>
  <c r="B12" i="9"/>
  <c r="C13" i="9" s="1"/>
  <c r="B11" i="9"/>
  <c r="C12" i="9" s="1"/>
  <c r="B10" i="9"/>
  <c r="B9" i="9"/>
  <c r="C10" i="9" s="1"/>
  <c r="B8" i="9"/>
  <c r="C9" i="9" s="1"/>
  <c r="B7" i="9"/>
  <c r="C8" i="9" s="1"/>
  <c r="B6" i="9"/>
  <c r="B5" i="9"/>
  <c r="C6" i="9" s="1"/>
  <c r="B4" i="9"/>
  <c r="C5" i="9" s="1"/>
  <c r="J3" i="9"/>
  <c r="C3" i="9"/>
  <c r="B3" i="9"/>
  <c r="J2" i="9"/>
  <c r="B2" i="9"/>
  <c r="J1" i="9"/>
  <c r="C31" i="8"/>
  <c r="C21" i="8" s="1"/>
  <c r="E27" i="8"/>
  <c r="D27" i="8"/>
  <c r="C27" i="8"/>
  <c r="E26" i="8"/>
  <c r="D26" i="8"/>
  <c r="E25" i="8"/>
  <c r="D25" i="8"/>
  <c r="C25" i="8"/>
  <c r="E24" i="8"/>
  <c r="D24" i="8"/>
  <c r="E23" i="8"/>
  <c r="D23" i="8"/>
  <c r="E22" i="8"/>
  <c r="D22" i="8"/>
  <c r="C22" i="8"/>
  <c r="E21" i="8"/>
  <c r="D21" i="8"/>
  <c r="E20" i="8"/>
  <c r="D20" i="8"/>
  <c r="C20" i="8"/>
  <c r="E19" i="8"/>
  <c r="D19" i="8"/>
  <c r="C19" i="8"/>
  <c r="E18" i="8"/>
  <c r="D18" i="8"/>
  <c r="E17" i="8"/>
  <c r="D17" i="8"/>
  <c r="C17" i="8"/>
  <c r="E16" i="8"/>
  <c r="D16" i="8"/>
  <c r="E15" i="8"/>
  <c r="D15" i="8"/>
  <c r="E14" i="8"/>
  <c r="D14" i="8"/>
  <c r="C14" i="8"/>
  <c r="E13" i="8"/>
  <c r="D13" i="8"/>
  <c r="E12" i="8"/>
  <c r="D12" i="8"/>
  <c r="C12" i="8"/>
  <c r="E11" i="8"/>
  <c r="D11" i="8"/>
  <c r="C11" i="8"/>
  <c r="E10" i="8"/>
  <c r="D10" i="8"/>
  <c r="E9" i="8"/>
  <c r="D9" i="8"/>
  <c r="C9" i="8"/>
  <c r="E8" i="8"/>
  <c r="D8" i="8"/>
  <c r="E7" i="8"/>
  <c r="D7" i="8"/>
  <c r="E6" i="8"/>
  <c r="D6" i="8"/>
  <c r="C6" i="8"/>
  <c r="E5" i="8"/>
  <c r="D5" i="8"/>
  <c r="E4" i="8"/>
  <c r="D4" i="8"/>
  <c r="C4" i="8"/>
  <c r="E3" i="8"/>
  <c r="D3" i="8"/>
  <c r="C3" i="8"/>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D96" i="7" s="1"/>
  <c r="AA96" i="7"/>
  <c r="Z96" i="7"/>
  <c r="Y96" i="7"/>
  <c r="X96" i="7"/>
  <c r="W96" i="7"/>
  <c r="V96" i="7"/>
  <c r="U96" i="7"/>
  <c r="T96" i="7"/>
  <c r="S96" i="7"/>
  <c r="R96" i="7"/>
  <c r="Q96" i="7"/>
  <c r="P96" i="7"/>
  <c r="O96" i="7"/>
  <c r="N96" i="7"/>
  <c r="M96" i="7"/>
  <c r="L96" i="7"/>
  <c r="K96" i="7"/>
  <c r="J96" i="7"/>
  <c r="I96" i="7"/>
  <c r="H96" i="7"/>
  <c r="G96" i="7"/>
  <c r="F96" i="7"/>
  <c r="E96" i="7"/>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A93" i="7"/>
  <c r="Z93" i="7"/>
  <c r="Y93" i="7"/>
  <c r="X93" i="7"/>
  <c r="W93" i="7"/>
  <c r="V93" i="7"/>
  <c r="U93" i="7"/>
  <c r="T93" i="7"/>
  <c r="S93" i="7"/>
  <c r="R93" i="7"/>
  <c r="Q93" i="7"/>
  <c r="P93" i="7"/>
  <c r="O93" i="7"/>
  <c r="N93" i="7"/>
  <c r="M93" i="7"/>
  <c r="L93" i="7"/>
  <c r="K93" i="7"/>
  <c r="J93" i="7"/>
  <c r="I93" i="7"/>
  <c r="H93" i="7"/>
  <c r="G93" i="7"/>
  <c r="F93" i="7"/>
  <c r="E93" i="7"/>
  <c r="AD93" i="7" s="1"/>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D88" i="7" s="1"/>
  <c r="AA88" i="7"/>
  <c r="Z88" i="7"/>
  <c r="Y88" i="7"/>
  <c r="X88" i="7"/>
  <c r="W88" i="7"/>
  <c r="V88" i="7"/>
  <c r="U88" i="7"/>
  <c r="T88" i="7"/>
  <c r="S88" i="7"/>
  <c r="R88" i="7"/>
  <c r="Q88" i="7"/>
  <c r="P88" i="7"/>
  <c r="O88" i="7"/>
  <c r="N88" i="7"/>
  <c r="M88" i="7"/>
  <c r="L88" i="7"/>
  <c r="K88" i="7"/>
  <c r="J88" i="7"/>
  <c r="I88" i="7"/>
  <c r="H88" i="7"/>
  <c r="G88" i="7"/>
  <c r="F88" i="7"/>
  <c r="E88" i="7"/>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AD85" i="7" s="1"/>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D80" i="7" s="1"/>
  <c r="AA80" i="7"/>
  <c r="Z80" i="7"/>
  <c r="Y80" i="7"/>
  <c r="X80" i="7"/>
  <c r="W80" i="7"/>
  <c r="V80" i="7"/>
  <c r="U80" i="7"/>
  <c r="T80" i="7"/>
  <c r="S80" i="7"/>
  <c r="R80" i="7"/>
  <c r="Q80" i="7"/>
  <c r="P80" i="7"/>
  <c r="O80" i="7"/>
  <c r="N80" i="7"/>
  <c r="M80" i="7"/>
  <c r="L80" i="7"/>
  <c r="K80" i="7"/>
  <c r="J80" i="7"/>
  <c r="I80" i="7"/>
  <c r="H80" i="7"/>
  <c r="G80" i="7"/>
  <c r="F80" i="7"/>
  <c r="E80" i="7"/>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AD77" i="7" s="1"/>
  <c r="D77" i="7"/>
  <c r="C77" i="7"/>
  <c r="AC76" i="7"/>
  <c r="AD76" i="7" s="1"/>
  <c r="AA76" i="7"/>
  <c r="Z76" i="7"/>
  <c r="Y76" i="7"/>
  <c r="X76" i="7"/>
  <c r="W76" i="7"/>
  <c r="V76" i="7"/>
  <c r="U76" i="7"/>
  <c r="T76" i="7"/>
  <c r="S76" i="7"/>
  <c r="R76" i="7"/>
  <c r="Q76" i="7"/>
  <c r="P76" i="7"/>
  <c r="O76" i="7"/>
  <c r="N76" i="7"/>
  <c r="M76" i="7"/>
  <c r="L76" i="7"/>
  <c r="K76" i="7"/>
  <c r="J76" i="7"/>
  <c r="I76" i="7"/>
  <c r="H76" i="7"/>
  <c r="G76" i="7"/>
  <c r="F76" i="7"/>
  <c r="E76" i="7"/>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D72" i="7" s="1"/>
  <c r="AA72" i="7"/>
  <c r="Z72" i="7"/>
  <c r="Y72" i="7"/>
  <c r="X72" i="7"/>
  <c r="W72" i="7"/>
  <c r="V72" i="7"/>
  <c r="U72" i="7"/>
  <c r="T72" i="7"/>
  <c r="S72" i="7"/>
  <c r="R72" i="7"/>
  <c r="Q72" i="7"/>
  <c r="P72" i="7"/>
  <c r="O72" i="7"/>
  <c r="N72" i="7"/>
  <c r="M72" i="7"/>
  <c r="L72" i="7"/>
  <c r="K72" i="7"/>
  <c r="J72" i="7"/>
  <c r="I72" i="7"/>
  <c r="H72" i="7"/>
  <c r="G72" i="7"/>
  <c r="F72" i="7"/>
  <c r="E72" i="7"/>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D68" i="7" s="1"/>
  <c r="AA68" i="7"/>
  <c r="Z68" i="7"/>
  <c r="Y68" i="7"/>
  <c r="X68" i="7"/>
  <c r="W68" i="7"/>
  <c r="V68" i="7"/>
  <c r="U68" i="7"/>
  <c r="T68" i="7"/>
  <c r="S68" i="7"/>
  <c r="R68" i="7"/>
  <c r="Q68" i="7"/>
  <c r="P68" i="7"/>
  <c r="O68" i="7"/>
  <c r="N68" i="7"/>
  <c r="M68" i="7"/>
  <c r="L68" i="7"/>
  <c r="K68" i="7"/>
  <c r="J68" i="7"/>
  <c r="I68" i="7"/>
  <c r="H68" i="7"/>
  <c r="G68" i="7"/>
  <c r="F68" i="7"/>
  <c r="E68" i="7"/>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D64" i="7" s="1"/>
  <c r="AA64" i="7"/>
  <c r="Z64" i="7"/>
  <c r="Y64" i="7"/>
  <c r="X64" i="7"/>
  <c r="W64" i="7"/>
  <c r="V64" i="7"/>
  <c r="U64" i="7"/>
  <c r="T64" i="7"/>
  <c r="S64" i="7"/>
  <c r="R64" i="7"/>
  <c r="Q64" i="7"/>
  <c r="P64" i="7"/>
  <c r="O64" i="7"/>
  <c r="N64" i="7"/>
  <c r="M64" i="7"/>
  <c r="L64" i="7"/>
  <c r="K64" i="7"/>
  <c r="J64" i="7"/>
  <c r="I64" i="7"/>
  <c r="H64" i="7"/>
  <c r="G64" i="7"/>
  <c r="F64" i="7"/>
  <c r="E64" i="7"/>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AD61" i="7" s="1"/>
  <c r="D61" i="7"/>
  <c r="C61" i="7"/>
  <c r="AC60" i="7"/>
  <c r="AD60" i="7" s="1"/>
  <c r="AA60" i="7"/>
  <c r="Z60" i="7"/>
  <c r="Y60" i="7"/>
  <c r="X60" i="7"/>
  <c r="W60" i="7"/>
  <c r="V60" i="7"/>
  <c r="U60" i="7"/>
  <c r="T60" i="7"/>
  <c r="S60" i="7"/>
  <c r="R60" i="7"/>
  <c r="Q60" i="7"/>
  <c r="P60" i="7"/>
  <c r="O60" i="7"/>
  <c r="N60" i="7"/>
  <c r="M60" i="7"/>
  <c r="L60" i="7"/>
  <c r="K60" i="7"/>
  <c r="J60" i="7"/>
  <c r="I60" i="7"/>
  <c r="H60" i="7"/>
  <c r="G60" i="7"/>
  <c r="F60" i="7"/>
  <c r="E60" i="7"/>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A57" i="7"/>
  <c r="Z57" i="7"/>
  <c r="Y57" i="7"/>
  <c r="X57" i="7"/>
  <c r="W57" i="7"/>
  <c r="V57" i="7"/>
  <c r="U57" i="7"/>
  <c r="T57" i="7"/>
  <c r="S57" i="7"/>
  <c r="R57" i="7"/>
  <c r="Q57" i="7"/>
  <c r="P57" i="7"/>
  <c r="O57" i="7"/>
  <c r="N57" i="7"/>
  <c r="M57" i="7"/>
  <c r="L57" i="7"/>
  <c r="K57" i="7"/>
  <c r="J57" i="7"/>
  <c r="I57" i="7"/>
  <c r="H57" i="7"/>
  <c r="G57" i="7"/>
  <c r="F57" i="7"/>
  <c r="E57" i="7"/>
  <c r="D57" i="7"/>
  <c r="C57" i="7"/>
  <c r="AC56" i="7"/>
  <c r="AD56" i="7" s="1"/>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D52" i="7" s="1"/>
  <c r="AA52" i="7"/>
  <c r="Z52" i="7"/>
  <c r="Y52" i="7"/>
  <c r="X52" i="7"/>
  <c r="W52" i="7"/>
  <c r="V52" i="7"/>
  <c r="U52" i="7"/>
  <c r="T52" i="7"/>
  <c r="S52" i="7"/>
  <c r="R52" i="7"/>
  <c r="Q52" i="7"/>
  <c r="P52" i="7"/>
  <c r="O52" i="7"/>
  <c r="N52" i="7"/>
  <c r="M52" i="7"/>
  <c r="L52" i="7"/>
  <c r="K52" i="7"/>
  <c r="J52" i="7"/>
  <c r="I52" i="7"/>
  <c r="H52" i="7"/>
  <c r="G52" i="7"/>
  <c r="F52" i="7"/>
  <c r="E52" i="7"/>
  <c r="D52" i="7"/>
  <c r="C52" i="7"/>
  <c r="AC51" i="7"/>
  <c r="AA51" i="7"/>
  <c r="Z51" i="7"/>
  <c r="Y51" i="7"/>
  <c r="X51" i="7"/>
  <c r="W51" i="7"/>
  <c r="V51" i="7"/>
  <c r="U51" i="7"/>
  <c r="T51" i="7"/>
  <c r="S51" i="7"/>
  <c r="R51" i="7"/>
  <c r="Q51" i="7"/>
  <c r="P51" i="7"/>
  <c r="O51" i="7"/>
  <c r="N51" i="7"/>
  <c r="M51" i="7"/>
  <c r="L51" i="7"/>
  <c r="K51" i="7"/>
  <c r="J51" i="7"/>
  <c r="I51" i="7"/>
  <c r="H51" i="7"/>
  <c r="G51" i="7"/>
  <c r="F51" i="7"/>
  <c r="E51" i="7"/>
  <c r="AD51" i="7" s="1"/>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D49" i="7"/>
  <c r="C49" i="7"/>
  <c r="AC48" i="7"/>
  <c r="AD48" i="7" s="1"/>
  <c r="AA48" i="7"/>
  <c r="Z48" i="7"/>
  <c r="Y48" i="7"/>
  <c r="X48" i="7"/>
  <c r="W48" i="7"/>
  <c r="V48" i="7"/>
  <c r="U48" i="7"/>
  <c r="T48" i="7"/>
  <c r="S48" i="7"/>
  <c r="R48" i="7"/>
  <c r="Q48" i="7"/>
  <c r="P48" i="7"/>
  <c r="O48" i="7"/>
  <c r="N48" i="7"/>
  <c r="M48" i="7"/>
  <c r="L48" i="7"/>
  <c r="K48" i="7"/>
  <c r="J48" i="7"/>
  <c r="I48" i="7"/>
  <c r="H48" i="7"/>
  <c r="G48" i="7"/>
  <c r="F48" i="7"/>
  <c r="E48" i="7"/>
  <c r="D48" i="7"/>
  <c r="C48" i="7"/>
  <c r="AC47" i="7"/>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AD45" i="7" s="1"/>
  <c r="D45" i="7"/>
  <c r="C45" i="7"/>
  <c r="AC44" i="7"/>
  <c r="AA44" i="7"/>
  <c r="Z44" i="7"/>
  <c r="Y44" i="7"/>
  <c r="X44" i="7"/>
  <c r="W44" i="7"/>
  <c r="V44" i="7"/>
  <c r="U44" i="7"/>
  <c r="T44" i="7"/>
  <c r="S44" i="7"/>
  <c r="R44" i="7"/>
  <c r="Q44" i="7"/>
  <c r="P44" i="7"/>
  <c r="O44" i="7"/>
  <c r="N44" i="7"/>
  <c r="M44" i="7"/>
  <c r="L44" i="7"/>
  <c r="K44" i="7"/>
  <c r="J44" i="7"/>
  <c r="I44" i="7"/>
  <c r="H44" i="7"/>
  <c r="G44" i="7"/>
  <c r="F44" i="7"/>
  <c r="E44" i="7"/>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A41" i="7"/>
  <c r="Z41" i="7"/>
  <c r="Y41" i="7"/>
  <c r="X41" i="7"/>
  <c r="W41" i="7"/>
  <c r="V41" i="7"/>
  <c r="U41" i="7"/>
  <c r="T41" i="7"/>
  <c r="S41" i="7"/>
  <c r="R41" i="7"/>
  <c r="Q41" i="7"/>
  <c r="P41" i="7"/>
  <c r="O41" i="7"/>
  <c r="N41" i="7"/>
  <c r="M41" i="7"/>
  <c r="L41" i="7"/>
  <c r="K41" i="7"/>
  <c r="J41" i="7"/>
  <c r="I41" i="7"/>
  <c r="H41" i="7"/>
  <c r="G41" i="7"/>
  <c r="F41" i="7"/>
  <c r="E41" i="7"/>
  <c r="D41" i="7"/>
  <c r="C41" i="7"/>
  <c r="AC40" i="7"/>
  <c r="AD40" i="7" s="1"/>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D33" i="7"/>
  <c r="C33" i="7"/>
  <c r="AC32" i="7"/>
  <c r="AD32" i="7" s="1"/>
  <c r="AA32" i="7"/>
  <c r="Z32" i="7"/>
  <c r="Y32" i="7"/>
  <c r="X32" i="7"/>
  <c r="W32" i="7"/>
  <c r="V32" i="7"/>
  <c r="U32" i="7"/>
  <c r="T32" i="7"/>
  <c r="S32" i="7"/>
  <c r="R32" i="7"/>
  <c r="Q32" i="7"/>
  <c r="P32" i="7"/>
  <c r="O32" i="7"/>
  <c r="N32" i="7"/>
  <c r="M32" i="7"/>
  <c r="L32" i="7"/>
  <c r="K32" i="7"/>
  <c r="J32" i="7"/>
  <c r="I32" i="7"/>
  <c r="H32" i="7"/>
  <c r="G32" i="7"/>
  <c r="F32" i="7"/>
  <c r="E32" i="7"/>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AD29" i="7" s="1"/>
  <c r="D29" i="7"/>
  <c r="C29" i="7"/>
  <c r="AC28" i="7"/>
  <c r="AA28" i="7"/>
  <c r="Z28" i="7"/>
  <c r="Y28" i="7"/>
  <c r="X28" i="7"/>
  <c r="W28" i="7"/>
  <c r="V28" i="7"/>
  <c r="U28" i="7"/>
  <c r="T28" i="7"/>
  <c r="S28" i="7"/>
  <c r="R28" i="7"/>
  <c r="Q28" i="7"/>
  <c r="P28" i="7"/>
  <c r="O28" i="7"/>
  <c r="N28" i="7"/>
  <c r="M28" i="7"/>
  <c r="L28" i="7"/>
  <c r="K28" i="7"/>
  <c r="J28" i="7"/>
  <c r="I28" i="7"/>
  <c r="H28" i="7"/>
  <c r="G28" i="7"/>
  <c r="F28" i="7"/>
  <c r="E28" i="7"/>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A25" i="7"/>
  <c r="Z25" i="7"/>
  <c r="Y25" i="7"/>
  <c r="X25" i="7"/>
  <c r="W25" i="7"/>
  <c r="V25" i="7"/>
  <c r="U25" i="7"/>
  <c r="T25" i="7"/>
  <c r="S25" i="7"/>
  <c r="R25" i="7"/>
  <c r="Q25" i="7"/>
  <c r="P25" i="7"/>
  <c r="O25" i="7"/>
  <c r="N25" i="7"/>
  <c r="M25" i="7"/>
  <c r="L25" i="7"/>
  <c r="K25" i="7"/>
  <c r="J25" i="7"/>
  <c r="I25" i="7"/>
  <c r="H25" i="7"/>
  <c r="G25" i="7"/>
  <c r="F25" i="7"/>
  <c r="E25" i="7"/>
  <c r="D25" i="7"/>
  <c r="C25" i="7"/>
  <c r="AC24" i="7"/>
  <c r="AD24" i="7" s="1"/>
  <c r="AA24" i="7"/>
  <c r="Z24" i="7"/>
  <c r="Y24" i="7"/>
  <c r="X24" i="7"/>
  <c r="W24" i="7"/>
  <c r="V24" i="7"/>
  <c r="U24" i="7"/>
  <c r="T24" i="7"/>
  <c r="S24" i="7"/>
  <c r="R24" i="7"/>
  <c r="Q24" i="7"/>
  <c r="P24" i="7"/>
  <c r="O24" i="7"/>
  <c r="N24" i="7"/>
  <c r="M24" i="7"/>
  <c r="L24" i="7"/>
  <c r="K24" i="7"/>
  <c r="J24" i="7"/>
  <c r="I24" i="7"/>
  <c r="H24" i="7"/>
  <c r="G24" i="7"/>
  <c r="F24" i="7"/>
  <c r="E24" i="7"/>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D20" i="7" s="1"/>
  <c r="AA20" i="7"/>
  <c r="Z20" i="7"/>
  <c r="Y20" i="7"/>
  <c r="X20" i="7"/>
  <c r="W20" i="7"/>
  <c r="V20" i="7"/>
  <c r="U20" i="7"/>
  <c r="T20" i="7"/>
  <c r="S20" i="7"/>
  <c r="R20" i="7"/>
  <c r="Q20" i="7"/>
  <c r="P20" i="7"/>
  <c r="O20" i="7"/>
  <c r="N20" i="7"/>
  <c r="M20" i="7"/>
  <c r="L20" i="7"/>
  <c r="K20" i="7"/>
  <c r="J20" i="7"/>
  <c r="I20" i="7"/>
  <c r="H20" i="7"/>
  <c r="G20" i="7"/>
  <c r="F20" i="7"/>
  <c r="E20" i="7"/>
  <c r="D20" i="7"/>
  <c r="C20" i="7"/>
  <c r="AC19" i="7"/>
  <c r="AA19" i="7"/>
  <c r="Z19" i="7"/>
  <c r="Y19" i="7"/>
  <c r="X19" i="7"/>
  <c r="W19" i="7"/>
  <c r="V19" i="7"/>
  <c r="U19" i="7"/>
  <c r="T19" i="7"/>
  <c r="S19" i="7"/>
  <c r="R19" i="7"/>
  <c r="Q19" i="7"/>
  <c r="P19" i="7"/>
  <c r="O19" i="7"/>
  <c r="N19" i="7"/>
  <c r="M19" i="7"/>
  <c r="L19" i="7"/>
  <c r="K19" i="7"/>
  <c r="J19" i="7"/>
  <c r="I19" i="7"/>
  <c r="H19" i="7"/>
  <c r="G19" i="7"/>
  <c r="F19" i="7"/>
  <c r="E19" i="7"/>
  <c r="AD19" i="7" s="1"/>
  <c r="D19" i="7"/>
  <c r="C19" i="7"/>
  <c r="AC18" i="7"/>
  <c r="AA18" i="7"/>
  <c r="Z18" i="7"/>
  <c r="Y18" i="7"/>
  <c r="X18" i="7"/>
  <c r="W18" i="7"/>
  <c r="V18" i="7"/>
  <c r="U18" i="7"/>
  <c r="T18" i="7"/>
  <c r="S18" i="7"/>
  <c r="R18" i="7"/>
  <c r="Q18" i="7"/>
  <c r="P18" i="7"/>
  <c r="O18" i="7"/>
  <c r="N18" i="7"/>
  <c r="M18" i="7"/>
  <c r="L18" i="7"/>
  <c r="K18" i="7"/>
  <c r="J18" i="7"/>
  <c r="I18" i="7"/>
  <c r="H18" i="7"/>
  <c r="G18" i="7"/>
  <c r="F18" i="7"/>
  <c r="E18" i="7"/>
  <c r="D18" i="7"/>
  <c r="C18" i="7"/>
  <c r="AC17" i="7"/>
  <c r="AA17" i="7"/>
  <c r="Z17" i="7"/>
  <c r="Y17" i="7"/>
  <c r="X17" i="7"/>
  <c r="W17" i="7"/>
  <c r="V17" i="7"/>
  <c r="U17" i="7"/>
  <c r="T17" i="7"/>
  <c r="S17" i="7"/>
  <c r="R17" i="7"/>
  <c r="Q17" i="7"/>
  <c r="P17" i="7"/>
  <c r="O17" i="7"/>
  <c r="N17" i="7"/>
  <c r="M17" i="7"/>
  <c r="L17" i="7"/>
  <c r="K17" i="7"/>
  <c r="J17" i="7"/>
  <c r="I17" i="7"/>
  <c r="H17" i="7"/>
  <c r="G17" i="7"/>
  <c r="F17" i="7"/>
  <c r="E17" i="7"/>
  <c r="D17" i="7"/>
  <c r="C17" i="7"/>
  <c r="AC16" i="7"/>
  <c r="AD16" i="7" s="1"/>
  <c r="AA16" i="7"/>
  <c r="Z16" i="7"/>
  <c r="Y16" i="7"/>
  <c r="X16" i="7"/>
  <c r="W16" i="7"/>
  <c r="V16" i="7"/>
  <c r="U16" i="7"/>
  <c r="T16" i="7"/>
  <c r="S16" i="7"/>
  <c r="R16" i="7"/>
  <c r="Q16" i="7"/>
  <c r="P16" i="7"/>
  <c r="O16" i="7"/>
  <c r="N16" i="7"/>
  <c r="M16" i="7"/>
  <c r="L16" i="7"/>
  <c r="K16" i="7"/>
  <c r="J16" i="7"/>
  <c r="I16" i="7"/>
  <c r="H16" i="7"/>
  <c r="G16" i="7"/>
  <c r="F16" i="7"/>
  <c r="E16" i="7"/>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AD13" i="7" s="1"/>
  <c r="D13" i="7"/>
  <c r="C13" i="7"/>
  <c r="AC12" i="7"/>
  <c r="AA12" i="7"/>
  <c r="Z12" i="7"/>
  <c r="Y12" i="7"/>
  <c r="X12" i="7"/>
  <c r="W12" i="7"/>
  <c r="V12" i="7"/>
  <c r="U12" i="7"/>
  <c r="T12" i="7"/>
  <c r="S12" i="7"/>
  <c r="R12" i="7"/>
  <c r="Q12" i="7"/>
  <c r="P12" i="7"/>
  <c r="O12" i="7"/>
  <c r="N12" i="7"/>
  <c r="M12" i="7"/>
  <c r="L12" i="7"/>
  <c r="K12" i="7"/>
  <c r="J12" i="7"/>
  <c r="I12" i="7"/>
  <c r="H12" i="7"/>
  <c r="G12" i="7"/>
  <c r="F12" i="7"/>
  <c r="E12" i="7"/>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L9" i="7"/>
  <c r="U8" i="7"/>
  <c r="P8" i="7"/>
  <c r="E8" i="7"/>
  <c r="Y7" i="7"/>
  <c r="V7" i="7"/>
  <c r="N7" i="7"/>
  <c r="I7" i="7"/>
  <c r="F7" i="7"/>
  <c r="AA6" i="7"/>
  <c r="Z6" i="7"/>
  <c r="Y6" i="7"/>
  <c r="X6" i="7"/>
  <c r="X7" i="7" s="1"/>
  <c r="W6" i="7"/>
  <c r="W7" i="7" s="1"/>
  <c r="V6" i="7"/>
  <c r="U6" i="7"/>
  <c r="T6" i="7"/>
  <c r="S6" i="7"/>
  <c r="R6" i="7"/>
  <c r="Q6" i="7"/>
  <c r="Q7" i="7" s="1"/>
  <c r="P6" i="7"/>
  <c r="P7" i="7" s="1"/>
  <c r="O6" i="7"/>
  <c r="O7" i="7" s="1"/>
  <c r="N6" i="7"/>
  <c r="M6" i="7"/>
  <c r="L6" i="7"/>
  <c r="K6" i="7"/>
  <c r="J6" i="7"/>
  <c r="I6" i="7"/>
  <c r="H6" i="7"/>
  <c r="H7" i="7" s="1"/>
  <c r="G6" i="7"/>
  <c r="G7" i="7" s="1"/>
  <c r="F6" i="7"/>
  <c r="E6" i="7"/>
  <c r="D6" i="7"/>
  <c r="C6" i="7"/>
  <c r="AA5" i="7"/>
  <c r="Z5" i="7"/>
  <c r="Y5" i="7"/>
  <c r="X5" i="7"/>
  <c r="W5" i="7"/>
  <c r="V5" i="7"/>
  <c r="U5" i="7"/>
  <c r="T5" i="7"/>
  <c r="S5" i="7"/>
  <c r="R5" i="7"/>
  <c r="Q5" i="7"/>
  <c r="P5" i="7"/>
  <c r="O5" i="7"/>
  <c r="N5" i="7"/>
  <c r="M5" i="7"/>
  <c r="L5" i="7"/>
  <c r="K5" i="7"/>
  <c r="J5" i="7"/>
  <c r="I5" i="7"/>
  <c r="H5" i="7"/>
  <c r="G5" i="7"/>
  <c r="F5" i="7"/>
  <c r="E5" i="7"/>
  <c r="D5" i="7"/>
  <c r="C5" i="7"/>
  <c r="AE4" i="7"/>
  <c r="M8" i="7" s="1"/>
  <c r="AA4" i="7"/>
  <c r="Z4" i="7"/>
  <c r="Y4" i="7"/>
  <c r="X4" i="7"/>
  <c r="W4" i="7"/>
  <c r="V4" i="7"/>
  <c r="U4" i="7"/>
  <c r="T4" i="7"/>
  <c r="S4" i="7"/>
  <c r="R4" i="7"/>
  <c r="Q4" i="7"/>
  <c r="P4" i="7"/>
  <c r="O4" i="7"/>
  <c r="N4" i="7"/>
  <c r="M4" i="7"/>
  <c r="L4" i="7"/>
  <c r="K4" i="7"/>
  <c r="J4" i="7"/>
  <c r="I4" i="7"/>
  <c r="H4" i="7"/>
  <c r="G4" i="7"/>
  <c r="F4" i="7"/>
  <c r="E4" i="7"/>
  <c r="D4" i="7"/>
  <c r="C4" i="7"/>
  <c r="AE3" i="7"/>
  <c r="T9" i="7" s="1"/>
  <c r="AE2" i="7"/>
  <c r="AC97" i="6"/>
  <c r="AA97" i="6"/>
  <c r="Z97" i="6"/>
  <c r="Y97" i="6"/>
  <c r="X97" i="6"/>
  <c r="W97" i="6"/>
  <c r="V97" i="6"/>
  <c r="U97" i="6"/>
  <c r="T97" i="6"/>
  <c r="S97" i="6"/>
  <c r="R97" i="6"/>
  <c r="Q97" i="6"/>
  <c r="P97" i="6"/>
  <c r="O97" i="6"/>
  <c r="N97" i="6"/>
  <c r="M97" i="6"/>
  <c r="L97" i="6"/>
  <c r="K97" i="6"/>
  <c r="J97" i="6"/>
  <c r="I97" i="6"/>
  <c r="H97" i="6"/>
  <c r="G97" i="6"/>
  <c r="F97" i="6"/>
  <c r="E97" i="6"/>
  <c r="D97" i="6"/>
  <c r="C97" i="6"/>
  <c r="AE97" i="6" s="1"/>
  <c r="AC96" i="6"/>
  <c r="AD96" i="6" s="1"/>
  <c r="AA96" i="6"/>
  <c r="Z96" i="6"/>
  <c r="Y96" i="6"/>
  <c r="X96" i="6"/>
  <c r="W96" i="6"/>
  <c r="V96" i="6"/>
  <c r="U96" i="6"/>
  <c r="T96" i="6"/>
  <c r="S96" i="6"/>
  <c r="R96" i="6"/>
  <c r="Q96" i="6"/>
  <c r="P96" i="6"/>
  <c r="O96" i="6"/>
  <c r="N96" i="6"/>
  <c r="M96" i="6"/>
  <c r="L96" i="6"/>
  <c r="K96" i="6"/>
  <c r="J96" i="6"/>
  <c r="I96" i="6"/>
  <c r="H96" i="6"/>
  <c r="G96" i="6"/>
  <c r="AE96" i="6" s="1"/>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AD94" i="6" s="1"/>
  <c r="F94" i="6"/>
  <c r="E94" i="6"/>
  <c r="D94" i="6"/>
  <c r="C94" i="6"/>
  <c r="AC93" i="6"/>
  <c r="AA93" i="6"/>
  <c r="AA4" i="6" s="1"/>
  <c r="Z93" i="6"/>
  <c r="Y93" i="6"/>
  <c r="X93" i="6"/>
  <c r="W93" i="6"/>
  <c r="V93" i="6"/>
  <c r="U93" i="6"/>
  <c r="T93" i="6"/>
  <c r="S93" i="6"/>
  <c r="S4" i="6" s="1"/>
  <c r="R93" i="6"/>
  <c r="Q93" i="6"/>
  <c r="P93" i="6"/>
  <c r="O93" i="6"/>
  <c r="N93" i="6"/>
  <c r="M93" i="6"/>
  <c r="L93" i="6"/>
  <c r="K93" i="6"/>
  <c r="K4" i="6" s="1"/>
  <c r="J93" i="6"/>
  <c r="I93" i="6"/>
  <c r="H93" i="6"/>
  <c r="G93" i="6"/>
  <c r="F93" i="6"/>
  <c r="E93" i="6"/>
  <c r="D93" i="6"/>
  <c r="C93" i="6"/>
  <c r="C4" i="6" s="1"/>
  <c r="AC92" i="6"/>
  <c r="AA92" i="6"/>
  <c r="Z92" i="6"/>
  <c r="Y92" i="6"/>
  <c r="X92" i="6"/>
  <c r="W92" i="6"/>
  <c r="W5" i="6" s="1"/>
  <c r="V92" i="6"/>
  <c r="U92" i="6"/>
  <c r="T92" i="6"/>
  <c r="S92" i="6"/>
  <c r="R92" i="6"/>
  <c r="Q92" i="6"/>
  <c r="P92" i="6"/>
  <c r="O92" i="6"/>
  <c r="O5" i="6" s="1"/>
  <c r="N92" i="6"/>
  <c r="M92" i="6"/>
  <c r="L92" i="6"/>
  <c r="K92" i="6"/>
  <c r="J92" i="6"/>
  <c r="I92" i="6"/>
  <c r="H92" i="6"/>
  <c r="G92" i="6"/>
  <c r="G5" i="6" s="1"/>
  <c r="F92" i="6"/>
  <c r="E92" i="6"/>
  <c r="D92" i="6"/>
  <c r="C92" i="6"/>
  <c r="AC91" i="6"/>
  <c r="AA91" i="6"/>
  <c r="Z91" i="6"/>
  <c r="Y91" i="6"/>
  <c r="Y4" i="6" s="1"/>
  <c r="X91" i="6"/>
  <c r="W91" i="6"/>
  <c r="V91" i="6"/>
  <c r="U91" i="6"/>
  <c r="T91" i="6"/>
  <c r="S91" i="6"/>
  <c r="R91" i="6"/>
  <c r="Q91" i="6"/>
  <c r="Q4" i="6" s="1"/>
  <c r="P91" i="6"/>
  <c r="O91" i="6"/>
  <c r="N91" i="6"/>
  <c r="M91" i="6"/>
  <c r="L91" i="6"/>
  <c r="K91" i="6"/>
  <c r="J91" i="6"/>
  <c r="I91" i="6"/>
  <c r="I4" i="6" s="1"/>
  <c r="H91" i="6"/>
  <c r="G91" i="6"/>
  <c r="F91" i="6"/>
  <c r="E91" i="6"/>
  <c r="D91" i="6"/>
  <c r="C91" i="6"/>
  <c r="AE90" i="6"/>
  <c r="AD90" i="6"/>
  <c r="AC90" i="6"/>
  <c r="AA90" i="6"/>
  <c r="Z90" i="6"/>
  <c r="Y90" i="6"/>
  <c r="X90" i="6"/>
  <c r="W90" i="6"/>
  <c r="V90" i="6"/>
  <c r="U90" i="6"/>
  <c r="U6" i="6" s="1"/>
  <c r="T90" i="6"/>
  <c r="S90" i="6"/>
  <c r="R90" i="6"/>
  <c r="Q90" i="6"/>
  <c r="P90" i="6"/>
  <c r="O90" i="6"/>
  <c r="N90" i="6"/>
  <c r="M90" i="6"/>
  <c r="M6" i="6" s="1"/>
  <c r="L90" i="6"/>
  <c r="K90" i="6"/>
  <c r="J90" i="6"/>
  <c r="I90" i="6"/>
  <c r="H90" i="6"/>
  <c r="G90" i="6"/>
  <c r="F90" i="6"/>
  <c r="E90" i="6"/>
  <c r="E6" i="6" s="1"/>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AE88" i="6" s="1"/>
  <c r="F88" i="6"/>
  <c r="E88" i="6"/>
  <c r="D88" i="6"/>
  <c r="C88" i="6"/>
  <c r="AC87" i="6"/>
  <c r="AA87" i="6"/>
  <c r="Z87" i="6"/>
  <c r="Y87" i="6"/>
  <c r="X87" i="6"/>
  <c r="W87" i="6"/>
  <c r="V87" i="6"/>
  <c r="U87" i="6"/>
  <c r="T87" i="6"/>
  <c r="S87" i="6"/>
  <c r="R87" i="6"/>
  <c r="Q87" i="6"/>
  <c r="P87" i="6"/>
  <c r="O87" i="6"/>
  <c r="N87" i="6"/>
  <c r="M87" i="6"/>
  <c r="L87" i="6"/>
  <c r="K87" i="6"/>
  <c r="J87" i="6"/>
  <c r="I87" i="6"/>
  <c r="H87" i="6"/>
  <c r="G87" i="6"/>
  <c r="F87" i="6"/>
  <c r="E87" i="6"/>
  <c r="D87" i="6"/>
  <c r="C87" i="6"/>
  <c r="AC86" i="6"/>
  <c r="AA86" i="6"/>
  <c r="Z86" i="6"/>
  <c r="Y86" i="6"/>
  <c r="X86" i="6"/>
  <c r="W86" i="6"/>
  <c r="V86" i="6"/>
  <c r="U86" i="6"/>
  <c r="T86" i="6"/>
  <c r="S86" i="6"/>
  <c r="R86" i="6"/>
  <c r="Q86" i="6"/>
  <c r="P86" i="6"/>
  <c r="O86" i="6"/>
  <c r="N86" i="6"/>
  <c r="M86" i="6"/>
  <c r="L86" i="6"/>
  <c r="K86" i="6"/>
  <c r="J86" i="6"/>
  <c r="I86" i="6"/>
  <c r="H86" i="6"/>
  <c r="G86" i="6"/>
  <c r="AD86" i="6" s="1"/>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C84" i="6"/>
  <c r="AA84" i="6"/>
  <c r="Z84" i="6"/>
  <c r="Y84" i="6"/>
  <c r="X84" i="6"/>
  <c r="W84" i="6"/>
  <c r="V84" i="6"/>
  <c r="U84" i="6"/>
  <c r="T84" i="6"/>
  <c r="S84" i="6"/>
  <c r="R84" i="6"/>
  <c r="Q84" i="6"/>
  <c r="P84" i="6"/>
  <c r="O84" i="6"/>
  <c r="N84" i="6"/>
  <c r="M84" i="6"/>
  <c r="L84" i="6"/>
  <c r="K84" i="6"/>
  <c r="J84" i="6"/>
  <c r="I84" i="6"/>
  <c r="H84" i="6"/>
  <c r="G84" i="6"/>
  <c r="AE84" i="6" s="1"/>
  <c r="F84" i="6"/>
  <c r="E84" i="6"/>
  <c r="D84" i="6"/>
  <c r="C84" i="6"/>
  <c r="AC83" i="6"/>
  <c r="AA83" i="6"/>
  <c r="Z83" i="6"/>
  <c r="Y83" i="6"/>
  <c r="X83" i="6"/>
  <c r="W83" i="6"/>
  <c r="V83" i="6"/>
  <c r="U83" i="6"/>
  <c r="T83" i="6"/>
  <c r="S83" i="6"/>
  <c r="R83" i="6"/>
  <c r="Q83" i="6"/>
  <c r="P83" i="6"/>
  <c r="O83" i="6"/>
  <c r="N83" i="6"/>
  <c r="M83" i="6"/>
  <c r="L83" i="6"/>
  <c r="K83" i="6"/>
  <c r="J83" i="6"/>
  <c r="I83" i="6"/>
  <c r="H83" i="6"/>
  <c r="G83" i="6"/>
  <c r="F83" i="6"/>
  <c r="E83" i="6"/>
  <c r="D83" i="6"/>
  <c r="C83" i="6"/>
  <c r="AE82" i="6"/>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AE80" i="6" s="1"/>
  <c r="F80" i="6"/>
  <c r="E80" i="6"/>
  <c r="D80" i="6"/>
  <c r="C80" i="6"/>
  <c r="AC79" i="6"/>
  <c r="AA79" i="6"/>
  <c r="Z79" i="6"/>
  <c r="Y79" i="6"/>
  <c r="X79" i="6"/>
  <c r="W79" i="6"/>
  <c r="V79" i="6"/>
  <c r="U79" i="6"/>
  <c r="T79" i="6"/>
  <c r="S79" i="6"/>
  <c r="R79" i="6"/>
  <c r="Q79" i="6"/>
  <c r="P79" i="6"/>
  <c r="O79" i="6"/>
  <c r="N79" i="6"/>
  <c r="M79" i="6"/>
  <c r="L79" i="6"/>
  <c r="K79" i="6"/>
  <c r="J79" i="6"/>
  <c r="I79" i="6"/>
  <c r="H79" i="6"/>
  <c r="G79" i="6"/>
  <c r="F79" i="6"/>
  <c r="E79" i="6"/>
  <c r="D79" i="6"/>
  <c r="C79"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C76" i="6"/>
  <c r="AA76" i="6"/>
  <c r="Z76" i="6"/>
  <c r="Y76" i="6"/>
  <c r="X76" i="6"/>
  <c r="W76" i="6"/>
  <c r="V76" i="6"/>
  <c r="U76" i="6"/>
  <c r="T76" i="6"/>
  <c r="S76" i="6"/>
  <c r="R76" i="6"/>
  <c r="Q76" i="6"/>
  <c r="P76" i="6"/>
  <c r="O76" i="6"/>
  <c r="N76" i="6"/>
  <c r="M76" i="6"/>
  <c r="L76" i="6"/>
  <c r="K76" i="6"/>
  <c r="J76" i="6"/>
  <c r="I76" i="6"/>
  <c r="H76" i="6"/>
  <c r="G76" i="6"/>
  <c r="AE76" i="6" s="1"/>
  <c r="F76" i="6"/>
  <c r="E76" i="6"/>
  <c r="D76" i="6"/>
  <c r="C76" i="6"/>
  <c r="AC75" i="6"/>
  <c r="AA75" i="6"/>
  <c r="Z75" i="6"/>
  <c r="Y75" i="6"/>
  <c r="X75" i="6"/>
  <c r="W75" i="6"/>
  <c r="V75" i="6"/>
  <c r="U75" i="6"/>
  <c r="T75" i="6"/>
  <c r="S75" i="6"/>
  <c r="R75" i="6"/>
  <c r="Q75" i="6"/>
  <c r="P75" i="6"/>
  <c r="O75" i="6"/>
  <c r="N75" i="6"/>
  <c r="M75" i="6"/>
  <c r="L75" i="6"/>
  <c r="K75" i="6"/>
  <c r="J75" i="6"/>
  <c r="I75" i="6"/>
  <c r="H75" i="6"/>
  <c r="G75" i="6"/>
  <c r="F75" i="6"/>
  <c r="E75" i="6"/>
  <c r="D75" i="6"/>
  <c r="C75" i="6"/>
  <c r="AE74" i="6"/>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C72" i="6"/>
  <c r="AD72" i="6" s="1"/>
  <c r="AA72" i="6"/>
  <c r="Z72" i="6"/>
  <c r="Y72" i="6"/>
  <c r="X72" i="6"/>
  <c r="W72" i="6"/>
  <c r="V72" i="6"/>
  <c r="U72" i="6"/>
  <c r="T72" i="6"/>
  <c r="S72" i="6"/>
  <c r="R72" i="6"/>
  <c r="Q72" i="6"/>
  <c r="P72" i="6"/>
  <c r="O72" i="6"/>
  <c r="N72" i="6"/>
  <c r="M72" i="6"/>
  <c r="L72" i="6"/>
  <c r="K72" i="6"/>
  <c r="J72" i="6"/>
  <c r="I72" i="6"/>
  <c r="H72" i="6"/>
  <c r="G72" i="6"/>
  <c r="AE72" i="6" s="1"/>
  <c r="F72" i="6"/>
  <c r="E72" i="6"/>
  <c r="D72" i="6"/>
  <c r="C72" i="6"/>
  <c r="AC71" i="6"/>
  <c r="AA71" i="6"/>
  <c r="Z71" i="6"/>
  <c r="Y71" i="6"/>
  <c r="X71" i="6"/>
  <c r="W71" i="6"/>
  <c r="V71" i="6"/>
  <c r="U71" i="6"/>
  <c r="T71" i="6"/>
  <c r="S71" i="6"/>
  <c r="R71" i="6"/>
  <c r="Q71" i="6"/>
  <c r="P71" i="6"/>
  <c r="O71" i="6"/>
  <c r="N71" i="6"/>
  <c r="M71" i="6"/>
  <c r="L71" i="6"/>
  <c r="K71" i="6"/>
  <c r="J71" i="6"/>
  <c r="I71" i="6"/>
  <c r="H71" i="6"/>
  <c r="G71" i="6"/>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8" i="6"/>
  <c r="AC68" i="6"/>
  <c r="AA68" i="6"/>
  <c r="Z68" i="6"/>
  <c r="Y68" i="6"/>
  <c r="X68" i="6"/>
  <c r="W68" i="6"/>
  <c r="V68" i="6"/>
  <c r="U68" i="6"/>
  <c r="T68" i="6"/>
  <c r="S68" i="6"/>
  <c r="R68" i="6"/>
  <c r="Q68" i="6"/>
  <c r="P68" i="6"/>
  <c r="O68" i="6"/>
  <c r="N68" i="6"/>
  <c r="M68" i="6"/>
  <c r="L68" i="6"/>
  <c r="K68" i="6"/>
  <c r="J68" i="6"/>
  <c r="I68" i="6"/>
  <c r="H68" i="6"/>
  <c r="G68" i="6"/>
  <c r="AE68" i="6" s="1"/>
  <c r="F68" i="6"/>
  <c r="E68" i="6"/>
  <c r="D68" i="6"/>
  <c r="C68" i="6"/>
  <c r="AC67" i="6"/>
  <c r="AA67" i="6"/>
  <c r="Z67" i="6"/>
  <c r="Y67" i="6"/>
  <c r="X67" i="6"/>
  <c r="W67" i="6"/>
  <c r="V67" i="6"/>
  <c r="U67" i="6"/>
  <c r="T67" i="6"/>
  <c r="S67" i="6"/>
  <c r="R67" i="6"/>
  <c r="Q67" i="6"/>
  <c r="P67" i="6"/>
  <c r="O67" i="6"/>
  <c r="N67" i="6"/>
  <c r="M67" i="6"/>
  <c r="L67" i="6"/>
  <c r="K67" i="6"/>
  <c r="J67" i="6"/>
  <c r="I67" i="6"/>
  <c r="H67" i="6"/>
  <c r="G67" i="6"/>
  <c r="F67" i="6"/>
  <c r="E67" i="6"/>
  <c r="D67" i="6"/>
  <c r="C67" i="6"/>
  <c r="AE66" i="6"/>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AE64" i="6" s="1"/>
  <c r="F64" i="6"/>
  <c r="E64" i="6"/>
  <c r="D64" i="6"/>
  <c r="C64" i="6"/>
  <c r="AC63" i="6"/>
  <c r="AA63" i="6"/>
  <c r="Z63" i="6"/>
  <c r="Y63" i="6"/>
  <c r="X63" i="6"/>
  <c r="W63" i="6"/>
  <c r="V63" i="6"/>
  <c r="U63" i="6"/>
  <c r="T63" i="6"/>
  <c r="S63" i="6"/>
  <c r="R63" i="6"/>
  <c r="Q63" i="6"/>
  <c r="P63" i="6"/>
  <c r="O63" i="6"/>
  <c r="N63" i="6"/>
  <c r="M63" i="6"/>
  <c r="L63" i="6"/>
  <c r="K63" i="6"/>
  <c r="J63" i="6"/>
  <c r="I63" i="6"/>
  <c r="H63" i="6"/>
  <c r="G63" i="6"/>
  <c r="F63" i="6"/>
  <c r="E63" i="6"/>
  <c r="D63" i="6"/>
  <c r="C63"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E60" i="6"/>
  <c r="AD60" i="6"/>
  <c r="AC60" i="6"/>
  <c r="AA60" i="6"/>
  <c r="Z60" i="6"/>
  <c r="Y60" i="6"/>
  <c r="X60" i="6"/>
  <c r="W60" i="6"/>
  <c r="V60" i="6"/>
  <c r="U60" i="6"/>
  <c r="T60" i="6"/>
  <c r="S60" i="6"/>
  <c r="R60" i="6"/>
  <c r="Q60" i="6"/>
  <c r="P60" i="6"/>
  <c r="O60" i="6"/>
  <c r="N60" i="6"/>
  <c r="M60" i="6"/>
  <c r="L60" i="6"/>
  <c r="K60" i="6"/>
  <c r="J60" i="6"/>
  <c r="I60" i="6"/>
  <c r="H60" i="6"/>
  <c r="G60" i="6"/>
  <c r="F60" i="6"/>
  <c r="E60" i="6"/>
  <c r="D60" i="6"/>
  <c r="C60" i="6"/>
  <c r="AC59" i="6"/>
  <c r="AA59" i="6"/>
  <c r="Z59" i="6"/>
  <c r="Y59" i="6"/>
  <c r="X59" i="6"/>
  <c r="W59" i="6"/>
  <c r="V59" i="6"/>
  <c r="U59" i="6"/>
  <c r="T59" i="6"/>
  <c r="S59" i="6"/>
  <c r="R59" i="6"/>
  <c r="Q59" i="6"/>
  <c r="P59" i="6"/>
  <c r="O59" i="6"/>
  <c r="N59" i="6"/>
  <c r="M59" i="6"/>
  <c r="L59" i="6"/>
  <c r="K59" i="6"/>
  <c r="J59" i="6"/>
  <c r="I59" i="6"/>
  <c r="H59" i="6"/>
  <c r="G59" i="6"/>
  <c r="F59" i="6"/>
  <c r="E59" i="6"/>
  <c r="D59" i="6"/>
  <c r="C59" i="6"/>
  <c r="AE58"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C56" i="6"/>
  <c r="AA56" i="6"/>
  <c r="Z56" i="6"/>
  <c r="Y56" i="6"/>
  <c r="X56" i="6"/>
  <c r="W56" i="6"/>
  <c r="V56" i="6"/>
  <c r="U56" i="6"/>
  <c r="T56" i="6"/>
  <c r="S56" i="6"/>
  <c r="R56" i="6"/>
  <c r="Q56" i="6"/>
  <c r="P56" i="6"/>
  <c r="O56" i="6"/>
  <c r="N56" i="6"/>
  <c r="M56" i="6"/>
  <c r="L56" i="6"/>
  <c r="K56" i="6"/>
  <c r="J56" i="6"/>
  <c r="I56" i="6"/>
  <c r="H56" i="6"/>
  <c r="G56" i="6"/>
  <c r="F56" i="6"/>
  <c r="E56" i="6"/>
  <c r="D56" i="6"/>
  <c r="C56" i="6"/>
  <c r="AE56" i="6" s="1"/>
  <c r="AC55" i="6"/>
  <c r="AA55" i="6"/>
  <c r="Z55" i="6"/>
  <c r="Y55" i="6"/>
  <c r="X55" i="6"/>
  <c r="W55" i="6"/>
  <c r="V55" i="6"/>
  <c r="U55" i="6"/>
  <c r="T55" i="6"/>
  <c r="S55" i="6"/>
  <c r="R55" i="6"/>
  <c r="Q55" i="6"/>
  <c r="P55" i="6"/>
  <c r="O55" i="6"/>
  <c r="N55" i="6"/>
  <c r="M55" i="6"/>
  <c r="L55" i="6"/>
  <c r="K55" i="6"/>
  <c r="J55" i="6"/>
  <c r="I55" i="6"/>
  <c r="H55" i="6"/>
  <c r="G55" i="6"/>
  <c r="F55" i="6"/>
  <c r="E55" i="6"/>
  <c r="D55" i="6"/>
  <c r="C55" i="6"/>
  <c r="AC54" i="6"/>
  <c r="AA54" i="6"/>
  <c r="Z54" i="6"/>
  <c r="Y54" i="6"/>
  <c r="X54" i="6"/>
  <c r="W54" i="6"/>
  <c r="V54" i="6"/>
  <c r="U54" i="6"/>
  <c r="T54" i="6"/>
  <c r="S54" i="6"/>
  <c r="R54" i="6"/>
  <c r="Q54" i="6"/>
  <c r="P54" i="6"/>
  <c r="O54" i="6"/>
  <c r="N54" i="6"/>
  <c r="M54" i="6"/>
  <c r="L54" i="6"/>
  <c r="K54" i="6"/>
  <c r="J54" i="6"/>
  <c r="I54" i="6"/>
  <c r="H54" i="6"/>
  <c r="G54" i="6"/>
  <c r="AD54" i="6" s="1"/>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E52" i="6"/>
  <c r="AD52" i="6"/>
  <c r="AC52" i="6"/>
  <c r="AA52" i="6"/>
  <c r="Z52" i="6"/>
  <c r="Y52" i="6"/>
  <c r="X52" i="6"/>
  <c r="W52" i="6"/>
  <c r="V52" i="6"/>
  <c r="U52" i="6"/>
  <c r="T52" i="6"/>
  <c r="S52" i="6"/>
  <c r="R52" i="6"/>
  <c r="Q52" i="6"/>
  <c r="P52" i="6"/>
  <c r="O52" i="6"/>
  <c r="N52" i="6"/>
  <c r="M52" i="6"/>
  <c r="L52" i="6"/>
  <c r="K52" i="6"/>
  <c r="J52" i="6"/>
  <c r="I52" i="6"/>
  <c r="H52" i="6"/>
  <c r="G52" i="6"/>
  <c r="F52" i="6"/>
  <c r="E52" i="6"/>
  <c r="D52" i="6"/>
  <c r="C52" i="6"/>
  <c r="AC51" i="6"/>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E50" i="6" s="1"/>
  <c r="AC49" i="6"/>
  <c r="AA49" i="6"/>
  <c r="Z49" i="6"/>
  <c r="Y49" i="6"/>
  <c r="X49" i="6"/>
  <c r="W49" i="6"/>
  <c r="V49" i="6"/>
  <c r="U49" i="6"/>
  <c r="T49" i="6"/>
  <c r="S49" i="6"/>
  <c r="R49" i="6"/>
  <c r="Q49" i="6"/>
  <c r="P49" i="6"/>
  <c r="O49" i="6"/>
  <c r="N49" i="6"/>
  <c r="M49" i="6"/>
  <c r="L49" i="6"/>
  <c r="K49" i="6"/>
  <c r="J49" i="6"/>
  <c r="I49" i="6"/>
  <c r="H49" i="6"/>
  <c r="G49" i="6"/>
  <c r="F49" i="6"/>
  <c r="E49" i="6"/>
  <c r="D49" i="6"/>
  <c r="C49" i="6"/>
  <c r="AD48" i="6"/>
  <c r="AC48" i="6"/>
  <c r="AA48" i="6"/>
  <c r="Z48" i="6"/>
  <c r="Y48" i="6"/>
  <c r="X48" i="6"/>
  <c r="W48" i="6"/>
  <c r="V48" i="6"/>
  <c r="U48" i="6"/>
  <c r="T48" i="6"/>
  <c r="S48" i="6"/>
  <c r="R48" i="6"/>
  <c r="Q48" i="6"/>
  <c r="P48" i="6"/>
  <c r="O48" i="6"/>
  <c r="N48" i="6"/>
  <c r="M48" i="6"/>
  <c r="L48" i="6"/>
  <c r="K48" i="6"/>
  <c r="J48" i="6"/>
  <c r="I48" i="6"/>
  <c r="H48" i="6"/>
  <c r="G48" i="6"/>
  <c r="F48" i="6"/>
  <c r="E48" i="6"/>
  <c r="D48" i="6"/>
  <c r="C48" i="6"/>
  <c r="AE48" i="6" s="1"/>
  <c r="AD47" i="6"/>
  <c r="AC47" i="6"/>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E46" i="6" s="1"/>
  <c r="AE45" i="6"/>
  <c r="AD45" i="6"/>
  <c r="AC45" i="6"/>
  <c r="AA45" i="6"/>
  <c r="Z45" i="6"/>
  <c r="Y45" i="6"/>
  <c r="X45" i="6"/>
  <c r="W45" i="6"/>
  <c r="V45" i="6"/>
  <c r="U45" i="6"/>
  <c r="T45" i="6"/>
  <c r="S45" i="6"/>
  <c r="R45" i="6"/>
  <c r="Q45" i="6"/>
  <c r="P45" i="6"/>
  <c r="O45" i="6"/>
  <c r="N45" i="6"/>
  <c r="M45" i="6"/>
  <c r="L45" i="6"/>
  <c r="K45" i="6"/>
  <c r="J45" i="6"/>
  <c r="I45" i="6"/>
  <c r="H45" i="6"/>
  <c r="G45" i="6"/>
  <c r="F45" i="6"/>
  <c r="E45" i="6"/>
  <c r="D45" i="6"/>
  <c r="C45" i="6"/>
  <c r="AC44" i="6"/>
  <c r="AA44" i="6"/>
  <c r="Z44" i="6"/>
  <c r="Y44" i="6"/>
  <c r="X44" i="6"/>
  <c r="W44" i="6"/>
  <c r="V44" i="6"/>
  <c r="U44" i="6"/>
  <c r="T44" i="6"/>
  <c r="S44" i="6"/>
  <c r="R44" i="6"/>
  <c r="Q44" i="6"/>
  <c r="P44" i="6"/>
  <c r="O44" i="6"/>
  <c r="N44" i="6"/>
  <c r="M44" i="6"/>
  <c r="L44" i="6"/>
  <c r="K44" i="6"/>
  <c r="J44" i="6"/>
  <c r="I44" i="6"/>
  <c r="H44" i="6"/>
  <c r="G44" i="6"/>
  <c r="F44" i="6"/>
  <c r="E44" i="6"/>
  <c r="D44" i="6"/>
  <c r="C44" i="6"/>
  <c r="AE44" i="6" s="1"/>
  <c r="AC43" i="6"/>
  <c r="AA43" i="6"/>
  <c r="Z43" i="6"/>
  <c r="Y43" i="6"/>
  <c r="X43" i="6"/>
  <c r="W43" i="6"/>
  <c r="V43" i="6"/>
  <c r="U43" i="6"/>
  <c r="T43" i="6"/>
  <c r="S43" i="6"/>
  <c r="R43" i="6"/>
  <c r="Q43" i="6"/>
  <c r="P43" i="6"/>
  <c r="O43" i="6"/>
  <c r="N43" i="6"/>
  <c r="M43" i="6"/>
  <c r="L43" i="6"/>
  <c r="K43" i="6"/>
  <c r="J43" i="6"/>
  <c r="I43" i="6"/>
  <c r="H43" i="6"/>
  <c r="G43" i="6"/>
  <c r="AE43" i="6" s="1"/>
  <c r="F43" i="6"/>
  <c r="E43" i="6"/>
  <c r="D43" i="6"/>
  <c r="C43" i="6"/>
  <c r="AC42" i="6"/>
  <c r="AA42" i="6"/>
  <c r="Z42" i="6"/>
  <c r="Y42" i="6"/>
  <c r="X42" i="6"/>
  <c r="W42" i="6"/>
  <c r="V42" i="6"/>
  <c r="U42" i="6"/>
  <c r="T42" i="6"/>
  <c r="S42" i="6"/>
  <c r="R42" i="6"/>
  <c r="Q42" i="6"/>
  <c r="P42" i="6"/>
  <c r="O42" i="6"/>
  <c r="N42" i="6"/>
  <c r="M42" i="6"/>
  <c r="L42" i="6"/>
  <c r="K42" i="6"/>
  <c r="J42" i="6"/>
  <c r="I42" i="6"/>
  <c r="H42" i="6"/>
  <c r="G42" i="6"/>
  <c r="F42" i="6"/>
  <c r="E42" i="6"/>
  <c r="D42" i="6"/>
  <c r="C42" i="6"/>
  <c r="AE42" i="6" s="1"/>
  <c r="AE41"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E40" i="6" s="1"/>
  <c r="AE39" i="6"/>
  <c r="AD39" i="6"/>
  <c r="AC39" i="6"/>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E38" i="6" s="1"/>
  <c r="AE37" i="6"/>
  <c r="AC37" i="6"/>
  <c r="AA37" i="6"/>
  <c r="Z37" i="6"/>
  <c r="Y37" i="6"/>
  <c r="X37" i="6"/>
  <c r="W37" i="6"/>
  <c r="V37" i="6"/>
  <c r="U37" i="6"/>
  <c r="T37" i="6"/>
  <c r="S37" i="6"/>
  <c r="R37" i="6"/>
  <c r="Q37" i="6"/>
  <c r="P37" i="6"/>
  <c r="O37" i="6"/>
  <c r="N37" i="6"/>
  <c r="M37" i="6"/>
  <c r="L37" i="6"/>
  <c r="K37" i="6"/>
  <c r="J37" i="6"/>
  <c r="I37" i="6"/>
  <c r="H37" i="6"/>
  <c r="G37" i="6"/>
  <c r="AD37" i="6" s="1"/>
  <c r="F37" i="6"/>
  <c r="E37" i="6"/>
  <c r="D37" i="6"/>
  <c r="C37" i="6"/>
  <c r="AC36" i="6"/>
  <c r="AA36" i="6"/>
  <c r="Z36" i="6"/>
  <c r="Y36" i="6"/>
  <c r="X36" i="6"/>
  <c r="W36" i="6"/>
  <c r="V36" i="6"/>
  <c r="U36" i="6"/>
  <c r="T36" i="6"/>
  <c r="S36" i="6"/>
  <c r="R36" i="6"/>
  <c r="Q36" i="6"/>
  <c r="P36" i="6"/>
  <c r="O36" i="6"/>
  <c r="N36" i="6"/>
  <c r="M36" i="6"/>
  <c r="L36" i="6"/>
  <c r="K36" i="6"/>
  <c r="J36" i="6"/>
  <c r="I36" i="6"/>
  <c r="H36" i="6"/>
  <c r="G36" i="6"/>
  <c r="F36" i="6"/>
  <c r="E36" i="6"/>
  <c r="D36" i="6"/>
  <c r="C36" i="6"/>
  <c r="AE36" i="6" s="1"/>
  <c r="AC35" i="6"/>
  <c r="AA35" i="6"/>
  <c r="Z35" i="6"/>
  <c r="Y35" i="6"/>
  <c r="X35" i="6"/>
  <c r="W35" i="6"/>
  <c r="V35" i="6"/>
  <c r="U35" i="6"/>
  <c r="T35" i="6"/>
  <c r="S35" i="6"/>
  <c r="R35" i="6"/>
  <c r="Q35" i="6"/>
  <c r="P35" i="6"/>
  <c r="O35" i="6"/>
  <c r="N35" i="6"/>
  <c r="M35" i="6"/>
  <c r="L35" i="6"/>
  <c r="K35" i="6"/>
  <c r="J35" i="6"/>
  <c r="I35" i="6"/>
  <c r="H35" i="6"/>
  <c r="G35" i="6"/>
  <c r="AE35" i="6" s="1"/>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E34" i="6" s="1"/>
  <c r="AE33"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E32" i="6" s="1"/>
  <c r="AD31" i="6"/>
  <c r="AC31" i="6"/>
  <c r="AA31" i="6"/>
  <c r="Z31" i="6"/>
  <c r="Y31" i="6"/>
  <c r="X31" i="6"/>
  <c r="W31" i="6"/>
  <c r="V31" i="6"/>
  <c r="U31" i="6"/>
  <c r="T31" i="6"/>
  <c r="S31" i="6"/>
  <c r="R31" i="6"/>
  <c r="Q31" i="6"/>
  <c r="P31" i="6"/>
  <c r="O31" i="6"/>
  <c r="N31" i="6"/>
  <c r="M31" i="6"/>
  <c r="L31" i="6"/>
  <c r="K31" i="6"/>
  <c r="J31" i="6"/>
  <c r="I31" i="6"/>
  <c r="H31" i="6"/>
  <c r="G31" i="6"/>
  <c r="AE31" i="6" s="1"/>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E30" i="6" s="1"/>
  <c r="AE29" i="6"/>
  <c r="AC29" i="6"/>
  <c r="AA29" i="6"/>
  <c r="Z29" i="6"/>
  <c r="Y29" i="6"/>
  <c r="X29" i="6"/>
  <c r="W29" i="6"/>
  <c r="V29" i="6"/>
  <c r="U29" i="6"/>
  <c r="T29" i="6"/>
  <c r="S29" i="6"/>
  <c r="R29" i="6"/>
  <c r="Q29" i="6"/>
  <c r="P29" i="6"/>
  <c r="O29" i="6"/>
  <c r="N29" i="6"/>
  <c r="M29" i="6"/>
  <c r="L29" i="6"/>
  <c r="K29" i="6"/>
  <c r="J29" i="6"/>
  <c r="I29" i="6"/>
  <c r="H29" i="6"/>
  <c r="G29" i="6"/>
  <c r="AD29" i="6" s="1"/>
  <c r="F29" i="6"/>
  <c r="E29" i="6"/>
  <c r="D29" i="6"/>
  <c r="C29" i="6"/>
  <c r="AC28" i="6"/>
  <c r="AA28" i="6"/>
  <c r="Z28" i="6"/>
  <c r="Y28" i="6"/>
  <c r="X28" i="6"/>
  <c r="W28" i="6"/>
  <c r="V28" i="6"/>
  <c r="U28" i="6"/>
  <c r="T28" i="6"/>
  <c r="S28" i="6"/>
  <c r="R28" i="6"/>
  <c r="Q28" i="6"/>
  <c r="P28" i="6"/>
  <c r="O28" i="6"/>
  <c r="N28" i="6"/>
  <c r="M28" i="6"/>
  <c r="L28" i="6"/>
  <c r="K28" i="6"/>
  <c r="J28" i="6"/>
  <c r="I28" i="6"/>
  <c r="H28" i="6"/>
  <c r="G28" i="6"/>
  <c r="F28" i="6"/>
  <c r="E28" i="6"/>
  <c r="D28" i="6"/>
  <c r="C28" i="6"/>
  <c r="AE28" i="6" s="1"/>
  <c r="AC27" i="6"/>
  <c r="AA27" i="6"/>
  <c r="Z27" i="6"/>
  <c r="Y27" i="6"/>
  <c r="X27" i="6"/>
  <c r="W27" i="6"/>
  <c r="V27" i="6"/>
  <c r="U27" i="6"/>
  <c r="T27" i="6"/>
  <c r="S27" i="6"/>
  <c r="R27" i="6"/>
  <c r="Q27" i="6"/>
  <c r="P27" i="6"/>
  <c r="O27" i="6"/>
  <c r="N27" i="6"/>
  <c r="M27" i="6"/>
  <c r="L27" i="6"/>
  <c r="K27" i="6"/>
  <c r="J27" i="6"/>
  <c r="I27" i="6"/>
  <c r="H27" i="6"/>
  <c r="G27" i="6"/>
  <c r="AE27" i="6" s="1"/>
  <c r="F27" i="6"/>
  <c r="E27" i="6"/>
  <c r="D27" i="6"/>
  <c r="C27" i="6"/>
  <c r="AC26" i="6"/>
  <c r="AA26" i="6"/>
  <c r="Z26" i="6"/>
  <c r="Y26" i="6"/>
  <c r="X26" i="6"/>
  <c r="W26" i="6"/>
  <c r="V26" i="6"/>
  <c r="U26" i="6"/>
  <c r="T26" i="6"/>
  <c r="S26" i="6"/>
  <c r="R26" i="6"/>
  <c r="Q26" i="6"/>
  <c r="P26" i="6"/>
  <c r="O26" i="6"/>
  <c r="N26" i="6"/>
  <c r="M26" i="6"/>
  <c r="L26" i="6"/>
  <c r="K26" i="6"/>
  <c r="J26" i="6"/>
  <c r="I26" i="6"/>
  <c r="H26" i="6"/>
  <c r="G26" i="6"/>
  <c r="F26" i="6"/>
  <c r="E26" i="6"/>
  <c r="D26" i="6"/>
  <c r="C26" i="6"/>
  <c r="AE26" i="6" s="1"/>
  <c r="AE25"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E24" i="6" s="1"/>
  <c r="AD23" i="6"/>
  <c r="AC23" i="6"/>
  <c r="AA23" i="6"/>
  <c r="Z23" i="6"/>
  <c r="Y23" i="6"/>
  <c r="X23" i="6"/>
  <c r="W23" i="6"/>
  <c r="V23" i="6"/>
  <c r="U23" i="6"/>
  <c r="T23" i="6"/>
  <c r="S23" i="6"/>
  <c r="R23" i="6"/>
  <c r="Q23" i="6"/>
  <c r="P23" i="6"/>
  <c r="O23" i="6"/>
  <c r="N23" i="6"/>
  <c r="M23" i="6"/>
  <c r="L23" i="6"/>
  <c r="K23" i="6"/>
  <c r="J23" i="6"/>
  <c r="I23" i="6"/>
  <c r="H23" i="6"/>
  <c r="G23" i="6"/>
  <c r="AE23" i="6" s="1"/>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E22" i="6" s="1"/>
  <c r="AE21" i="6"/>
  <c r="AC21" i="6"/>
  <c r="AA21" i="6"/>
  <c r="Z21" i="6"/>
  <c r="Y21" i="6"/>
  <c r="X21" i="6"/>
  <c r="W21" i="6"/>
  <c r="V21" i="6"/>
  <c r="U21" i="6"/>
  <c r="T21" i="6"/>
  <c r="S21" i="6"/>
  <c r="R21" i="6"/>
  <c r="Q21" i="6"/>
  <c r="P21" i="6"/>
  <c r="O21" i="6"/>
  <c r="N21" i="6"/>
  <c r="M21" i="6"/>
  <c r="L21" i="6"/>
  <c r="K21" i="6"/>
  <c r="J21" i="6"/>
  <c r="I21" i="6"/>
  <c r="H21" i="6"/>
  <c r="G21" i="6"/>
  <c r="AD21" i="6" s="1"/>
  <c r="F21" i="6"/>
  <c r="E21" i="6"/>
  <c r="D21" i="6"/>
  <c r="C21" i="6"/>
  <c r="AC20" i="6"/>
  <c r="AA20" i="6"/>
  <c r="Z20" i="6"/>
  <c r="Y20" i="6"/>
  <c r="X20" i="6"/>
  <c r="W20" i="6"/>
  <c r="V20" i="6"/>
  <c r="U20" i="6"/>
  <c r="T20" i="6"/>
  <c r="S20" i="6"/>
  <c r="R20" i="6"/>
  <c r="Q20" i="6"/>
  <c r="P20" i="6"/>
  <c r="O20" i="6"/>
  <c r="N20" i="6"/>
  <c r="M20" i="6"/>
  <c r="L20" i="6"/>
  <c r="K20" i="6"/>
  <c r="J20" i="6"/>
  <c r="I20" i="6"/>
  <c r="H20" i="6"/>
  <c r="G20" i="6"/>
  <c r="F20" i="6"/>
  <c r="E20" i="6"/>
  <c r="D20" i="6"/>
  <c r="C20" i="6"/>
  <c r="AE20" i="6" s="1"/>
  <c r="AC19" i="6"/>
  <c r="AA19" i="6"/>
  <c r="Z19" i="6"/>
  <c r="Y19" i="6"/>
  <c r="X19" i="6"/>
  <c r="W19" i="6"/>
  <c r="V19" i="6"/>
  <c r="U19" i="6"/>
  <c r="T19" i="6"/>
  <c r="S19" i="6"/>
  <c r="R19" i="6"/>
  <c r="Q19" i="6"/>
  <c r="P19" i="6"/>
  <c r="O19" i="6"/>
  <c r="N19" i="6"/>
  <c r="M19" i="6"/>
  <c r="L19" i="6"/>
  <c r="K19" i="6"/>
  <c r="J19" i="6"/>
  <c r="I19" i="6"/>
  <c r="H19" i="6"/>
  <c r="G19" i="6"/>
  <c r="AE19" i="6" s="1"/>
  <c r="F19" i="6"/>
  <c r="E19" i="6"/>
  <c r="D19" i="6"/>
  <c r="C19" i="6"/>
  <c r="AC18" i="6"/>
  <c r="AA18" i="6"/>
  <c r="Z18" i="6"/>
  <c r="Y18" i="6"/>
  <c r="X18" i="6"/>
  <c r="W18" i="6"/>
  <c r="V18" i="6"/>
  <c r="U18" i="6"/>
  <c r="T18" i="6"/>
  <c r="S18" i="6"/>
  <c r="R18" i="6"/>
  <c r="Q18" i="6"/>
  <c r="P18" i="6"/>
  <c r="O18" i="6"/>
  <c r="N18" i="6"/>
  <c r="M18" i="6"/>
  <c r="L18" i="6"/>
  <c r="K18" i="6"/>
  <c r="J18" i="6"/>
  <c r="I18" i="6"/>
  <c r="H18" i="6"/>
  <c r="G18" i="6"/>
  <c r="F18" i="6"/>
  <c r="E18" i="6"/>
  <c r="D18" i="6"/>
  <c r="C18" i="6"/>
  <c r="AE18" i="6" s="1"/>
  <c r="AE17" i="6"/>
  <c r="AD17" i="6"/>
  <c r="AC17" i="6"/>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E16" i="6" s="1"/>
  <c r="AD15" i="6"/>
  <c r="AC15" i="6"/>
  <c r="AA15" i="6"/>
  <c r="Z15" i="6"/>
  <c r="Y15" i="6"/>
  <c r="X15" i="6"/>
  <c r="W15" i="6"/>
  <c r="V15" i="6"/>
  <c r="U15" i="6"/>
  <c r="T15" i="6"/>
  <c r="S15" i="6"/>
  <c r="R15" i="6"/>
  <c r="Q15" i="6"/>
  <c r="P15" i="6"/>
  <c r="O15" i="6"/>
  <c r="N15" i="6"/>
  <c r="M15" i="6"/>
  <c r="L15" i="6"/>
  <c r="K15" i="6"/>
  <c r="J15" i="6"/>
  <c r="I15" i="6"/>
  <c r="H15" i="6"/>
  <c r="G15" i="6"/>
  <c r="AE15" i="6" s="1"/>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E14" i="6" s="1"/>
  <c r="AE13" i="6"/>
  <c r="AC13" i="6"/>
  <c r="AA13" i="6"/>
  <c r="Z13" i="6"/>
  <c r="Y13" i="6"/>
  <c r="X13" i="6"/>
  <c r="W13" i="6"/>
  <c r="V13" i="6"/>
  <c r="U13" i="6"/>
  <c r="T13" i="6"/>
  <c r="S13" i="6"/>
  <c r="R13" i="6"/>
  <c r="Q13" i="6"/>
  <c r="P13" i="6"/>
  <c r="O13" i="6"/>
  <c r="N13" i="6"/>
  <c r="M13" i="6"/>
  <c r="L13" i="6"/>
  <c r="K13" i="6"/>
  <c r="J13" i="6"/>
  <c r="I13" i="6"/>
  <c r="H13" i="6"/>
  <c r="G13" i="6"/>
  <c r="AD13" i="6" s="1"/>
  <c r="F13" i="6"/>
  <c r="E13" i="6"/>
  <c r="D13" i="6"/>
  <c r="C13" i="6"/>
  <c r="AC12" i="6"/>
  <c r="Z12" i="6"/>
  <c r="Y12" i="6"/>
  <c r="X12" i="6"/>
  <c r="W12" i="6"/>
  <c r="V12" i="6"/>
  <c r="U12" i="6"/>
  <c r="T12" i="6"/>
  <c r="S12" i="6"/>
  <c r="R12" i="6"/>
  <c r="Q12" i="6"/>
  <c r="P12" i="6"/>
  <c r="O12" i="6"/>
  <c r="N12" i="6"/>
  <c r="M12" i="6"/>
  <c r="L12" i="6"/>
  <c r="K12" i="6"/>
  <c r="J12" i="6"/>
  <c r="I12" i="6"/>
  <c r="H12" i="6"/>
  <c r="G12" i="6"/>
  <c r="F12" i="6"/>
  <c r="E12" i="6"/>
  <c r="D12" i="6"/>
  <c r="C12" i="6"/>
  <c r="AE12" i="6" s="1"/>
  <c r="AE11" i="6"/>
  <c r="AD11" i="6"/>
  <c r="AC11" i="6"/>
  <c r="Z11" i="6"/>
  <c r="Y11" i="6"/>
  <c r="X11" i="6"/>
  <c r="W11" i="6"/>
  <c r="V11" i="6"/>
  <c r="U11" i="6"/>
  <c r="T11" i="6"/>
  <c r="S11" i="6"/>
  <c r="R11" i="6"/>
  <c r="Q11" i="6"/>
  <c r="P11" i="6"/>
  <c r="O11" i="6"/>
  <c r="N11" i="6"/>
  <c r="M11" i="6"/>
  <c r="L11" i="6"/>
  <c r="K11" i="6"/>
  <c r="J11" i="6"/>
  <c r="I11" i="6"/>
  <c r="H11" i="6"/>
  <c r="G11" i="6"/>
  <c r="F11" i="6"/>
  <c r="E11" i="6"/>
  <c r="D11" i="6"/>
  <c r="C11" i="6"/>
  <c r="AA11" i="6" s="1"/>
  <c r="Y9" i="6"/>
  <c r="X9" i="6"/>
  <c r="W9" i="6"/>
  <c r="V9" i="6"/>
  <c r="Q9" i="6"/>
  <c r="P9" i="6"/>
  <c r="O9" i="6"/>
  <c r="N9" i="6"/>
  <c r="I9" i="6"/>
  <c r="H9" i="6"/>
  <c r="G9" i="6"/>
  <c r="F9" i="6"/>
  <c r="Z8" i="6"/>
  <c r="Y8" i="6"/>
  <c r="X8" i="6"/>
  <c r="W8" i="6"/>
  <c r="R8" i="6"/>
  <c r="P8" i="6"/>
  <c r="O8" i="6"/>
  <c r="J8" i="6"/>
  <c r="I8" i="6"/>
  <c r="H8" i="6"/>
  <c r="G8" i="6"/>
  <c r="X7" i="6"/>
  <c r="V7" i="6"/>
  <c r="R7" i="6"/>
  <c r="Q7" i="6"/>
  <c r="P7" i="6"/>
  <c r="N7" i="6"/>
  <c r="I7" i="6"/>
  <c r="H7" i="6"/>
  <c r="F7" i="6"/>
  <c r="C7" i="6"/>
  <c r="AA6" i="6"/>
  <c r="AA7" i="6" s="1"/>
  <c r="Z6" i="6"/>
  <c r="Z7" i="6" s="1"/>
  <c r="Y6" i="6"/>
  <c r="Y7" i="6" s="1"/>
  <c r="X6" i="6"/>
  <c r="W6" i="6"/>
  <c r="V6" i="6"/>
  <c r="T6" i="6"/>
  <c r="T7" i="6" s="1"/>
  <c r="S6" i="6"/>
  <c r="S7" i="6" s="1"/>
  <c r="R6" i="6"/>
  <c r="Q6" i="6"/>
  <c r="P6" i="6"/>
  <c r="O6" i="6"/>
  <c r="N6" i="6"/>
  <c r="L6" i="6"/>
  <c r="L7" i="6" s="1"/>
  <c r="K6" i="6"/>
  <c r="K7" i="6" s="1"/>
  <c r="J6" i="6"/>
  <c r="J7" i="6" s="1"/>
  <c r="I6" i="6"/>
  <c r="H6" i="6"/>
  <c r="G6" i="6"/>
  <c r="F6" i="6"/>
  <c r="D6" i="6"/>
  <c r="D7" i="6" s="1"/>
  <c r="C6" i="6"/>
  <c r="AA5" i="6"/>
  <c r="Z5" i="6"/>
  <c r="X5" i="6"/>
  <c r="V5" i="6"/>
  <c r="U5" i="6"/>
  <c r="T5" i="6"/>
  <c r="S5" i="6"/>
  <c r="R5" i="6"/>
  <c r="P5" i="6"/>
  <c r="N5" i="6"/>
  <c r="M5" i="6"/>
  <c r="L5" i="6"/>
  <c r="K5" i="6"/>
  <c r="J5" i="6"/>
  <c r="H5" i="6"/>
  <c r="F5" i="6"/>
  <c r="E5" i="6"/>
  <c r="D5" i="6"/>
  <c r="C5" i="6"/>
  <c r="AE4" i="6"/>
  <c r="Z4" i="6"/>
  <c r="X4" i="6"/>
  <c r="W4" i="6"/>
  <c r="V4" i="6"/>
  <c r="U4" i="6"/>
  <c r="T4" i="6"/>
  <c r="R4" i="6"/>
  <c r="P4" i="6"/>
  <c r="O4" i="6"/>
  <c r="N4" i="6"/>
  <c r="M4" i="6"/>
  <c r="L4" i="6"/>
  <c r="J4" i="6"/>
  <c r="H4" i="6"/>
  <c r="G4" i="6"/>
  <c r="F4" i="6"/>
  <c r="E4" i="6"/>
  <c r="D4" i="6"/>
  <c r="AE3" i="6"/>
  <c r="T9" i="6" s="1"/>
  <c r="AE2" i="6"/>
  <c r="AA9" i="6" s="1"/>
  <c r="AD98" i="5"/>
  <c r="AC98" i="5"/>
  <c r="AA98" i="5"/>
  <c r="Z98" i="5"/>
  <c r="Y98" i="5"/>
  <c r="X98" i="5"/>
  <c r="W98" i="5"/>
  <c r="V98" i="5"/>
  <c r="U98" i="5"/>
  <c r="T98" i="5"/>
  <c r="S98" i="5"/>
  <c r="R98" i="5"/>
  <c r="Q98" i="5"/>
  <c r="P98" i="5"/>
  <c r="O98" i="5"/>
  <c r="N98" i="5"/>
  <c r="M98" i="5"/>
  <c r="L98" i="5"/>
  <c r="K98" i="5"/>
  <c r="J98" i="5"/>
  <c r="I98" i="5"/>
  <c r="H98" i="5"/>
  <c r="G98" i="5"/>
  <c r="F98" i="5"/>
  <c r="E98" i="5"/>
  <c r="AE98" i="5" s="1"/>
  <c r="D98" i="5"/>
  <c r="C98" i="5"/>
  <c r="AE97" i="5"/>
  <c r="AC97" i="5"/>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X8" i="5" s="1"/>
  <c r="W96" i="5"/>
  <c r="W8" i="5" s="1"/>
  <c r="V96" i="5"/>
  <c r="V8" i="5" s="1"/>
  <c r="U96" i="5"/>
  <c r="U8" i="5" s="1"/>
  <c r="T96" i="5"/>
  <c r="S96" i="5"/>
  <c r="R96" i="5"/>
  <c r="Q96" i="5"/>
  <c r="P96" i="5"/>
  <c r="P9" i="5" s="1"/>
  <c r="O96" i="5"/>
  <c r="O8" i="5" s="1"/>
  <c r="N96" i="5"/>
  <c r="N8" i="5" s="1"/>
  <c r="M96" i="5"/>
  <c r="M8" i="5" s="1"/>
  <c r="L96" i="5"/>
  <c r="K96" i="5"/>
  <c r="J96" i="5"/>
  <c r="I96" i="5"/>
  <c r="H96" i="5"/>
  <c r="H9" i="5" s="1"/>
  <c r="G96" i="5"/>
  <c r="G9" i="5" s="1"/>
  <c r="F96" i="5"/>
  <c r="F8" i="5" s="1"/>
  <c r="E96" i="5"/>
  <c r="E8" i="5" s="1"/>
  <c r="D96" i="5"/>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F94" i="5"/>
  <c r="AC94" i="5"/>
  <c r="AE94" i="5" s="1"/>
  <c r="AA94" i="5"/>
  <c r="Z94" i="5"/>
  <c r="Y94" i="5"/>
  <c r="X94" i="5"/>
  <c r="W94" i="5"/>
  <c r="V94" i="5"/>
  <c r="U94" i="5"/>
  <c r="T94" i="5"/>
  <c r="S94" i="5"/>
  <c r="R94" i="5"/>
  <c r="Q94" i="5"/>
  <c r="P94" i="5"/>
  <c r="O94" i="5"/>
  <c r="N94" i="5"/>
  <c r="M94" i="5"/>
  <c r="L94" i="5"/>
  <c r="K94" i="5"/>
  <c r="J94" i="5"/>
  <c r="I94" i="5"/>
  <c r="AD94" i="5" s="1"/>
  <c r="H94" i="5"/>
  <c r="G94" i="5"/>
  <c r="F94" i="5"/>
  <c r="E94" i="5"/>
  <c r="D94" i="5"/>
  <c r="C94" i="5"/>
  <c r="AC93" i="5"/>
  <c r="AE93" i="5" s="1"/>
  <c r="AA93" i="5"/>
  <c r="Z93" i="5"/>
  <c r="Y93" i="5"/>
  <c r="X93" i="5"/>
  <c r="W93" i="5"/>
  <c r="V93" i="5"/>
  <c r="U93" i="5"/>
  <c r="T93" i="5"/>
  <c r="S93" i="5"/>
  <c r="R93" i="5"/>
  <c r="Q93" i="5"/>
  <c r="P93" i="5"/>
  <c r="O93" i="5"/>
  <c r="N93" i="5"/>
  <c r="M93" i="5"/>
  <c r="L93" i="5"/>
  <c r="K93" i="5"/>
  <c r="J93" i="5"/>
  <c r="I93" i="5"/>
  <c r="H93" i="5"/>
  <c r="G93" i="5"/>
  <c r="F93" i="5"/>
  <c r="E93" i="5"/>
  <c r="D93" i="5"/>
  <c r="C93" i="5"/>
  <c r="AC92" i="5"/>
  <c r="AA92" i="5"/>
  <c r="Z92" i="5"/>
  <c r="Z6" i="5" s="1"/>
  <c r="Z7" i="5" s="1"/>
  <c r="Y92" i="5"/>
  <c r="Y9" i="5" s="1"/>
  <c r="X92" i="5"/>
  <c r="W92" i="5"/>
  <c r="V92" i="5"/>
  <c r="U92" i="5"/>
  <c r="T92" i="5"/>
  <c r="T9" i="5" s="1"/>
  <c r="S92" i="5"/>
  <c r="S9" i="5" s="1"/>
  <c r="R92" i="5"/>
  <c r="R9" i="5" s="1"/>
  <c r="Q92" i="5"/>
  <c r="Q9" i="5" s="1"/>
  <c r="P92" i="5"/>
  <c r="O92" i="5"/>
  <c r="N92" i="5"/>
  <c r="M92" i="5"/>
  <c r="L92" i="5"/>
  <c r="K92" i="5"/>
  <c r="K9" i="5" s="1"/>
  <c r="J92" i="5"/>
  <c r="J6" i="5" s="1"/>
  <c r="J7" i="5" s="1"/>
  <c r="I92" i="5"/>
  <c r="I9" i="5" s="1"/>
  <c r="H92" i="5"/>
  <c r="G92" i="5"/>
  <c r="F92" i="5"/>
  <c r="E92" i="5"/>
  <c r="D92" i="5"/>
  <c r="C92" i="5"/>
  <c r="C9" i="5" s="1"/>
  <c r="AE91" i="5"/>
  <c r="AC91" i="5"/>
  <c r="AA91" i="5"/>
  <c r="Z91" i="5"/>
  <c r="Y91" i="5"/>
  <c r="Y4" i="5" s="1"/>
  <c r="X91" i="5"/>
  <c r="X5" i="5" s="1"/>
  <c r="W91" i="5"/>
  <c r="V91" i="5"/>
  <c r="V6" i="5" s="1"/>
  <c r="V7" i="5" s="1"/>
  <c r="U91" i="5"/>
  <c r="T91" i="5"/>
  <c r="S91" i="5"/>
  <c r="R91" i="5"/>
  <c r="Q91" i="5"/>
  <c r="Q4" i="5" s="1"/>
  <c r="P91" i="5"/>
  <c r="P5" i="5" s="1"/>
  <c r="O91" i="5"/>
  <c r="N91" i="5"/>
  <c r="N4" i="5" s="1"/>
  <c r="M91" i="5"/>
  <c r="L91" i="5"/>
  <c r="K91" i="5"/>
  <c r="J91" i="5"/>
  <c r="I91" i="5"/>
  <c r="I4" i="5" s="1"/>
  <c r="H91" i="5"/>
  <c r="H5" i="5" s="1"/>
  <c r="G91" i="5"/>
  <c r="F91" i="5"/>
  <c r="F4" i="5" s="1"/>
  <c r="E91" i="5"/>
  <c r="D91" i="5"/>
  <c r="C91" i="5"/>
  <c r="AC90" i="5"/>
  <c r="AD90" i="5" s="1"/>
  <c r="AA90" i="5"/>
  <c r="AA5" i="5" s="1"/>
  <c r="Z90" i="5"/>
  <c r="Y90" i="5"/>
  <c r="X90" i="5"/>
  <c r="W90" i="5"/>
  <c r="V90" i="5"/>
  <c r="U90" i="5"/>
  <c r="U6" i="5" s="1"/>
  <c r="T90" i="5"/>
  <c r="T4" i="5" s="1"/>
  <c r="S90" i="5"/>
  <c r="S5" i="5" s="1"/>
  <c r="R90" i="5"/>
  <c r="Q90" i="5"/>
  <c r="P90" i="5"/>
  <c r="O90" i="5"/>
  <c r="N90" i="5"/>
  <c r="M90" i="5"/>
  <c r="M6" i="5" s="1"/>
  <c r="L90" i="5"/>
  <c r="L4" i="5" s="1"/>
  <c r="K90" i="5"/>
  <c r="K4" i="5" s="1"/>
  <c r="J90" i="5"/>
  <c r="I90" i="5"/>
  <c r="H90" i="5"/>
  <c r="G90" i="5"/>
  <c r="F90" i="5"/>
  <c r="E90" i="5"/>
  <c r="E6" i="5" s="1"/>
  <c r="D90" i="5"/>
  <c r="D6" i="5" s="1"/>
  <c r="D7" i="5" s="1"/>
  <c r="C90" i="5"/>
  <c r="C6" i="5" s="1"/>
  <c r="C7" i="5" s="1"/>
  <c r="AE89" i="5"/>
  <c r="AC89" i="5"/>
  <c r="AA89" i="5"/>
  <c r="Z89" i="5"/>
  <c r="Y89" i="5"/>
  <c r="X89" i="5"/>
  <c r="W89" i="5"/>
  <c r="V89" i="5"/>
  <c r="U89" i="5"/>
  <c r="T89" i="5"/>
  <c r="S89" i="5"/>
  <c r="R89" i="5"/>
  <c r="R8" i="5" s="1"/>
  <c r="Q89" i="5"/>
  <c r="P89" i="5"/>
  <c r="O89" i="5"/>
  <c r="N89" i="5"/>
  <c r="M89" i="5"/>
  <c r="L89" i="5"/>
  <c r="K89" i="5"/>
  <c r="J89" i="5"/>
  <c r="J8" i="5" s="1"/>
  <c r="I89" i="5"/>
  <c r="H89" i="5"/>
  <c r="G89" i="5"/>
  <c r="F89" i="5"/>
  <c r="E89" i="5"/>
  <c r="D89" i="5"/>
  <c r="C89" i="5"/>
  <c r="AD88" i="5"/>
  <c r="AC88" i="5"/>
  <c r="AA88" i="5"/>
  <c r="Z88" i="5"/>
  <c r="Y88" i="5"/>
  <c r="X88" i="5"/>
  <c r="W88" i="5"/>
  <c r="V88" i="5"/>
  <c r="U88" i="5"/>
  <c r="T88" i="5"/>
  <c r="S88" i="5"/>
  <c r="R88" i="5"/>
  <c r="Q88" i="5"/>
  <c r="P88" i="5"/>
  <c r="O88" i="5"/>
  <c r="N88" i="5"/>
  <c r="M88" i="5"/>
  <c r="L88" i="5"/>
  <c r="K88" i="5"/>
  <c r="J88" i="5"/>
  <c r="I88" i="5"/>
  <c r="H88" i="5"/>
  <c r="G88" i="5"/>
  <c r="F88" i="5"/>
  <c r="E88" i="5"/>
  <c r="AE88" i="5" s="1"/>
  <c r="D88" i="5"/>
  <c r="C88" i="5"/>
  <c r="AD87" i="5"/>
  <c r="AC87" i="5"/>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D85" i="5"/>
  <c r="AC85" i="5"/>
  <c r="AA85" i="5"/>
  <c r="Z85" i="5"/>
  <c r="Y85" i="5"/>
  <c r="X85" i="5"/>
  <c r="W85" i="5"/>
  <c r="V85" i="5"/>
  <c r="U85" i="5"/>
  <c r="T85" i="5"/>
  <c r="S85" i="5"/>
  <c r="R85" i="5"/>
  <c r="Q85" i="5"/>
  <c r="P85" i="5"/>
  <c r="O85" i="5"/>
  <c r="N85" i="5"/>
  <c r="M85" i="5"/>
  <c r="L85" i="5"/>
  <c r="K85" i="5"/>
  <c r="J85" i="5"/>
  <c r="I85" i="5"/>
  <c r="H85" i="5"/>
  <c r="G85" i="5"/>
  <c r="F85" i="5"/>
  <c r="E85" i="5"/>
  <c r="AE85" i="5" s="1"/>
  <c r="D85" i="5"/>
  <c r="C85" i="5"/>
  <c r="AC84" i="5"/>
  <c r="AA84" i="5"/>
  <c r="Z84" i="5"/>
  <c r="Y84" i="5"/>
  <c r="X84" i="5"/>
  <c r="W84" i="5"/>
  <c r="V84" i="5"/>
  <c r="U84" i="5"/>
  <c r="T84" i="5"/>
  <c r="S84" i="5"/>
  <c r="R84" i="5"/>
  <c r="Q84" i="5"/>
  <c r="P84" i="5"/>
  <c r="O84" i="5"/>
  <c r="N84" i="5"/>
  <c r="M84" i="5"/>
  <c r="L84" i="5"/>
  <c r="K84" i="5"/>
  <c r="J84" i="5"/>
  <c r="I84" i="5"/>
  <c r="H84" i="5"/>
  <c r="G84" i="5"/>
  <c r="F84" i="5"/>
  <c r="E84" i="5"/>
  <c r="D84" i="5"/>
  <c r="C84" i="5"/>
  <c r="AE83" i="5"/>
  <c r="AC83" i="5"/>
  <c r="AD83" i="5" s="1"/>
  <c r="AF83" i="5" s="1"/>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E81" i="5"/>
  <c r="AC81" i="5"/>
  <c r="AD81" i="5" s="1"/>
  <c r="AF81" i="5" s="1"/>
  <c r="AA81" i="5"/>
  <c r="Z81" i="5"/>
  <c r="Y81" i="5"/>
  <c r="X81" i="5"/>
  <c r="W81" i="5"/>
  <c r="V81" i="5"/>
  <c r="U81" i="5"/>
  <c r="T81" i="5"/>
  <c r="S81" i="5"/>
  <c r="R81" i="5"/>
  <c r="Q81" i="5"/>
  <c r="P81" i="5"/>
  <c r="O81" i="5"/>
  <c r="N81" i="5"/>
  <c r="M81" i="5"/>
  <c r="L81" i="5"/>
  <c r="K81" i="5"/>
  <c r="J81" i="5"/>
  <c r="I81" i="5"/>
  <c r="H81" i="5"/>
  <c r="G81" i="5"/>
  <c r="F81" i="5"/>
  <c r="E81" i="5"/>
  <c r="D81" i="5"/>
  <c r="C81" i="5"/>
  <c r="AF80" i="5"/>
  <c r="AE80" i="5"/>
  <c r="AD80" i="5"/>
  <c r="AC80" i="5"/>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C78" i="5"/>
  <c r="AA78" i="5"/>
  <c r="Z78" i="5"/>
  <c r="Y78" i="5"/>
  <c r="X78" i="5"/>
  <c r="W78" i="5"/>
  <c r="V78" i="5"/>
  <c r="U78" i="5"/>
  <c r="T78" i="5"/>
  <c r="S78" i="5"/>
  <c r="R78" i="5"/>
  <c r="Q78" i="5"/>
  <c r="P78" i="5"/>
  <c r="O78" i="5"/>
  <c r="N78" i="5"/>
  <c r="M78" i="5"/>
  <c r="L78" i="5"/>
  <c r="K78" i="5"/>
  <c r="J78" i="5"/>
  <c r="I78" i="5"/>
  <c r="AD78" i="5" s="1"/>
  <c r="H78" i="5"/>
  <c r="G78" i="5"/>
  <c r="F78" i="5"/>
  <c r="E78" i="5"/>
  <c r="D78" i="5"/>
  <c r="C78" i="5"/>
  <c r="AC77" i="5"/>
  <c r="AD77" i="5" s="1"/>
  <c r="AA77" i="5"/>
  <c r="Z77" i="5"/>
  <c r="Y77" i="5"/>
  <c r="X77" i="5"/>
  <c r="W77" i="5"/>
  <c r="V77" i="5"/>
  <c r="U77" i="5"/>
  <c r="T77" i="5"/>
  <c r="S77" i="5"/>
  <c r="R77" i="5"/>
  <c r="Q77" i="5"/>
  <c r="P77" i="5"/>
  <c r="O77" i="5"/>
  <c r="N77" i="5"/>
  <c r="M77" i="5"/>
  <c r="L77" i="5"/>
  <c r="K77" i="5"/>
  <c r="J77" i="5"/>
  <c r="I77" i="5"/>
  <c r="H77" i="5"/>
  <c r="G77" i="5"/>
  <c r="F77" i="5"/>
  <c r="E77" i="5"/>
  <c r="D77" i="5"/>
  <c r="C77" i="5"/>
  <c r="AC76" i="5"/>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J75" i="5"/>
  <c r="I75" i="5"/>
  <c r="H75" i="5"/>
  <c r="G75" i="5"/>
  <c r="F75" i="5"/>
  <c r="E75" i="5"/>
  <c r="D75" i="5"/>
  <c r="C75" i="5"/>
  <c r="AD74" i="5"/>
  <c r="AC74" i="5"/>
  <c r="AA74" i="5"/>
  <c r="Z74" i="5"/>
  <c r="Y74" i="5"/>
  <c r="X74" i="5"/>
  <c r="W74" i="5"/>
  <c r="V74" i="5"/>
  <c r="U74" i="5"/>
  <c r="T74" i="5"/>
  <c r="S74" i="5"/>
  <c r="R74" i="5"/>
  <c r="Q74" i="5"/>
  <c r="P74" i="5"/>
  <c r="O74" i="5"/>
  <c r="N74" i="5"/>
  <c r="M74" i="5"/>
  <c r="L74" i="5"/>
  <c r="K74" i="5"/>
  <c r="J74" i="5"/>
  <c r="I74" i="5"/>
  <c r="H74" i="5"/>
  <c r="G74" i="5"/>
  <c r="F74" i="5"/>
  <c r="E74" i="5"/>
  <c r="AE74" i="5" s="1"/>
  <c r="D74" i="5"/>
  <c r="C74" i="5"/>
  <c r="AE73" i="5"/>
  <c r="AC73" i="5"/>
  <c r="AA73" i="5"/>
  <c r="Z73" i="5"/>
  <c r="Y73" i="5"/>
  <c r="X73" i="5"/>
  <c r="W73" i="5"/>
  <c r="V73" i="5"/>
  <c r="U73" i="5"/>
  <c r="T73" i="5"/>
  <c r="S73" i="5"/>
  <c r="R73" i="5"/>
  <c r="Q73" i="5"/>
  <c r="P73" i="5"/>
  <c r="O73" i="5"/>
  <c r="N73" i="5"/>
  <c r="M73" i="5"/>
  <c r="L73" i="5"/>
  <c r="K73" i="5"/>
  <c r="J73" i="5"/>
  <c r="I73" i="5"/>
  <c r="H73" i="5"/>
  <c r="G73" i="5"/>
  <c r="F73" i="5"/>
  <c r="E73" i="5"/>
  <c r="D73" i="5"/>
  <c r="C73" i="5"/>
  <c r="AD72" i="5"/>
  <c r="AC72" i="5"/>
  <c r="AA72" i="5"/>
  <c r="Z72" i="5"/>
  <c r="Y72" i="5"/>
  <c r="X72" i="5"/>
  <c r="W72" i="5"/>
  <c r="V72" i="5"/>
  <c r="U72" i="5"/>
  <c r="T72" i="5"/>
  <c r="S72" i="5"/>
  <c r="R72" i="5"/>
  <c r="Q72" i="5"/>
  <c r="P72" i="5"/>
  <c r="O72" i="5"/>
  <c r="N72" i="5"/>
  <c r="M72" i="5"/>
  <c r="L72" i="5"/>
  <c r="K72" i="5"/>
  <c r="J72" i="5"/>
  <c r="I72" i="5"/>
  <c r="H72" i="5"/>
  <c r="G72" i="5"/>
  <c r="F72" i="5"/>
  <c r="E72" i="5"/>
  <c r="AE72" i="5" s="1"/>
  <c r="D72" i="5"/>
  <c r="C72" i="5"/>
  <c r="AC71" i="5"/>
  <c r="AE71" i="5" s="1"/>
  <c r="AA71" i="5"/>
  <c r="Z71" i="5"/>
  <c r="Y71" i="5"/>
  <c r="X71" i="5"/>
  <c r="W71" i="5"/>
  <c r="V71" i="5"/>
  <c r="U71" i="5"/>
  <c r="T71" i="5"/>
  <c r="S71" i="5"/>
  <c r="R71" i="5"/>
  <c r="Q71" i="5"/>
  <c r="P71" i="5"/>
  <c r="O71" i="5"/>
  <c r="N71" i="5"/>
  <c r="M71" i="5"/>
  <c r="L71" i="5"/>
  <c r="K71" i="5"/>
  <c r="J71" i="5"/>
  <c r="I71" i="5"/>
  <c r="H71" i="5"/>
  <c r="G71" i="5"/>
  <c r="F71" i="5"/>
  <c r="E71" i="5"/>
  <c r="D71" i="5"/>
  <c r="C71" i="5"/>
  <c r="AD70" i="5"/>
  <c r="AF70" i="5" s="1"/>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E69" i="5" s="1"/>
  <c r="AA69" i="5"/>
  <c r="Z69" i="5"/>
  <c r="Y69" i="5"/>
  <c r="X69" i="5"/>
  <c r="W69" i="5"/>
  <c r="V69" i="5"/>
  <c r="U69" i="5"/>
  <c r="T69" i="5"/>
  <c r="S69" i="5"/>
  <c r="R69" i="5"/>
  <c r="Q69" i="5"/>
  <c r="P69" i="5"/>
  <c r="O69" i="5"/>
  <c r="N69" i="5"/>
  <c r="M69" i="5"/>
  <c r="L69" i="5"/>
  <c r="K69" i="5"/>
  <c r="J69" i="5"/>
  <c r="I69" i="5"/>
  <c r="H69" i="5"/>
  <c r="G69" i="5"/>
  <c r="F69" i="5"/>
  <c r="E69" i="5"/>
  <c r="D69" i="5"/>
  <c r="C69" i="5"/>
  <c r="AC68" i="5"/>
  <c r="AA68" i="5"/>
  <c r="Z68" i="5"/>
  <c r="Y68" i="5"/>
  <c r="X68" i="5"/>
  <c r="W68" i="5"/>
  <c r="V68" i="5"/>
  <c r="U68" i="5"/>
  <c r="T68" i="5"/>
  <c r="S68" i="5"/>
  <c r="R68" i="5"/>
  <c r="Q68" i="5"/>
  <c r="P68" i="5"/>
  <c r="O68" i="5"/>
  <c r="N68" i="5"/>
  <c r="M68" i="5"/>
  <c r="L68" i="5"/>
  <c r="K68" i="5"/>
  <c r="J68" i="5"/>
  <c r="I68" i="5"/>
  <c r="H68" i="5"/>
  <c r="G68" i="5"/>
  <c r="F68" i="5"/>
  <c r="E68" i="5"/>
  <c r="D68" i="5"/>
  <c r="C68" i="5"/>
  <c r="AC67" i="5"/>
  <c r="AA67" i="5"/>
  <c r="Z67" i="5"/>
  <c r="Y67" i="5"/>
  <c r="X67" i="5"/>
  <c r="W67" i="5"/>
  <c r="V67" i="5"/>
  <c r="U67" i="5"/>
  <c r="T67" i="5"/>
  <c r="S67" i="5"/>
  <c r="R67" i="5"/>
  <c r="Q67" i="5"/>
  <c r="P67" i="5"/>
  <c r="O67" i="5"/>
  <c r="N67" i="5"/>
  <c r="M67" i="5"/>
  <c r="L67" i="5"/>
  <c r="K67" i="5"/>
  <c r="J67" i="5"/>
  <c r="I67" i="5"/>
  <c r="H67" i="5"/>
  <c r="G67" i="5"/>
  <c r="F67" i="5"/>
  <c r="E67" i="5"/>
  <c r="D67" i="5"/>
  <c r="C67" i="5"/>
  <c r="AC66" i="5"/>
  <c r="AD66" i="5" s="1"/>
  <c r="AA66" i="5"/>
  <c r="Z66" i="5"/>
  <c r="Y66" i="5"/>
  <c r="X66" i="5"/>
  <c r="W66" i="5"/>
  <c r="V66" i="5"/>
  <c r="U66" i="5"/>
  <c r="T66" i="5"/>
  <c r="S66" i="5"/>
  <c r="R66" i="5"/>
  <c r="Q66" i="5"/>
  <c r="P66" i="5"/>
  <c r="O66" i="5"/>
  <c r="N66" i="5"/>
  <c r="M66" i="5"/>
  <c r="L66" i="5"/>
  <c r="K66" i="5"/>
  <c r="J66" i="5"/>
  <c r="I66" i="5"/>
  <c r="H66" i="5"/>
  <c r="G66" i="5"/>
  <c r="F66" i="5"/>
  <c r="E66" i="5"/>
  <c r="D66" i="5"/>
  <c r="C66" i="5"/>
  <c r="AE65" i="5"/>
  <c r="AC65" i="5"/>
  <c r="AA65" i="5"/>
  <c r="Z65" i="5"/>
  <c r="Y65" i="5"/>
  <c r="X65" i="5"/>
  <c r="W65" i="5"/>
  <c r="V65" i="5"/>
  <c r="U65" i="5"/>
  <c r="T65" i="5"/>
  <c r="S65" i="5"/>
  <c r="R65" i="5"/>
  <c r="Q65" i="5"/>
  <c r="P65" i="5"/>
  <c r="O65" i="5"/>
  <c r="N65" i="5"/>
  <c r="M65" i="5"/>
  <c r="L65" i="5"/>
  <c r="K65" i="5"/>
  <c r="J65" i="5"/>
  <c r="I65" i="5"/>
  <c r="H65" i="5"/>
  <c r="G65" i="5"/>
  <c r="F65" i="5"/>
  <c r="E65" i="5"/>
  <c r="D65" i="5"/>
  <c r="C65" i="5"/>
  <c r="AD64" i="5"/>
  <c r="AC64" i="5"/>
  <c r="AA64" i="5"/>
  <c r="Z64" i="5"/>
  <c r="Y64" i="5"/>
  <c r="X64" i="5"/>
  <c r="W64" i="5"/>
  <c r="V64" i="5"/>
  <c r="U64" i="5"/>
  <c r="T64" i="5"/>
  <c r="S64" i="5"/>
  <c r="R64" i="5"/>
  <c r="Q64" i="5"/>
  <c r="P64" i="5"/>
  <c r="O64" i="5"/>
  <c r="N64" i="5"/>
  <c r="M64" i="5"/>
  <c r="L64" i="5"/>
  <c r="K64" i="5"/>
  <c r="J64" i="5"/>
  <c r="I64" i="5"/>
  <c r="H64" i="5"/>
  <c r="G64" i="5"/>
  <c r="F64" i="5"/>
  <c r="E64" i="5"/>
  <c r="AE64" i="5" s="1"/>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D62" i="5"/>
  <c r="AF62" i="5" s="1"/>
  <c r="AC62" i="5"/>
  <c r="AE62" i="5" s="1"/>
  <c r="AA62" i="5"/>
  <c r="Z62" i="5"/>
  <c r="Y62" i="5"/>
  <c r="X62" i="5"/>
  <c r="W62" i="5"/>
  <c r="V62" i="5"/>
  <c r="U62" i="5"/>
  <c r="T62" i="5"/>
  <c r="S62" i="5"/>
  <c r="R62" i="5"/>
  <c r="Q62" i="5"/>
  <c r="P62" i="5"/>
  <c r="O62" i="5"/>
  <c r="N62" i="5"/>
  <c r="M62" i="5"/>
  <c r="L62" i="5"/>
  <c r="K62" i="5"/>
  <c r="J62" i="5"/>
  <c r="I62" i="5"/>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C60" i="5"/>
  <c r="AA60" i="5"/>
  <c r="Z60" i="5"/>
  <c r="Y60" i="5"/>
  <c r="X60" i="5"/>
  <c r="W60" i="5"/>
  <c r="V60" i="5"/>
  <c r="U60" i="5"/>
  <c r="T60" i="5"/>
  <c r="S60" i="5"/>
  <c r="R60" i="5"/>
  <c r="Q60" i="5"/>
  <c r="P60" i="5"/>
  <c r="O60" i="5"/>
  <c r="N60" i="5"/>
  <c r="M60" i="5"/>
  <c r="L60" i="5"/>
  <c r="K60" i="5"/>
  <c r="J60" i="5"/>
  <c r="I60" i="5"/>
  <c r="H60" i="5"/>
  <c r="G60" i="5"/>
  <c r="F60" i="5"/>
  <c r="E60" i="5"/>
  <c r="D60" i="5"/>
  <c r="C60" i="5"/>
  <c r="AC59" i="5"/>
  <c r="AA59" i="5"/>
  <c r="Z59" i="5"/>
  <c r="Y59" i="5"/>
  <c r="X59" i="5"/>
  <c r="W59" i="5"/>
  <c r="V59" i="5"/>
  <c r="U59" i="5"/>
  <c r="T59" i="5"/>
  <c r="S59" i="5"/>
  <c r="R59" i="5"/>
  <c r="Q59" i="5"/>
  <c r="P59" i="5"/>
  <c r="O59" i="5"/>
  <c r="N59" i="5"/>
  <c r="M59" i="5"/>
  <c r="L59" i="5"/>
  <c r="K59" i="5"/>
  <c r="J59" i="5"/>
  <c r="I59" i="5"/>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E57" i="5"/>
  <c r="AC57" i="5"/>
  <c r="AA57" i="5"/>
  <c r="Z57" i="5"/>
  <c r="Y57" i="5"/>
  <c r="X57" i="5"/>
  <c r="W57" i="5"/>
  <c r="V57" i="5"/>
  <c r="U57" i="5"/>
  <c r="T57" i="5"/>
  <c r="S57" i="5"/>
  <c r="R57" i="5"/>
  <c r="Q57" i="5"/>
  <c r="P57" i="5"/>
  <c r="O57" i="5"/>
  <c r="N57" i="5"/>
  <c r="M57" i="5"/>
  <c r="L57" i="5"/>
  <c r="K57" i="5"/>
  <c r="J57" i="5"/>
  <c r="I57" i="5"/>
  <c r="H57" i="5"/>
  <c r="G57" i="5"/>
  <c r="F57" i="5"/>
  <c r="E57" i="5"/>
  <c r="D57" i="5"/>
  <c r="C57" i="5"/>
  <c r="AD56" i="5"/>
  <c r="AC56" i="5"/>
  <c r="AA56" i="5"/>
  <c r="Z56" i="5"/>
  <c r="Y56" i="5"/>
  <c r="X56" i="5"/>
  <c r="W56" i="5"/>
  <c r="V56" i="5"/>
  <c r="U56" i="5"/>
  <c r="T56" i="5"/>
  <c r="S56" i="5"/>
  <c r="R56" i="5"/>
  <c r="Q56" i="5"/>
  <c r="P56" i="5"/>
  <c r="O56" i="5"/>
  <c r="N56" i="5"/>
  <c r="M56" i="5"/>
  <c r="L56" i="5"/>
  <c r="K56" i="5"/>
  <c r="J56" i="5"/>
  <c r="I56" i="5"/>
  <c r="H56" i="5"/>
  <c r="G56" i="5"/>
  <c r="F56" i="5"/>
  <c r="E56" i="5"/>
  <c r="AE56" i="5" s="1"/>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D54" i="5"/>
  <c r="AF54" i="5" s="1"/>
  <c r="AC54" i="5"/>
  <c r="AE54" i="5" s="1"/>
  <c r="AA54" i="5"/>
  <c r="Z54" i="5"/>
  <c r="Y54" i="5"/>
  <c r="X54" i="5"/>
  <c r="W54" i="5"/>
  <c r="V54" i="5"/>
  <c r="U54" i="5"/>
  <c r="T54" i="5"/>
  <c r="S54" i="5"/>
  <c r="R54" i="5"/>
  <c r="Q54" i="5"/>
  <c r="P54" i="5"/>
  <c r="O54" i="5"/>
  <c r="N54" i="5"/>
  <c r="M54" i="5"/>
  <c r="L54" i="5"/>
  <c r="K54" i="5"/>
  <c r="J54" i="5"/>
  <c r="I54" i="5"/>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D50" i="5" s="1"/>
  <c r="AA50" i="5"/>
  <c r="Z50" i="5"/>
  <c r="Y50" i="5"/>
  <c r="X50" i="5"/>
  <c r="W50" i="5"/>
  <c r="V50" i="5"/>
  <c r="U50" i="5"/>
  <c r="T50" i="5"/>
  <c r="S50" i="5"/>
  <c r="R50" i="5"/>
  <c r="Q50" i="5"/>
  <c r="P50" i="5"/>
  <c r="O50" i="5"/>
  <c r="N50" i="5"/>
  <c r="M50" i="5"/>
  <c r="L50" i="5"/>
  <c r="K50" i="5"/>
  <c r="J50" i="5"/>
  <c r="I50" i="5"/>
  <c r="H50" i="5"/>
  <c r="G50" i="5"/>
  <c r="F50" i="5"/>
  <c r="E50" i="5"/>
  <c r="D50" i="5"/>
  <c r="C50" i="5"/>
  <c r="AE49" i="5"/>
  <c r="AC49" i="5"/>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D47" i="5"/>
  <c r="AC47" i="5"/>
  <c r="AA47" i="5"/>
  <c r="Z47" i="5"/>
  <c r="Y47" i="5"/>
  <c r="X47" i="5"/>
  <c r="W47" i="5"/>
  <c r="V47" i="5"/>
  <c r="U47" i="5"/>
  <c r="T47" i="5"/>
  <c r="S47" i="5"/>
  <c r="R47" i="5"/>
  <c r="Q47" i="5"/>
  <c r="P47" i="5"/>
  <c r="O47" i="5"/>
  <c r="N47" i="5"/>
  <c r="M47" i="5"/>
  <c r="L47" i="5"/>
  <c r="K47" i="5"/>
  <c r="J47" i="5"/>
  <c r="I47" i="5"/>
  <c r="H47" i="5"/>
  <c r="G47" i="5"/>
  <c r="F47" i="5"/>
  <c r="E47" i="5"/>
  <c r="D47" i="5"/>
  <c r="C47" i="5"/>
  <c r="AC46" i="5"/>
  <c r="AE46" i="5" s="1"/>
  <c r="AA46" i="5"/>
  <c r="Z46" i="5"/>
  <c r="Y46" i="5"/>
  <c r="X46" i="5"/>
  <c r="W46" i="5"/>
  <c r="V46" i="5"/>
  <c r="U46" i="5"/>
  <c r="T46" i="5"/>
  <c r="S46" i="5"/>
  <c r="R46" i="5"/>
  <c r="Q46" i="5"/>
  <c r="P46" i="5"/>
  <c r="O46" i="5"/>
  <c r="N46" i="5"/>
  <c r="M46" i="5"/>
  <c r="L46" i="5"/>
  <c r="K46" i="5"/>
  <c r="J46" i="5"/>
  <c r="I46" i="5"/>
  <c r="AD46" i="5" s="1"/>
  <c r="AF46" i="5" s="1"/>
  <c r="H46" i="5"/>
  <c r="G46" i="5"/>
  <c r="F46" i="5"/>
  <c r="E46" i="5"/>
  <c r="D46" i="5"/>
  <c r="C46" i="5"/>
  <c r="AD45" i="5"/>
  <c r="AC45" i="5"/>
  <c r="Z45" i="5"/>
  <c r="Y45" i="5"/>
  <c r="X45" i="5"/>
  <c r="W45" i="5"/>
  <c r="V45" i="5"/>
  <c r="U45" i="5"/>
  <c r="T45" i="5"/>
  <c r="S45" i="5"/>
  <c r="R45" i="5"/>
  <c r="Q45" i="5"/>
  <c r="P45" i="5"/>
  <c r="O45" i="5"/>
  <c r="N45" i="5"/>
  <c r="M45" i="5"/>
  <c r="L45" i="5"/>
  <c r="K45" i="5"/>
  <c r="J45" i="5"/>
  <c r="I45" i="5"/>
  <c r="H45" i="5"/>
  <c r="G45" i="5"/>
  <c r="F45" i="5"/>
  <c r="E45" i="5"/>
  <c r="AE45" i="5" s="1"/>
  <c r="D45" i="5"/>
  <c r="C45" i="5"/>
  <c r="AA45" i="5" s="1"/>
  <c r="AC44" i="5"/>
  <c r="AE44" i="5" s="1"/>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C42" i="5"/>
  <c r="Z42" i="5"/>
  <c r="Y42" i="5"/>
  <c r="X42" i="5"/>
  <c r="W42" i="5"/>
  <c r="V42" i="5"/>
  <c r="U42" i="5"/>
  <c r="T42" i="5"/>
  <c r="S42" i="5"/>
  <c r="R42" i="5"/>
  <c r="Q42" i="5"/>
  <c r="P42" i="5"/>
  <c r="O42" i="5"/>
  <c r="N42" i="5"/>
  <c r="M42" i="5"/>
  <c r="L42" i="5"/>
  <c r="K42" i="5"/>
  <c r="J42" i="5"/>
  <c r="I42" i="5"/>
  <c r="AD42" i="5" s="1"/>
  <c r="H42" i="5"/>
  <c r="G42" i="5"/>
  <c r="F42" i="5"/>
  <c r="E42" i="5"/>
  <c r="D42" i="5"/>
  <c r="C42" i="5"/>
  <c r="AA42" i="5" s="1"/>
  <c r="AC41" i="5"/>
  <c r="AE41" i="5" s="1"/>
  <c r="Z41" i="5"/>
  <c r="Y41" i="5"/>
  <c r="X41" i="5"/>
  <c r="W41" i="5"/>
  <c r="V41" i="5"/>
  <c r="U41" i="5"/>
  <c r="T41" i="5"/>
  <c r="S41" i="5"/>
  <c r="R41" i="5"/>
  <c r="Q41" i="5"/>
  <c r="P41" i="5"/>
  <c r="O41" i="5"/>
  <c r="N41" i="5"/>
  <c r="M41" i="5"/>
  <c r="L41" i="5"/>
  <c r="K41" i="5"/>
  <c r="J41" i="5"/>
  <c r="I41" i="5"/>
  <c r="H41" i="5"/>
  <c r="G41" i="5"/>
  <c r="F41" i="5"/>
  <c r="E41" i="5"/>
  <c r="D41" i="5"/>
  <c r="C41" i="5"/>
  <c r="AA41" i="5" s="1"/>
  <c r="AD40" i="5"/>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AD38" i="5" s="1"/>
  <c r="H38" i="5"/>
  <c r="G38" i="5"/>
  <c r="F38" i="5"/>
  <c r="E38" i="5"/>
  <c r="D38" i="5"/>
  <c r="C38" i="5"/>
  <c r="AA38" i="5" s="1"/>
  <c r="AD37" i="5"/>
  <c r="AC37" i="5"/>
  <c r="Z37" i="5"/>
  <c r="Y37" i="5"/>
  <c r="X37" i="5"/>
  <c r="W37" i="5"/>
  <c r="V37" i="5"/>
  <c r="U37" i="5"/>
  <c r="T37" i="5"/>
  <c r="S37" i="5"/>
  <c r="R37" i="5"/>
  <c r="Q37" i="5"/>
  <c r="P37" i="5"/>
  <c r="O37" i="5"/>
  <c r="N37" i="5"/>
  <c r="M37" i="5"/>
  <c r="L37" i="5"/>
  <c r="K37" i="5"/>
  <c r="J37" i="5"/>
  <c r="I37" i="5"/>
  <c r="H37" i="5"/>
  <c r="G37" i="5"/>
  <c r="F37" i="5"/>
  <c r="E37" i="5"/>
  <c r="AE37" i="5" s="1"/>
  <c r="D37" i="5"/>
  <c r="C37" i="5"/>
  <c r="AA37" i="5" s="1"/>
  <c r="AC36" i="5"/>
  <c r="AE36" i="5" s="1"/>
  <c r="Z36" i="5"/>
  <c r="Y36" i="5"/>
  <c r="X36" i="5"/>
  <c r="W36" i="5"/>
  <c r="V36" i="5"/>
  <c r="U36" i="5"/>
  <c r="T36" i="5"/>
  <c r="S36" i="5"/>
  <c r="R36" i="5"/>
  <c r="Q36" i="5"/>
  <c r="P36" i="5"/>
  <c r="O36" i="5"/>
  <c r="N36" i="5"/>
  <c r="M36" i="5"/>
  <c r="L36" i="5"/>
  <c r="K36" i="5"/>
  <c r="J36" i="5"/>
  <c r="I36" i="5"/>
  <c r="AD36" i="5" s="1"/>
  <c r="H36" i="5"/>
  <c r="G36" i="5"/>
  <c r="F36" i="5"/>
  <c r="E36" i="5"/>
  <c r="D36" i="5"/>
  <c r="C36" i="5"/>
  <c r="AA36" i="5" s="1"/>
  <c r="AC35" i="5"/>
  <c r="AE35" i="5" s="1"/>
  <c r="Z35" i="5"/>
  <c r="Y35" i="5"/>
  <c r="X35" i="5"/>
  <c r="W35" i="5"/>
  <c r="V35" i="5"/>
  <c r="U35" i="5"/>
  <c r="T35" i="5"/>
  <c r="S35" i="5"/>
  <c r="R35" i="5"/>
  <c r="Q35" i="5"/>
  <c r="P35" i="5"/>
  <c r="O35" i="5"/>
  <c r="N35" i="5"/>
  <c r="M35" i="5"/>
  <c r="L35" i="5"/>
  <c r="K35" i="5"/>
  <c r="J35" i="5"/>
  <c r="I35" i="5"/>
  <c r="H35" i="5"/>
  <c r="G35" i="5"/>
  <c r="F35" i="5"/>
  <c r="E35" i="5"/>
  <c r="D35" i="5"/>
  <c r="C35" i="5"/>
  <c r="AA35" i="5" s="1"/>
  <c r="AC34" i="5"/>
  <c r="Z34" i="5"/>
  <c r="Y34" i="5"/>
  <c r="X34" i="5"/>
  <c r="W34" i="5"/>
  <c r="V34" i="5"/>
  <c r="U34" i="5"/>
  <c r="T34" i="5"/>
  <c r="S34" i="5"/>
  <c r="R34" i="5"/>
  <c r="Q34" i="5"/>
  <c r="P34" i="5"/>
  <c r="O34" i="5"/>
  <c r="N34" i="5"/>
  <c r="M34" i="5"/>
  <c r="L34" i="5"/>
  <c r="K34" i="5"/>
  <c r="J34" i="5"/>
  <c r="I34" i="5"/>
  <c r="AD34" i="5" s="1"/>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D32" i="5"/>
  <c r="AC32" i="5"/>
  <c r="AE32" i="5" s="1"/>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AD30" i="5" s="1"/>
  <c r="H30" i="5"/>
  <c r="G30" i="5"/>
  <c r="F30" i="5"/>
  <c r="E30" i="5"/>
  <c r="D30" i="5"/>
  <c r="C30" i="5"/>
  <c r="AA30" i="5" s="1"/>
  <c r="AD29" i="5"/>
  <c r="AC29" i="5"/>
  <c r="Z29" i="5"/>
  <c r="Y29" i="5"/>
  <c r="X29" i="5"/>
  <c r="W29" i="5"/>
  <c r="V29" i="5"/>
  <c r="U29" i="5"/>
  <c r="T29" i="5"/>
  <c r="S29" i="5"/>
  <c r="R29" i="5"/>
  <c r="Q29" i="5"/>
  <c r="P29" i="5"/>
  <c r="O29" i="5"/>
  <c r="N29" i="5"/>
  <c r="M29" i="5"/>
  <c r="L29" i="5"/>
  <c r="K29" i="5"/>
  <c r="J29" i="5"/>
  <c r="I29" i="5"/>
  <c r="H29" i="5"/>
  <c r="G29" i="5"/>
  <c r="F29" i="5"/>
  <c r="E29" i="5"/>
  <c r="AE29" i="5" s="1"/>
  <c r="D29" i="5"/>
  <c r="C29" i="5"/>
  <c r="AA29" i="5" s="1"/>
  <c r="AC28" i="5"/>
  <c r="AE28" i="5" s="1"/>
  <c r="Z28" i="5"/>
  <c r="Y28" i="5"/>
  <c r="X28" i="5"/>
  <c r="W28" i="5"/>
  <c r="V28" i="5"/>
  <c r="U28" i="5"/>
  <c r="T28" i="5"/>
  <c r="S28" i="5"/>
  <c r="R28" i="5"/>
  <c r="Q28" i="5"/>
  <c r="P28" i="5"/>
  <c r="O28" i="5"/>
  <c r="N28" i="5"/>
  <c r="M28" i="5"/>
  <c r="L28" i="5"/>
  <c r="K28" i="5"/>
  <c r="J28" i="5"/>
  <c r="I28" i="5"/>
  <c r="AD28" i="5" s="1"/>
  <c r="H28" i="5"/>
  <c r="G28" i="5"/>
  <c r="F28" i="5"/>
  <c r="E28" i="5"/>
  <c r="D28" i="5"/>
  <c r="C28" i="5"/>
  <c r="AA28" i="5" s="1"/>
  <c r="AC27" i="5"/>
  <c r="AE27" i="5" s="1"/>
  <c r="Z27" i="5"/>
  <c r="Y27" i="5"/>
  <c r="X27" i="5"/>
  <c r="W27" i="5"/>
  <c r="V27" i="5"/>
  <c r="U27" i="5"/>
  <c r="T27" i="5"/>
  <c r="S27" i="5"/>
  <c r="R27" i="5"/>
  <c r="Q27" i="5"/>
  <c r="P27" i="5"/>
  <c r="O27" i="5"/>
  <c r="N27" i="5"/>
  <c r="M27" i="5"/>
  <c r="L27" i="5"/>
  <c r="K27" i="5"/>
  <c r="J27" i="5"/>
  <c r="I27" i="5"/>
  <c r="H27" i="5"/>
  <c r="G27" i="5"/>
  <c r="F27" i="5"/>
  <c r="E27" i="5"/>
  <c r="D27" i="5"/>
  <c r="C27" i="5"/>
  <c r="AA27" i="5" s="1"/>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C25" i="5"/>
  <c r="AD25" i="5" s="1"/>
  <c r="Z25" i="5"/>
  <c r="Y25" i="5"/>
  <c r="X25" i="5"/>
  <c r="W25" i="5"/>
  <c r="V25" i="5"/>
  <c r="U25" i="5"/>
  <c r="T25" i="5"/>
  <c r="S25" i="5"/>
  <c r="R25" i="5"/>
  <c r="Q25" i="5"/>
  <c r="P25" i="5"/>
  <c r="O25" i="5"/>
  <c r="N25" i="5"/>
  <c r="M25" i="5"/>
  <c r="L25" i="5"/>
  <c r="K25" i="5"/>
  <c r="J25" i="5"/>
  <c r="I25" i="5"/>
  <c r="H25" i="5"/>
  <c r="G25" i="5"/>
  <c r="F25" i="5"/>
  <c r="E25" i="5"/>
  <c r="D25" i="5"/>
  <c r="C25" i="5"/>
  <c r="AA25" i="5" s="1"/>
  <c r="AD24" i="5"/>
  <c r="AC24" i="5"/>
  <c r="AE24" i="5" s="1"/>
  <c r="Z24" i="5"/>
  <c r="Y24" i="5"/>
  <c r="X24" i="5"/>
  <c r="W24" i="5"/>
  <c r="V24" i="5"/>
  <c r="U24" i="5"/>
  <c r="T24" i="5"/>
  <c r="S24" i="5"/>
  <c r="R24" i="5"/>
  <c r="Q24" i="5"/>
  <c r="P24" i="5"/>
  <c r="O24" i="5"/>
  <c r="N24" i="5"/>
  <c r="M24" i="5"/>
  <c r="L24" i="5"/>
  <c r="K24" i="5"/>
  <c r="J24" i="5"/>
  <c r="I24" i="5"/>
  <c r="H24" i="5"/>
  <c r="G24" i="5"/>
  <c r="F24" i="5"/>
  <c r="E24" i="5"/>
  <c r="D24" i="5"/>
  <c r="C24" i="5"/>
  <c r="AA24" i="5" s="1"/>
  <c r="AC23" i="5"/>
  <c r="AE23" i="5" s="1"/>
  <c r="Z23" i="5"/>
  <c r="Y23" i="5"/>
  <c r="X23" i="5"/>
  <c r="W23" i="5"/>
  <c r="V23" i="5"/>
  <c r="U23" i="5"/>
  <c r="T23" i="5"/>
  <c r="S23" i="5"/>
  <c r="R23" i="5"/>
  <c r="Q23" i="5"/>
  <c r="P23" i="5"/>
  <c r="O23" i="5"/>
  <c r="N23" i="5"/>
  <c r="M23" i="5"/>
  <c r="L23" i="5"/>
  <c r="K23" i="5"/>
  <c r="J23" i="5"/>
  <c r="I23" i="5"/>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AD22" i="5" s="1"/>
  <c r="H22" i="5"/>
  <c r="G22" i="5"/>
  <c r="F22" i="5"/>
  <c r="E22" i="5"/>
  <c r="D22" i="5"/>
  <c r="C22" i="5"/>
  <c r="AA22" i="5" s="1"/>
  <c r="AD21" i="5"/>
  <c r="AC21" i="5"/>
  <c r="Z21" i="5"/>
  <c r="Y21" i="5"/>
  <c r="X21" i="5"/>
  <c r="W21" i="5"/>
  <c r="V21" i="5"/>
  <c r="U21" i="5"/>
  <c r="T21" i="5"/>
  <c r="S21" i="5"/>
  <c r="R21" i="5"/>
  <c r="Q21" i="5"/>
  <c r="P21" i="5"/>
  <c r="O21" i="5"/>
  <c r="N21" i="5"/>
  <c r="M21" i="5"/>
  <c r="L21" i="5"/>
  <c r="K21" i="5"/>
  <c r="J21" i="5"/>
  <c r="I21" i="5"/>
  <c r="H21" i="5"/>
  <c r="G21" i="5"/>
  <c r="F21" i="5"/>
  <c r="E21" i="5"/>
  <c r="AE21" i="5" s="1"/>
  <c r="D21" i="5"/>
  <c r="C21" i="5"/>
  <c r="AA21" i="5" s="1"/>
  <c r="AC20" i="5"/>
  <c r="AE20" i="5" s="1"/>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D16" i="5"/>
  <c r="AC16" i="5"/>
  <c r="AE16" i="5" s="1"/>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D14" i="5"/>
  <c r="AC14" i="5"/>
  <c r="AE14" i="5" s="1"/>
  <c r="Z14" i="5"/>
  <c r="Y14" i="5"/>
  <c r="X14" i="5"/>
  <c r="W14" i="5"/>
  <c r="V14" i="5"/>
  <c r="U14" i="5"/>
  <c r="T14" i="5"/>
  <c r="S14" i="5"/>
  <c r="R14" i="5"/>
  <c r="Q14" i="5"/>
  <c r="P14" i="5"/>
  <c r="O14" i="5"/>
  <c r="N14" i="5"/>
  <c r="M14" i="5"/>
  <c r="L14" i="5"/>
  <c r="K14" i="5"/>
  <c r="J14" i="5"/>
  <c r="I14" i="5"/>
  <c r="H14" i="5"/>
  <c r="G14" i="5"/>
  <c r="F14" i="5"/>
  <c r="E14" i="5"/>
  <c r="D14" i="5"/>
  <c r="C14" i="5"/>
  <c r="AA14" i="5" s="1"/>
  <c r="AE13" i="5"/>
  <c r="AC13" i="5"/>
  <c r="AD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AD12" i="5" s="1"/>
  <c r="H12" i="5"/>
  <c r="G12" i="5"/>
  <c r="F12" i="5"/>
  <c r="E12" i="5"/>
  <c r="D12" i="5"/>
  <c r="C12" i="5"/>
  <c r="AA12" i="5" s="1"/>
  <c r="AD11" i="5"/>
  <c r="AC11" i="5"/>
  <c r="Z11" i="5"/>
  <c r="Y11" i="5"/>
  <c r="X11" i="5"/>
  <c r="W11" i="5"/>
  <c r="V11" i="5"/>
  <c r="U11" i="5"/>
  <c r="T11" i="5"/>
  <c r="S11" i="5"/>
  <c r="R11" i="5"/>
  <c r="Q11" i="5"/>
  <c r="P11" i="5"/>
  <c r="O11" i="5"/>
  <c r="N11" i="5"/>
  <c r="M11" i="5"/>
  <c r="L11" i="5"/>
  <c r="K11" i="5"/>
  <c r="J11" i="5"/>
  <c r="I11" i="5"/>
  <c r="H11" i="5"/>
  <c r="G11" i="5"/>
  <c r="F11" i="5"/>
  <c r="E11" i="5"/>
  <c r="AE11" i="5" s="1"/>
  <c r="D11" i="5"/>
  <c r="C11" i="5"/>
  <c r="AA11" i="5" s="1"/>
  <c r="AA9" i="5"/>
  <c r="Z9" i="5"/>
  <c r="X9" i="5"/>
  <c r="W9" i="5"/>
  <c r="V9" i="5"/>
  <c r="U9" i="5"/>
  <c r="N9" i="5"/>
  <c r="L9" i="5"/>
  <c r="J9" i="5"/>
  <c r="D9" i="5"/>
  <c r="AA8" i="5"/>
  <c r="Z8" i="5"/>
  <c r="Y8" i="5"/>
  <c r="T8" i="5"/>
  <c r="S8" i="5"/>
  <c r="Q8" i="5"/>
  <c r="P8" i="5"/>
  <c r="L8" i="5"/>
  <c r="K8" i="5"/>
  <c r="I8" i="5"/>
  <c r="H8" i="5"/>
  <c r="G8" i="5"/>
  <c r="D8" i="5"/>
  <c r="C8" i="5"/>
  <c r="AG6" i="5"/>
  <c r="AA6" i="5"/>
  <c r="AA7" i="5" s="1"/>
  <c r="T6" i="5"/>
  <c r="T7" i="5" s="1"/>
  <c r="S6" i="5"/>
  <c r="S7" i="5" s="1"/>
  <c r="Q6" i="5"/>
  <c r="Q7" i="5" s="1"/>
  <c r="I6" i="5"/>
  <c r="I7" i="5" s="1"/>
  <c r="H6" i="5"/>
  <c r="H7" i="5" s="1"/>
  <c r="F6" i="5"/>
  <c r="F7" i="5" s="1"/>
  <c r="Y5" i="5"/>
  <c r="W5" i="5"/>
  <c r="U5" i="5"/>
  <c r="T5" i="5"/>
  <c r="M5" i="5"/>
  <c r="L5" i="5"/>
  <c r="K5" i="5"/>
  <c r="J5" i="5"/>
  <c r="AA4" i="5"/>
  <c r="X4" i="5"/>
  <c r="P4" i="5"/>
  <c r="M4" i="5"/>
  <c r="E4" i="5"/>
  <c r="D4" i="5"/>
  <c r="C4" i="5"/>
  <c r="AF56" i="5" l="1"/>
  <c r="AF85" i="5"/>
  <c r="AF88" i="5"/>
  <c r="AF72" i="5"/>
  <c r="AF64" i="5"/>
  <c r="AF96" i="5"/>
  <c r="AF48" i="5"/>
  <c r="AF90" i="5"/>
  <c r="AE71" i="6"/>
  <c r="AD71" i="6"/>
  <c r="R6" i="5"/>
  <c r="R7" i="5" s="1"/>
  <c r="G4" i="5"/>
  <c r="G6" i="5"/>
  <c r="G7" i="5" s="1"/>
  <c r="O4" i="5"/>
  <c r="O6" i="5"/>
  <c r="O7" i="5" s="1"/>
  <c r="W4" i="5"/>
  <c r="W6" i="5"/>
  <c r="W7" i="5" s="1"/>
  <c r="AE96" i="5"/>
  <c r="AD19" i="6"/>
  <c r="AD27" i="6"/>
  <c r="AD35" i="6"/>
  <c r="AD43" i="6"/>
  <c r="AD49" i="6"/>
  <c r="AE55" i="6"/>
  <c r="AD55" i="6"/>
  <c r="AE61" i="6"/>
  <c r="AD61" i="6"/>
  <c r="AF74" i="5"/>
  <c r="AF98" i="5"/>
  <c r="M9" i="5"/>
  <c r="AE92" i="5"/>
  <c r="AD92" i="5"/>
  <c r="AD70" i="6"/>
  <c r="AE70" i="6"/>
  <c r="AD35" i="5"/>
  <c r="AD58" i="5"/>
  <c r="AF58" i="5" s="1"/>
  <c r="AE79" i="6"/>
  <c r="AD79" i="6"/>
  <c r="AE19" i="5"/>
  <c r="E7" i="5"/>
  <c r="E9" i="5"/>
  <c r="AD28" i="6"/>
  <c r="AD36" i="6"/>
  <c r="AD44" i="6"/>
  <c r="AD56" i="6"/>
  <c r="AE69" i="6"/>
  <c r="AD69" i="6"/>
  <c r="AE60" i="5"/>
  <c r="AD60" i="5"/>
  <c r="AF60" i="5" s="1"/>
  <c r="AE52" i="5"/>
  <c r="AD52" i="5"/>
  <c r="AF52" i="5" s="1"/>
  <c r="AE66" i="5"/>
  <c r="AF66" i="5" s="1"/>
  <c r="AD17" i="5"/>
  <c r="AD33" i="5"/>
  <c r="AD41" i="5"/>
  <c r="AE50" i="5"/>
  <c r="AF50" i="5" s="1"/>
  <c r="AD67" i="5"/>
  <c r="AF67" i="5" s="1"/>
  <c r="AD69" i="5"/>
  <c r="AF69" i="5" s="1"/>
  <c r="N5" i="5"/>
  <c r="AD20" i="6"/>
  <c r="J4" i="5"/>
  <c r="E5" i="5"/>
  <c r="Q5" i="5"/>
  <c r="L6" i="5"/>
  <c r="L7" i="5" s="1"/>
  <c r="X6" i="5"/>
  <c r="X7" i="5" s="1"/>
  <c r="F9" i="5"/>
  <c r="AD59" i="5"/>
  <c r="AF59" i="5" s="1"/>
  <c r="AD61" i="5"/>
  <c r="AF61" i="5" s="1"/>
  <c r="AD65" i="5"/>
  <c r="AF65" i="5" s="1"/>
  <c r="AE67" i="5"/>
  <c r="AD71" i="5"/>
  <c r="AF71" i="5" s="1"/>
  <c r="AE84" i="5"/>
  <c r="AD84" i="5"/>
  <c r="AF84" i="5" s="1"/>
  <c r="AD93" i="5"/>
  <c r="AF93" i="5" s="1"/>
  <c r="AD95" i="5"/>
  <c r="AF95" i="5" s="1"/>
  <c r="AE53" i="6"/>
  <c r="AD53" i="6"/>
  <c r="AE63" i="6"/>
  <c r="AD63" i="6"/>
  <c r="AD78" i="6"/>
  <c r="AE78" i="6"/>
  <c r="AE68" i="5"/>
  <c r="AD68" i="5"/>
  <c r="AF68" i="5" s="1"/>
  <c r="AD27" i="5"/>
  <c r="AD43" i="5"/>
  <c r="M7" i="5"/>
  <c r="AA12" i="6"/>
  <c r="H4" i="5"/>
  <c r="D5" i="5"/>
  <c r="AD73" i="5"/>
  <c r="AF73" i="5" s="1"/>
  <c r="AE77" i="5"/>
  <c r="AF77" i="5" s="1"/>
  <c r="V5" i="5"/>
  <c r="AE90" i="5"/>
  <c r="AD12" i="6"/>
  <c r="AE25" i="5"/>
  <c r="G5" i="5"/>
  <c r="AD15" i="5"/>
  <c r="AE18" i="5"/>
  <c r="AD23" i="5"/>
  <c r="AE26" i="5"/>
  <c r="AD31" i="5"/>
  <c r="AE34" i="5"/>
  <c r="AD39" i="5"/>
  <c r="AE42" i="5"/>
  <c r="AD51" i="5"/>
  <c r="AF51" i="5" s="1"/>
  <c r="AD53" i="5"/>
  <c r="AF53" i="5" s="1"/>
  <c r="AD57" i="5"/>
  <c r="AF57" i="5" s="1"/>
  <c r="AE59" i="5"/>
  <c r="AD63" i="5"/>
  <c r="AF63" i="5" s="1"/>
  <c r="AD82" i="5"/>
  <c r="AF82" i="5" s="1"/>
  <c r="AD91" i="5"/>
  <c r="AF91" i="5" s="1"/>
  <c r="U8" i="6"/>
  <c r="M8" i="6"/>
  <c r="E8" i="6"/>
  <c r="AA8" i="6"/>
  <c r="S8" i="6"/>
  <c r="K8" i="6"/>
  <c r="C8" i="6"/>
  <c r="Q8" i="6"/>
  <c r="AD18" i="6"/>
  <c r="AD26" i="6"/>
  <c r="AD34" i="6"/>
  <c r="AD42" i="6"/>
  <c r="AD76" i="6"/>
  <c r="Z4" i="5"/>
  <c r="R4" i="5"/>
  <c r="C5" i="5"/>
  <c r="AD75" i="5"/>
  <c r="AD79" i="5"/>
  <c r="AF79" i="5" s="1"/>
  <c r="U7" i="5"/>
  <c r="S4" i="5"/>
  <c r="O5" i="5"/>
  <c r="Z5" i="5"/>
  <c r="K6" i="5"/>
  <c r="K7" i="5" s="1"/>
  <c r="O9" i="5"/>
  <c r="AE75" i="5"/>
  <c r="F5" i="5"/>
  <c r="AD97" i="5"/>
  <c r="AF97" i="5" s="1"/>
  <c r="U4" i="5"/>
  <c r="R5" i="5"/>
  <c r="N6" i="5"/>
  <c r="N7" i="5" s="1"/>
  <c r="Y6" i="5"/>
  <c r="Y7" i="5" s="1"/>
  <c r="V4" i="5"/>
  <c r="I5" i="5"/>
  <c r="P6" i="5"/>
  <c r="P7" i="5" s="1"/>
  <c r="AE47" i="5"/>
  <c r="AF47" i="5" s="1"/>
  <c r="AD49" i="5"/>
  <c r="AF49" i="5" s="1"/>
  <c r="AE51" i="5"/>
  <c r="AD55" i="5"/>
  <c r="AF55" i="5" s="1"/>
  <c r="AE76" i="5"/>
  <c r="AD76" i="5"/>
  <c r="AE78" i="5"/>
  <c r="AF78" i="5" s="1"/>
  <c r="AE87" i="5"/>
  <c r="AF87" i="5" s="1"/>
  <c r="AD89" i="5"/>
  <c r="AF89" i="5" s="1"/>
  <c r="AE54" i="6"/>
  <c r="AD62" i="6"/>
  <c r="AE62" i="6"/>
  <c r="AE77" i="6"/>
  <c r="AD77" i="6"/>
  <c r="I5" i="6"/>
  <c r="Q5" i="6"/>
  <c r="Y5" i="6"/>
  <c r="G7" i="6"/>
  <c r="O7" i="6"/>
  <c r="W7" i="6"/>
  <c r="F8" i="6"/>
  <c r="N8" i="6"/>
  <c r="V8" i="6"/>
  <c r="E9" i="6"/>
  <c r="M9" i="6"/>
  <c r="U9" i="6"/>
  <c r="AE86" i="6"/>
  <c r="AE94" i="6"/>
  <c r="AD97" i="6"/>
  <c r="N8" i="7"/>
  <c r="E9" i="7"/>
  <c r="U9" i="7"/>
  <c r="AD25" i="7"/>
  <c r="AD41" i="7"/>
  <c r="AD57" i="7"/>
  <c r="AD84" i="6"/>
  <c r="AE87" i="6"/>
  <c r="AD87" i="6"/>
  <c r="AD92" i="6"/>
  <c r="AE95" i="6"/>
  <c r="AD95" i="6"/>
  <c r="Z9" i="7"/>
  <c r="O8" i="7"/>
  <c r="F9" i="7"/>
  <c r="V9" i="7"/>
  <c r="AE92" i="6"/>
  <c r="G9" i="7"/>
  <c r="W9" i="7"/>
  <c r="AE85" i="6"/>
  <c r="AD85" i="6"/>
  <c r="AE93" i="6"/>
  <c r="AD93" i="6"/>
  <c r="F8" i="7"/>
  <c r="V8" i="7"/>
  <c r="M9" i="7"/>
  <c r="AD17" i="7"/>
  <c r="AD33" i="7"/>
  <c r="AD49" i="7"/>
  <c r="J9" i="6"/>
  <c r="R9" i="6"/>
  <c r="Z9" i="6"/>
  <c r="AE51" i="6"/>
  <c r="AD51" i="6"/>
  <c r="AE59" i="6"/>
  <c r="AD59" i="6"/>
  <c r="AE67" i="6"/>
  <c r="AD67" i="6"/>
  <c r="AE75" i="6"/>
  <c r="AD75" i="6"/>
  <c r="AE83" i="6"/>
  <c r="AD83" i="6"/>
  <c r="AE91" i="6"/>
  <c r="AD91" i="6"/>
  <c r="G8" i="7"/>
  <c r="W8" i="7"/>
  <c r="N9" i="7"/>
  <c r="E7" i="6"/>
  <c r="M7" i="6"/>
  <c r="U7" i="6"/>
  <c r="D8" i="6"/>
  <c r="L8" i="6"/>
  <c r="T8" i="6"/>
  <c r="C9" i="6"/>
  <c r="K9" i="6"/>
  <c r="S9" i="6"/>
  <c r="AE49" i="6"/>
  <c r="H8" i="7"/>
  <c r="X8" i="7"/>
  <c r="O9" i="7"/>
  <c r="D9" i="6"/>
  <c r="L9" i="6"/>
  <c r="AE47" i="6"/>
  <c r="AE57" i="6"/>
  <c r="AD57" i="6"/>
  <c r="AE65" i="6"/>
  <c r="AD65" i="6"/>
  <c r="AE73" i="6"/>
  <c r="AD73" i="6"/>
  <c r="AE81" i="6"/>
  <c r="AD81" i="6"/>
  <c r="AE89" i="6"/>
  <c r="AD89" i="6"/>
  <c r="D9" i="7"/>
  <c r="AD12" i="7"/>
  <c r="AD15" i="7"/>
  <c r="AD18" i="7"/>
  <c r="AD28" i="7"/>
  <c r="AD31" i="7"/>
  <c r="AD34" i="7"/>
  <c r="AD44" i="7"/>
  <c r="AD47" i="7"/>
  <c r="AD50" i="7"/>
  <c r="E7" i="7"/>
  <c r="M7" i="7"/>
  <c r="U7" i="7"/>
  <c r="D8" i="7"/>
  <c r="L8" i="7"/>
  <c r="T8" i="7"/>
  <c r="C9" i="7"/>
  <c r="K9" i="7"/>
  <c r="S9" i="7"/>
  <c r="AA9" i="7"/>
  <c r="C8" i="8"/>
  <c r="C16" i="8"/>
  <c r="C24" i="8"/>
  <c r="C76" i="9"/>
  <c r="C108" i="9"/>
  <c r="C140" i="9"/>
  <c r="C172" i="9"/>
  <c r="C204" i="9"/>
  <c r="C236" i="9"/>
  <c r="C292" i="9"/>
  <c r="C32" i="10"/>
  <c r="D31" i="10"/>
  <c r="C51" i="10"/>
  <c r="D50" i="10"/>
  <c r="D74" i="10"/>
  <c r="D96" i="10"/>
  <c r="C97" i="10"/>
  <c r="C102" i="10"/>
  <c r="D101" i="10"/>
  <c r="D146" i="10"/>
  <c r="D168" i="10"/>
  <c r="C169" i="10"/>
  <c r="D202" i="10"/>
  <c r="C222" i="10"/>
  <c r="D221" i="10"/>
  <c r="C80" i="10"/>
  <c r="D79" i="10"/>
  <c r="C79" i="10"/>
  <c r="D160" i="10"/>
  <c r="C161" i="10"/>
  <c r="C166" i="10"/>
  <c r="D165" i="10"/>
  <c r="C7" i="9"/>
  <c r="C11" i="9"/>
  <c r="C15" i="9"/>
  <c r="C19" i="9"/>
  <c r="C23" i="9"/>
  <c r="C27" i="9"/>
  <c r="C31" i="9"/>
  <c r="C13" i="10"/>
  <c r="D12" i="10"/>
  <c r="D24" i="10"/>
  <c r="C25" i="10"/>
  <c r="C29" i="10"/>
  <c r="D28" i="10"/>
  <c r="C48" i="10"/>
  <c r="D47" i="10"/>
  <c r="C94" i="10"/>
  <c r="D93" i="10"/>
  <c r="C136" i="10"/>
  <c r="D135" i="10"/>
  <c r="C144" i="10"/>
  <c r="D143" i="10"/>
  <c r="C143" i="10"/>
  <c r="C192" i="10"/>
  <c r="D191" i="10"/>
  <c r="C200" i="10"/>
  <c r="D199" i="10"/>
  <c r="C199" i="10"/>
  <c r="C90" i="9"/>
  <c r="C99" i="9"/>
  <c r="C122" i="9"/>
  <c r="C131" i="9"/>
  <c r="C154" i="9"/>
  <c r="C163" i="9"/>
  <c r="C186" i="9"/>
  <c r="C195" i="9"/>
  <c r="C218" i="9"/>
  <c r="C227" i="9"/>
  <c r="C250" i="9"/>
  <c r="C259" i="9"/>
  <c r="C264" i="9"/>
  <c r="D8" i="10"/>
  <c r="C9" i="10"/>
  <c r="C12" i="10"/>
  <c r="C21" i="10"/>
  <c r="C24" i="10"/>
  <c r="C28" i="10"/>
  <c r="C47" i="10"/>
  <c r="C69" i="10"/>
  <c r="D68" i="10"/>
  <c r="C93" i="10"/>
  <c r="C99" i="10"/>
  <c r="D98" i="10"/>
  <c r="C98" i="10"/>
  <c r="D119" i="10"/>
  <c r="D127" i="10"/>
  <c r="C135" i="10"/>
  <c r="C158" i="10"/>
  <c r="D157" i="10"/>
  <c r="C183" i="10"/>
  <c r="C191" i="10"/>
  <c r="C214" i="10"/>
  <c r="D213" i="10"/>
  <c r="C219" i="10"/>
  <c r="D218" i="10"/>
  <c r="C218" i="10"/>
  <c r="C4" i="9"/>
  <c r="C281" i="9"/>
  <c r="C8" i="10"/>
  <c r="D21" i="10"/>
  <c r="D40" i="10"/>
  <c r="C41" i="10"/>
  <c r="C45" i="10"/>
  <c r="D44" i="10"/>
  <c r="C60" i="10"/>
  <c r="D64" i="10"/>
  <c r="C65" i="10"/>
  <c r="C68" i="10"/>
  <c r="C86" i="10"/>
  <c r="D85" i="10"/>
  <c r="C91" i="10"/>
  <c r="D90" i="10"/>
  <c r="D120" i="10"/>
  <c r="C121" i="10"/>
  <c r="C157" i="10"/>
  <c r="C163" i="10"/>
  <c r="D162" i="10"/>
  <c r="C162" i="10"/>
  <c r="D183" i="10"/>
  <c r="C213" i="10"/>
  <c r="D232" i="10"/>
  <c r="C233" i="10"/>
  <c r="J7" i="7"/>
  <c r="R7" i="7"/>
  <c r="Z7" i="7"/>
  <c r="I8" i="7"/>
  <c r="Q8" i="7"/>
  <c r="Y8" i="7"/>
  <c r="H9" i="7"/>
  <c r="P9" i="7"/>
  <c r="X9" i="7"/>
  <c r="C7" i="8"/>
  <c r="C15" i="8"/>
  <c r="C23" i="8"/>
  <c r="C276" i="9"/>
  <c r="C283" i="9"/>
  <c r="C5" i="10"/>
  <c r="C19" i="10"/>
  <c r="D18" i="10"/>
  <c r="C37" i="10"/>
  <c r="C40" i="10"/>
  <c r="C44" i="10"/>
  <c r="D60" i="10"/>
  <c r="C85" i="10"/>
  <c r="C90" i="10"/>
  <c r="D112" i="10"/>
  <c r="C113" i="10"/>
  <c r="C150" i="10"/>
  <c r="D149" i="10"/>
  <c r="C155" i="10"/>
  <c r="D154" i="10"/>
  <c r="C211" i="10"/>
  <c r="D210" i="10"/>
  <c r="C7" i="7"/>
  <c r="K7" i="7"/>
  <c r="S7" i="7"/>
  <c r="AA7" i="7"/>
  <c r="J8" i="7"/>
  <c r="R8" i="7"/>
  <c r="Z8" i="7"/>
  <c r="I9" i="7"/>
  <c r="Q9" i="7"/>
  <c r="Y9" i="7"/>
  <c r="C10" i="8"/>
  <c r="C18" i="8"/>
  <c r="C26" i="8"/>
  <c r="C84" i="9"/>
  <c r="C116" i="9"/>
  <c r="D5" i="10"/>
  <c r="C35" i="10"/>
  <c r="D34" i="10"/>
  <c r="D37" i="10"/>
  <c r="C54" i="10"/>
  <c r="D53" i="10"/>
  <c r="C62" i="10"/>
  <c r="D61" i="10"/>
  <c r="D176" i="10"/>
  <c r="C177" i="10"/>
  <c r="D224" i="10"/>
  <c r="C225" i="10"/>
  <c r="C230" i="10"/>
  <c r="D229" i="10"/>
  <c r="C229" i="10"/>
  <c r="D7" i="7"/>
  <c r="L7" i="7"/>
  <c r="T7" i="7"/>
  <c r="C8" i="7"/>
  <c r="K8" i="7"/>
  <c r="S8" i="7"/>
  <c r="AA8" i="7"/>
  <c r="J9" i="7"/>
  <c r="R9" i="7"/>
  <c r="C5" i="8"/>
  <c r="C13" i="8"/>
  <c r="C80" i="9"/>
  <c r="C112" i="9"/>
  <c r="C144" i="9"/>
  <c r="C176" i="9"/>
  <c r="C208" i="9"/>
  <c r="C240" i="9"/>
  <c r="C277" i="9"/>
  <c r="D2" i="10"/>
  <c r="C16" i="10"/>
  <c r="D15" i="10"/>
  <c r="C34" i="10"/>
  <c r="C53" i="10"/>
  <c r="C57" i="10"/>
  <c r="C74" i="10"/>
  <c r="D82" i="10"/>
  <c r="D104" i="10"/>
  <c r="C105" i="10"/>
  <c r="C110" i="10"/>
  <c r="D109" i="10"/>
  <c r="C109" i="10"/>
  <c r="C146" i="10"/>
  <c r="C202" i="10"/>
  <c r="C286" i="9"/>
  <c r="C4" i="10"/>
  <c r="D13" i="10"/>
  <c r="C20" i="10"/>
  <c r="C64" i="10"/>
  <c r="C78" i="10"/>
  <c r="D77" i="10"/>
  <c r="D88" i="10"/>
  <c r="C89" i="10"/>
  <c r="C112" i="10"/>
  <c r="C142" i="10"/>
  <c r="D141" i="10"/>
  <c r="D152" i="10"/>
  <c r="C153" i="10"/>
  <c r="C176" i="10"/>
  <c r="C206" i="10"/>
  <c r="D205" i="10"/>
  <c r="D216" i="10"/>
  <c r="C217" i="10"/>
  <c r="C174" i="10"/>
  <c r="D173" i="10"/>
  <c r="D184" i="10"/>
  <c r="C185" i="10"/>
  <c r="C266" i="9"/>
  <c r="C298" i="9"/>
  <c r="C88" i="10"/>
  <c r="C118" i="10"/>
  <c r="D117" i="10"/>
  <c r="D128" i="10"/>
  <c r="C129" i="10"/>
  <c r="C152" i="10"/>
  <c r="C173" i="10"/>
  <c r="C182" i="10"/>
  <c r="D181" i="10"/>
  <c r="D192" i="10"/>
  <c r="C193" i="10"/>
  <c r="C207" i="10"/>
  <c r="C216" i="10"/>
  <c r="C226" i="10"/>
  <c r="C56" i="10"/>
  <c r="C58" i="10"/>
  <c r="C70" i="10"/>
  <c r="D69" i="10"/>
  <c r="C87" i="10"/>
  <c r="C96" i="10"/>
  <c r="C106" i="10"/>
  <c r="C117" i="10"/>
  <c r="C126" i="10"/>
  <c r="D125" i="10"/>
  <c r="D136" i="10"/>
  <c r="C137" i="10"/>
  <c r="C151" i="10"/>
  <c r="C160" i="10"/>
  <c r="C170" i="10"/>
  <c r="C181" i="10"/>
  <c r="C190" i="10"/>
  <c r="D189" i="10"/>
  <c r="D200" i="10"/>
  <c r="C201" i="10"/>
  <c r="D207" i="10"/>
  <c r="C215" i="10"/>
  <c r="C224" i="10"/>
  <c r="D226" i="10"/>
  <c r="C234" i="10"/>
  <c r="C290" i="9"/>
  <c r="C11" i="10"/>
  <c r="C27" i="10"/>
  <c r="C43" i="10"/>
  <c r="D58" i="10"/>
  <c r="C73" i="10"/>
  <c r="D80" i="10"/>
  <c r="C81" i="10"/>
  <c r="D87" i="10"/>
  <c r="C95" i="10"/>
  <c r="C104" i="10"/>
  <c r="D106" i="10"/>
  <c r="C114" i="10"/>
  <c r="C125" i="10"/>
  <c r="C134" i="10"/>
  <c r="D133" i="10"/>
  <c r="D144" i="10"/>
  <c r="C145" i="10"/>
  <c r="D151" i="10"/>
  <c r="C159" i="10"/>
  <c r="C168" i="10"/>
  <c r="D170" i="10"/>
  <c r="C178" i="10"/>
  <c r="C189" i="10"/>
  <c r="C198" i="10"/>
  <c r="D197" i="10"/>
  <c r="D208" i="10"/>
  <c r="C209" i="10"/>
  <c r="D215" i="10"/>
  <c r="C223" i="10"/>
  <c r="C232" i="10"/>
  <c r="D234" i="10"/>
  <c r="C241" i="10"/>
  <c r="C249" i="10"/>
  <c r="C257" i="10"/>
  <c r="C265" i="10"/>
  <c r="C273" i="10"/>
  <c r="C281" i="10"/>
  <c r="C289" i="10"/>
  <c r="C297" i="10"/>
  <c r="D297" i="10"/>
  <c r="D239" i="10"/>
  <c r="C242" i="10"/>
  <c r="D247" i="10"/>
  <c r="C250" i="10"/>
  <c r="D255" i="10"/>
  <c r="C258" i="10"/>
  <c r="D263" i="10"/>
  <c r="C266" i="10"/>
  <c r="D271" i="10"/>
  <c r="C274" i="10"/>
  <c r="D279" i="10"/>
  <c r="C282" i="10"/>
  <c r="D287" i="10"/>
  <c r="C290" i="10"/>
  <c r="D295" i="10"/>
  <c r="D242" i="10"/>
  <c r="D250" i="10"/>
  <c r="D258" i="10"/>
  <c r="D266" i="10"/>
  <c r="D274" i="10"/>
  <c r="D282" i="10"/>
  <c r="D290" i="10"/>
  <c r="D298" i="10"/>
  <c r="D237" i="10"/>
  <c r="D245" i="10"/>
  <c r="D253" i="10"/>
  <c r="D261" i="10"/>
  <c r="D269" i="10"/>
  <c r="D277" i="10"/>
  <c r="D285" i="10"/>
  <c r="D293" i="10"/>
  <c r="AF75" i="5" l="1"/>
  <c r="AF76" i="5"/>
  <c r="AF92" i="5"/>
</calcChain>
</file>

<file path=xl/sharedStrings.xml><?xml version="1.0" encoding="utf-8"?>
<sst xmlns="http://schemas.openxmlformats.org/spreadsheetml/2006/main" count="1505" uniqueCount="599">
  <si>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</si>
  <si>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</si>
  <si>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</si>
  <si>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</si>
  <si>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</si>
  <si>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</si>
  <si>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</si>
  <si>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</si>
  <si>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</si>
  <si>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</si>
  <si>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</si>
  <si>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</si>
  <si>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</si>
  <si>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</si>
  <si>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</si>
  <si>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</si>
  <si>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</si>
  <si>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</si>
  <si>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</si>
  <si>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</si>
  <si>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</si>
  <si>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</si>
  <si>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</si>
  <si>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</si>
  <si>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</si>
  <si>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</si>
  <si>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</si>
  <si>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</si>
  <si>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</si>
  <si>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</si>
  <si>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</si>
  <si>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</si>
  <si>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</si>
  <si>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</si>
  <si>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</si>
  <si>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</si>
  <si>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</si>
  <si>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</si>
  <si>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</si>
  <si>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</si>
  <si>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</si>
  <si>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</si>
  <si>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</si>
  <si>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</si>
  <si>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</si>
  <si>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</si>
  <si>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</si>
  <si>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</si>
  <si>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</si>
  <si>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</si>
  <si>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</si>
  <si>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</si>
  <si>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</si>
  <si>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</si>
  <si>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</si>
  <si>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</si>
  <si>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</si>
  <si>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</si>
  <si>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</si>
  <si>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</si>
  <si>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</si>
  <si>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</si>
  <si>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</si>
  <si>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</si>
  <si>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</si>
  <si>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</si>
  <si>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</si>
  <si>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</si>
  <si>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</si>
  <si>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</si>
  <si>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</si>
  <si>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</si>
  <si>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</si>
  <si>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</si>
  <si>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</si>
  <si>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</si>
  <si>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</si>
  <si>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</si>
  <si>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</si>
  <si>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</si>
  <si>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</si>
  <si>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</si>
  <si>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</si>
  <si>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</si>
  <si>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</si>
  <si>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</si>
  <si>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</si>
  <si>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</si>
  <si>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</si>
  <si>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</si>
  <si>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</si>
  <si>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</si>
  <si>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</si>
  <si>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</si>
  <si>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</si>
  <si>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</si>
  <si>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</si>
  <si>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</si>
  <si>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</si>
  <si>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</si>
  <si>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</si>
  <si>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</si>
  <si>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</si>
  <si>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</si>
  <si>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</si>
  <si>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</si>
  <si>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</si>
  <si>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</si>
  <si>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</si>
  <si>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</si>
  <si>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</si>
  <si>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</si>
  <si>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</si>
  <si>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</si>
  <si>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</si>
  <si>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</si>
  <si>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</si>
  <si>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</si>
  <si>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</si>
  <si>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</si>
  <si>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</si>
  <si>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</si>
  <si>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</si>
  <si>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</si>
  <si>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</si>
  <si>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</si>
  <si>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</si>
  <si>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</si>
  <si>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</si>
  <si>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</si>
  <si>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</si>
  <si>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</si>
  <si>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</si>
  <si>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</si>
  <si>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</si>
  <si>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</si>
  <si>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</si>
  <si>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</si>
  <si>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</si>
  <si>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</si>
  <si>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</si>
  <si>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</si>
  <si>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</si>
  <si>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</si>
  <si>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</si>
  <si>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</si>
  <si>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</si>
  <si>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</si>
  <si>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</si>
  <si>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</si>
  <si>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</si>
  <si>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</si>
  <si>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</si>
  <si>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</si>
  <si>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</si>
  <si>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</si>
  <si>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</si>
  <si>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</si>
  <si>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</si>
  <si>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</si>
  <si>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</si>
  <si>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</si>
  <si>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</si>
  <si>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</si>
  <si>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</si>
  <si>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</si>
  <si>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</si>
  <si>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</si>
  <si>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</si>
  <si>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</si>
  <si>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</si>
  <si>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</si>
  <si>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</si>
  <si>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</si>
  <si>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</si>
  <si>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</si>
  <si>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</si>
  <si>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</si>
  <si>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</si>
  <si>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</si>
  <si>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</si>
  <si>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</si>
  <si>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</si>
  <si>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</si>
  <si>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</si>
  <si>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</si>
  <si>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</si>
  <si>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</si>
  <si>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</si>
  <si>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</si>
  <si>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</si>
  <si>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</si>
  <si>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</si>
  <si>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</si>
  <si>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</si>
  <si>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</si>
  <si>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</si>
  <si>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</si>
  <si>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</si>
  <si>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</si>
  <si>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</si>
  <si>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</si>
  <si>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</si>
  <si>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</si>
  <si>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</si>
  <si>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</si>
  <si>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</si>
  <si>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</si>
  <si>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</si>
  <si>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</si>
  <si>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</si>
  <si>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</si>
  <si>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</si>
  <si>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</si>
  <si>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</si>
  <si>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</si>
  <si>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</si>
  <si>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</si>
  <si>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</si>
  <si>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</si>
  <si>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</si>
  <si>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</si>
  <si>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</si>
  <si>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</si>
  <si>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</si>
  <si>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</si>
  <si>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</si>
  <si>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</si>
  <si>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</si>
  <si>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</si>
  <si>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</si>
  <si>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</si>
  <si>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</si>
  <si>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</si>
  <si>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</si>
  <si>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</si>
  <si>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</si>
  <si>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</si>
  <si>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</si>
  <si>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</si>
  <si>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</si>
  <si>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</si>
  <si>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</si>
  <si>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</si>
  <si>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</si>
  <si>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</si>
  <si>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</si>
  <si>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</si>
  <si>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</si>
  <si>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</si>
  <si>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</si>
  <si>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</si>
  <si>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</si>
  <si>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</si>
  <si>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</si>
  <si>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</si>
  <si>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</si>
  <si>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</si>
  <si>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</si>
  <si>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</si>
  <si>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</si>
  <si>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</si>
  <si>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</si>
  <si>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</si>
  <si>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</si>
  <si>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</si>
  <si>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</si>
  <si>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</si>
  <si>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</si>
  <si>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</si>
  <si>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</si>
  <si>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</si>
  <si>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</si>
  <si>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</si>
  <si>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</si>
  <si>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</si>
  <si>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</si>
  <si>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</si>
  <si>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</si>
  <si>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</si>
  <si>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</si>
  <si>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</si>
  <si>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</si>
  <si>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</si>
  <si>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</si>
  <si>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</si>
  <si>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</si>
  <si>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</si>
  <si>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</si>
  <si>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</si>
  <si>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</si>
  <si>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</si>
  <si>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</si>
  <si>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</si>
  <si>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</si>
  <si>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</si>
  <si>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</si>
  <si>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</si>
  <si>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</si>
  <si>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</si>
  <si>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</si>
  <si>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</si>
  <si>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</si>
  <si>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</si>
  <si>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</si>
  <si>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</si>
  <si>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</si>
  <si>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</si>
  <si>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</si>
  <si>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</si>
  <si>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</si>
  <si>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</si>
  <si>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</si>
  <si>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</si>
  <si>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</si>
  <si>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</si>
  <si>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</si>
  <si>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</si>
  <si>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</si>
  <si>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</si>
  <si>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</si>
  <si>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</si>
  <si>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</si>
  <si>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</si>
  <si>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</si>
  <si>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</si>
  <si>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</si>
  <si>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</si>
  <si>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</si>
  <si>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</si>
  <si>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</si>
  <si>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</si>
  <si>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</si>
  <si>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</si>
  <si>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</si>
  <si>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</si>
  <si>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</si>
  <si>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</si>
  <si>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</si>
  <si>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</si>
  <si>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</si>
  <si>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</si>
  <si>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</si>
  <si>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</si>
  <si>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</si>
  <si>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</si>
  <si>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</si>
  <si>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</si>
  <si>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</si>
  <si>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</si>
  <si>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</si>
  <si>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</si>
  <si>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</si>
  <si>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</si>
  <si>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</si>
  <si>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</si>
  <si>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</si>
  <si>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</si>
  <si>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</si>
  <si>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</si>
  <si>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</si>
  <si>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</si>
  <si>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</si>
  <si>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</si>
  <si>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</si>
  <si>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</si>
  <si>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</si>
  <si>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</si>
  <si>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</si>
  <si>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</si>
  <si>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</si>
  <si>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</si>
  <si>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GDP</t>
  </si>
  <si>
    <t>GDP YoY</t>
  </si>
  <si>
    <t>GDP QoQ</t>
  </si>
  <si>
    <t>Interest rate</t>
  </si>
  <si>
    <t>Inflation rate</t>
  </si>
  <si>
    <t>Jobless rate</t>
  </si>
  <si>
    <t>Gov. Budget</t>
  </si>
  <si>
    <t>Debt/GDP</t>
  </si>
  <si>
    <t>Current Account</t>
  </si>
  <si>
    <t>Currency</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</si>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</sst>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07E6-E64C-AD92-69CBD4EA8990}"/>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07E6-E64C-AD92-69CBD4EA8990}"/>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07E6-E64C-AD92-69CBD4EA8990}"/>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07E6-E64C-AD92-69CBD4EA8990}"/>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07E6-E64C-AD92-69CBD4EA8990}"/>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07E6-E64C-AD92-69CBD4EA8990}"/>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07E6-E64C-AD92-69CBD4EA8990}"/>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07E6-E64C-AD92-69CBD4EA8990}"/>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07E6-E64C-AD92-69CBD4EA8990}"/>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pt idx="200">
                  <c:v>5.5317363620000002</c:v>
                </c:pt>
              </c:numCache>
            </c:numRef>
          </c:val>
          <c:smooth val="0"/>
          <c:extLst>
            <c:ext xmlns:c16="http://schemas.microsoft.com/office/drawing/2014/chart" uri="{C3380CC4-5D6E-409C-BE32-E72D297353CC}">
              <c16:uniqueId val="{00000000-5480-6745-BBDE-0A8DF9D08AA5}"/>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pt idx="200">
                  <c:v>1.6790943920000001</c:v>
                </c:pt>
              </c:numCache>
            </c:numRef>
          </c:val>
          <c:smooth val="0"/>
          <c:extLst>
            <c:ext xmlns:c16="http://schemas.microsoft.com/office/drawing/2014/chart" uri="{C3380CC4-5D6E-409C-BE32-E72D297353CC}">
              <c16:uniqueId val="{00000000-794D-FA43-92EE-E16FEC074810}"/>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pt idx="60">
                  <c:v>6.8874405826816254E-2</c:v>
                </c:pt>
              </c:numCache>
            </c:numRef>
          </c:val>
          <c:extLst>
            <c:ext xmlns:c16="http://schemas.microsoft.com/office/drawing/2014/chart" uri="{C3380CC4-5D6E-409C-BE32-E72D297353CC}">
              <c16:uniqueId val="{00000000-D5EF-3843-B75A-D0670D8C4D23}"/>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0" totalsRowShown="0" headerRowDxfId="10" dataDxfId="9">
  <autoFilter ref="A1:C300"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0" totalsRowShown="0" headerRowDxfId="5" dataDxfId="4">
  <autoFilter ref="A1:D300"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zoomScale="130" zoomScaleNormal="130" workbookViewId="0">
      <selection activeCell="L191" sqref="L191"/>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6" width="9.1640625" style="72" customWidth="1"/>
    <col min="27" max="16384" width="9.1640625" style="72"/>
  </cols>
  <sheetData>
    <row r="1" spans="2:10" ht="16" customHeight="1" thickBot="1" x14ac:dyDescent="0.25">
      <c r="B1" s="77"/>
      <c r="C1" s="74"/>
      <c r="D1" s="74"/>
      <c r="E1" s="74"/>
      <c r="F1" s="74"/>
      <c r="G1" s="74"/>
      <c r="H1" s="74"/>
      <c r="I1" s="74"/>
      <c r="J1" s="74"/>
    </row>
    <row r="2" spans="2:10" ht="16" customHeight="1" thickBot="1" x14ac:dyDescent="0.25">
      <c r="B2" s="78"/>
      <c r="C2" s="78"/>
      <c r="D2" s="78"/>
      <c r="E2" s="78"/>
      <c r="F2" s="78"/>
      <c r="G2" s="78"/>
      <c r="H2" s="78"/>
      <c r="I2" s="78"/>
      <c r="J2" s="78"/>
    </row>
    <row r="3" spans="2:10" ht="16" customHeight="1" thickBot="1" x14ac:dyDescent="0.25">
      <c r="B3" s="79" t="s">
        <v>0</v>
      </c>
      <c r="C3" s="80"/>
      <c r="D3" s="80"/>
      <c r="E3" s="80"/>
      <c r="F3" s="80"/>
      <c r="G3" s="80"/>
      <c r="H3" s="80"/>
      <c r="I3" s="80"/>
      <c r="J3" s="81"/>
    </row>
    <row r="5" spans="2:10" x14ac:dyDescent="0.2">
      <c r="B5" s="82" t="s">
        <v>1</v>
      </c>
      <c r="C5" s="83"/>
      <c r="D5" s="83"/>
      <c r="E5" s="83"/>
      <c r="F5" s="83"/>
      <c r="G5" s="83"/>
      <c r="H5" s="83"/>
      <c r="I5" s="83"/>
      <c r="J5" s="84"/>
    </row>
    <row r="7" spans="2:10" ht="132" customHeight="1" x14ac:dyDescent="0.2">
      <c r="B7" s="85" t="s">
        <v>2</v>
      </c>
      <c r="C7" s="74"/>
      <c r="D7" s="74"/>
      <c r="E7" s="74"/>
      <c r="F7" s="74"/>
      <c r="G7" s="74"/>
      <c r="H7" s="74"/>
      <c r="I7" s="74"/>
      <c r="J7" s="74"/>
    </row>
    <row r="8" spans="2:10" x14ac:dyDescent="0.2">
      <c r="B8" s="59"/>
      <c r="C8" s="57"/>
      <c r="D8" s="57"/>
      <c r="E8" s="57"/>
    </row>
    <row r="9" spans="2:10" x14ac:dyDescent="0.2">
      <c r="B9" s="82" t="s">
        <v>3</v>
      </c>
      <c r="C9" s="83"/>
      <c r="D9" s="83"/>
      <c r="E9" s="83"/>
      <c r="F9" s="83"/>
      <c r="G9" s="83"/>
      <c r="H9" s="83"/>
      <c r="I9" s="83"/>
      <c r="J9" s="84"/>
    </row>
    <row r="10" spans="2:10" ht="16" customHeight="1" x14ac:dyDescent="0.2"/>
    <row r="11" spans="2:10" ht="17" customHeight="1" x14ac:dyDescent="0.2">
      <c r="B11" s="82" t="s">
        <v>4</v>
      </c>
      <c r="C11" s="83"/>
      <c r="D11" s="83"/>
      <c r="E11" s="83"/>
      <c r="F11" s="84"/>
      <c r="G11" s="82" t="s">
        <v>5</v>
      </c>
      <c r="H11" s="83"/>
      <c r="I11" s="83"/>
      <c r="J11" s="84"/>
    </row>
    <row r="12" spans="2:10" ht="16" customHeight="1" x14ac:dyDescent="0.2"/>
    <row r="13" spans="2:10" ht="16" customHeight="1" x14ac:dyDescent="0.2">
      <c r="B13" s="76" t="s">
        <v>6</v>
      </c>
      <c r="C13" s="74"/>
      <c r="D13" s="74"/>
      <c r="E13" s="74"/>
      <c r="F13" s="74"/>
      <c r="G13" s="74" t="s">
        <v>7</v>
      </c>
      <c r="H13" s="74"/>
      <c r="I13" s="74"/>
      <c r="J13" s="74"/>
    </row>
    <row r="14" spans="2:10" ht="16" customHeight="1" x14ac:dyDescent="0.2">
      <c r="B14" s="74" t="s">
        <v>8</v>
      </c>
      <c r="C14" s="74"/>
      <c r="D14" s="74"/>
      <c r="E14" s="74"/>
      <c r="F14" s="74"/>
      <c r="G14" s="74" t="s">
        <v>9</v>
      </c>
      <c r="H14" s="74"/>
      <c r="I14" s="74"/>
      <c r="J14" s="74"/>
    </row>
    <row r="15" spans="2:10" ht="16" customHeight="1" x14ac:dyDescent="0.2">
      <c r="B15" s="74" t="s">
        <v>10</v>
      </c>
      <c r="C15" s="74"/>
      <c r="D15" s="74"/>
      <c r="E15" s="74"/>
      <c r="F15" s="74"/>
      <c r="G15" s="74" t="s">
        <v>11</v>
      </c>
      <c r="H15" s="74"/>
      <c r="I15" s="74"/>
      <c r="J15" s="74"/>
    </row>
    <row r="16" spans="2:10" ht="16" customHeight="1" x14ac:dyDescent="0.2">
      <c r="B16" s="74" t="s">
        <v>12</v>
      </c>
      <c r="C16" s="74"/>
      <c r="D16" s="74"/>
      <c r="E16" s="74"/>
      <c r="F16" s="74"/>
    </row>
    <row r="17" spans="2:10" ht="16" customHeight="1" x14ac:dyDescent="0.2">
      <c r="B17" s="74" t="s">
        <v>13</v>
      </c>
      <c r="C17" s="74"/>
      <c r="D17" s="74"/>
      <c r="E17" s="74"/>
      <c r="F17" s="74"/>
    </row>
    <row r="18" spans="2:10" ht="16" customHeight="1" x14ac:dyDescent="0.2"/>
    <row r="19" spans="2:10" ht="16" customHeight="1" x14ac:dyDescent="0.2">
      <c r="B19" s="76" t="s">
        <v>6</v>
      </c>
      <c r="C19" s="74"/>
      <c r="D19" s="74"/>
      <c r="E19" s="74"/>
      <c r="F19" s="74"/>
      <c r="G19" s="74" t="s">
        <v>14</v>
      </c>
      <c r="H19" s="74"/>
      <c r="I19" s="74"/>
      <c r="J19" s="74"/>
    </row>
    <row r="20" spans="2:10" ht="16" customHeight="1" x14ac:dyDescent="0.2">
      <c r="B20" s="74" t="s">
        <v>8</v>
      </c>
      <c r="C20" s="74"/>
      <c r="D20" s="74"/>
      <c r="E20" s="74"/>
      <c r="F20" s="74"/>
      <c r="G20" s="74" t="s">
        <v>9</v>
      </c>
      <c r="H20" s="74"/>
      <c r="I20" s="74"/>
      <c r="J20" s="74"/>
    </row>
    <row r="21" spans="2:10" ht="16" customHeight="1" x14ac:dyDescent="0.2">
      <c r="B21" s="74" t="s">
        <v>10</v>
      </c>
      <c r="C21" s="74"/>
      <c r="D21" s="74"/>
      <c r="E21" s="74"/>
      <c r="F21" s="74"/>
      <c r="G21" s="74" t="s">
        <v>15</v>
      </c>
      <c r="H21" s="74"/>
      <c r="I21" s="74"/>
      <c r="J21" s="74"/>
    </row>
    <row r="22" spans="2:10" ht="16" customHeight="1" x14ac:dyDescent="0.2">
      <c r="B22" s="74" t="s">
        <v>16</v>
      </c>
      <c r="C22" s="74"/>
      <c r="D22" s="74"/>
      <c r="E22" s="74"/>
      <c r="F22" s="74"/>
    </row>
    <row r="23" spans="2:10" ht="16" customHeight="1" x14ac:dyDescent="0.2">
      <c r="B23" s="74" t="s">
        <v>13</v>
      </c>
      <c r="C23" s="74"/>
      <c r="D23" s="74"/>
      <c r="E23" s="74"/>
      <c r="F23" s="74"/>
    </row>
    <row r="24" spans="2:10" ht="16" customHeight="1" x14ac:dyDescent="0.2"/>
    <row r="25" spans="2:10" ht="16" customHeight="1" x14ac:dyDescent="0.2">
      <c r="B25" s="72" t="s">
        <v>17</v>
      </c>
    </row>
    <row r="26" spans="2:10" ht="16" customHeight="1" x14ac:dyDescent="0.2"/>
    <row r="27" spans="2:10" ht="16" customHeight="1" x14ac:dyDescent="0.2">
      <c r="B27" s="72" t="s">
        <v>0</v>
      </c>
      <c r="G27" s="63"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75"/>
      <c r="C39" s="74"/>
      <c r="D39" s="74"/>
      <c r="E39" s="74"/>
      <c r="F39" s="74"/>
      <c r="G39" s="74"/>
      <c r="H39" s="74"/>
      <c r="I39" s="74"/>
      <c r="J39" s="74"/>
    </row>
    <row r="40" spans="2:10" x14ac:dyDescent="0.2">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topLeftCell="AG1" workbookViewId="0">
      <pane ySplit="1" topLeftCell="A278"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61" width="9.1640625" style="68" customWidth="1"/>
    <col min="62" max="16384" width="9.1640625" style="68"/>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3">
        <v>17349</v>
      </c>
      <c r="AT2">
        <v>-0.26670598899999998</v>
      </c>
    </row>
    <row r="3" spans="1:47" x14ac:dyDescent="0.2">
      <c r="A3" t="s">
        <v>67</v>
      </c>
      <c r="B3" s="73">
        <v>17441</v>
      </c>
      <c r="AT3">
        <v>-0.20650322500000001</v>
      </c>
    </row>
    <row r="4" spans="1:47" x14ac:dyDescent="0.2">
      <c r="A4" t="s">
        <v>68</v>
      </c>
      <c r="B4" s="73">
        <v>17533</v>
      </c>
      <c r="AT4">
        <v>1.5642763799999999</v>
      </c>
    </row>
    <row r="5" spans="1:47" x14ac:dyDescent="0.2">
      <c r="A5" t="s">
        <v>69</v>
      </c>
      <c r="B5" s="73">
        <v>17624</v>
      </c>
      <c r="AT5">
        <v>1.5042003239999999</v>
      </c>
    </row>
    <row r="6" spans="1:47" x14ac:dyDescent="0.2">
      <c r="A6" t="s">
        <v>70</v>
      </c>
      <c r="B6" s="73">
        <v>17715</v>
      </c>
      <c r="AT6">
        <v>1.650680594</v>
      </c>
    </row>
    <row r="7" spans="1:47" x14ac:dyDescent="0.2">
      <c r="A7" t="s">
        <v>71</v>
      </c>
      <c r="B7" s="73">
        <v>17807</v>
      </c>
      <c r="AT7">
        <v>0.57293019099999998</v>
      </c>
    </row>
    <row r="8" spans="1:47" x14ac:dyDescent="0.2">
      <c r="A8" t="s">
        <v>72</v>
      </c>
      <c r="B8" s="73">
        <v>17899</v>
      </c>
      <c r="AT8">
        <v>0.11171215800000001</v>
      </c>
    </row>
    <row r="9" spans="1:47" x14ac:dyDescent="0.2">
      <c r="A9" t="s">
        <v>73</v>
      </c>
      <c r="B9" s="73">
        <v>17989</v>
      </c>
      <c r="AT9">
        <v>-1.37794649</v>
      </c>
    </row>
    <row r="10" spans="1:47" x14ac:dyDescent="0.2">
      <c r="A10" t="s">
        <v>74</v>
      </c>
      <c r="B10" s="73">
        <v>18080</v>
      </c>
      <c r="AT10">
        <v>-0.34110093000000002</v>
      </c>
    </row>
    <row r="11" spans="1:47" x14ac:dyDescent="0.2">
      <c r="A11" t="s">
        <v>75</v>
      </c>
      <c r="B11" s="73">
        <v>18172</v>
      </c>
      <c r="AT11">
        <v>1.0324247769999999</v>
      </c>
    </row>
    <row r="12" spans="1:47" x14ac:dyDescent="0.2">
      <c r="A12" t="s">
        <v>76</v>
      </c>
      <c r="B12" s="73">
        <v>18264</v>
      </c>
      <c r="AT12">
        <v>-0.83926743999999998</v>
      </c>
    </row>
    <row r="13" spans="1:47" x14ac:dyDescent="0.2">
      <c r="A13" t="s">
        <v>77</v>
      </c>
      <c r="B13" s="73">
        <v>18354</v>
      </c>
      <c r="AT13">
        <v>3.930097999</v>
      </c>
    </row>
    <row r="14" spans="1:47" x14ac:dyDescent="0.2">
      <c r="A14" t="s">
        <v>78</v>
      </c>
      <c r="B14" s="73">
        <v>18445</v>
      </c>
      <c r="AT14">
        <v>3.0498109879999999</v>
      </c>
    </row>
    <row r="15" spans="1:47" x14ac:dyDescent="0.2">
      <c r="A15" t="s">
        <v>79</v>
      </c>
      <c r="B15" s="73">
        <v>18537</v>
      </c>
      <c r="AT15">
        <v>3.8644146030000002</v>
      </c>
    </row>
    <row r="16" spans="1:47" x14ac:dyDescent="0.2">
      <c r="A16" t="s">
        <v>80</v>
      </c>
      <c r="B16" s="73">
        <v>18629</v>
      </c>
      <c r="AT16">
        <v>1.9147801470000001</v>
      </c>
    </row>
    <row r="17" spans="1:46" x14ac:dyDescent="0.2">
      <c r="A17" t="s">
        <v>81</v>
      </c>
      <c r="B17" s="73">
        <v>18719</v>
      </c>
      <c r="AT17">
        <v>1.3581587639999999</v>
      </c>
    </row>
    <row r="18" spans="1:46" x14ac:dyDescent="0.2">
      <c r="A18" t="s">
        <v>82</v>
      </c>
      <c r="B18" s="73">
        <v>18810</v>
      </c>
      <c r="AT18">
        <v>1.7327104369999999</v>
      </c>
    </row>
    <row r="19" spans="1:46" x14ac:dyDescent="0.2">
      <c r="A19" t="s">
        <v>83</v>
      </c>
      <c r="B19" s="73">
        <v>18902</v>
      </c>
      <c r="AT19">
        <v>2.060998798</v>
      </c>
    </row>
    <row r="20" spans="1:46" x14ac:dyDescent="0.2">
      <c r="A20" t="s">
        <v>84</v>
      </c>
      <c r="B20" s="73">
        <v>18994</v>
      </c>
      <c r="AT20">
        <v>0.220249574</v>
      </c>
    </row>
    <row r="21" spans="1:46" x14ac:dyDescent="0.2">
      <c r="A21" t="s">
        <v>85</v>
      </c>
      <c r="B21" s="73">
        <v>19085</v>
      </c>
      <c r="AT21">
        <v>1.068534409</v>
      </c>
    </row>
    <row r="22" spans="1:46" x14ac:dyDescent="0.2">
      <c r="A22" t="s">
        <v>86</v>
      </c>
      <c r="B22" s="73">
        <v>19176</v>
      </c>
      <c r="AT22">
        <v>0.215396694</v>
      </c>
    </row>
    <row r="23" spans="1:46" x14ac:dyDescent="0.2">
      <c r="A23" t="s">
        <v>87</v>
      </c>
      <c r="B23" s="73">
        <v>19268</v>
      </c>
      <c r="AT23">
        <v>0.72184921499999999</v>
      </c>
    </row>
    <row r="24" spans="1:46" x14ac:dyDescent="0.2">
      <c r="A24" t="s">
        <v>88</v>
      </c>
      <c r="B24" s="73">
        <v>19360</v>
      </c>
      <c r="AT24">
        <v>3.2842157109999999</v>
      </c>
    </row>
    <row r="25" spans="1:46" x14ac:dyDescent="0.2">
      <c r="A25" t="s">
        <v>89</v>
      </c>
      <c r="B25" s="73">
        <v>19450</v>
      </c>
      <c r="AT25">
        <v>1.858867482</v>
      </c>
    </row>
    <row r="26" spans="1:46" x14ac:dyDescent="0.2">
      <c r="A26" t="s">
        <v>90</v>
      </c>
      <c r="B26" s="73">
        <v>19541</v>
      </c>
      <c r="AT26">
        <v>0.77293802</v>
      </c>
    </row>
    <row r="27" spans="1:46" x14ac:dyDescent="0.2">
      <c r="A27" t="s">
        <v>91</v>
      </c>
      <c r="B27" s="73">
        <v>19633</v>
      </c>
      <c r="AT27">
        <v>-0.56267703099999999</v>
      </c>
    </row>
    <row r="28" spans="1:46" x14ac:dyDescent="0.2">
      <c r="A28" t="s">
        <v>92</v>
      </c>
      <c r="B28" s="73">
        <v>19725</v>
      </c>
      <c r="AT28">
        <v>-1.51394063</v>
      </c>
    </row>
    <row r="29" spans="1:46" x14ac:dyDescent="0.2">
      <c r="A29" t="s">
        <v>93</v>
      </c>
      <c r="B29" s="73">
        <v>19815</v>
      </c>
      <c r="AT29">
        <v>-0.47802388800000001</v>
      </c>
    </row>
    <row r="30" spans="1:46" x14ac:dyDescent="0.2">
      <c r="A30" t="s">
        <v>94</v>
      </c>
      <c r="B30" s="73">
        <v>19906</v>
      </c>
      <c r="AT30">
        <v>0.108992196</v>
      </c>
    </row>
    <row r="31" spans="1:46" x14ac:dyDescent="0.2">
      <c r="A31" t="s">
        <v>95</v>
      </c>
      <c r="B31" s="73">
        <v>19998</v>
      </c>
      <c r="AT31">
        <v>1.129346277</v>
      </c>
    </row>
    <row r="32" spans="1:46" x14ac:dyDescent="0.2">
      <c r="A32" t="s">
        <v>96</v>
      </c>
      <c r="B32" s="73">
        <v>20090</v>
      </c>
      <c r="AT32">
        <v>1.9566880769999999</v>
      </c>
    </row>
    <row r="33" spans="1:46" x14ac:dyDescent="0.2">
      <c r="A33" t="s">
        <v>97</v>
      </c>
      <c r="B33" s="73">
        <v>20180</v>
      </c>
      <c r="AT33">
        <v>2.8562346550000002</v>
      </c>
    </row>
    <row r="34" spans="1:46" x14ac:dyDescent="0.2">
      <c r="A34" t="s">
        <v>98</v>
      </c>
      <c r="B34" s="73">
        <v>20271</v>
      </c>
      <c r="V34">
        <v>8.7361201999999999E-2</v>
      </c>
      <c r="AT34">
        <v>1.627204957</v>
      </c>
    </row>
    <row r="35" spans="1:46" x14ac:dyDescent="0.2">
      <c r="A35" t="s">
        <v>99</v>
      </c>
      <c r="B35" s="73">
        <v>20363</v>
      </c>
      <c r="V35">
        <v>2.0214215210000002</v>
      </c>
      <c r="AT35">
        <v>1.350464288</v>
      </c>
    </row>
    <row r="36" spans="1:46" x14ac:dyDescent="0.2">
      <c r="A36" t="s">
        <v>100</v>
      </c>
      <c r="B36" s="73">
        <v>20455</v>
      </c>
      <c r="V36">
        <v>-0.543717267</v>
      </c>
      <c r="AT36">
        <v>0.600328737</v>
      </c>
    </row>
    <row r="37" spans="1:46" x14ac:dyDescent="0.2">
      <c r="A37" t="s">
        <v>101</v>
      </c>
      <c r="B37" s="73">
        <v>20546</v>
      </c>
      <c r="V37">
        <v>1.149656309</v>
      </c>
      <c r="AT37">
        <v>-0.38838046799999998</v>
      </c>
    </row>
    <row r="38" spans="1:46" x14ac:dyDescent="0.2">
      <c r="A38" t="s">
        <v>102</v>
      </c>
      <c r="B38" s="73">
        <v>20637</v>
      </c>
      <c r="V38">
        <v>-0.17644954900000001</v>
      </c>
      <c r="AT38">
        <v>0.82631942700000005</v>
      </c>
    </row>
    <row r="39" spans="1:46" x14ac:dyDescent="0.2">
      <c r="A39" t="s">
        <v>103</v>
      </c>
      <c r="B39" s="73">
        <v>20729</v>
      </c>
      <c r="V39">
        <v>-0.116248517</v>
      </c>
      <c r="AT39">
        <v>-8.9839592999999995E-2</v>
      </c>
    </row>
    <row r="40" spans="1:46" x14ac:dyDescent="0.2">
      <c r="A40" t="s">
        <v>104</v>
      </c>
      <c r="B40" s="73">
        <v>20821</v>
      </c>
      <c r="V40">
        <v>0.447997959</v>
      </c>
      <c r="AT40">
        <v>1.645864038</v>
      </c>
    </row>
    <row r="41" spans="1:46" x14ac:dyDescent="0.2">
      <c r="A41" t="s">
        <v>105</v>
      </c>
      <c r="B41" s="73">
        <v>20911</v>
      </c>
      <c r="V41">
        <v>1.999857153</v>
      </c>
      <c r="AT41">
        <v>0.64029115299999995</v>
      </c>
    </row>
    <row r="42" spans="1:46" x14ac:dyDescent="0.2">
      <c r="A42" t="s">
        <v>106</v>
      </c>
      <c r="B42" s="73">
        <v>21002</v>
      </c>
      <c r="V42">
        <v>1.0114448999999999E-2</v>
      </c>
      <c r="AT42">
        <v>-0.21908592399999999</v>
      </c>
    </row>
    <row r="43" spans="1:46" x14ac:dyDescent="0.2">
      <c r="A43" t="s">
        <v>107</v>
      </c>
      <c r="B43" s="73">
        <v>21094</v>
      </c>
      <c r="V43">
        <v>-0.61458511599999999</v>
      </c>
      <c r="AT43">
        <v>0.98001840200000001</v>
      </c>
    </row>
    <row r="44" spans="1:46" x14ac:dyDescent="0.2">
      <c r="A44" t="s">
        <v>108</v>
      </c>
      <c r="B44" s="73">
        <v>21186</v>
      </c>
      <c r="V44">
        <v>0.18081908699999999</v>
      </c>
      <c r="AT44">
        <v>-1.034279655</v>
      </c>
    </row>
    <row r="45" spans="1:46" x14ac:dyDescent="0.2">
      <c r="A45" t="s">
        <v>109</v>
      </c>
      <c r="B45" s="73">
        <v>21276</v>
      </c>
      <c r="V45">
        <v>2.2002922260000002</v>
      </c>
      <c r="AT45">
        <v>-2.5954400450000001</v>
      </c>
    </row>
    <row r="46" spans="1:46" x14ac:dyDescent="0.2">
      <c r="A46" t="s">
        <v>110</v>
      </c>
      <c r="B46" s="73">
        <v>21367</v>
      </c>
      <c r="V46">
        <v>-2.3761649550000001</v>
      </c>
      <c r="AT46">
        <v>0.65722672599999998</v>
      </c>
    </row>
    <row r="47" spans="1:46" x14ac:dyDescent="0.2">
      <c r="A47" t="s">
        <v>111</v>
      </c>
      <c r="B47" s="73">
        <v>21459</v>
      </c>
      <c r="V47">
        <v>2.2256854439999998</v>
      </c>
      <c r="AT47">
        <v>2.3132170410000001</v>
      </c>
    </row>
    <row r="48" spans="1:46" x14ac:dyDescent="0.2">
      <c r="A48" t="s">
        <v>112</v>
      </c>
      <c r="B48" s="73">
        <v>21551</v>
      </c>
      <c r="V48">
        <v>0.10265603299999999</v>
      </c>
      <c r="AT48">
        <v>2.3381095599999999</v>
      </c>
    </row>
    <row r="49" spans="1:47" x14ac:dyDescent="0.2">
      <c r="A49" t="s">
        <v>113</v>
      </c>
      <c r="B49" s="73">
        <v>21641</v>
      </c>
      <c r="V49">
        <v>0.652804457</v>
      </c>
      <c r="AT49">
        <v>1.9195528040000001</v>
      </c>
    </row>
    <row r="50" spans="1:47" x14ac:dyDescent="0.2">
      <c r="A50" t="s">
        <v>114</v>
      </c>
      <c r="B50" s="73">
        <v>21732</v>
      </c>
      <c r="V50">
        <v>1.6628649639999999</v>
      </c>
      <c r="AT50">
        <v>2.2551695309999999</v>
      </c>
    </row>
    <row r="51" spans="1:47" x14ac:dyDescent="0.2">
      <c r="A51" t="s">
        <v>115</v>
      </c>
      <c r="B51" s="73">
        <v>21824</v>
      </c>
      <c r="V51">
        <v>2.1494760930000001</v>
      </c>
      <c r="AT51">
        <v>7.0560340999999999E-2</v>
      </c>
    </row>
    <row r="52" spans="1:47" x14ac:dyDescent="0.2">
      <c r="A52" t="s">
        <v>116</v>
      </c>
      <c r="B52" s="73">
        <v>21916</v>
      </c>
      <c r="V52">
        <v>2.5611175789999998</v>
      </c>
      <c r="AT52">
        <v>0.284889055</v>
      </c>
    </row>
    <row r="53" spans="1:47" x14ac:dyDescent="0.2">
      <c r="A53" t="s">
        <v>117</v>
      </c>
      <c r="B53" s="73">
        <v>22007</v>
      </c>
      <c r="V53">
        <v>2.492165135</v>
      </c>
      <c r="AT53">
        <v>2.2477142919999999</v>
      </c>
    </row>
    <row r="54" spans="1:47" x14ac:dyDescent="0.2">
      <c r="A54" t="s">
        <v>118</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127</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128</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129</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130</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131</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132</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133</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134</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135</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136</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137</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138</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139</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140</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141</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142</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143</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144</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145</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146</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147</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148</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149</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150</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151</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152</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153</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154</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155</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156</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157</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158</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159</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160</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161</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162</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163</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164</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165</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166</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167</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168</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169</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170</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171</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172</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173</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174</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175</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176</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177</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178</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179</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180</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181</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182</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183</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184</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185</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186</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187</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188</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189</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190</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191</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192</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193</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194</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195</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196</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197</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198</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199</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200</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201</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202</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203</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204</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205</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206</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207</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208</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209</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210</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211</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212</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213</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214</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215</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216</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217</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218</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219</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220</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221</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222</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223</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224</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225</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226</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227</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228</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229</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230</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231</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232</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233</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234</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235</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236</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237</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238</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239</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240</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241</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242</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243</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244</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245</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246</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247</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248</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249</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250</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251</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252</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253</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254</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255</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256</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257</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258</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259</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260</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261</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262</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263</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264</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265</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266</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267</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268</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269</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270</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271</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272</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273</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274</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275</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276</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277</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278</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279</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280</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281</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282</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283</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284</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285</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286</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287</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288</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289</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290</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291</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292</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293</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294</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295</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296</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297</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298</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299</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300</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301</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302</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303</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304</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305</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306</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307</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308</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309</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310</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311</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312</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313</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314</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315</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316</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317</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318</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319</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320</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321</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322</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323</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324</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325</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326</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327</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328</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329</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330</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331</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332</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333</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334</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335</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336</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337</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338</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339</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340</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341</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342</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343</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344</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345</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346</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347</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348</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349</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350</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351</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352</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353</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354</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355</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356</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357</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358</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359</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360</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361</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362</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363</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364</v>
      </c>
      <c r="B300" s="73">
        <v>44562</v>
      </c>
      <c r="E300">
        <v>-2.2213348289999999</v>
      </c>
      <c r="F300">
        <v>0.50480939199999997</v>
      </c>
      <c r="H300">
        <v>1.600008023</v>
      </c>
      <c r="K300">
        <v>1.6</v>
      </c>
      <c r="L300">
        <v>0.89996890299999999</v>
      </c>
      <c r="M300">
        <v>-0.731986727</v>
      </c>
      <c r="O300">
        <v>0.29447699999999999</v>
      </c>
      <c r="P300">
        <v>2.0115807550000002</v>
      </c>
      <c r="R300">
        <v>0.42894500000000002</v>
      </c>
      <c r="T300">
        <v>0.71059852000000001</v>
      </c>
      <c r="AC300">
        <v>0.61259812199999997</v>
      </c>
      <c r="AE300">
        <v>1.118547956</v>
      </c>
      <c r="AG300">
        <v>-0.103574205</v>
      </c>
      <c r="AH300">
        <v>0.99948927700000001</v>
      </c>
      <c r="AN300">
        <v>1.600006732</v>
      </c>
      <c r="AR300">
        <v>1.4000369669999999</v>
      </c>
      <c r="AT300">
        <v>1.6790943920000001</v>
      </c>
    </row>
    <row r="301" spans="1:47" x14ac:dyDescent="0.2">
      <c r="A301" t="s">
        <v>365</v>
      </c>
      <c r="B301" s="73">
        <v>44652</v>
      </c>
    </row>
    <row r="302" spans="1:47" x14ac:dyDescent="0.2">
      <c r="A302" t="s">
        <v>366</v>
      </c>
      <c r="B302" s="73">
        <v>44743</v>
      </c>
    </row>
    <row r="303" spans="1:47" x14ac:dyDescent="0.2">
      <c r="A303" t="s">
        <v>367</v>
      </c>
      <c r="B303" s="73">
        <v>44835</v>
      </c>
    </row>
    <row r="304" spans="1:47" x14ac:dyDescent="0.2">
      <c r="A304" t="s">
        <v>368</v>
      </c>
      <c r="B304" s="73">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3" width="9.1640625" style="68" customWidth="1"/>
    <col min="54" max="16384" width="9.1640625" style="68"/>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3">
        <v>17349</v>
      </c>
    </row>
    <row r="3" spans="1:49" x14ac:dyDescent="0.2">
      <c r="A3" t="s">
        <v>67</v>
      </c>
      <c r="B3" s="73">
        <v>17441</v>
      </c>
    </row>
    <row r="4" spans="1:49" x14ac:dyDescent="0.2">
      <c r="A4" t="s">
        <v>68</v>
      </c>
      <c r="B4" s="73">
        <v>17533</v>
      </c>
    </row>
    <row r="5" spans="1:49" x14ac:dyDescent="0.2">
      <c r="A5" t="s">
        <v>69</v>
      </c>
      <c r="B5" s="73">
        <v>17624</v>
      </c>
      <c r="AV5">
        <v>2.6047334659999999</v>
      </c>
    </row>
    <row r="6" spans="1:49" x14ac:dyDescent="0.2">
      <c r="A6" t="s">
        <v>70</v>
      </c>
      <c r="B6" s="73">
        <v>17715</v>
      </c>
      <c r="AV6">
        <v>4.5773238760000003</v>
      </c>
    </row>
    <row r="7" spans="1:49" x14ac:dyDescent="0.2">
      <c r="A7" t="s">
        <v>71</v>
      </c>
      <c r="B7" s="73">
        <v>17807</v>
      </c>
      <c r="AV7">
        <v>5.3941211969999996</v>
      </c>
    </row>
    <row r="8" spans="1:49" x14ac:dyDescent="0.2">
      <c r="A8" t="s">
        <v>72</v>
      </c>
      <c r="B8" s="73">
        <v>17899</v>
      </c>
      <c r="AV8">
        <v>3.8867828379999998</v>
      </c>
    </row>
    <row r="9" spans="1:49" x14ac:dyDescent="0.2">
      <c r="A9" t="s">
        <v>73</v>
      </c>
      <c r="B9" s="73">
        <v>17989</v>
      </c>
      <c r="AV9">
        <v>0.93698411699999995</v>
      </c>
    </row>
    <row r="10" spans="1:49" x14ac:dyDescent="0.2">
      <c r="A10" t="s">
        <v>74</v>
      </c>
      <c r="B10" s="73">
        <v>18080</v>
      </c>
      <c r="AV10">
        <v>-1.0408129699999999</v>
      </c>
    </row>
    <row r="11" spans="1:49" x14ac:dyDescent="0.2">
      <c r="A11" t="s">
        <v>75</v>
      </c>
      <c r="B11" s="73">
        <v>18172</v>
      </c>
      <c r="AV11">
        <v>-0.58869120600000002</v>
      </c>
    </row>
    <row r="12" spans="1:49" x14ac:dyDescent="0.2">
      <c r="A12" t="s">
        <v>76</v>
      </c>
      <c r="B12" s="73">
        <v>18264</v>
      </c>
      <c r="AV12">
        <v>-1.5330175429999999</v>
      </c>
    </row>
    <row r="13" spans="1:49" x14ac:dyDescent="0.2">
      <c r="A13" t="s">
        <v>77</v>
      </c>
      <c r="B13" s="73">
        <v>18354</v>
      </c>
      <c r="AV13">
        <v>3.7666806990000001</v>
      </c>
    </row>
    <row r="14" spans="1:49" x14ac:dyDescent="0.2">
      <c r="A14" t="s">
        <v>78</v>
      </c>
      <c r="B14" s="73">
        <v>18445</v>
      </c>
      <c r="AV14">
        <v>7.2973606230000003</v>
      </c>
    </row>
    <row r="15" spans="1:49" x14ac:dyDescent="0.2">
      <c r="A15" t="s">
        <v>79</v>
      </c>
      <c r="B15" s="73">
        <v>18537</v>
      </c>
      <c r="AV15">
        <v>10.304959761999999</v>
      </c>
    </row>
    <row r="16" spans="1:49" x14ac:dyDescent="0.2">
      <c r="A16" t="s">
        <v>80</v>
      </c>
      <c r="B16" s="73">
        <v>18629</v>
      </c>
      <c r="AV16">
        <v>13.368522327999999</v>
      </c>
    </row>
    <row r="17" spans="1:48" x14ac:dyDescent="0.2">
      <c r="A17" t="s">
        <v>81</v>
      </c>
      <c r="B17" s="73">
        <v>18719</v>
      </c>
      <c r="AV17">
        <v>10.563012123</v>
      </c>
    </row>
    <row r="18" spans="1:48" x14ac:dyDescent="0.2">
      <c r="A18" t="s">
        <v>82</v>
      </c>
      <c r="B18" s="73">
        <v>18810</v>
      </c>
      <c r="AV18">
        <v>9.1498838239999998</v>
      </c>
    </row>
    <row r="19" spans="1:48" x14ac:dyDescent="0.2">
      <c r="A19" t="s">
        <v>83</v>
      </c>
      <c r="B19" s="73">
        <v>18902</v>
      </c>
      <c r="AV19">
        <v>7.2546955019999997</v>
      </c>
    </row>
    <row r="20" spans="1:48" x14ac:dyDescent="0.2">
      <c r="A20" t="s">
        <v>84</v>
      </c>
      <c r="B20" s="73">
        <v>18994</v>
      </c>
      <c r="AV20">
        <v>5.4713784949999997</v>
      </c>
    </row>
    <row r="21" spans="1:48" x14ac:dyDescent="0.2">
      <c r="A21" t="s">
        <v>85</v>
      </c>
      <c r="B21" s="73">
        <v>19085</v>
      </c>
      <c r="AV21">
        <v>5.170000881</v>
      </c>
    </row>
    <row r="22" spans="1:48" x14ac:dyDescent="0.2">
      <c r="A22" t="s">
        <v>86</v>
      </c>
      <c r="B22" s="73">
        <v>19176</v>
      </c>
      <c r="AV22">
        <v>3.6014209519999998</v>
      </c>
    </row>
    <row r="23" spans="1:48" x14ac:dyDescent="0.2">
      <c r="A23" t="s">
        <v>87</v>
      </c>
      <c r="B23" s="73">
        <v>19268</v>
      </c>
      <c r="AV23">
        <v>2.2420593809999998</v>
      </c>
    </row>
    <row r="24" spans="1:48" x14ac:dyDescent="0.2">
      <c r="A24" t="s">
        <v>88</v>
      </c>
      <c r="B24" s="73">
        <v>19360</v>
      </c>
      <c r="AV24">
        <v>5.3678369469999998</v>
      </c>
    </row>
    <row r="25" spans="1:48" x14ac:dyDescent="0.2">
      <c r="A25" t="s">
        <v>89</v>
      </c>
      <c r="B25" s="73">
        <v>19450</v>
      </c>
      <c r="AV25">
        <v>6.1917895940000003</v>
      </c>
    </row>
    <row r="26" spans="1:48" x14ac:dyDescent="0.2">
      <c r="A26" t="s">
        <v>90</v>
      </c>
      <c r="B26" s="73">
        <v>19541</v>
      </c>
      <c r="AV26">
        <v>6.7825801630000004</v>
      </c>
    </row>
    <row r="27" spans="1:48" x14ac:dyDescent="0.2">
      <c r="A27" t="s">
        <v>91</v>
      </c>
      <c r="B27" s="73">
        <v>19633</v>
      </c>
      <c r="AV27">
        <v>5.4207601810000003</v>
      </c>
    </row>
    <row r="28" spans="1:48" x14ac:dyDescent="0.2">
      <c r="A28" t="s">
        <v>92</v>
      </c>
      <c r="B28" s="73">
        <v>19725</v>
      </c>
      <c r="AV28">
        <v>0.52334884400000004</v>
      </c>
    </row>
    <row r="29" spans="1:48" x14ac:dyDescent="0.2">
      <c r="A29" t="s">
        <v>93</v>
      </c>
      <c r="B29" s="73">
        <v>19815</v>
      </c>
      <c r="AV29">
        <v>-1.782902464</v>
      </c>
    </row>
    <row r="30" spans="1:48" x14ac:dyDescent="0.2">
      <c r="A30" t="s">
        <v>94</v>
      </c>
      <c r="B30" s="73">
        <v>19906</v>
      </c>
      <c r="AV30">
        <v>-2.4300090499999998</v>
      </c>
    </row>
    <row r="31" spans="1:48" x14ac:dyDescent="0.2">
      <c r="A31" t="s">
        <v>95</v>
      </c>
      <c r="B31" s="73">
        <v>19998</v>
      </c>
      <c r="AV31">
        <v>-0.76976022300000002</v>
      </c>
    </row>
    <row r="32" spans="1:48" x14ac:dyDescent="0.2">
      <c r="A32" t="s">
        <v>96</v>
      </c>
      <c r="B32" s="73">
        <v>20090</v>
      </c>
      <c r="AV32">
        <v>2.7270932499999998</v>
      </c>
    </row>
    <row r="33" spans="1:48" x14ac:dyDescent="0.2">
      <c r="A33" t="s">
        <v>97</v>
      </c>
      <c r="B33" s="73">
        <v>20180</v>
      </c>
      <c r="AV33">
        <v>6.1687319870000001</v>
      </c>
    </row>
    <row r="34" spans="1:48" x14ac:dyDescent="0.2">
      <c r="A34" t="s">
        <v>98</v>
      </c>
      <c r="B34" s="73">
        <v>20271</v>
      </c>
      <c r="AV34">
        <v>7.7788443279999999</v>
      </c>
    </row>
    <row r="35" spans="1:48" x14ac:dyDescent="0.2">
      <c r="A35" t="s">
        <v>99</v>
      </c>
      <c r="B35" s="73">
        <v>20363</v>
      </c>
      <c r="AV35">
        <v>8.0145013810000005</v>
      </c>
    </row>
    <row r="36" spans="1:48" x14ac:dyDescent="0.2">
      <c r="A36" t="s">
        <v>100</v>
      </c>
      <c r="B36" s="73">
        <v>20455</v>
      </c>
      <c r="AV36">
        <v>6.5775531980000004</v>
      </c>
    </row>
    <row r="37" spans="1:48" x14ac:dyDescent="0.2">
      <c r="A37" t="s">
        <v>101</v>
      </c>
      <c r="B37" s="73">
        <v>20546</v>
      </c>
      <c r="X37">
        <v>2.7228935339999998</v>
      </c>
      <c r="AV37">
        <v>3.2155485320000001</v>
      </c>
    </row>
    <row r="38" spans="1:48" x14ac:dyDescent="0.2">
      <c r="A38" t="s">
        <v>102</v>
      </c>
      <c r="B38" s="73">
        <v>20637</v>
      </c>
      <c r="X38">
        <v>2.452136034</v>
      </c>
      <c r="AV38">
        <v>2.4021458670000002</v>
      </c>
    </row>
    <row r="39" spans="1:48" x14ac:dyDescent="0.2">
      <c r="A39" t="s">
        <v>103</v>
      </c>
      <c r="B39" s="73">
        <v>20729</v>
      </c>
      <c r="X39">
        <v>0.30544117100000001</v>
      </c>
      <c r="AV39">
        <v>0.94689641000000002</v>
      </c>
    </row>
    <row r="40" spans="1:48" x14ac:dyDescent="0.2">
      <c r="A40" t="s">
        <v>104</v>
      </c>
      <c r="B40" s="73">
        <v>20821</v>
      </c>
      <c r="X40">
        <v>1.305623668</v>
      </c>
      <c r="AV40">
        <v>1.9960335760000001</v>
      </c>
    </row>
    <row r="41" spans="1:48" x14ac:dyDescent="0.2">
      <c r="A41" t="s">
        <v>105</v>
      </c>
      <c r="B41" s="73">
        <v>20911</v>
      </c>
      <c r="X41">
        <v>2.1571354770000002</v>
      </c>
      <c r="AV41">
        <v>3.0493286199999998</v>
      </c>
    </row>
    <row r="42" spans="1:48" x14ac:dyDescent="0.2">
      <c r="A42" t="s">
        <v>106</v>
      </c>
      <c r="B42" s="73">
        <v>21002</v>
      </c>
      <c r="X42">
        <v>2.3480607999999998</v>
      </c>
      <c r="AV42">
        <v>1.9808742699999999</v>
      </c>
    </row>
    <row r="43" spans="1:48" x14ac:dyDescent="0.2">
      <c r="A43" t="s">
        <v>107</v>
      </c>
      <c r="B43" s="73">
        <v>21094</v>
      </c>
      <c r="X43">
        <v>1.8374293530000001</v>
      </c>
      <c r="AV43">
        <v>3.0729058839999999</v>
      </c>
    </row>
    <row r="44" spans="1:48" x14ac:dyDescent="0.2">
      <c r="A44" t="s">
        <v>108</v>
      </c>
      <c r="B44" s="73">
        <v>21186</v>
      </c>
      <c r="X44">
        <v>1.56655477</v>
      </c>
      <c r="AV44">
        <v>0.35513471499999999</v>
      </c>
    </row>
    <row r="45" spans="1:48" x14ac:dyDescent="0.2">
      <c r="A45" t="s">
        <v>109</v>
      </c>
      <c r="B45" s="73">
        <v>21276</v>
      </c>
      <c r="X45">
        <v>1.766138381</v>
      </c>
      <c r="AV45">
        <v>-2.8714282899999999</v>
      </c>
    </row>
    <row r="46" spans="1:48" x14ac:dyDescent="0.2">
      <c r="A46" t="s">
        <v>110</v>
      </c>
      <c r="B46" s="73">
        <v>21367</v>
      </c>
      <c r="X46">
        <v>-0.66204042299999999</v>
      </c>
      <c r="AV46">
        <v>-2.0184094849999998</v>
      </c>
    </row>
    <row r="47" spans="1:48" x14ac:dyDescent="0.2">
      <c r="A47" t="s">
        <v>111</v>
      </c>
      <c r="B47" s="73">
        <v>21459</v>
      </c>
      <c r="X47">
        <v>2.1768739429999999</v>
      </c>
      <c r="AV47">
        <v>-0.72479788599999995</v>
      </c>
    </row>
    <row r="48" spans="1:48" x14ac:dyDescent="0.2">
      <c r="A48" t="s">
        <v>112</v>
      </c>
      <c r="B48" s="73">
        <v>21551</v>
      </c>
      <c r="X48">
        <v>2.0971535280000002</v>
      </c>
      <c r="AV48">
        <v>2.6581373350000002</v>
      </c>
    </row>
    <row r="49" spans="1:49" x14ac:dyDescent="0.2">
      <c r="A49" t="s">
        <v>113</v>
      </c>
      <c r="B49" s="73">
        <v>21641</v>
      </c>
      <c r="X49">
        <v>0.551227456</v>
      </c>
      <c r="AV49">
        <v>7.4166492159999997</v>
      </c>
    </row>
    <row r="50" spans="1:49" x14ac:dyDescent="0.2">
      <c r="A50" t="s">
        <v>114</v>
      </c>
      <c r="B50" s="73">
        <v>21732</v>
      </c>
      <c r="X50">
        <v>4.7113735500000002</v>
      </c>
      <c r="AV50">
        <v>9.1218984800000005</v>
      </c>
    </row>
    <row r="51" spans="1:49" x14ac:dyDescent="0.2">
      <c r="A51" t="s">
        <v>115</v>
      </c>
      <c r="B51" s="73">
        <v>21824</v>
      </c>
      <c r="X51">
        <v>4.6333111169999999</v>
      </c>
      <c r="AV51">
        <v>6.7299987449999996</v>
      </c>
    </row>
    <row r="52" spans="1:49" x14ac:dyDescent="0.2">
      <c r="A52" t="s">
        <v>116</v>
      </c>
      <c r="B52" s="73">
        <v>21916</v>
      </c>
      <c r="X52">
        <v>7.203042849</v>
      </c>
      <c r="AV52">
        <v>4.5886632949999999</v>
      </c>
    </row>
    <row r="53" spans="1:49" x14ac:dyDescent="0.2">
      <c r="A53" t="s">
        <v>117</v>
      </c>
      <c r="B53" s="73">
        <v>22007</v>
      </c>
      <c r="X53">
        <v>9.1621046229999994</v>
      </c>
      <c r="AV53">
        <v>4.925418809</v>
      </c>
    </row>
    <row r="54" spans="1:49" x14ac:dyDescent="0.2">
      <c r="A54" t="s">
        <v>118</v>
      </c>
      <c r="B54" s="73">
        <v>22098</v>
      </c>
      <c r="X54">
        <v>6.5523869360000004</v>
      </c>
      <c r="AV54">
        <v>2.0582082119999998</v>
      </c>
    </row>
    <row r="55" spans="1:49" x14ac:dyDescent="0.2">
      <c r="A55" t="s">
        <v>119</v>
      </c>
      <c r="B55" s="73">
        <v>22190</v>
      </c>
      <c r="X55">
        <v>5.8866167330000003</v>
      </c>
      <c r="AV55">
        <v>2.4853887609999998</v>
      </c>
    </row>
    <row r="56" spans="1:49" x14ac:dyDescent="0.2">
      <c r="A56" t="s">
        <v>120</v>
      </c>
      <c r="B56" s="73">
        <v>22282</v>
      </c>
      <c r="X56">
        <v>3.8592508510000001</v>
      </c>
      <c r="AV56">
        <v>0.88268414299999998</v>
      </c>
    </row>
    <row r="57" spans="1:49" x14ac:dyDescent="0.2">
      <c r="A57" t="s">
        <v>121</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130</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131</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132</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133</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134</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135</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136</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137</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138</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139</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140</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141</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142</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143</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144</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145</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146</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147</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148</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149</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150</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151</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152</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153</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154</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155</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156</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157</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158</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159</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160</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161</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162</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163</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164</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165</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166</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167</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168</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169</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170</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171</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172</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173</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174</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175</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176</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177</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178</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179</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180</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181</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182</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183</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184</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185</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186</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187</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188</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189</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190</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191</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192</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193</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194</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195</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196</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197</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198</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199</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200</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201</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202</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203</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204</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205</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206</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207</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208</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209</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210</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211</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212</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213</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214</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215</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216</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217</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218</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219</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220</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221</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222</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223</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224</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225</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226</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227</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228</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229</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230</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231</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232</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233</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234</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235</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236</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237</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238</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239</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240</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241</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242</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243</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244</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245</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246</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247</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248</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249</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250</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251</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252</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253</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254</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255</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256</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257</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258</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259</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260</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261</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262</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263</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264</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265</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266</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267</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268</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269</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270</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271</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272</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273</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274</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275</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276</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277</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278</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279</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280</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281</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282</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283</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284</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285</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286</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287</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288</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289</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290</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291</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292</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293</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294</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295</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296</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297</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298</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299</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300</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301</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302</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303</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304</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305</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306</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307</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308</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309</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310</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311</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312</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313</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314</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315</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316</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317</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318</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319</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320</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321</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322</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323</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324</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325</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326</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327</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328</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329</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330</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331</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332</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333</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334</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335</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336</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337</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338</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339</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340</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341</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342</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343</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344</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345</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346</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347</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348</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349</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350</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351</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352</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353</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354</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355</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356</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357</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358</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359</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360</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361</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362</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363</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364</v>
      </c>
      <c r="B300" s="73">
        <v>44562</v>
      </c>
      <c r="E300">
        <v>5.3750358140000003</v>
      </c>
      <c r="F300">
        <v>5.6248780529999998</v>
      </c>
      <c r="H300">
        <v>3.3643720070000001</v>
      </c>
      <c r="K300">
        <v>4</v>
      </c>
      <c r="L300">
        <v>3.3851317939999999</v>
      </c>
      <c r="M300">
        <v>1.375282927</v>
      </c>
      <c r="O300">
        <v>4.6070402640000001</v>
      </c>
      <c r="P300">
        <v>5.233834699</v>
      </c>
      <c r="R300">
        <v>4.7503148140000002</v>
      </c>
      <c r="U300">
        <v>5.4201401960000002</v>
      </c>
      <c r="AE300">
        <v>6.3964973929999998</v>
      </c>
      <c r="AG300">
        <v>3.9939059370000001</v>
      </c>
      <c r="AI300">
        <v>3.4811134830000001</v>
      </c>
      <c r="AJ300">
        <v>2.7472122040000002</v>
      </c>
      <c r="AP300">
        <v>5.7706354820000003</v>
      </c>
      <c r="AT300">
        <v>5.8714568859999998</v>
      </c>
      <c r="AV300">
        <v>5.5317363620000002</v>
      </c>
    </row>
    <row r="301" spans="1:49" x14ac:dyDescent="0.2">
      <c r="A301" t="s">
        <v>365</v>
      </c>
      <c r="B301" s="73">
        <v>44652</v>
      </c>
    </row>
    <row r="302" spans="1:49" x14ac:dyDescent="0.2">
      <c r="A302" t="s">
        <v>366</v>
      </c>
      <c r="B302" s="73">
        <v>44743</v>
      </c>
    </row>
    <row r="303" spans="1:49" x14ac:dyDescent="0.2">
      <c r="A303" t="s">
        <v>367</v>
      </c>
      <c r="B303" s="73">
        <v>44835</v>
      </c>
    </row>
    <row r="304" spans="1:49" x14ac:dyDescent="0.2">
      <c r="A304" t="s">
        <v>368</v>
      </c>
      <c r="B304" s="73">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topLeftCell="A83" workbookViewId="0">
      <selection activeCell="L191" sqref="L191"/>
    </sheetView>
  </sheetViews>
  <sheetFormatPr baseColWidth="10" defaultRowHeight="15" x14ac:dyDescent="0.2"/>
  <sheetData>
    <row r="1" spans="1:12" ht="23" customHeight="1" thickBot="1" x14ac:dyDescent="0.25">
      <c r="A1" t="s">
        <v>371</v>
      </c>
      <c r="B1" t="s">
        <v>372</v>
      </c>
      <c r="C1" t="s">
        <v>373</v>
      </c>
      <c r="D1" t="s">
        <v>374</v>
      </c>
      <c r="E1" t="s">
        <v>375</v>
      </c>
      <c r="F1" t="s">
        <v>376</v>
      </c>
      <c r="G1" t="s">
        <v>377</v>
      </c>
      <c r="H1" t="s">
        <v>378</v>
      </c>
      <c r="I1" t="s">
        <v>379</v>
      </c>
      <c r="J1" t="s">
        <v>380</v>
      </c>
      <c r="K1" t="s">
        <v>381</v>
      </c>
      <c r="L1" t="s">
        <v>382</v>
      </c>
    </row>
    <row r="2" spans="1:12" x14ac:dyDescent="0.2">
      <c r="A2" t="s">
        <v>383</v>
      </c>
      <c r="B2">
        <v>20</v>
      </c>
      <c r="C2">
        <v>-1.9300000000000001E-2</v>
      </c>
      <c r="E2">
        <v>0.15</v>
      </c>
      <c r="F2">
        <v>1.5599999999999999E-2</v>
      </c>
      <c r="G2">
        <v>0.112</v>
      </c>
      <c r="H2">
        <v>-3.4000000000000002E-2</v>
      </c>
      <c r="I2">
        <v>7.8E-2</v>
      </c>
      <c r="J2">
        <v>-21.2</v>
      </c>
      <c r="K2">
        <v>78.400000000000006</v>
      </c>
      <c r="L2">
        <v>33.200000000000003</v>
      </c>
    </row>
    <row r="3" spans="1:12" x14ac:dyDescent="0.2">
      <c r="A3" t="s">
        <v>384</v>
      </c>
      <c r="B3">
        <v>15</v>
      </c>
      <c r="C3">
        <v>0.17899999999999999</v>
      </c>
      <c r="D3">
        <v>2.1100000000000001E-2</v>
      </c>
      <c r="E3">
        <v>5.0000000000000001E-3</v>
      </c>
      <c r="F3">
        <v>3.1E-2</v>
      </c>
      <c r="G3">
        <v>0.11600000000000001</v>
      </c>
      <c r="H3">
        <v>-6.9000000000000006E-2</v>
      </c>
      <c r="I3">
        <v>0.77900000000000003</v>
      </c>
      <c r="J3">
        <v>-8.9</v>
      </c>
      <c r="K3">
        <v>107.3</v>
      </c>
      <c r="L3">
        <v>2.85</v>
      </c>
    </row>
    <row r="4" spans="1:12" x14ac:dyDescent="0.2">
      <c r="A4" t="s">
        <v>385</v>
      </c>
      <c r="B4">
        <v>145</v>
      </c>
      <c r="C4">
        <v>6.4000000000000001E-2</v>
      </c>
      <c r="D4">
        <v>8.0000000000000002E-3</v>
      </c>
      <c r="E4">
        <v>0.03</v>
      </c>
      <c r="F4">
        <v>4.1200000000000001E-2</v>
      </c>
      <c r="G4">
        <v>0.114</v>
      </c>
      <c r="H4">
        <v>-0.115</v>
      </c>
      <c r="I4">
        <v>0.57200000000000006</v>
      </c>
      <c r="J4">
        <v>-10.8</v>
      </c>
      <c r="K4">
        <v>134.37</v>
      </c>
      <c r="L4">
        <v>44.23</v>
      </c>
    </row>
    <row r="5" spans="1:12" x14ac:dyDescent="0.2">
      <c r="A5" t="s">
        <v>386</v>
      </c>
      <c r="B5">
        <v>62</v>
      </c>
      <c r="C5">
        <v>1.2E-2</v>
      </c>
      <c r="D5">
        <v>-2.4E-2</v>
      </c>
      <c r="E5">
        <v>0.2</v>
      </c>
      <c r="F5">
        <v>0.26979999999999998</v>
      </c>
      <c r="G5">
        <v>0.34100000000000003</v>
      </c>
      <c r="H5">
        <v>-2.5000000000000001E-2</v>
      </c>
      <c r="I5">
        <v>1.2</v>
      </c>
      <c r="J5">
        <v>1.5</v>
      </c>
      <c r="K5">
        <v>456.04</v>
      </c>
      <c r="L5">
        <v>33</v>
      </c>
    </row>
    <row r="6" spans="1:12" x14ac:dyDescent="0.2">
      <c r="A6" t="s">
        <v>387</v>
      </c>
      <c r="B6">
        <v>383</v>
      </c>
      <c r="C6">
        <v>0.11899999999999999</v>
      </c>
      <c r="D6">
        <v>4.0800000000000003E-2</v>
      </c>
      <c r="E6">
        <v>0.38</v>
      </c>
      <c r="F6">
        <v>0.51200000000000001</v>
      </c>
      <c r="G6">
        <v>8.199999999999999E-2</v>
      </c>
      <c r="H6">
        <v>-8.5000000000000006E-2</v>
      </c>
      <c r="I6">
        <v>1.02</v>
      </c>
      <c r="J6">
        <v>1</v>
      </c>
      <c r="K6">
        <v>96.12</v>
      </c>
      <c r="L6">
        <v>45.38</v>
      </c>
    </row>
    <row r="7" spans="1:12" x14ac:dyDescent="0.2">
      <c r="A7" t="s">
        <v>388</v>
      </c>
      <c r="B7">
        <v>13</v>
      </c>
      <c r="C7">
        <v>2.7E-2</v>
      </c>
      <c r="E7">
        <v>7.7499999999999999E-2</v>
      </c>
      <c r="F7">
        <v>9.6000000000000002E-2</v>
      </c>
      <c r="G7">
        <v>0.15</v>
      </c>
      <c r="H7">
        <v>-5.4000000000000013E-2</v>
      </c>
      <c r="I7">
        <v>0.62790000000000001</v>
      </c>
      <c r="J7">
        <v>-4</v>
      </c>
      <c r="K7">
        <v>495.16</v>
      </c>
      <c r="L7">
        <v>2.96</v>
      </c>
    </row>
    <row r="8" spans="1:12" x14ac:dyDescent="0.2">
      <c r="A8" t="s">
        <v>389</v>
      </c>
      <c r="B8">
        <v>1331</v>
      </c>
      <c r="C8">
        <v>3.9E-2</v>
      </c>
      <c r="D8">
        <v>-1.9E-2</v>
      </c>
      <c r="E8">
        <v>1E-3</v>
      </c>
      <c r="F8">
        <v>0.03</v>
      </c>
      <c r="G8">
        <v>4.5999999999999999E-2</v>
      </c>
      <c r="H8">
        <v>-4.2999999999999997E-2</v>
      </c>
      <c r="I8">
        <v>0.248</v>
      </c>
      <c r="J8">
        <v>2.5</v>
      </c>
      <c r="K8">
        <v>0.68</v>
      </c>
      <c r="L8">
        <v>25.68</v>
      </c>
    </row>
    <row r="9" spans="1:12" x14ac:dyDescent="0.2">
      <c r="A9" t="s">
        <v>390</v>
      </c>
      <c r="B9">
        <v>431</v>
      </c>
      <c r="C9">
        <v>5.7000000000000002E-2</v>
      </c>
      <c r="D9">
        <v>3.7999999999999999E-2</v>
      </c>
      <c r="E9">
        <v>0</v>
      </c>
      <c r="F9">
        <v>4.2999999999999997E-2</v>
      </c>
      <c r="G9">
        <v>7.0000000000000007E-2</v>
      </c>
      <c r="H9">
        <v>-8.900000000000001E-2</v>
      </c>
      <c r="I9">
        <v>0.83900000000000008</v>
      </c>
      <c r="J9">
        <v>2.5</v>
      </c>
      <c r="K9">
        <v>1.1100000000000001</v>
      </c>
      <c r="L9">
        <v>8.9</v>
      </c>
    </row>
    <row r="10" spans="1:12" x14ac:dyDescent="0.2">
      <c r="A10" t="s">
        <v>391</v>
      </c>
      <c r="B10">
        <v>43</v>
      </c>
      <c r="C10">
        <v>4.8000000000000001E-2</v>
      </c>
      <c r="E10">
        <v>7.2499999999999995E-2</v>
      </c>
      <c r="F10">
        <v>6.2E-2</v>
      </c>
      <c r="G10">
        <v>6.2699999999999992E-2</v>
      </c>
      <c r="H10">
        <v>-2.4E-2</v>
      </c>
      <c r="I10">
        <v>0.20100000000000001</v>
      </c>
      <c r="J10">
        <v>-0.5</v>
      </c>
      <c r="K10">
        <v>1.7</v>
      </c>
      <c r="L10">
        <v>10.07</v>
      </c>
    </row>
    <row r="11" spans="1:12" x14ac:dyDescent="0.2">
      <c r="A11" t="s">
        <v>392</v>
      </c>
      <c r="B11">
        <v>11</v>
      </c>
      <c r="C11">
        <v>-0.14799999999999999</v>
      </c>
      <c r="E11">
        <v>0.04</v>
      </c>
      <c r="F11">
        <v>2.7E-2</v>
      </c>
      <c r="G11">
        <v>0.25600000000000001</v>
      </c>
      <c r="H11">
        <v>-6.4000000000000001E-2</v>
      </c>
      <c r="I11">
        <v>0.83799999999999997</v>
      </c>
      <c r="J11">
        <v>-17.600000000000001</v>
      </c>
      <c r="K11">
        <v>1</v>
      </c>
      <c r="L11">
        <v>0.39</v>
      </c>
    </row>
    <row r="12" spans="1:12" x14ac:dyDescent="0.2">
      <c r="A12" t="s">
        <v>393</v>
      </c>
      <c r="B12">
        <v>38</v>
      </c>
      <c r="C12">
        <v>5.7200000000000001E-2</v>
      </c>
      <c r="D12">
        <v>3.5099999999999999E-2</v>
      </c>
      <c r="E12">
        <v>0.01</v>
      </c>
      <c r="F12">
        <v>6.9999999999999993E-3</v>
      </c>
      <c r="G12">
        <v>4.9000000000000002E-2</v>
      </c>
      <c r="H12">
        <v>-0.13100000000000001</v>
      </c>
      <c r="I12">
        <v>1.2829999999999999</v>
      </c>
      <c r="J12">
        <v>-2.1</v>
      </c>
      <c r="K12">
        <v>0.38</v>
      </c>
      <c r="L12">
        <v>1.7</v>
      </c>
    </row>
    <row r="13" spans="1:12" x14ac:dyDescent="0.2">
      <c r="A13" t="s">
        <v>394</v>
      </c>
      <c r="B13">
        <v>324</v>
      </c>
      <c r="C13">
        <v>5.4699999999999999E-2</v>
      </c>
      <c r="D13">
        <v>5.4699999999999999E-2</v>
      </c>
      <c r="E13">
        <v>4.7500000000000001E-2</v>
      </c>
      <c r="F13">
        <v>5.7000000000000002E-2</v>
      </c>
      <c r="G13">
        <v>5.2999999999999999E-2</v>
      </c>
      <c r="H13">
        <v>-5.3499999999999999E-2</v>
      </c>
      <c r="I13">
        <v>0.317</v>
      </c>
      <c r="J13">
        <v>-1.5</v>
      </c>
      <c r="K13">
        <v>84.8</v>
      </c>
      <c r="L13">
        <v>165</v>
      </c>
    </row>
    <row r="14" spans="1:12" x14ac:dyDescent="0.2">
      <c r="A14" t="s">
        <v>395</v>
      </c>
      <c r="B14">
        <v>60</v>
      </c>
      <c r="C14">
        <v>5.8099999999999999E-2</v>
      </c>
      <c r="E14">
        <v>9.2499999999999999E-2</v>
      </c>
      <c r="F14">
        <v>0.10299999999999999</v>
      </c>
      <c r="G14">
        <v>2E-3</v>
      </c>
      <c r="H14">
        <v>-2.5999999999999999E-2</v>
      </c>
      <c r="I14">
        <v>0.373</v>
      </c>
      <c r="J14">
        <v>-0.4</v>
      </c>
      <c r="K14">
        <v>2.57</v>
      </c>
      <c r="L14">
        <v>9.35</v>
      </c>
    </row>
    <row r="15" spans="1:12" x14ac:dyDescent="0.2">
      <c r="A15" t="s">
        <v>396</v>
      </c>
      <c r="B15">
        <v>515</v>
      </c>
      <c r="C15">
        <v>4.9000000000000002E-2</v>
      </c>
      <c r="D15">
        <v>0.02</v>
      </c>
      <c r="E15">
        <v>0</v>
      </c>
      <c r="F15">
        <v>5.6399999999999999E-2</v>
      </c>
      <c r="G15">
        <v>6.3E-2</v>
      </c>
      <c r="H15">
        <v>-9.4E-2</v>
      </c>
      <c r="I15">
        <v>1.141</v>
      </c>
      <c r="J15">
        <v>-0.2</v>
      </c>
      <c r="K15">
        <v>1.1100000000000001</v>
      </c>
      <c r="L15">
        <v>11.52</v>
      </c>
    </row>
    <row r="16" spans="1:12" x14ac:dyDescent="0.2">
      <c r="A16" t="s">
        <v>397</v>
      </c>
      <c r="B16">
        <v>16</v>
      </c>
      <c r="C16">
        <v>8.199999999999999E-2</v>
      </c>
      <c r="E16">
        <v>0.04</v>
      </c>
      <c r="F16">
        <v>2.5000000000000001E-2</v>
      </c>
      <c r="G16">
        <v>2.5000000000000001E-2</v>
      </c>
      <c r="H16">
        <v>-3.7000000000000012E-2</v>
      </c>
      <c r="I16">
        <v>0.46100000000000002</v>
      </c>
      <c r="J16">
        <v>-5.5</v>
      </c>
      <c r="K16">
        <v>588.96</v>
      </c>
      <c r="L16">
        <v>12.11</v>
      </c>
    </row>
    <row r="17" spans="1:12" x14ac:dyDescent="0.2">
      <c r="A17" t="s">
        <v>398</v>
      </c>
      <c r="B17">
        <v>2</v>
      </c>
      <c r="C17">
        <v>-0.1008</v>
      </c>
      <c r="E17">
        <v>7.1399999999999991E-2</v>
      </c>
      <c r="F17">
        <v>4.9699999999999987E-2</v>
      </c>
      <c r="G17">
        <v>0.05</v>
      </c>
      <c r="H17">
        <v>-6.2E-2</v>
      </c>
      <c r="I17">
        <v>1.2074</v>
      </c>
      <c r="J17">
        <v>-11.4</v>
      </c>
      <c r="K17">
        <v>71.010000000000005</v>
      </c>
      <c r="L17">
        <v>0.77</v>
      </c>
    </row>
    <row r="18" spans="1:12" x14ac:dyDescent="0.2">
      <c r="A18" t="s">
        <v>399</v>
      </c>
      <c r="B18">
        <v>37</v>
      </c>
      <c r="C18">
        <v>0.21909999999999999</v>
      </c>
      <c r="D18">
        <v>-6.2E-2</v>
      </c>
      <c r="E18">
        <v>3.85E-2</v>
      </c>
      <c r="F18">
        <v>9.5999999999999992E-3</v>
      </c>
      <c r="G18">
        <v>5.5999999999999987E-2</v>
      </c>
      <c r="H18">
        <v>-9.6999999999999989E-2</v>
      </c>
      <c r="I18">
        <v>0.67299999999999993</v>
      </c>
      <c r="J18">
        <v>-0.5</v>
      </c>
      <c r="K18">
        <v>6.83</v>
      </c>
      <c r="L18">
        <v>11.68</v>
      </c>
    </row>
    <row r="19" spans="1:12" x14ac:dyDescent="0.2">
      <c r="A19" t="s">
        <v>400</v>
      </c>
      <c r="B19">
        <v>20</v>
      </c>
      <c r="C19">
        <v>0.11600000000000001</v>
      </c>
      <c r="D19">
        <v>1.9E-2</v>
      </c>
      <c r="E19">
        <v>3.44E-2</v>
      </c>
      <c r="F19">
        <v>4.2999999999999997E-2</v>
      </c>
      <c r="G19">
        <v>0.31730000000000003</v>
      </c>
      <c r="H19">
        <v>-5.2999999999999999E-2</v>
      </c>
      <c r="I19">
        <v>0.246</v>
      </c>
      <c r="J19">
        <v>-3.1</v>
      </c>
      <c r="K19">
        <v>1.77</v>
      </c>
      <c r="L19">
        <v>3.28</v>
      </c>
    </row>
    <row r="20" spans="1:12" x14ac:dyDescent="0.2">
      <c r="A20" t="s">
        <v>401</v>
      </c>
      <c r="B20">
        <v>16</v>
      </c>
      <c r="C20">
        <v>8.4000000000000005E-2</v>
      </c>
      <c r="D20">
        <v>3.4000000000000002E-2</v>
      </c>
      <c r="E20">
        <v>3.7499999999999999E-2</v>
      </c>
      <c r="F20">
        <v>8.5999999999999993E-2</v>
      </c>
      <c r="G20">
        <v>0.23300000000000001</v>
      </c>
      <c r="H20">
        <v>-5.5999999999999987E-2</v>
      </c>
      <c r="I20">
        <v>0.182</v>
      </c>
      <c r="J20">
        <v>-11.2</v>
      </c>
      <c r="K20">
        <v>11.03</v>
      </c>
      <c r="L20">
        <v>2.37</v>
      </c>
    </row>
    <row r="21" spans="1:12" x14ac:dyDescent="0.2">
      <c r="A21" t="s">
        <v>402</v>
      </c>
      <c r="B21">
        <v>1445</v>
      </c>
      <c r="C21">
        <v>0.04</v>
      </c>
      <c r="D21">
        <v>-1E-3</v>
      </c>
      <c r="E21">
        <v>9.2499999999999999E-2</v>
      </c>
      <c r="F21">
        <v>0.1074</v>
      </c>
      <c r="G21">
        <v>0.126</v>
      </c>
      <c r="H21">
        <v>-0.13400000000000001</v>
      </c>
      <c r="I21">
        <v>0.88829999999999998</v>
      </c>
      <c r="J21">
        <v>-0.72</v>
      </c>
      <c r="K21">
        <v>5.69</v>
      </c>
      <c r="L21">
        <v>211.82</v>
      </c>
    </row>
    <row r="22" spans="1:12" x14ac:dyDescent="0.2">
      <c r="A22" t="s">
        <v>403</v>
      </c>
      <c r="B22">
        <v>12</v>
      </c>
      <c r="C22">
        <v>-2.1000000000000001E-2</v>
      </c>
      <c r="E22">
        <v>5.5E-2</v>
      </c>
      <c r="F22">
        <v>2.1999999999999999E-2</v>
      </c>
      <c r="G22">
        <v>8.4000000000000005E-2</v>
      </c>
      <c r="H22">
        <v>-2.7E-2</v>
      </c>
      <c r="I22">
        <v>3.2000000000000001E-2</v>
      </c>
      <c r="J22">
        <v>1</v>
      </c>
      <c r="K22">
        <v>1.35</v>
      </c>
      <c r="L22">
        <v>0.45</v>
      </c>
    </row>
    <row r="23" spans="1:12" x14ac:dyDescent="0.2">
      <c r="A23" t="s">
        <v>404</v>
      </c>
      <c r="B23">
        <v>69</v>
      </c>
      <c r="C23">
        <v>4.6199999999999998E-2</v>
      </c>
      <c r="D23">
        <v>6.0000000000000001E-3</v>
      </c>
      <c r="E23">
        <v>0</v>
      </c>
      <c r="F23">
        <v>7.2999999999999995E-2</v>
      </c>
      <c r="G23">
        <v>4.7E-2</v>
      </c>
      <c r="H23">
        <v>-3.4000000000000002E-2</v>
      </c>
      <c r="I23">
        <v>0.24199999999999999</v>
      </c>
      <c r="J23">
        <v>-0.7</v>
      </c>
      <c r="K23">
        <v>1.66</v>
      </c>
      <c r="L23">
        <v>6.95</v>
      </c>
    </row>
    <row r="24" spans="1:12" x14ac:dyDescent="0.2">
      <c r="A24" t="s">
        <v>405</v>
      </c>
      <c r="B24">
        <v>17</v>
      </c>
      <c r="C24">
        <v>0.22500000000000001</v>
      </c>
      <c r="E24">
        <v>0.04</v>
      </c>
      <c r="F24">
        <v>3.9E-2</v>
      </c>
      <c r="G24">
        <v>0.05</v>
      </c>
      <c r="H24">
        <v>-5.4000000000000013E-2</v>
      </c>
      <c r="I24">
        <v>0.25</v>
      </c>
      <c r="J24">
        <v>1.2</v>
      </c>
      <c r="K24">
        <v>588.96</v>
      </c>
      <c r="L24">
        <v>21.51</v>
      </c>
    </row>
    <row r="25" spans="1:12" x14ac:dyDescent="0.2">
      <c r="A25" t="s">
        <v>406</v>
      </c>
      <c r="B25">
        <v>3</v>
      </c>
      <c r="C25">
        <v>-3.0000000000000001E-3</v>
      </c>
      <c r="E25">
        <v>7.0599999999999996E-2</v>
      </c>
      <c r="F25">
        <v>9.8699999999999996E-2</v>
      </c>
      <c r="G25">
        <v>8.0000000000000002E-3</v>
      </c>
      <c r="H25">
        <v>-8.8000000000000009E-2</v>
      </c>
      <c r="I25">
        <v>0.159</v>
      </c>
      <c r="J25">
        <v>-19.100000000000001</v>
      </c>
      <c r="K25">
        <v>1877.75</v>
      </c>
      <c r="L25">
        <v>11.89</v>
      </c>
    </row>
    <row r="26" spans="1:12" x14ac:dyDescent="0.2">
      <c r="A26" t="s">
        <v>407</v>
      </c>
      <c r="B26">
        <v>25</v>
      </c>
      <c r="C26">
        <v>-3.1E-2</v>
      </c>
      <c r="E26">
        <v>8.8999999999999999E-3</v>
      </c>
      <c r="F26">
        <v>2.9600000000000001E-2</v>
      </c>
      <c r="G26">
        <v>3.0999999999999999E-3</v>
      </c>
      <c r="H26">
        <v>-2.5999999999999999E-2</v>
      </c>
      <c r="I26">
        <v>0.315</v>
      </c>
      <c r="J26">
        <v>-11.9</v>
      </c>
      <c r="K26">
        <v>4061</v>
      </c>
      <c r="L26">
        <v>16.71</v>
      </c>
    </row>
    <row r="27" spans="1:12" x14ac:dyDescent="0.2">
      <c r="A27" t="s">
        <v>408</v>
      </c>
      <c r="B27">
        <v>40</v>
      </c>
      <c r="C27">
        <v>8.0000000000000002E-3</v>
      </c>
      <c r="D27">
        <v>2.7E-2</v>
      </c>
      <c r="E27">
        <v>3.2500000000000001E-2</v>
      </c>
      <c r="F27">
        <v>2.3900000000000001E-2</v>
      </c>
      <c r="G27">
        <v>3.5999999999999997E-2</v>
      </c>
      <c r="H27">
        <v>-4.9000000000000002E-2</v>
      </c>
      <c r="I27">
        <v>0.43200000000000011</v>
      </c>
      <c r="J27">
        <v>-5.2</v>
      </c>
      <c r="K27">
        <v>551.32000000000005</v>
      </c>
      <c r="L27">
        <v>26.54</v>
      </c>
    </row>
    <row r="28" spans="1:12" x14ac:dyDescent="0.2">
      <c r="A28" t="s">
        <v>409</v>
      </c>
      <c r="B28">
        <v>1644</v>
      </c>
      <c r="C28">
        <v>0.04</v>
      </c>
      <c r="D28">
        <v>1.2999999999999999E-2</v>
      </c>
      <c r="E28">
        <v>2.5000000000000001E-3</v>
      </c>
      <c r="F28">
        <v>4.7E-2</v>
      </c>
      <c r="G28">
        <v>0.06</v>
      </c>
      <c r="H28">
        <v>-0.14899999999999999</v>
      </c>
      <c r="I28">
        <v>1.1779999999999999</v>
      </c>
      <c r="J28">
        <v>-1.9</v>
      </c>
      <c r="K28">
        <v>1.33</v>
      </c>
      <c r="L28">
        <v>38.01</v>
      </c>
    </row>
    <row r="29" spans="1:12" x14ac:dyDescent="0.2">
      <c r="A29" t="s">
        <v>410</v>
      </c>
      <c r="B29">
        <v>2</v>
      </c>
      <c r="C29">
        <v>0.308</v>
      </c>
      <c r="D29">
        <v>-3.3000000000000002E-2</v>
      </c>
      <c r="E29">
        <v>2.5000000000000001E-3</v>
      </c>
      <c r="F29">
        <v>4.8000000000000001E-2</v>
      </c>
      <c r="G29">
        <v>0.14499999999999999</v>
      </c>
      <c r="H29">
        <v>-8.900000000000001E-2</v>
      </c>
      <c r="I29">
        <v>1.5580000000000001</v>
      </c>
      <c r="J29">
        <v>-15.6</v>
      </c>
      <c r="K29">
        <v>99.94</v>
      </c>
      <c r="L29">
        <v>0.56000000000000005</v>
      </c>
    </row>
    <row r="30" spans="1:12" x14ac:dyDescent="0.2">
      <c r="A30" t="s">
        <v>411</v>
      </c>
      <c r="B30">
        <v>6</v>
      </c>
      <c r="C30">
        <v>-6.7000000000000004E-2</v>
      </c>
      <c r="F30">
        <v>-0.01</v>
      </c>
      <c r="G30">
        <v>5.1999999999999998E-2</v>
      </c>
      <c r="H30">
        <v>-2.1999999999999999E-2</v>
      </c>
      <c r="I30">
        <v>5.2999999999999999E-2</v>
      </c>
      <c r="J30">
        <v>-21.2</v>
      </c>
      <c r="K30">
        <v>0.82</v>
      </c>
      <c r="L30">
        <v>7.0000000000000007E-2</v>
      </c>
    </row>
    <row r="31" spans="1:12" x14ac:dyDescent="0.2">
      <c r="A31" t="s">
        <v>412</v>
      </c>
      <c r="B31">
        <v>2</v>
      </c>
      <c r="C31">
        <v>0</v>
      </c>
      <c r="E31">
        <v>3.2500000000000001E-2</v>
      </c>
      <c r="F31">
        <v>4.7800000000000002E-2</v>
      </c>
      <c r="G31">
        <v>4.2999999999999997E-2</v>
      </c>
      <c r="H31">
        <v>-0.03</v>
      </c>
      <c r="I31">
        <v>0.44900000000000001</v>
      </c>
      <c r="J31">
        <v>-5.7</v>
      </c>
      <c r="K31">
        <v>551.32000000000005</v>
      </c>
      <c r="L31">
        <v>4.83</v>
      </c>
    </row>
    <row r="32" spans="1:12" x14ac:dyDescent="0.2">
      <c r="A32" t="s">
        <v>413</v>
      </c>
      <c r="B32">
        <v>10</v>
      </c>
      <c r="C32">
        <v>-9.0000000000000011E-3</v>
      </c>
      <c r="E32">
        <v>3.2500000000000001E-2</v>
      </c>
      <c r="F32">
        <v>-9.0000000000000011E-3</v>
      </c>
      <c r="G32">
        <v>2.3E-2</v>
      </c>
      <c r="H32">
        <v>-8.0000000000000002E-3</v>
      </c>
      <c r="I32">
        <v>0.43</v>
      </c>
      <c r="J32">
        <v>-13.3</v>
      </c>
      <c r="K32">
        <v>551.32000000000005</v>
      </c>
      <c r="L32">
        <v>16.420000000000002</v>
      </c>
    </row>
    <row r="33" spans="1:12" x14ac:dyDescent="0.2">
      <c r="A33" t="s">
        <v>414</v>
      </c>
      <c r="B33">
        <v>253</v>
      </c>
      <c r="C33">
        <v>0.17199999999999999</v>
      </c>
      <c r="D33">
        <v>4.9000000000000002E-2</v>
      </c>
      <c r="E33">
        <v>0.04</v>
      </c>
      <c r="F33">
        <v>6.7000000000000004E-2</v>
      </c>
      <c r="G33">
        <v>8.1000000000000003E-2</v>
      </c>
      <c r="H33">
        <v>-7.0999999999999994E-2</v>
      </c>
      <c r="I33">
        <v>0.33</v>
      </c>
      <c r="J33">
        <v>1.4</v>
      </c>
      <c r="K33">
        <v>749.27</v>
      </c>
      <c r="L33">
        <v>19.46</v>
      </c>
    </row>
    <row r="34" spans="1:12" x14ac:dyDescent="0.2">
      <c r="A34" t="s">
        <v>415</v>
      </c>
      <c r="B34">
        <v>14723</v>
      </c>
      <c r="C34">
        <v>4.9000000000000002E-2</v>
      </c>
      <c r="D34">
        <v>2E-3</v>
      </c>
      <c r="E34">
        <v>3.7999999999999999E-2</v>
      </c>
      <c r="F34">
        <v>2.3E-2</v>
      </c>
      <c r="G34">
        <v>0.05</v>
      </c>
      <c r="H34">
        <v>-3.7000000000000012E-2</v>
      </c>
      <c r="I34">
        <v>0.66799999999999993</v>
      </c>
      <c r="J34">
        <v>1.9</v>
      </c>
      <c r="K34">
        <v>6.37</v>
      </c>
      <c r="L34">
        <v>1443.5</v>
      </c>
    </row>
    <row r="35" spans="1:12" x14ac:dyDescent="0.2">
      <c r="A35" t="s">
        <v>416</v>
      </c>
      <c r="B35">
        <v>271</v>
      </c>
      <c r="C35">
        <v>0.13200000000000001</v>
      </c>
      <c r="D35">
        <v>5.7000000000000002E-2</v>
      </c>
      <c r="E35">
        <v>0.03</v>
      </c>
      <c r="F35">
        <v>5.2600000000000001E-2</v>
      </c>
      <c r="G35">
        <v>0.11799999999999999</v>
      </c>
      <c r="H35">
        <v>-7.8E-2</v>
      </c>
      <c r="I35">
        <v>0.628</v>
      </c>
      <c r="J35">
        <v>-3.4</v>
      </c>
      <c r="K35">
        <v>3354</v>
      </c>
      <c r="L35">
        <v>50.88</v>
      </c>
    </row>
    <row r="36" spans="1:12" x14ac:dyDescent="0.2">
      <c r="A36" t="s">
        <v>417</v>
      </c>
      <c r="B36">
        <v>1</v>
      </c>
      <c r="C36">
        <v>2E-3</v>
      </c>
      <c r="E36">
        <v>9.3999999999999986E-3</v>
      </c>
      <c r="F36">
        <v>-2.46E-2</v>
      </c>
      <c r="G36">
        <v>8.4000000000000005E-2</v>
      </c>
      <c r="H36">
        <v>-4.2000000000000003E-2</v>
      </c>
      <c r="I36">
        <v>0.26800000000000002</v>
      </c>
      <c r="J36">
        <v>-3.3</v>
      </c>
      <c r="K36">
        <v>417.02</v>
      </c>
      <c r="L36">
        <v>0.87</v>
      </c>
    </row>
    <row r="37" spans="1:12" x14ac:dyDescent="0.2">
      <c r="A37" t="s">
        <v>418</v>
      </c>
      <c r="B37">
        <v>50</v>
      </c>
      <c r="C37">
        <v>-2.4E-2</v>
      </c>
      <c r="E37">
        <v>8.5000000000000006E-2</v>
      </c>
      <c r="F37">
        <v>4.9200000000000001E-2</v>
      </c>
      <c r="G37">
        <v>0.46100000000000002</v>
      </c>
      <c r="H37">
        <v>-1.2E-2</v>
      </c>
      <c r="I37">
        <v>0.152</v>
      </c>
      <c r="J37">
        <v>-5.4</v>
      </c>
      <c r="K37">
        <v>1666.65</v>
      </c>
      <c r="L37">
        <v>89.39</v>
      </c>
    </row>
    <row r="38" spans="1:12" x14ac:dyDescent="0.2">
      <c r="A38" t="s">
        <v>419</v>
      </c>
      <c r="B38">
        <v>62</v>
      </c>
      <c r="C38">
        <v>7.9000000000000001E-2</v>
      </c>
      <c r="D38">
        <v>5.0000000000000001E-3</v>
      </c>
      <c r="E38">
        <v>7.4999999999999997E-3</v>
      </c>
      <c r="F38">
        <v>3.3500000000000002E-2</v>
      </c>
      <c r="G38">
        <v>0.153</v>
      </c>
      <c r="H38">
        <v>-7.400000000000001E-2</v>
      </c>
      <c r="I38">
        <v>0.79260000000000008</v>
      </c>
      <c r="J38">
        <v>-2.4</v>
      </c>
      <c r="K38">
        <v>566.57000000000005</v>
      </c>
      <c r="L38">
        <v>5.16</v>
      </c>
    </row>
    <row r="39" spans="1:12" x14ac:dyDescent="0.2">
      <c r="A39" t="s">
        <v>420</v>
      </c>
      <c r="B39">
        <v>56</v>
      </c>
      <c r="C39">
        <v>0.158</v>
      </c>
      <c r="D39">
        <v>-2E-3</v>
      </c>
      <c r="E39">
        <v>2.5000000000000001E-2</v>
      </c>
      <c r="F39">
        <v>4.8000000000000001E-2</v>
      </c>
      <c r="G39">
        <v>7.400000000000001E-2</v>
      </c>
      <c r="H39">
        <v>-7.400000000000001E-2</v>
      </c>
      <c r="I39">
        <v>0.88700000000000001</v>
      </c>
      <c r="J39">
        <v>-0.3</v>
      </c>
      <c r="K39">
        <v>6.68</v>
      </c>
      <c r="L39">
        <v>4.0599999999999996</v>
      </c>
    </row>
    <row r="40" spans="1:12" x14ac:dyDescent="0.2">
      <c r="A40" t="s">
        <v>421</v>
      </c>
      <c r="B40">
        <v>103</v>
      </c>
      <c r="C40">
        <v>-0.11</v>
      </c>
      <c r="E40">
        <v>2.2499999999999999E-2</v>
      </c>
      <c r="F40">
        <v>4.2000000000000003E-2</v>
      </c>
      <c r="G40">
        <v>3.8699999999999998E-2</v>
      </c>
      <c r="H40">
        <v>-0.17699999999999999</v>
      </c>
      <c r="I40">
        <v>0.184</v>
      </c>
      <c r="J40">
        <v>0.2</v>
      </c>
      <c r="K40">
        <v>1</v>
      </c>
      <c r="L40">
        <v>11.28</v>
      </c>
    </row>
    <row r="41" spans="1:12" x14ac:dyDescent="0.2">
      <c r="A41" t="s">
        <v>422</v>
      </c>
      <c r="B41">
        <v>24</v>
      </c>
      <c r="C41">
        <v>5.5999999999999987E-2</v>
      </c>
      <c r="D41">
        <v>1.4999999999999999E-2</v>
      </c>
      <c r="E41">
        <v>0</v>
      </c>
      <c r="F41">
        <v>4.3400000000000001E-2</v>
      </c>
      <c r="G41">
        <v>6.6000000000000003E-2</v>
      </c>
      <c r="H41">
        <v>-5.7000000000000002E-2</v>
      </c>
      <c r="I41">
        <v>1.1819999999999999</v>
      </c>
      <c r="J41">
        <v>-11.9</v>
      </c>
      <c r="K41">
        <v>1.1100000000000001</v>
      </c>
      <c r="L41">
        <v>0.89</v>
      </c>
    </row>
    <row r="42" spans="1:12" x14ac:dyDescent="0.2">
      <c r="A42" t="s">
        <v>423</v>
      </c>
      <c r="B42">
        <v>245</v>
      </c>
      <c r="C42">
        <v>3.1E-2</v>
      </c>
      <c r="D42">
        <v>1.4999999999999999E-2</v>
      </c>
      <c r="E42">
        <v>3.7499999999999999E-2</v>
      </c>
      <c r="F42">
        <v>0.06</v>
      </c>
      <c r="G42">
        <v>3.3000000000000002E-2</v>
      </c>
      <c r="H42">
        <v>-6.2E-2</v>
      </c>
      <c r="I42">
        <v>0.38100000000000001</v>
      </c>
      <c r="J42">
        <v>3.6</v>
      </c>
      <c r="K42">
        <v>21.77</v>
      </c>
      <c r="L42">
        <v>10.7</v>
      </c>
    </row>
    <row r="43" spans="1:12" x14ac:dyDescent="0.2">
      <c r="A43" t="s">
        <v>424</v>
      </c>
      <c r="B43">
        <v>356</v>
      </c>
      <c r="C43">
        <v>3.5999999999999997E-2</v>
      </c>
      <c r="D43">
        <v>9.0000000000000011E-3</v>
      </c>
      <c r="E43">
        <v>-6.0000000000000001E-3</v>
      </c>
      <c r="F43">
        <v>3.4000000000000002E-2</v>
      </c>
      <c r="G43">
        <v>3.1E-2</v>
      </c>
      <c r="H43">
        <v>-2E-3</v>
      </c>
      <c r="I43">
        <v>0.42199999999999999</v>
      </c>
      <c r="J43">
        <v>7.8</v>
      </c>
      <c r="K43">
        <v>6.31</v>
      </c>
      <c r="L43">
        <v>5.82</v>
      </c>
    </row>
    <row r="44" spans="1:12" x14ac:dyDescent="0.2">
      <c r="A44" t="s">
        <v>425</v>
      </c>
      <c r="B44">
        <v>3</v>
      </c>
      <c r="C44">
        <v>1.4E-2</v>
      </c>
      <c r="E44">
        <v>0.112</v>
      </c>
      <c r="F44">
        <v>2.5499999999999998E-2</v>
      </c>
      <c r="G44">
        <v>0.11600000000000001</v>
      </c>
      <c r="H44">
        <v>-0.04</v>
      </c>
      <c r="I44">
        <v>0.42199999999999999</v>
      </c>
      <c r="J44">
        <v>2.9</v>
      </c>
      <c r="K44">
        <v>177.5</v>
      </c>
      <c r="L44">
        <v>0.98</v>
      </c>
    </row>
    <row r="45" spans="1:12" x14ac:dyDescent="0.2">
      <c r="A45" t="s">
        <v>426</v>
      </c>
      <c r="B45">
        <v>79</v>
      </c>
      <c r="C45">
        <v>0.254</v>
      </c>
      <c r="D45">
        <v>2.5000000000000001E-2</v>
      </c>
      <c r="E45">
        <v>0.03</v>
      </c>
      <c r="F45">
        <v>8.2299999999999998E-2</v>
      </c>
      <c r="G45">
        <v>7.5999999999999998E-2</v>
      </c>
      <c r="H45">
        <v>-7.9100000000000004E-2</v>
      </c>
      <c r="I45">
        <v>0.69099999999999995</v>
      </c>
      <c r="J45">
        <v>-2</v>
      </c>
      <c r="K45">
        <v>52.98</v>
      </c>
      <c r="L45">
        <v>10.45</v>
      </c>
    </row>
    <row r="46" spans="1:12" x14ac:dyDescent="0.2">
      <c r="A46" t="s">
        <v>427</v>
      </c>
      <c r="B46">
        <v>2</v>
      </c>
      <c r="C46">
        <v>-6.8000000000000005E-2</v>
      </c>
      <c r="F46">
        <v>5.2999999999999999E-2</v>
      </c>
      <c r="G46">
        <v>5.0599999999999999E-2</v>
      </c>
      <c r="H46">
        <v>-4.8000000000000001E-2</v>
      </c>
      <c r="J46">
        <v>-18</v>
      </c>
      <c r="L46">
        <v>1.32</v>
      </c>
    </row>
    <row r="47" spans="1:12" x14ac:dyDescent="0.2">
      <c r="A47" t="s">
        <v>428</v>
      </c>
      <c r="B47">
        <v>99</v>
      </c>
      <c r="C47">
        <v>8.4000000000000005E-2</v>
      </c>
      <c r="D47">
        <v>2.1000000000000001E-2</v>
      </c>
      <c r="E47">
        <v>9.3299999999999994E-2</v>
      </c>
      <c r="F47">
        <v>1.84E-2</v>
      </c>
      <c r="G47">
        <v>6.6000000000000003E-2</v>
      </c>
      <c r="H47">
        <v>-8.900000000000001E-2</v>
      </c>
      <c r="I47">
        <v>0.68900000000000006</v>
      </c>
      <c r="J47">
        <v>2.6</v>
      </c>
      <c r="K47">
        <v>98.56</v>
      </c>
      <c r="L47">
        <v>17.559999999999999</v>
      </c>
    </row>
    <row r="48" spans="1:12" x14ac:dyDescent="0.2">
      <c r="A48" t="s">
        <v>429</v>
      </c>
      <c r="B48">
        <v>363</v>
      </c>
      <c r="C48">
        <v>7.2000000000000008E-2</v>
      </c>
      <c r="D48">
        <v>2.9000000000000001E-2</v>
      </c>
      <c r="E48">
        <v>8.2500000000000004E-2</v>
      </c>
      <c r="F48">
        <v>5.5999999999999987E-2</v>
      </c>
      <c r="G48">
        <v>7.4999999999999997E-2</v>
      </c>
      <c r="H48">
        <v>-0.09</v>
      </c>
      <c r="I48">
        <v>0.88</v>
      </c>
      <c r="J48">
        <v>-4.5999999999999996</v>
      </c>
      <c r="K48">
        <v>15.64</v>
      </c>
      <c r="L48">
        <v>100.5</v>
      </c>
    </row>
    <row r="49" spans="1:12" x14ac:dyDescent="0.2">
      <c r="A49" t="s">
        <v>430</v>
      </c>
      <c r="B49">
        <v>25</v>
      </c>
      <c r="C49">
        <v>0.24099999999999999</v>
      </c>
      <c r="D49">
        <v>-2.3E-2</v>
      </c>
      <c r="E49">
        <v>4.0099999999999997E-2</v>
      </c>
      <c r="F49">
        <v>6.2E-2</v>
      </c>
      <c r="G49">
        <v>6.9000000000000006E-2</v>
      </c>
      <c r="H49">
        <v>-9.1999999999999998E-2</v>
      </c>
      <c r="I49">
        <v>0.90170000000000006</v>
      </c>
      <c r="J49">
        <v>0.5</v>
      </c>
      <c r="K49">
        <v>98.56</v>
      </c>
      <c r="L49">
        <v>6.49</v>
      </c>
    </row>
    <row r="50" spans="1:12" x14ac:dyDescent="0.2">
      <c r="A50" t="s">
        <v>431</v>
      </c>
      <c r="B50">
        <v>10</v>
      </c>
      <c r="C50">
        <v>-5.8000000000000003E-2</v>
      </c>
      <c r="E50">
        <v>3.2500000000000001E-2</v>
      </c>
      <c r="F50">
        <v>0.03</v>
      </c>
      <c r="G50">
        <v>9.1999999999999998E-2</v>
      </c>
      <c r="H50">
        <v>-2.8000000000000001E-2</v>
      </c>
      <c r="I50">
        <v>0.51100000000000001</v>
      </c>
      <c r="J50">
        <v>-8.4</v>
      </c>
      <c r="K50">
        <v>551.32000000000005</v>
      </c>
      <c r="L50">
        <v>1.4</v>
      </c>
    </row>
    <row r="51" spans="1:12" x14ac:dyDescent="0.2">
      <c r="A51" t="s">
        <v>432</v>
      </c>
      <c r="B51">
        <v>7</v>
      </c>
      <c r="C51">
        <v>-6.0000000000000001E-3</v>
      </c>
      <c r="F51">
        <v>4.7E-2</v>
      </c>
      <c r="G51">
        <v>7.400000000000001E-2</v>
      </c>
      <c r="H51">
        <v>-5.1999999999999998E-2</v>
      </c>
      <c r="I51">
        <v>0.64</v>
      </c>
      <c r="J51">
        <v>10.1</v>
      </c>
      <c r="K51">
        <v>15</v>
      </c>
      <c r="L51">
        <v>3.21</v>
      </c>
    </row>
    <row r="52" spans="1:12" x14ac:dyDescent="0.2">
      <c r="A52" t="s">
        <v>433</v>
      </c>
      <c r="B52">
        <v>31</v>
      </c>
      <c r="C52">
        <v>8.5999999999999993E-2</v>
      </c>
      <c r="D52">
        <v>6.9999999999999993E-3</v>
      </c>
      <c r="E52">
        <v>0</v>
      </c>
      <c r="F52">
        <v>8.8000000000000009E-2</v>
      </c>
      <c r="G52">
        <v>5.7000000000000002E-2</v>
      </c>
      <c r="H52">
        <v>-4.9000000000000002E-2</v>
      </c>
      <c r="I52">
        <v>0.182</v>
      </c>
      <c r="J52">
        <v>-0.6</v>
      </c>
      <c r="K52">
        <v>1.1100000000000001</v>
      </c>
      <c r="L52">
        <v>1.33</v>
      </c>
    </row>
    <row r="53" spans="1:12" x14ac:dyDescent="0.2">
      <c r="A53" t="s">
        <v>434</v>
      </c>
      <c r="B53">
        <v>108</v>
      </c>
      <c r="C53">
        <v>6.0999999999999999E-2</v>
      </c>
      <c r="E53">
        <v>7.0000000000000007E-2</v>
      </c>
      <c r="F53">
        <v>0.33</v>
      </c>
      <c r="G53">
        <v>0.191</v>
      </c>
      <c r="H53">
        <v>-0.04</v>
      </c>
      <c r="I53">
        <v>0.59</v>
      </c>
      <c r="J53">
        <v>-4.4000000000000004</v>
      </c>
      <c r="K53">
        <v>31.69</v>
      </c>
      <c r="L53">
        <v>115</v>
      </c>
    </row>
    <row r="54" spans="1:12" x14ac:dyDescent="0.2">
      <c r="A54" t="s">
        <v>435</v>
      </c>
      <c r="B54">
        <v>13011</v>
      </c>
      <c r="C54">
        <v>3.9E-2</v>
      </c>
      <c r="D54">
        <v>2.1999999999999999E-2</v>
      </c>
      <c r="E54">
        <v>0</v>
      </c>
      <c r="F54">
        <v>4.9000000000000002E-2</v>
      </c>
      <c r="G54">
        <v>7.2999999999999995E-2</v>
      </c>
      <c r="H54">
        <v>-7.2000000000000008E-2</v>
      </c>
      <c r="I54">
        <v>0.98</v>
      </c>
      <c r="J54">
        <v>3</v>
      </c>
      <c r="K54">
        <v>1.1100000000000001</v>
      </c>
      <c r="L54">
        <v>342.41</v>
      </c>
    </row>
    <row r="55" spans="1:12" x14ac:dyDescent="0.2">
      <c r="A55" t="s">
        <v>436</v>
      </c>
      <c r="B55">
        <v>4</v>
      </c>
      <c r="C55">
        <v>-0.19</v>
      </c>
      <c r="E55">
        <v>2.5000000000000001E-3</v>
      </c>
      <c r="F55">
        <v>8.0000000000000002E-3</v>
      </c>
      <c r="G55">
        <v>4.8000000000000001E-2</v>
      </c>
      <c r="H55">
        <v>-0.06</v>
      </c>
      <c r="I55">
        <v>0.65200000000000002</v>
      </c>
      <c r="J55">
        <v>-13.8</v>
      </c>
      <c r="K55">
        <v>2.17</v>
      </c>
      <c r="L55">
        <v>0.89</v>
      </c>
    </row>
    <row r="56" spans="1:12" x14ac:dyDescent="0.2">
      <c r="A56" t="s">
        <v>437</v>
      </c>
      <c r="B56">
        <v>270</v>
      </c>
      <c r="C56">
        <v>4.2000000000000003E-2</v>
      </c>
      <c r="D56">
        <v>8.0000000000000002E-3</v>
      </c>
      <c r="E56">
        <v>0</v>
      </c>
      <c r="F56">
        <v>3.7000000000000012E-2</v>
      </c>
      <c r="G56">
        <v>0.06</v>
      </c>
      <c r="H56">
        <v>-5.4000000000000013E-2</v>
      </c>
      <c r="I56">
        <v>0.69200000000000006</v>
      </c>
      <c r="J56">
        <v>0.3</v>
      </c>
      <c r="K56">
        <v>1.1100000000000001</v>
      </c>
      <c r="L56">
        <v>5.53</v>
      </c>
    </row>
    <row r="57" spans="1:12" x14ac:dyDescent="0.2">
      <c r="A57" t="s">
        <v>438</v>
      </c>
      <c r="B57">
        <v>2630</v>
      </c>
      <c r="C57">
        <v>3.3000000000000002E-2</v>
      </c>
      <c r="D57">
        <v>0.03</v>
      </c>
      <c r="E57">
        <v>0</v>
      </c>
      <c r="F57">
        <v>2.8000000000000001E-2</v>
      </c>
      <c r="G57">
        <v>8.1000000000000003E-2</v>
      </c>
      <c r="H57">
        <v>-9.1999999999999998E-2</v>
      </c>
      <c r="I57">
        <v>1.157</v>
      </c>
      <c r="J57">
        <v>-1.9</v>
      </c>
      <c r="K57">
        <v>1.1100000000000001</v>
      </c>
      <c r="L57">
        <v>67.290000000000006</v>
      </c>
    </row>
    <row r="58" spans="1:12" x14ac:dyDescent="0.2">
      <c r="A58" t="s">
        <v>439</v>
      </c>
      <c r="B58">
        <v>16</v>
      </c>
      <c r="C58">
        <v>-1.7999999999999999E-2</v>
      </c>
      <c r="E58">
        <v>3.2500000000000001E-2</v>
      </c>
      <c r="F58">
        <v>9.0000000000000011E-3</v>
      </c>
      <c r="G58">
        <v>0.20499999999999999</v>
      </c>
      <c r="H58">
        <v>-0.05</v>
      </c>
      <c r="I58">
        <v>0.72499999999999998</v>
      </c>
      <c r="J58">
        <v>-9.5</v>
      </c>
      <c r="K58">
        <v>551.32000000000005</v>
      </c>
      <c r="L58">
        <v>2.2200000000000002</v>
      </c>
    </row>
    <row r="59" spans="1:12" x14ac:dyDescent="0.2">
      <c r="A59" t="s">
        <v>440</v>
      </c>
      <c r="B59">
        <v>2</v>
      </c>
      <c r="C59">
        <v>-2E-3</v>
      </c>
      <c r="E59">
        <v>0.1</v>
      </c>
      <c r="F59">
        <v>7.3399999999999993E-2</v>
      </c>
      <c r="G59">
        <v>9.6000000000000002E-2</v>
      </c>
      <c r="H59">
        <v>-3.7000000000000012E-2</v>
      </c>
      <c r="I59">
        <v>0.83099999999999996</v>
      </c>
      <c r="J59">
        <v>-8.6</v>
      </c>
      <c r="K59">
        <v>51.35</v>
      </c>
      <c r="L59">
        <v>2.2799999999999998</v>
      </c>
    </row>
    <row r="60" spans="1:12" x14ac:dyDescent="0.2">
      <c r="A60" t="s">
        <v>441</v>
      </c>
      <c r="B60">
        <v>16</v>
      </c>
      <c r="C60">
        <v>9.0999999999999998E-2</v>
      </c>
      <c r="E60">
        <v>0.105</v>
      </c>
      <c r="F60">
        <v>0.125</v>
      </c>
      <c r="G60">
        <v>0.185</v>
      </c>
      <c r="H60">
        <v>-9.3000000000000013E-2</v>
      </c>
      <c r="I60">
        <v>0.57100000000000006</v>
      </c>
      <c r="J60">
        <v>-12.3</v>
      </c>
      <c r="K60">
        <v>2.89</v>
      </c>
      <c r="L60">
        <v>3.73</v>
      </c>
    </row>
    <row r="61" spans="1:12" ht="16" customHeight="1" thickBot="1" x14ac:dyDescent="0.25">
      <c r="A61" t="s">
        <v>442</v>
      </c>
      <c r="B61">
        <v>3846</v>
      </c>
      <c r="C61">
        <v>2.5000000000000001E-2</v>
      </c>
      <c r="D61">
        <v>1.7000000000000001E-2</v>
      </c>
      <c r="E61">
        <v>0</v>
      </c>
      <c r="F61">
        <v>5.1999999999999998E-2</v>
      </c>
      <c r="G61">
        <v>5.2999999999999999E-2</v>
      </c>
      <c r="H61">
        <v>-4.2000000000000003E-2</v>
      </c>
      <c r="I61">
        <v>0.69799999999999995</v>
      </c>
      <c r="J61">
        <v>7</v>
      </c>
      <c r="K61">
        <v>1.1100000000000001</v>
      </c>
      <c r="L61">
        <v>83.17</v>
      </c>
    </row>
    <row r="62" spans="1:12" x14ac:dyDescent="0.2">
      <c r="A62" t="s">
        <v>443</v>
      </c>
      <c r="B62">
        <v>72</v>
      </c>
      <c r="C62">
        <v>6.6000000000000003E-2</v>
      </c>
      <c r="D62">
        <v>1.6E-2</v>
      </c>
      <c r="E62">
        <v>0.14499999999999999</v>
      </c>
      <c r="F62">
        <v>0.122</v>
      </c>
      <c r="G62">
        <v>4.4999999999999998E-2</v>
      </c>
      <c r="H62">
        <v>-0.13800000000000001</v>
      </c>
      <c r="I62">
        <v>0.78</v>
      </c>
      <c r="J62">
        <v>-2.5</v>
      </c>
      <c r="K62">
        <v>5.88</v>
      </c>
      <c r="L62">
        <v>30.96</v>
      </c>
    </row>
    <row r="63" spans="1:12" ht="16" customHeight="1" thickBot="1" x14ac:dyDescent="0.25">
      <c r="A63" t="s">
        <v>444</v>
      </c>
      <c r="B63">
        <v>189</v>
      </c>
      <c r="C63">
        <v>0.13400000000000001</v>
      </c>
      <c r="D63">
        <v>2.7E-2</v>
      </c>
      <c r="E63">
        <v>0</v>
      </c>
      <c r="F63">
        <v>4.8000000000000001E-2</v>
      </c>
      <c r="G63">
        <v>0.13300000000000001</v>
      </c>
      <c r="H63">
        <v>-9.6999999999999989E-2</v>
      </c>
      <c r="I63">
        <v>2.056</v>
      </c>
      <c r="J63">
        <v>-6.7</v>
      </c>
      <c r="K63">
        <v>1.1100000000000001</v>
      </c>
      <c r="L63">
        <v>10.72</v>
      </c>
    </row>
    <row r="64" spans="1:12" x14ac:dyDescent="0.2">
      <c r="A64" t="s">
        <v>445</v>
      </c>
      <c r="B64">
        <v>78</v>
      </c>
      <c r="C64">
        <v>0.15060000000000001</v>
      </c>
      <c r="E64">
        <v>1.7500000000000002E-2</v>
      </c>
      <c r="F64">
        <v>2.8899999999999999E-2</v>
      </c>
      <c r="G64">
        <v>0.02</v>
      </c>
      <c r="H64">
        <v>-4.9000000000000002E-2</v>
      </c>
      <c r="I64">
        <v>0.31259999999999999</v>
      </c>
      <c r="J64">
        <v>5.5</v>
      </c>
      <c r="K64">
        <v>7.7</v>
      </c>
      <c r="L64">
        <v>17.920000000000002</v>
      </c>
    </row>
    <row r="65" spans="1:12" ht="16" customHeight="1" thickBot="1" x14ac:dyDescent="0.25">
      <c r="A65" t="s">
        <v>446</v>
      </c>
      <c r="B65">
        <v>16</v>
      </c>
      <c r="C65">
        <v>7.0000000000000007E-2</v>
      </c>
      <c r="E65">
        <v>0.115</v>
      </c>
      <c r="F65">
        <v>0.127</v>
      </c>
      <c r="G65">
        <v>4.3999999999999997E-2</v>
      </c>
      <c r="H65">
        <v>-3.1E-2</v>
      </c>
      <c r="I65">
        <v>0.4</v>
      </c>
      <c r="J65">
        <v>-13.3</v>
      </c>
      <c r="K65">
        <v>9537</v>
      </c>
      <c r="L65">
        <v>12.56</v>
      </c>
    </row>
    <row r="66" spans="1:12" ht="16" customHeight="1" thickBot="1" x14ac:dyDescent="0.25">
      <c r="A66" t="s">
        <v>447</v>
      </c>
      <c r="B66">
        <v>1</v>
      </c>
      <c r="C66">
        <v>6.8000000000000005E-2</v>
      </c>
      <c r="E66">
        <v>0.04</v>
      </c>
      <c r="F66">
        <v>4.2999999999999997E-2</v>
      </c>
      <c r="G66">
        <v>3.2000000000000001E-2</v>
      </c>
      <c r="H66">
        <v>-7.8E-2</v>
      </c>
      <c r="I66">
        <v>0.36499999999999999</v>
      </c>
      <c r="J66">
        <v>-8.6</v>
      </c>
      <c r="L66">
        <v>1.96</v>
      </c>
    </row>
    <row r="67" spans="1:12" x14ac:dyDescent="0.2">
      <c r="A67" t="s">
        <v>448</v>
      </c>
      <c r="B67">
        <v>5</v>
      </c>
      <c r="C67">
        <v>0.48699999999999999</v>
      </c>
      <c r="E67">
        <v>0.05</v>
      </c>
      <c r="F67">
        <v>5.9900000000000002E-2</v>
      </c>
      <c r="G67">
        <v>0.158</v>
      </c>
      <c r="H67">
        <v>-5.2999999999999999E-2</v>
      </c>
      <c r="I67">
        <v>0.37</v>
      </c>
      <c r="J67">
        <v>-32.79</v>
      </c>
      <c r="K67">
        <v>209.34</v>
      </c>
      <c r="L67">
        <v>0.79</v>
      </c>
    </row>
    <row r="68" spans="1:12" x14ac:dyDescent="0.2">
      <c r="A68" t="s">
        <v>449</v>
      </c>
      <c r="B68">
        <v>13</v>
      </c>
      <c r="C68">
        <v>-3.3000000000000002E-2</v>
      </c>
      <c r="E68">
        <v>0.17</v>
      </c>
      <c r="F68">
        <v>0.1091</v>
      </c>
      <c r="G68">
        <v>0.14499999999999999</v>
      </c>
      <c r="H68">
        <v>-5.8999999999999997E-2</v>
      </c>
      <c r="I68">
        <v>0.54400000000000004</v>
      </c>
      <c r="J68">
        <v>5.5</v>
      </c>
      <c r="K68">
        <v>88.71</v>
      </c>
      <c r="L68">
        <v>11.4</v>
      </c>
    </row>
    <row r="69" spans="1:12" x14ac:dyDescent="0.2">
      <c r="A69" t="s">
        <v>450</v>
      </c>
      <c r="B69">
        <v>24</v>
      </c>
      <c r="C69">
        <v>0.255</v>
      </c>
      <c r="D69">
        <v>2.9000000000000001E-2</v>
      </c>
      <c r="E69">
        <v>0.03</v>
      </c>
      <c r="F69">
        <v>4.9500000000000002E-2</v>
      </c>
      <c r="G69">
        <v>0.109</v>
      </c>
      <c r="H69">
        <v>-6.9000000000000006E-2</v>
      </c>
      <c r="I69">
        <v>0.54859999999999998</v>
      </c>
      <c r="J69">
        <v>4</v>
      </c>
      <c r="K69">
        <v>24.6</v>
      </c>
      <c r="L69">
        <v>9.3000000000000007</v>
      </c>
    </row>
    <row r="70" spans="1:12" ht="16" customHeight="1" thickBot="1" x14ac:dyDescent="0.25">
      <c r="A70" t="s">
        <v>451</v>
      </c>
      <c r="B70">
        <v>347</v>
      </c>
      <c r="C70">
        <v>5.4000000000000013E-2</v>
      </c>
      <c r="D70">
        <v>1E-3</v>
      </c>
      <c r="E70">
        <v>8.6E-3</v>
      </c>
      <c r="F70">
        <v>1.7999999999999999E-2</v>
      </c>
      <c r="G70">
        <v>4.0999999999999988E-2</v>
      </c>
      <c r="H70">
        <v>-0.12</v>
      </c>
      <c r="I70">
        <v>0.38400000000000001</v>
      </c>
      <c r="J70">
        <v>6.6</v>
      </c>
      <c r="K70">
        <v>7.83</v>
      </c>
      <c r="L70">
        <v>7.47</v>
      </c>
    </row>
    <row r="71" spans="1:12" x14ac:dyDescent="0.2">
      <c r="A71" t="s">
        <v>452</v>
      </c>
      <c r="B71">
        <v>155</v>
      </c>
      <c r="C71">
        <v>6.0999999999999999E-2</v>
      </c>
      <c r="D71">
        <v>6.9999999999999993E-3</v>
      </c>
      <c r="E71">
        <v>2.4E-2</v>
      </c>
      <c r="F71">
        <v>7.400000000000001E-2</v>
      </c>
      <c r="G71">
        <v>3.7999999999999999E-2</v>
      </c>
      <c r="H71">
        <v>-8.1000000000000003E-2</v>
      </c>
      <c r="I71">
        <v>0.80400000000000005</v>
      </c>
      <c r="J71">
        <v>0</v>
      </c>
      <c r="K71">
        <v>302.98</v>
      </c>
      <c r="L71">
        <v>9.77</v>
      </c>
    </row>
    <row r="72" spans="1:12" ht="16" customHeight="1" thickBot="1" x14ac:dyDescent="0.25">
      <c r="A72" t="s">
        <v>453</v>
      </c>
      <c r="B72">
        <v>22</v>
      </c>
      <c r="C72">
        <v>0.06</v>
      </c>
      <c r="D72">
        <v>-2.3E-2</v>
      </c>
      <c r="E72">
        <v>0.02</v>
      </c>
      <c r="F72">
        <v>5.0999999999999997E-2</v>
      </c>
      <c r="G72">
        <v>4.2000000000000003E-2</v>
      </c>
      <c r="H72">
        <v>-7.2999999999999995E-2</v>
      </c>
      <c r="I72">
        <v>0.79900000000000004</v>
      </c>
      <c r="J72">
        <v>1</v>
      </c>
      <c r="K72">
        <v>124.24</v>
      </c>
      <c r="L72">
        <v>0.36</v>
      </c>
    </row>
    <row r="73" spans="1:12" ht="16" customHeight="1" thickBot="1" x14ac:dyDescent="0.25">
      <c r="A73" t="s">
        <v>454</v>
      </c>
      <c r="B73">
        <v>2623</v>
      </c>
      <c r="C73">
        <v>8.4000000000000005E-2</v>
      </c>
      <c r="D73">
        <v>0.127</v>
      </c>
      <c r="E73">
        <v>0.04</v>
      </c>
      <c r="F73">
        <v>4.9099999999999998E-2</v>
      </c>
      <c r="G73">
        <v>6.9000000000000006E-2</v>
      </c>
      <c r="H73">
        <v>-9.4E-2</v>
      </c>
      <c r="I73">
        <v>0.73950000000000005</v>
      </c>
      <c r="J73">
        <v>0.9</v>
      </c>
      <c r="K73">
        <v>71.010000000000005</v>
      </c>
      <c r="L73">
        <v>1347.12</v>
      </c>
    </row>
    <row r="74" spans="1:12" x14ac:dyDescent="0.2">
      <c r="A74" t="s">
        <v>455</v>
      </c>
      <c r="B74">
        <v>1058</v>
      </c>
      <c r="C74">
        <v>3.5099999999999999E-2</v>
      </c>
      <c r="D74">
        <v>1.55E-2</v>
      </c>
      <c r="E74">
        <v>3.5000000000000003E-2</v>
      </c>
      <c r="F74">
        <v>1.7500000000000002E-2</v>
      </c>
      <c r="G74">
        <v>6.4899999999999999E-2</v>
      </c>
      <c r="H74">
        <v>-6.5000000000000002E-2</v>
      </c>
      <c r="I74">
        <v>0.38500000000000001</v>
      </c>
      <c r="J74">
        <v>-0.44</v>
      </c>
      <c r="K74">
        <v>14462</v>
      </c>
      <c r="L74">
        <v>270.2</v>
      </c>
    </row>
    <row r="75" spans="1:12" x14ac:dyDescent="0.2">
      <c r="A75" t="s">
        <v>456</v>
      </c>
      <c r="B75">
        <v>192</v>
      </c>
      <c r="C75">
        <v>-6.7000000000000004E-2</v>
      </c>
      <c r="E75">
        <v>0.18</v>
      </c>
      <c r="F75">
        <v>0.35699999999999998</v>
      </c>
      <c r="G75">
        <v>9.6000000000000002E-2</v>
      </c>
      <c r="H75">
        <v>-9.5000000000000001E-2</v>
      </c>
      <c r="I75">
        <v>0.45400000000000001</v>
      </c>
      <c r="J75">
        <v>-0.5</v>
      </c>
      <c r="K75">
        <v>42000</v>
      </c>
      <c r="L75">
        <v>84</v>
      </c>
    </row>
    <row r="76" spans="1:12" x14ac:dyDescent="0.2">
      <c r="A76" t="s">
        <v>457</v>
      </c>
      <c r="B76">
        <v>167</v>
      </c>
      <c r="C76">
        <v>-0.109</v>
      </c>
      <c r="E76">
        <v>0.04</v>
      </c>
      <c r="F76">
        <v>6.8000000000000005E-2</v>
      </c>
      <c r="G76">
        <v>0.13739999999999999</v>
      </c>
      <c r="H76">
        <v>-0.17499999999999999</v>
      </c>
      <c r="I76">
        <v>0.68299999999999994</v>
      </c>
      <c r="J76">
        <v>-12.6</v>
      </c>
      <c r="K76">
        <v>1193.81</v>
      </c>
      <c r="L76">
        <v>40.200000000000003</v>
      </c>
    </row>
    <row r="77" spans="1:12" ht="16" customHeight="1" thickBot="1" x14ac:dyDescent="0.25">
      <c r="A77" t="s">
        <v>458</v>
      </c>
      <c r="B77">
        <v>426</v>
      </c>
      <c r="C77">
        <v>0.114</v>
      </c>
      <c r="D77">
        <v>9.0000000000000011E-3</v>
      </c>
      <c r="E77">
        <v>0</v>
      </c>
      <c r="F77">
        <v>5.2999999999999999E-2</v>
      </c>
      <c r="G77">
        <v>5.1999999999999998E-2</v>
      </c>
      <c r="H77">
        <v>-0.05</v>
      </c>
      <c r="I77">
        <v>0.59499999999999997</v>
      </c>
      <c r="J77">
        <v>4.5999999999999996</v>
      </c>
      <c r="K77">
        <v>1.1100000000000001</v>
      </c>
      <c r="L77">
        <v>4.96</v>
      </c>
    </row>
    <row r="78" spans="1:12" x14ac:dyDescent="0.2">
      <c r="A78" t="s">
        <v>459</v>
      </c>
      <c r="B78">
        <v>402</v>
      </c>
      <c r="C78">
        <v>5.8999999999999997E-2</v>
      </c>
      <c r="D78">
        <v>6.0000000000000001E-3</v>
      </c>
      <c r="E78">
        <v>1E-3</v>
      </c>
      <c r="F78">
        <v>2.4E-2</v>
      </c>
      <c r="G78">
        <v>0.05</v>
      </c>
      <c r="H78">
        <v>-0.11700000000000001</v>
      </c>
      <c r="I78">
        <v>0.71099999999999997</v>
      </c>
      <c r="J78">
        <v>4.9000000000000004</v>
      </c>
      <c r="K78">
        <v>3.28</v>
      </c>
      <c r="L78">
        <v>9.2899999999999991</v>
      </c>
    </row>
    <row r="79" spans="1:12" x14ac:dyDescent="0.2">
      <c r="A79" t="s">
        <v>460</v>
      </c>
      <c r="B79">
        <v>1886</v>
      </c>
      <c r="C79">
        <v>3.9E-2</v>
      </c>
      <c r="D79">
        <v>2.5999999999999999E-2</v>
      </c>
      <c r="E79">
        <v>0</v>
      </c>
      <c r="F79">
        <v>3.7000000000000012E-2</v>
      </c>
      <c r="G79">
        <v>9.4E-2</v>
      </c>
      <c r="H79">
        <v>-9.5000000000000001E-2</v>
      </c>
      <c r="I79">
        <v>1.5580000000000001</v>
      </c>
      <c r="J79">
        <v>3.6</v>
      </c>
      <c r="K79">
        <v>1.1100000000000001</v>
      </c>
      <c r="L79">
        <v>59.64</v>
      </c>
    </row>
    <row r="80" spans="1:12" ht="16" customHeight="1" thickBot="1" x14ac:dyDescent="0.25">
      <c r="A80" t="s">
        <v>461</v>
      </c>
      <c r="B80">
        <v>61</v>
      </c>
      <c r="C80">
        <v>8.1000000000000003E-2</v>
      </c>
      <c r="E80">
        <v>0.04</v>
      </c>
      <c r="F80">
        <v>4.4999999999999998E-2</v>
      </c>
      <c r="G80">
        <v>3.5000000000000003E-2</v>
      </c>
      <c r="H80">
        <v>-5.5E-2</v>
      </c>
      <c r="I80">
        <v>0.3</v>
      </c>
      <c r="J80">
        <v>-3.7</v>
      </c>
      <c r="K80">
        <v>588.96</v>
      </c>
      <c r="L80">
        <v>26.37</v>
      </c>
    </row>
    <row r="81" spans="1:12" ht="16" customHeight="1" thickBot="1" x14ac:dyDescent="0.25">
      <c r="A81" t="s">
        <v>462</v>
      </c>
      <c r="B81">
        <v>14</v>
      </c>
      <c r="C81">
        <v>0.14199999999999999</v>
      </c>
      <c r="D81">
        <v>2.4E-2</v>
      </c>
      <c r="E81">
        <v>2.5000000000000001E-2</v>
      </c>
      <c r="F81">
        <v>8.5000000000000006E-2</v>
      </c>
      <c r="G81">
        <v>8.5000000000000006E-2</v>
      </c>
      <c r="H81">
        <v>-3.9E-2</v>
      </c>
      <c r="I81">
        <v>1.101</v>
      </c>
      <c r="J81">
        <v>0.2</v>
      </c>
      <c r="K81">
        <v>133.91</v>
      </c>
      <c r="L81">
        <v>2.96</v>
      </c>
    </row>
    <row r="82" spans="1:12" ht="16" customHeight="1" thickBot="1" x14ac:dyDescent="0.25">
      <c r="A82" t="s">
        <v>463</v>
      </c>
      <c r="B82">
        <v>4975</v>
      </c>
      <c r="C82">
        <v>1.4E-2</v>
      </c>
      <c r="D82">
        <v>-9.0000000000000011E-3</v>
      </c>
      <c r="E82">
        <v>-1E-3</v>
      </c>
      <c r="F82">
        <v>1E-3</v>
      </c>
      <c r="G82">
        <v>2.7E-2</v>
      </c>
      <c r="H82">
        <v>-0.126</v>
      </c>
      <c r="I82">
        <v>2.6619999999999999</v>
      </c>
      <c r="J82">
        <v>3.2</v>
      </c>
      <c r="K82">
        <v>108.19</v>
      </c>
      <c r="L82">
        <v>125.67</v>
      </c>
    </row>
    <row r="83" spans="1:12" x14ac:dyDescent="0.2">
      <c r="A83" t="s">
        <v>464</v>
      </c>
      <c r="B83">
        <v>44</v>
      </c>
      <c r="C83">
        <v>3.2000000000000001E-2</v>
      </c>
      <c r="E83">
        <v>2.5000000000000001E-2</v>
      </c>
      <c r="F83">
        <v>1.7000000000000001E-2</v>
      </c>
      <c r="G83">
        <v>0.23200000000000001</v>
      </c>
      <c r="H83">
        <v>-7.0000000000000007E-2</v>
      </c>
      <c r="I83">
        <v>0.92400000000000004</v>
      </c>
      <c r="J83">
        <v>-8</v>
      </c>
      <c r="K83">
        <v>0.71</v>
      </c>
      <c r="L83">
        <v>10.86</v>
      </c>
    </row>
    <row r="84" spans="1:12" x14ac:dyDescent="0.2">
      <c r="A84" t="s">
        <v>465</v>
      </c>
      <c r="B84">
        <v>170</v>
      </c>
      <c r="C84">
        <v>3.5000000000000003E-2</v>
      </c>
      <c r="D84">
        <v>1.26E-2</v>
      </c>
      <c r="E84">
        <v>9.7500000000000003E-2</v>
      </c>
      <c r="F84">
        <v>8.6999999999999994E-2</v>
      </c>
      <c r="G84">
        <v>4.9000000000000002E-2</v>
      </c>
      <c r="H84">
        <v>-0.04</v>
      </c>
      <c r="I84">
        <v>0.23400000000000001</v>
      </c>
      <c r="J84">
        <v>-3.7</v>
      </c>
      <c r="K84">
        <v>427.38</v>
      </c>
      <c r="L84">
        <v>18.88</v>
      </c>
    </row>
    <row r="85" spans="1:12" x14ac:dyDescent="0.2">
      <c r="A85" t="s">
        <v>466</v>
      </c>
      <c r="B85">
        <v>99</v>
      </c>
      <c r="C85">
        <v>0.10100000000000001</v>
      </c>
      <c r="D85">
        <v>2.01E-2</v>
      </c>
      <c r="E85">
        <v>7.0000000000000007E-2</v>
      </c>
      <c r="F85">
        <v>5.8000000000000003E-2</v>
      </c>
      <c r="G85">
        <v>6.6000000000000003E-2</v>
      </c>
      <c r="H85">
        <v>-7.8E-2</v>
      </c>
      <c r="I85">
        <v>0.65599999999999992</v>
      </c>
      <c r="J85">
        <v>-4.8</v>
      </c>
      <c r="K85">
        <v>107.9</v>
      </c>
      <c r="L85">
        <v>53.7</v>
      </c>
    </row>
    <row r="86" spans="1:12" x14ac:dyDescent="0.2">
      <c r="A86" t="s">
        <v>467</v>
      </c>
      <c r="B86">
        <v>8</v>
      </c>
      <c r="C86">
        <v>0.1628</v>
      </c>
      <c r="F86">
        <v>6.9000000000000006E-2</v>
      </c>
      <c r="G86">
        <v>0.25800000000000001</v>
      </c>
      <c r="H86">
        <v>-9.9000000000000005E-2</v>
      </c>
      <c r="I86">
        <v>0.218</v>
      </c>
      <c r="J86">
        <v>-7.2</v>
      </c>
      <c r="K86">
        <v>462.8</v>
      </c>
      <c r="L86">
        <v>1.78</v>
      </c>
    </row>
    <row r="87" spans="1:12" x14ac:dyDescent="0.2">
      <c r="A87" t="s">
        <v>468</v>
      </c>
      <c r="B87">
        <v>136</v>
      </c>
      <c r="C87">
        <v>-0.112</v>
      </c>
      <c r="D87">
        <v>4.7E-2</v>
      </c>
      <c r="E87">
        <v>1.4999999999999999E-2</v>
      </c>
      <c r="F87">
        <v>3.3599999999999998E-2</v>
      </c>
      <c r="G87">
        <v>2.3E-2</v>
      </c>
      <c r="H87">
        <v>-9.4E-2</v>
      </c>
      <c r="I87">
        <v>0.115</v>
      </c>
      <c r="J87">
        <v>0.8</v>
      </c>
      <c r="K87">
        <v>0.3</v>
      </c>
      <c r="L87">
        <v>4.2699999999999996</v>
      </c>
    </row>
    <row r="88" spans="1:12" x14ac:dyDescent="0.2">
      <c r="A88" t="s">
        <v>469</v>
      </c>
      <c r="B88">
        <v>8</v>
      </c>
      <c r="C88">
        <v>1E-3</v>
      </c>
      <c r="E88">
        <v>0.08</v>
      </c>
      <c r="F88">
        <v>0.123</v>
      </c>
      <c r="G88">
        <v>3.1E-2</v>
      </c>
      <c r="H88">
        <v>8.0000000000000002E-3</v>
      </c>
      <c r="I88">
        <v>0.68099999999999994</v>
      </c>
      <c r="J88">
        <v>4.3</v>
      </c>
      <c r="K88">
        <v>69.989999999999995</v>
      </c>
      <c r="L88">
        <v>6.64</v>
      </c>
    </row>
    <row r="89" spans="1:12" ht="16" customHeight="1" thickBot="1" x14ac:dyDescent="0.25">
      <c r="A89" t="s">
        <v>470</v>
      </c>
      <c r="B89">
        <v>19</v>
      </c>
      <c r="C89">
        <v>4.0000000000000001E-3</v>
      </c>
      <c r="E89">
        <v>0.03</v>
      </c>
      <c r="F89">
        <v>4.7199999999999999E-2</v>
      </c>
      <c r="G89">
        <v>0.01</v>
      </c>
      <c r="H89">
        <v>-5.2200000000000003E-2</v>
      </c>
      <c r="I89">
        <v>0.55659999999999998</v>
      </c>
      <c r="J89">
        <v>-0.6</v>
      </c>
      <c r="K89">
        <v>9485</v>
      </c>
      <c r="L89">
        <v>7.3</v>
      </c>
    </row>
    <row r="90" spans="1:12" x14ac:dyDescent="0.2">
      <c r="A90" t="s">
        <v>471</v>
      </c>
      <c r="B90">
        <v>34</v>
      </c>
      <c r="C90">
        <v>5.0999999999999997E-2</v>
      </c>
      <c r="D90">
        <v>6.0000000000000001E-3</v>
      </c>
      <c r="E90">
        <v>0</v>
      </c>
      <c r="F90">
        <v>7.4999999999999997E-2</v>
      </c>
      <c r="G90">
        <v>7.2000000000000008E-2</v>
      </c>
      <c r="H90">
        <v>-4.4999999999999998E-2</v>
      </c>
      <c r="I90">
        <v>0.435</v>
      </c>
      <c r="J90">
        <v>3</v>
      </c>
      <c r="K90">
        <v>1.1100000000000001</v>
      </c>
      <c r="L90">
        <v>1.91</v>
      </c>
    </row>
    <row r="91" spans="1:12" x14ac:dyDescent="0.2">
      <c r="A91" t="s">
        <v>472</v>
      </c>
      <c r="B91">
        <v>33</v>
      </c>
      <c r="C91">
        <v>-0.20300000000000001</v>
      </c>
      <c r="E91">
        <v>0.1</v>
      </c>
      <c r="F91">
        <v>2.0106999999999999</v>
      </c>
      <c r="G91">
        <v>6.6000000000000003E-2</v>
      </c>
      <c r="H91">
        <v>-0.16500000000000001</v>
      </c>
      <c r="I91">
        <v>1.7170000000000001</v>
      </c>
      <c r="J91">
        <v>-22.2</v>
      </c>
      <c r="K91">
        <v>1512</v>
      </c>
      <c r="L91">
        <v>6.8</v>
      </c>
    </row>
    <row r="92" spans="1:12" ht="16" customHeight="1" thickBot="1" x14ac:dyDescent="0.25">
      <c r="A92" t="s">
        <v>473</v>
      </c>
      <c r="B92">
        <v>2</v>
      </c>
      <c r="C92">
        <v>0.127</v>
      </c>
      <c r="D92">
        <v>1.6400000000000001E-2</v>
      </c>
      <c r="E92">
        <v>3.5000000000000003E-2</v>
      </c>
      <c r="F92">
        <v>5.4000000000000013E-2</v>
      </c>
      <c r="G92">
        <v>0.247</v>
      </c>
      <c r="H92">
        <v>-2.8000000000000001E-2</v>
      </c>
      <c r="I92">
        <v>0.69599999999999995</v>
      </c>
      <c r="J92">
        <v>-2.1</v>
      </c>
      <c r="K92">
        <v>14.36</v>
      </c>
      <c r="L92">
        <v>2.14</v>
      </c>
    </row>
    <row r="93" spans="1:12" ht="16" customHeight="1" thickBot="1" x14ac:dyDescent="0.25">
      <c r="A93" t="s">
        <v>474</v>
      </c>
      <c r="B93">
        <v>3</v>
      </c>
      <c r="C93">
        <v>-0.03</v>
      </c>
      <c r="E93">
        <v>0.2</v>
      </c>
      <c r="F93">
        <v>7.0000000000000007E-2</v>
      </c>
      <c r="G93">
        <v>2.7E-2</v>
      </c>
      <c r="H93">
        <v>-0.03</v>
      </c>
      <c r="I93">
        <v>0.52100000000000002</v>
      </c>
      <c r="J93">
        <v>-17.8</v>
      </c>
      <c r="K93">
        <v>186.3</v>
      </c>
      <c r="L93">
        <v>5.57</v>
      </c>
    </row>
    <row r="94" spans="1:12" x14ac:dyDescent="0.2">
      <c r="A94" t="s">
        <v>475</v>
      </c>
      <c r="B94">
        <v>25</v>
      </c>
      <c r="C94">
        <v>-0.60299999999999998</v>
      </c>
      <c r="E94">
        <v>0.03</v>
      </c>
      <c r="F94">
        <v>2.0799999999999999E-2</v>
      </c>
      <c r="G94">
        <v>0.18629999999999999</v>
      </c>
      <c r="H94">
        <v>-1.03</v>
      </c>
      <c r="I94">
        <v>1.55</v>
      </c>
      <c r="J94">
        <v>9.3000000000000007</v>
      </c>
      <c r="K94">
        <v>1.39</v>
      </c>
      <c r="L94">
        <v>6.87</v>
      </c>
    </row>
    <row r="95" spans="1:12" ht="16" customHeight="1" thickBot="1" x14ac:dyDescent="0.25">
      <c r="A95" t="s">
        <v>476</v>
      </c>
      <c r="B95">
        <v>7</v>
      </c>
      <c r="C95">
        <v>-6.9999999999999993E-3</v>
      </c>
      <c r="F95">
        <v>9.0000000000000011E-3</v>
      </c>
      <c r="G95">
        <v>1.9E-2</v>
      </c>
      <c r="K95">
        <v>0.92</v>
      </c>
      <c r="L95">
        <v>0.04</v>
      </c>
    </row>
    <row r="96" spans="1:12" x14ac:dyDescent="0.2">
      <c r="A96" t="s">
        <v>477</v>
      </c>
      <c r="B96">
        <v>56</v>
      </c>
      <c r="C96">
        <v>4.7E-2</v>
      </c>
      <c r="D96">
        <v>-2.9999999999999997E-4</v>
      </c>
      <c r="E96">
        <v>0</v>
      </c>
      <c r="F96">
        <v>9.1999999999999998E-2</v>
      </c>
      <c r="G96">
        <v>0.109</v>
      </c>
      <c r="H96">
        <v>-7.400000000000001E-2</v>
      </c>
      <c r="I96">
        <v>0.47299999999999998</v>
      </c>
      <c r="J96">
        <v>8.3000000000000007</v>
      </c>
      <c r="K96">
        <v>1.1100000000000001</v>
      </c>
      <c r="L96">
        <v>2.79</v>
      </c>
    </row>
    <row r="97" spans="1:12" x14ac:dyDescent="0.2">
      <c r="A97" t="s">
        <v>478</v>
      </c>
      <c r="B97">
        <v>73</v>
      </c>
      <c r="C97">
        <v>5.2999999999999999E-2</v>
      </c>
      <c r="D97">
        <v>9.0000000000000011E-3</v>
      </c>
      <c r="E97">
        <v>0</v>
      </c>
      <c r="F97">
        <v>4.4999999999999998E-2</v>
      </c>
      <c r="G97">
        <v>5.2999999999999999E-2</v>
      </c>
      <c r="H97">
        <v>-4.0999999999999988E-2</v>
      </c>
      <c r="I97">
        <v>0.249</v>
      </c>
      <c r="J97">
        <v>4.3</v>
      </c>
      <c r="K97">
        <v>1.1100000000000001</v>
      </c>
      <c r="L97">
        <v>0.63</v>
      </c>
    </row>
    <row r="98" spans="1:12" x14ac:dyDescent="0.2">
      <c r="A98" t="s">
        <v>479</v>
      </c>
      <c r="B98">
        <v>55</v>
      </c>
      <c r="C98">
        <v>0.32900000000000001</v>
      </c>
      <c r="E98">
        <v>5.0000000000000001E-3</v>
      </c>
      <c r="F98">
        <v>1.21E-2</v>
      </c>
      <c r="G98">
        <v>2.8000000000000001E-2</v>
      </c>
      <c r="J98">
        <v>33.6</v>
      </c>
      <c r="K98">
        <v>8.0299999999999994</v>
      </c>
      <c r="L98">
        <v>0.68</v>
      </c>
    </row>
    <row r="99" spans="1:12" x14ac:dyDescent="0.2">
      <c r="A99" t="s">
        <v>480</v>
      </c>
      <c r="B99">
        <v>12</v>
      </c>
      <c r="C99">
        <v>0.03</v>
      </c>
      <c r="D99">
        <v>3.9E-2</v>
      </c>
      <c r="E99">
        <v>1.2500000000000001E-2</v>
      </c>
      <c r="F99">
        <v>4.8000000000000001E-2</v>
      </c>
      <c r="G99">
        <v>0.157</v>
      </c>
      <c r="H99">
        <v>-8.1000000000000003E-2</v>
      </c>
      <c r="I99">
        <v>0.51200000000000001</v>
      </c>
      <c r="J99">
        <v>-3.5</v>
      </c>
      <c r="K99">
        <v>51.93</v>
      </c>
      <c r="L99">
        <v>2.08</v>
      </c>
    </row>
    <row r="100" spans="1:12" x14ac:dyDescent="0.2">
      <c r="A100" t="s">
        <v>481</v>
      </c>
      <c r="B100">
        <v>14</v>
      </c>
      <c r="C100">
        <v>-0.04</v>
      </c>
      <c r="E100">
        <v>9.5000000000000001E-2</v>
      </c>
      <c r="F100">
        <v>6.2899999999999998E-2</v>
      </c>
      <c r="G100">
        <v>1.9E-2</v>
      </c>
      <c r="H100">
        <v>-6.3E-2</v>
      </c>
      <c r="I100">
        <v>0.44800000000000001</v>
      </c>
      <c r="J100">
        <v>-3.5</v>
      </c>
      <c r="K100">
        <v>3680.5</v>
      </c>
      <c r="L100">
        <v>27.69</v>
      </c>
    </row>
    <row r="101" spans="1:12" ht="16" customHeight="1" thickBot="1" x14ac:dyDescent="0.25">
      <c r="A101" t="s">
        <v>482</v>
      </c>
      <c r="B101">
        <v>12</v>
      </c>
      <c r="C101">
        <v>9.0000000000000011E-3</v>
      </c>
      <c r="E101">
        <v>0.12</v>
      </c>
      <c r="F101">
        <v>0.111</v>
      </c>
      <c r="G101">
        <v>0.06</v>
      </c>
      <c r="H101">
        <v>-5.7000000000000002E-2</v>
      </c>
      <c r="I101">
        <v>0.50700000000000001</v>
      </c>
      <c r="J101">
        <v>-12.7</v>
      </c>
      <c r="K101">
        <v>734.11</v>
      </c>
      <c r="L101">
        <v>19.13</v>
      </c>
    </row>
    <row r="102" spans="1:12" x14ac:dyDescent="0.2">
      <c r="A102" t="s">
        <v>483</v>
      </c>
      <c r="B102">
        <v>337</v>
      </c>
      <c r="C102">
        <v>-4.4999999999999998E-2</v>
      </c>
      <c r="D102">
        <v>-3.5999999999999997E-2</v>
      </c>
      <c r="E102">
        <v>1.7500000000000002E-2</v>
      </c>
      <c r="F102">
        <v>3.3000000000000002E-2</v>
      </c>
      <c r="G102">
        <v>4.2999999999999997E-2</v>
      </c>
      <c r="H102">
        <v>-3.2000000000000001E-2</v>
      </c>
      <c r="I102">
        <v>0.60699999999999998</v>
      </c>
      <c r="J102">
        <v>1</v>
      </c>
      <c r="K102">
        <v>4.1900000000000004</v>
      </c>
      <c r="L102">
        <v>32.729999999999997</v>
      </c>
    </row>
    <row r="103" spans="1:12" ht="16" customHeight="1" thickBot="1" x14ac:dyDescent="0.25">
      <c r="A103" t="s">
        <v>484</v>
      </c>
      <c r="B103">
        <v>4</v>
      </c>
      <c r="C103">
        <v>-8.5999999999999993E-2</v>
      </c>
      <c r="E103">
        <v>7.0000000000000007E-2</v>
      </c>
      <c r="F103">
        <v>-2E-3</v>
      </c>
      <c r="G103">
        <v>6.4000000000000001E-2</v>
      </c>
      <c r="H103">
        <v>-0.27500000000000002</v>
      </c>
      <c r="I103">
        <v>0.52600000000000002</v>
      </c>
      <c r="J103">
        <v>-29.2</v>
      </c>
      <c r="K103">
        <v>15.46</v>
      </c>
      <c r="L103">
        <v>0.56000000000000005</v>
      </c>
    </row>
    <row r="104" spans="1:12" x14ac:dyDescent="0.2">
      <c r="A104" t="s">
        <v>485</v>
      </c>
      <c r="B104">
        <v>17</v>
      </c>
      <c r="C104">
        <v>6.3E-2</v>
      </c>
      <c r="E104">
        <v>0.04</v>
      </c>
      <c r="F104">
        <v>2.9000000000000001E-2</v>
      </c>
      <c r="G104">
        <v>7.4999999999999997E-2</v>
      </c>
      <c r="H104">
        <v>-6.0999999999999999E-2</v>
      </c>
      <c r="J104">
        <v>-1.7</v>
      </c>
      <c r="K104">
        <v>588.96</v>
      </c>
      <c r="L104">
        <v>20.25</v>
      </c>
    </row>
    <row r="105" spans="1:12" x14ac:dyDescent="0.2">
      <c r="A105" t="s">
        <v>486</v>
      </c>
      <c r="B105">
        <v>15</v>
      </c>
      <c r="C105">
        <v>9.6999999999999989E-2</v>
      </c>
      <c r="D105">
        <v>-5.0000000000000001E-3</v>
      </c>
      <c r="E105">
        <v>0</v>
      </c>
      <c r="F105">
        <v>2.4E-2</v>
      </c>
      <c r="G105">
        <v>3.5999999999999997E-2</v>
      </c>
      <c r="H105">
        <v>-0.10100000000000001</v>
      </c>
      <c r="I105">
        <v>0.54299999999999993</v>
      </c>
      <c r="J105">
        <v>-4</v>
      </c>
      <c r="K105">
        <v>1.1100000000000001</v>
      </c>
      <c r="L105">
        <v>0.51</v>
      </c>
    </row>
    <row r="106" spans="1:12" x14ac:dyDescent="0.2">
      <c r="A106" t="s">
        <v>487</v>
      </c>
      <c r="B106">
        <v>8</v>
      </c>
      <c r="C106">
        <v>-3.5999999999999997E-2</v>
      </c>
      <c r="E106">
        <v>0.05</v>
      </c>
      <c r="F106">
        <v>4.7E-2</v>
      </c>
      <c r="G106">
        <v>0.107</v>
      </c>
      <c r="H106">
        <v>2.1999999999999999E-2</v>
      </c>
      <c r="I106">
        <v>0.53100000000000003</v>
      </c>
      <c r="J106">
        <v>-7</v>
      </c>
      <c r="K106">
        <v>357.3</v>
      </c>
      <c r="L106">
        <v>4.6500000000000004</v>
      </c>
    </row>
    <row r="107" spans="1:12" x14ac:dyDescent="0.2">
      <c r="A107" t="s">
        <v>488</v>
      </c>
      <c r="B107">
        <v>11</v>
      </c>
      <c r="C107">
        <v>0.188</v>
      </c>
      <c r="D107">
        <v>-0.09</v>
      </c>
      <c r="E107">
        <v>1.8499999999999999E-2</v>
      </c>
      <c r="F107">
        <v>6.4000000000000001E-2</v>
      </c>
      <c r="G107">
        <v>0.105</v>
      </c>
      <c r="H107">
        <v>-0.13600000000000001</v>
      </c>
      <c r="I107">
        <v>0.7340000000000001</v>
      </c>
      <c r="J107">
        <v>-10.1</v>
      </c>
      <c r="K107">
        <v>42.9</v>
      </c>
      <c r="L107">
        <v>1.27</v>
      </c>
    </row>
    <row r="108" spans="1:12" ht="16" customHeight="1" thickBot="1" x14ac:dyDescent="0.25">
      <c r="A108" t="s">
        <v>489</v>
      </c>
      <c r="B108">
        <v>1076</v>
      </c>
      <c r="C108">
        <v>4.4999999999999998E-2</v>
      </c>
      <c r="D108">
        <v>-4.0000000000000001E-3</v>
      </c>
      <c r="E108">
        <v>5.5E-2</v>
      </c>
      <c r="F108">
        <v>7.3700000000000002E-2</v>
      </c>
      <c r="G108">
        <v>3.9E-2</v>
      </c>
      <c r="H108">
        <v>-4.5999999999999999E-2</v>
      </c>
      <c r="I108">
        <v>0.52100000000000002</v>
      </c>
      <c r="J108">
        <v>2.4</v>
      </c>
      <c r="K108">
        <v>19.36</v>
      </c>
      <c r="L108">
        <v>126.01</v>
      </c>
    </row>
    <row r="109" spans="1:12" x14ac:dyDescent="0.2">
      <c r="A109" t="s">
        <v>490</v>
      </c>
      <c r="B109">
        <v>12</v>
      </c>
      <c r="C109">
        <v>8.3000000000000004E-2</v>
      </c>
      <c r="D109">
        <v>-3.3000000000000002E-2</v>
      </c>
      <c r="E109">
        <v>6.5000000000000002E-2</v>
      </c>
      <c r="F109">
        <v>0.1244</v>
      </c>
      <c r="G109">
        <v>2.5000000000000001E-2</v>
      </c>
      <c r="H109">
        <v>-0.08</v>
      </c>
      <c r="I109">
        <v>0.32900000000000001</v>
      </c>
      <c r="J109">
        <v>-6.7</v>
      </c>
      <c r="K109">
        <v>17.97</v>
      </c>
      <c r="L109">
        <v>2.61</v>
      </c>
    </row>
    <row r="110" spans="1:12" ht="16" customHeight="1" thickBot="1" x14ac:dyDescent="0.25">
      <c r="A110" t="s">
        <v>491</v>
      </c>
      <c r="B110">
        <v>8</v>
      </c>
      <c r="C110">
        <v>7.4999999999999997E-2</v>
      </c>
      <c r="K110">
        <v>1.1100000000000001</v>
      </c>
      <c r="L110">
        <v>0.04</v>
      </c>
    </row>
    <row r="111" spans="1:12" x14ac:dyDescent="0.2">
      <c r="A111" t="s">
        <v>492</v>
      </c>
      <c r="B111">
        <v>13</v>
      </c>
      <c r="C111">
        <v>3.5999999999999997E-2</v>
      </c>
      <c r="D111">
        <v>6.0999999999999999E-2</v>
      </c>
      <c r="E111">
        <v>0.06</v>
      </c>
      <c r="F111">
        <v>0.105</v>
      </c>
      <c r="G111">
        <v>8.4000000000000005E-2</v>
      </c>
      <c r="H111">
        <v>-0.115</v>
      </c>
      <c r="I111">
        <v>0.66</v>
      </c>
      <c r="J111">
        <v>-12.3</v>
      </c>
      <c r="K111">
        <v>2728</v>
      </c>
      <c r="L111">
        <v>3.27</v>
      </c>
    </row>
    <row r="112" spans="1:12" x14ac:dyDescent="0.2">
      <c r="A112" t="s">
        <v>493</v>
      </c>
      <c r="B112">
        <v>5</v>
      </c>
      <c r="C112">
        <v>0.25800000000000001</v>
      </c>
      <c r="F112">
        <v>4.3999999999999997E-2</v>
      </c>
      <c r="G112">
        <v>0.23810000000000001</v>
      </c>
      <c r="H112">
        <v>-0.10100000000000001</v>
      </c>
      <c r="I112">
        <v>1.0327999999999999</v>
      </c>
      <c r="J112">
        <v>-25.9</v>
      </c>
      <c r="K112">
        <v>1.1100000000000001</v>
      </c>
      <c r="L112">
        <v>0.62</v>
      </c>
    </row>
    <row r="113" spans="1:12" ht="16" customHeight="1" thickBot="1" x14ac:dyDescent="0.25">
      <c r="A113" t="s">
        <v>494</v>
      </c>
      <c r="B113">
        <v>113</v>
      </c>
      <c r="C113">
        <v>0.152</v>
      </c>
      <c r="D113">
        <v>1.0999999999999999E-2</v>
      </c>
      <c r="E113">
        <v>1.4999999999999999E-2</v>
      </c>
      <c r="F113">
        <v>2.5999999999999999E-2</v>
      </c>
      <c r="G113">
        <v>0.11799999999999999</v>
      </c>
      <c r="H113">
        <v>-7.5999999999999998E-2</v>
      </c>
      <c r="I113">
        <v>0.76400000000000001</v>
      </c>
      <c r="J113">
        <v>-1.5</v>
      </c>
      <c r="K113">
        <v>8.9600000000000009</v>
      </c>
      <c r="L113">
        <v>35.950000000000003</v>
      </c>
    </row>
    <row r="114" spans="1:12" ht="16" customHeight="1" thickBot="1" x14ac:dyDescent="0.25">
      <c r="A114" t="s">
        <v>495</v>
      </c>
      <c r="B114">
        <v>14</v>
      </c>
      <c r="C114">
        <v>3.3599999999999998E-2</v>
      </c>
      <c r="D114">
        <v>0.02</v>
      </c>
      <c r="E114">
        <v>0.13250000000000001</v>
      </c>
      <c r="F114">
        <v>6.7699999999999996E-2</v>
      </c>
      <c r="G114">
        <v>0.25040000000000001</v>
      </c>
      <c r="H114">
        <v>-0.11700000000000001</v>
      </c>
      <c r="I114">
        <v>1.22</v>
      </c>
      <c r="J114">
        <v>-30.8</v>
      </c>
      <c r="K114">
        <v>63</v>
      </c>
      <c r="L114">
        <v>30.83</v>
      </c>
    </row>
    <row r="115" spans="1:12" x14ac:dyDescent="0.2">
      <c r="A115" t="s">
        <v>496</v>
      </c>
      <c r="B115">
        <v>76</v>
      </c>
      <c r="C115">
        <v>-0.1</v>
      </c>
      <c r="E115">
        <v>7.0000000000000007E-2</v>
      </c>
      <c r="F115">
        <v>6.5099999999999991E-2</v>
      </c>
      <c r="G115">
        <v>1.7899999999999999E-2</v>
      </c>
      <c r="H115">
        <v>-5.5999999999999987E-2</v>
      </c>
      <c r="I115">
        <v>0.42399999999999999</v>
      </c>
      <c r="J115">
        <v>-4</v>
      </c>
      <c r="K115">
        <v>1500</v>
      </c>
      <c r="L115">
        <v>54.53</v>
      </c>
    </row>
    <row r="116" spans="1:12" ht="16" customHeight="1" thickBot="1" x14ac:dyDescent="0.25">
      <c r="A116" t="s">
        <v>497</v>
      </c>
      <c r="B116">
        <v>11</v>
      </c>
      <c r="C116">
        <v>2.4E-2</v>
      </c>
      <c r="D116">
        <v>-1.3899999999999999E-2</v>
      </c>
      <c r="E116">
        <v>3.7499999999999999E-2</v>
      </c>
      <c r="F116">
        <v>4.0999999999999988E-2</v>
      </c>
      <c r="G116">
        <v>0.33400000000000002</v>
      </c>
      <c r="H116">
        <v>-9.5000000000000001E-2</v>
      </c>
      <c r="I116">
        <v>0.69599999999999995</v>
      </c>
      <c r="J116">
        <v>1.9</v>
      </c>
      <c r="K116">
        <v>14.72</v>
      </c>
      <c r="L116">
        <v>2.5</v>
      </c>
    </row>
    <row r="117" spans="1:12" ht="16" customHeight="1" thickBot="1" x14ac:dyDescent="0.25">
      <c r="A117" t="s">
        <v>498</v>
      </c>
      <c r="B117">
        <v>34</v>
      </c>
      <c r="C117">
        <v>0.04</v>
      </c>
      <c r="E117">
        <v>0.05</v>
      </c>
      <c r="F117">
        <v>5.3199999999999997E-2</v>
      </c>
      <c r="G117">
        <v>4.4400000000000002E-2</v>
      </c>
      <c r="H117">
        <v>-5.4000000000000013E-2</v>
      </c>
      <c r="I117">
        <v>0.377</v>
      </c>
      <c r="J117">
        <v>-0.9</v>
      </c>
      <c r="K117">
        <v>113.59</v>
      </c>
      <c r="L117">
        <v>29.13</v>
      </c>
    </row>
    <row r="118" spans="1:12" ht="16" customHeight="1" thickBot="1" x14ac:dyDescent="0.25">
      <c r="A118" t="s">
        <v>499</v>
      </c>
      <c r="B118">
        <v>914</v>
      </c>
      <c r="C118">
        <v>0.05</v>
      </c>
      <c r="D118">
        <v>1.9E-2</v>
      </c>
      <c r="E118">
        <v>0</v>
      </c>
      <c r="F118">
        <v>5.1999999999999998E-2</v>
      </c>
      <c r="G118">
        <v>2.7E-2</v>
      </c>
      <c r="H118">
        <v>-4.2999999999999997E-2</v>
      </c>
      <c r="I118">
        <v>0.54500000000000004</v>
      </c>
      <c r="J118">
        <v>7.8</v>
      </c>
      <c r="K118">
        <v>1.1100000000000001</v>
      </c>
      <c r="L118">
        <v>17.41</v>
      </c>
    </row>
    <row r="119" spans="1:12" ht="16" customHeight="1" thickBot="1" x14ac:dyDescent="0.25">
      <c r="A119" t="s">
        <v>500</v>
      </c>
      <c r="B119">
        <v>10</v>
      </c>
      <c r="C119">
        <v>-1.2E-2</v>
      </c>
      <c r="E119">
        <v>2.5000000000000001E-3</v>
      </c>
      <c r="F119">
        <v>6.3E-3</v>
      </c>
      <c r="G119">
        <v>0.16500000000000001</v>
      </c>
      <c r="K119">
        <v>107</v>
      </c>
      <c r="L119">
        <v>0.27</v>
      </c>
    </row>
    <row r="120" spans="1:12" ht="16" customHeight="1" thickBot="1" x14ac:dyDescent="0.25">
      <c r="A120" t="s">
        <v>501</v>
      </c>
      <c r="B120">
        <v>211</v>
      </c>
      <c r="C120">
        <v>-3.0000000000000001E-3</v>
      </c>
      <c r="D120">
        <v>-3.7000000000000012E-2</v>
      </c>
      <c r="E120">
        <v>7.4999999999999997E-3</v>
      </c>
      <c r="F120">
        <v>4.9000000000000002E-2</v>
      </c>
      <c r="G120">
        <v>3.4000000000000002E-2</v>
      </c>
      <c r="H120">
        <v>-1.2999999999999999E-2</v>
      </c>
      <c r="I120">
        <v>0.30099999999999999</v>
      </c>
      <c r="J120">
        <v>-2.7</v>
      </c>
      <c r="K120">
        <v>0.63</v>
      </c>
      <c r="L120">
        <v>5.1100000000000003</v>
      </c>
    </row>
    <row r="121" spans="1:12" ht="16" customHeight="1" thickBot="1" x14ac:dyDescent="0.25">
      <c r="A121" t="s">
        <v>502</v>
      </c>
      <c r="B121">
        <v>13</v>
      </c>
      <c r="C121">
        <v>0.16700000000000001</v>
      </c>
      <c r="E121">
        <v>8.6199999999999999E-2</v>
      </c>
      <c r="F121">
        <v>6.4100000000000004E-2</v>
      </c>
      <c r="G121">
        <v>4.9000000000000002E-2</v>
      </c>
      <c r="H121">
        <v>-0.01</v>
      </c>
      <c r="I121">
        <v>0.64800000000000002</v>
      </c>
      <c r="J121">
        <v>7.6</v>
      </c>
      <c r="K121">
        <v>33.47</v>
      </c>
      <c r="L121">
        <v>6.67</v>
      </c>
    </row>
    <row r="122" spans="1:12" ht="16" customHeight="1" thickBot="1" x14ac:dyDescent="0.25">
      <c r="A122" t="s">
        <v>503</v>
      </c>
      <c r="B122">
        <v>14</v>
      </c>
      <c r="C122">
        <v>6.9000000000000006E-2</v>
      </c>
      <c r="E122">
        <v>0.04</v>
      </c>
      <c r="F122">
        <v>3.61E-2</v>
      </c>
      <c r="G122">
        <v>6.9999999999999993E-3</v>
      </c>
      <c r="H122">
        <v>-5.7000000000000002E-2</v>
      </c>
      <c r="I122">
        <v>0.39800000000000002</v>
      </c>
      <c r="J122">
        <v>-12</v>
      </c>
      <c r="K122">
        <v>588.96</v>
      </c>
      <c r="L122">
        <v>24.2</v>
      </c>
    </row>
    <row r="123" spans="1:12" x14ac:dyDescent="0.2">
      <c r="A123" t="s">
        <v>504</v>
      </c>
      <c r="B123">
        <v>432</v>
      </c>
      <c r="C123">
        <v>0.04</v>
      </c>
      <c r="D123">
        <v>0.111</v>
      </c>
      <c r="E123">
        <v>0.115</v>
      </c>
      <c r="F123">
        <v>0.154</v>
      </c>
      <c r="G123">
        <v>0.33300000000000002</v>
      </c>
      <c r="H123">
        <v>-3.7999999999999999E-2</v>
      </c>
      <c r="I123">
        <v>0.34979999999999989</v>
      </c>
      <c r="J123">
        <v>-4.2</v>
      </c>
      <c r="K123">
        <v>411</v>
      </c>
      <c r="L123">
        <v>206.14</v>
      </c>
    </row>
    <row r="124" spans="1:12" ht="16" customHeight="1" thickBot="1" x14ac:dyDescent="0.25">
      <c r="A124" t="s">
        <v>505</v>
      </c>
      <c r="B124">
        <v>363</v>
      </c>
      <c r="C124">
        <v>5.0999999999999997E-2</v>
      </c>
      <c r="D124">
        <v>3.7999999999999999E-2</v>
      </c>
      <c r="E124">
        <v>5.0000000000000001E-3</v>
      </c>
      <c r="F124">
        <v>5.0999999999999997E-2</v>
      </c>
      <c r="G124">
        <v>4.2000000000000003E-2</v>
      </c>
      <c r="H124">
        <v>-3.4000000000000002E-2</v>
      </c>
      <c r="I124">
        <v>0.46</v>
      </c>
      <c r="J124">
        <v>2</v>
      </c>
      <c r="K124">
        <v>8.93</v>
      </c>
      <c r="L124">
        <v>5.37</v>
      </c>
    </row>
    <row r="125" spans="1:12" ht="16" customHeight="1" thickBot="1" x14ac:dyDescent="0.25">
      <c r="A125" t="s">
        <v>506</v>
      </c>
      <c r="B125">
        <v>76</v>
      </c>
      <c r="C125">
        <v>-6.3E-2</v>
      </c>
      <c r="E125">
        <v>5.0000000000000001E-3</v>
      </c>
      <c r="F125">
        <v>3.56E-2</v>
      </c>
      <c r="G125">
        <v>0.05</v>
      </c>
      <c r="H125">
        <v>-7.0000000000000007E-2</v>
      </c>
      <c r="I125">
        <v>0.55899999999999994</v>
      </c>
      <c r="J125">
        <v>-5.2</v>
      </c>
      <c r="K125">
        <v>0.38</v>
      </c>
      <c r="L125">
        <v>4.5</v>
      </c>
    </row>
    <row r="126" spans="1:12" ht="16" customHeight="1" thickBot="1" x14ac:dyDescent="0.25">
      <c r="A126" t="s">
        <v>507</v>
      </c>
      <c r="B126">
        <v>264</v>
      </c>
      <c r="C126">
        <v>3.9399999999999998E-2</v>
      </c>
      <c r="D126">
        <v>5.79E-2</v>
      </c>
      <c r="E126">
        <v>9.7500000000000003E-2</v>
      </c>
      <c r="F126">
        <v>0.115</v>
      </c>
      <c r="G126">
        <v>4.3999999999999997E-2</v>
      </c>
      <c r="H126">
        <v>-8.1000000000000003E-2</v>
      </c>
      <c r="I126">
        <v>0.87</v>
      </c>
      <c r="J126">
        <v>-0.6</v>
      </c>
      <c r="K126">
        <v>159</v>
      </c>
      <c r="L126">
        <v>221</v>
      </c>
    </row>
    <row r="127" spans="1:12" x14ac:dyDescent="0.2">
      <c r="A127" t="s">
        <v>508</v>
      </c>
      <c r="B127">
        <v>16</v>
      </c>
      <c r="C127">
        <v>0.19</v>
      </c>
      <c r="F127">
        <v>1.38E-2</v>
      </c>
      <c r="G127">
        <v>0.27</v>
      </c>
      <c r="H127">
        <v>-5.0000000000000001E-3</v>
      </c>
      <c r="I127">
        <v>0.16400000000000001</v>
      </c>
      <c r="J127">
        <v>-6.9</v>
      </c>
      <c r="L127">
        <v>5.0999999999999996</v>
      </c>
    </row>
    <row r="128" spans="1:12" ht="16" customHeight="1" thickBot="1" x14ac:dyDescent="0.25">
      <c r="A128" t="s">
        <v>509</v>
      </c>
      <c r="B128">
        <v>53</v>
      </c>
      <c r="C128">
        <v>0.255</v>
      </c>
      <c r="E128">
        <v>1.3599999999999999E-2</v>
      </c>
      <c r="F128">
        <v>3.3599999999999998E-2</v>
      </c>
      <c r="G128">
        <v>0.185</v>
      </c>
      <c r="H128">
        <v>-9.2300000000000007E-2</v>
      </c>
      <c r="I128">
        <v>0.69819999999999993</v>
      </c>
      <c r="J128">
        <v>2.2999999999999998</v>
      </c>
      <c r="K128">
        <v>1</v>
      </c>
      <c r="L128">
        <v>4.3</v>
      </c>
    </row>
    <row r="129" spans="1:12" x14ac:dyDescent="0.2">
      <c r="A129" t="s">
        <v>510</v>
      </c>
      <c r="B129">
        <v>24</v>
      </c>
      <c r="C129">
        <v>-3.7999999999999999E-2</v>
      </c>
      <c r="E129">
        <v>0.03</v>
      </c>
      <c r="F129">
        <v>3.3099999999999997E-2</v>
      </c>
      <c r="G129">
        <v>2.7E-2</v>
      </c>
      <c r="H129">
        <v>-8.1000000000000003E-2</v>
      </c>
      <c r="I129">
        <v>0.48899999999999999</v>
      </c>
      <c r="J129">
        <v>16.899999999999999</v>
      </c>
      <c r="K129">
        <v>3.41</v>
      </c>
      <c r="L129">
        <v>8.9499999999999993</v>
      </c>
    </row>
    <row r="130" spans="1:12" x14ac:dyDescent="0.2">
      <c r="A130" t="s">
        <v>511</v>
      </c>
      <c r="B130">
        <v>35</v>
      </c>
      <c r="C130">
        <v>6.9000000000000006E-2</v>
      </c>
      <c r="D130">
        <v>0</v>
      </c>
      <c r="E130">
        <v>5.2499999999999998E-2</v>
      </c>
      <c r="F130">
        <v>7.400000000000001E-2</v>
      </c>
      <c r="G130">
        <v>8.5999999999999993E-2</v>
      </c>
      <c r="H130">
        <v>-7.2999999999999995E-2</v>
      </c>
      <c r="I130">
        <v>0.33900000000000002</v>
      </c>
      <c r="J130">
        <v>2.2000000000000002</v>
      </c>
      <c r="K130">
        <v>6838.31</v>
      </c>
      <c r="L130">
        <v>7.25</v>
      </c>
    </row>
    <row r="131" spans="1:12" ht="16" customHeight="1" thickBot="1" x14ac:dyDescent="0.25">
      <c r="A131" t="s">
        <v>512</v>
      </c>
      <c r="B131">
        <v>202</v>
      </c>
      <c r="C131">
        <v>0.114</v>
      </c>
      <c r="D131">
        <v>2.8000000000000001E-2</v>
      </c>
      <c r="E131">
        <v>2.5000000000000001E-2</v>
      </c>
      <c r="F131">
        <v>5.6599999999999998E-2</v>
      </c>
      <c r="G131">
        <v>9.0999999999999998E-2</v>
      </c>
      <c r="H131">
        <v>-8.900000000000001E-2</v>
      </c>
      <c r="I131">
        <v>0.35399999999999998</v>
      </c>
      <c r="J131">
        <v>0.7</v>
      </c>
      <c r="K131">
        <v>3.96</v>
      </c>
      <c r="L131">
        <v>32.630000000000003</v>
      </c>
    </row>
    <row r="132" spans="1:12" x14ac:dyDescent="0.2">
      <c r="A132" t="s">
        <v>513</v>
      </c>
      <c r="B132">
        <v>361</v>
      </c>
      <c r="C132">
        <v>7.0999999999999994E-2</v>
      </c>
      <c r="D132">
        <v>3.7999999999999999E-2</v>
      </c>
      <c r="E132">
        <v>0.02</v>
      </c>
      <c r="F132">
        <v>4.2000000000000003E-2</v>
      </c>
      <c r="G132">
        <v>7.400000000000001E-2</v>
      </c>
      <c r="H132">
        <v>-7.4999999999999997E-2</v>
      </c>
      <c r="I132">
        <v>0.53500000000000003</v>
      </c>
      <c r="J132">
        <v>3.6</v>
      </c>
      <c r="K132">
        <v>50.07</v>
      </c>
      <c r="L132">
        <v>109.6</v>
      </c>
    </row>
    <row r="133" spans="1:12" x14ac:dyDescent="0.2">
      <c r="A133" t="s">
        <v>514</v>
      </c>
      <c r="B133">
        <v>594</v>
      </c>
      <c r="C133">
        <v>5.2999999999999999E-2</v>
      </c>
      <c r="D133">
        <v>2.3E-2</v>
      </c>
      <c r="E133">
        <v>1.7500000000000002E-2</v>
      </c>
      <c r="F133">
        <v>7.8E-2</v>
      </c>
      <c r="G133">
        <v>5.5E-2</v>
      </c>
      <c r="H133">
        <v>-7.0000000000000007E-2</v>
      </c>
      <c r="I133">
        <v>0.57499999999999996</v>
      </c>
      <c r="J133">
        <v>3.6</v>
      </c>
      <c r="K133">
        <v>3.89</v>
      </c>
      <c r="L133">
        <v>37.96</v>
      </c>
    </row>
    <row r="134" spans="1:12" x14ac:dyDescent="0.2">
      <c r="A134" t="s">
        <v>515</v>
      </c>
      <c r="B134">
        <v>231</v>
      </c>
      <c r="C134">
        <v>4.2000000000000003E-2</v>
      </c>
      <c r="D134">
        <v>2.9000000000000001E-2</v>
      </c>
      <c r="E134">
        <v>0</v>
      </c>
      <c r="F134">
        <v>2.5999999999999999E-2</v>
      </c>
      <c r="G134">
        <v>6.0999999999999999E-2</v>
      </c>
      <c r="H134">
        <v>-5.7000000000000002E-2</v>
      </c>
      <c r="I134">
        <v>1.3360000000000001</v>
      </c>
      <c r="J134">
        <v>-1.2</v>
      </c>
      <c r="K134">
        <v>1.1100000000000001</v>
      </c>
      <c r="L134">
        <v>10.3</v>
      </c>
    </row>
    <row r="135" spans="1:12" x14ac:dyDescent="0.2">
      <c r="A135" t="s">
        <v>516</v>
      </c>
      <c r="B135">
        <v>103</v>
      </c>
      <c r="C135">
        <v>-3.2000000000000001E-2</v>
      </c>
      <c r="F135">
        <v>3.5000000000000003E-2</v>
      </c>
      <c r="G135">
        <v>7.2000000000000008E-2</v>
      </c>
      <c r="K135">
        <v>98.56</v>
      </c>
      <c r="L135">
        <v>3.19</v>
      </c>
    </row>
    <row r="136" spans="1:12" ht="16" customHeight="1" thickBot="1" x14ac:dyDescent="0.25">
      <c r="A136" t="s">
        <v>517</v>
      </c>
      <c r="B136">
        <v>146</v>
      </c>
      <c r="C136">
        <v>0.04</v>
      </c>
      <c r="D136">
        <v>-3.0000000000000001E-3</v>
      </c>
      <c r="E136">
        <v>2.5000000000000001E-2</v>
      </c>
      <c r="F136">
        <v>6.0900000000000003E-2</v>
      </c>
      <c r="G136">
        <v>1E-3</v>
      </c>
      <c r="H136">
        <v>-2.1000000000000001E-2</v>
      </c>
      <c r="I136">
        <v>0.71799999999999997</v>
      </c>
      <c r="J136">
        <v>-2.5</v>
      </c>
      <c r="K136">
        <v>3.7</v>
      </c>
      <c r="L136">
        <v>2.88</v>
      </c>
    </row>
    <row r="137" spans="1:12" x14ac:dyDescent="0.2">
      <c r="A137" t="s">
        <v>518</v>
      </c>
      <c r="B137">
        <v>11</v>
      </c>
      <c r="C137">
        <v>-7.9000000000000001E-2</v>
      </c>
      <c r="E137">
        <v>3.2500000000000001E-2</v>
      </c>
      <c r="F137">
        <v>1.0999999999999999E-2</v>
      </c>
      <c r="G137">
        <v>0.10299999999999999</v>
      </c>
      <c r="H137">
        <v>-0.02</v>
      </c>
      <c r="I137">
        <v>1.0167999999999999</v>
      </c>
      <c r="J137">
        <v>8.1999999999999993</v>
      </c>
      <c r="K137">
        <v>551.32000000000005</v>
      </c>
      <c r="L137">
        <v>5.52</v>
      </c>
    </row>
    <row r="138" spans="1:12" ht="16" customHeight="1" thickBot="1" x14ac:dyDescent="0.25">
      <c r="A138" t="s">
        <v>519</v>
      </c>
      <c r="B138">
        <v>249</v>
      </c>
      <c r="C138">
        <v>7.400000000000001E-2</v>
      </c>
      <c r="D138">
        <v>4.0000000000000001E-3</v>
      </c>
      <c r="E138">
        <v>1.7500000000000002E-2</v>
      </c>
      <c r="F138">
        <v>7.8E-2</v>
      </c>
      <c r="G138">
        <v>5.2999999999999999E-2</v>
      </c>
      <c r="H138">
        <v>-9.1999999999999998E-2</v>
      </c>
      <c r="I138">
        <v>0.47299999999999998</v>
      </c>
      <c r="J138">
        <v>-5.0999999999999996</v>
      </c>
      <c r="K138">
        <v>4.18</v>
      </c>
      <c r="L138">
        <v>19.329999999999998</v>
      </c>
    </row>
    <row r="139" spans="1:12" ht="16" customHeight="1" thickBot="1" x14ac:dyDescent="0.25">
      <c r="A139" t="s">
        <v>520</v>
      </c>
      <c r="B139">
        <v>1484</v>
      </c>
      <c r="C139">
        <v>4.2999999999999997E-2</v>
      </c>
      <c r="D139">
        <v>-8.0000000000000002E-3</v>
      </c>
      <c r="E139">
        <v>8.5000000000000006E-2</v>
      </c>
      <c r="F139">
        <v>8.4000000000000005E-2</v>
      </c>
      <c r="G139">
        <v>4.2999999999999997E-2</v>
      </c>
      <c r="H139">
        <v>-3.7999999999999999E-2</v>
      </c>
      <c r="I139">
        <v>0.17799999999999999</v>
      </c>
      <c r="J139">
        <v>2.4</v>
      </c>
      <c r="K139">
        <v>64.349999999999994</v>
      </c>
      <c r="L139">
        <v>146.19999999999999</v>
      </c>
    </row>
    <row r="140" spans="1:12" x14ac:dyDescent="0.2">
      <c r="A140" t="s">
        <v>521</v>
      </c>
      <c r="B140">
        <v>10</v>
      </c>
      <c r="C140">
        <v>0.10100000000000001</v>
      </c>
      <c r="D140">
        <v>1.2E-2</v>
      </c>
      <c r="E140">
        <v>4.4999999999999998E-2</v>
      </c>
      <c r="F140">
        <v>-3.4000000000000002E-2</v>
      </c>
      <c r="G140">
        <v>0.23499999999999999</v>
      </c>
      <c r="H140">
        <v>-8.3000000000000004E-2</v>
      </c>
      <c r="I140">
        <v>0.61</v>
      </c>
      <c r="J140">
        <v>-10</v>
      </c>
      <c r="K140">
        <v>934.59</v>
      </c>
      <c r="L140">
        <v>12.66</v>
      </c>
    </row>
    <row r="141" spans="1:12" x14ac:dyDescent="0.2">
      <c r="A141" t="s">
        <v>522</v>
      </c>
      <c r="B141">
        <v>0</v>
      </c>
      <c r="C141">
        <v>-6.4000000000000001E-2</v>
      </c>
      <c r="E141">
        <v>0.09</v>
      </c>
      <c r="F141">
        <v>8.4000000000000005E-2</v>
      </c>
      <c r="G141">
        <v>0.13900000000000001</v>
      </c>
      <c r="H141">
        <v>-0.05</v>
      </c>
      <c r="I141">
        <v>1.03</v>
      </c>
      <c r="J141">
        <v>-9.3000000000000007</v>
      </c>
      <c r="K141">
        <v>20.8</v>
      </c>
      <c r="L141">
        <v>0.21</v>
      </c>
    </row>
    <row r="142" spans="1:12" x14ac:dyDescent="0.2">
      <c r="A142" t="s">
        <v>523</v>
      </c>
      <c r="B142">
        <v>700</v>
      </c>
      <c r="C142">
        <v>7.0000000000000007E-2</v>
      </c>
      <c r="D142">
        <v>5.7000000000000002E-2</v>
      </c>
      <c r="E142">
        <v>0.01</v>
      </c>
      <c r="F142">
        <v>1.0999999999999999E-2</v>
      </c>
      <c r="G142">
        <v>6.6000000000000003E-2</v>
      </c>
      <c r="H142">
        <v>-0.112</v>
      </c>
      <c r="I142">
        <v>0.32500000000000001</v>
      </c>
      <c r="J142">
        <v>-2.8</v>
      </c>
      <c r="K142">
        <v>3.75</v>
      </c>
      <c r="L142">
        <v>35</v>
      </c>
    </row>
    <row r="143" spans="1:12" x14ac:dyDescent="0.2">
      <c r="A143" t="s">
        <v>524</v>
      </c>
      <c r="B143">
        <v>25</v>
      </c>
      <c r="C143">
        <v>0.109</v>
      </c>
      <c r="D143">
        <v>9.0000000000000011E-3</v>
      </c>
      <c r="E143">
        <v>0.04</v>
      </c>
      <c r="F143">
        <v>0.03</v>
      </c>
      <c r="G143">
        <v>0.22600000000000001</v>
      </c>
      <c r="H143">
        <v>-0.06</v>
      </c>
      <c r="I143">
        <v>0.47699999999999998</v>
      </c>
      <c r="J143">
        <v>-10.3</v>
      </c>
      <c r="K143">
        <v>588.96</v>
      </c>
      <c r="L143">
        <v>16.7</v>
      </c>
    </row>
    <row r="144" spans="1:12" x14ac:dyDescent="0.2">
      <c r="A144" t="s">
        <v>525</v>
      </c>
      <c r="B144">
        <v>53</v>
      </c>
      <c r="C144">
        <v>7.6999999999999999E-2</v>
      </c>
      <c r="D144">
        <v>1.6E-2</v>
      </c>
      <c r="E144">
        <v>0.01</v>
      </c>
      <c r="F144">
        <v>7.4999999999999997E-2</v>
      </c>
      <c r="G144">
        <v>0.105</v>
      </c>
      <c r="H144">
        <v>-8.4000000000000005E-2</v>
      </c>
      <c r="I144">
        <v>0.57399999999999995</v>
      </c>
      <c r="J144">
        <v>-4.3</v>
      </c>
      <c r="K144">
        <v>105.49</v>
      </c>
      <c r="L144">
        <v>6.93</v>
      </c>
    </row>
    <row r="145" spans="1:12" ht="16" customHeight="1" thickBot="1" x14ac:dyDescent="0.25">
      <c r="A145" t="s">
        <v>526</v>
      </c>
      <c r="B145">
        <v>1</v>
      </c>
      <c r="C145">
        <v>0.14299999999999999</v>
      </c>
      <c r="E145">
        <v>0.02</v>
      </c>
      <c r="F145">
        <v>9.3699999999999992E-2</v>
      </c>
      <c r="G145">
        <v>0.04</v>
      </c>
      <c r="H145">
        <v>-0.191</v>
      </c>
      <c r="I145">
        <v>0.94</v>
      </c>
      <c r="J145">
        <v>-27.4</v>
      </c>
      <c r="K145">
        <v>13.7</v>
      </c>
      <c r="L145">
        <v>0.1</v>
      </c>
    </row>
    <row r="146" spans="1:12" ht="16" customHeight="1" thickBot="1" x14ac:dyDescent="0.25">
      <c r="A146" t="s">
        <v>527</v>
      </c>
      <c r="B146">
        <v>4</v>
      </c>
      <c r="C146">
        <v>-2.7E-2</v>
      </c>
      <c r="E146">
        <v>0.14000000000000001</v>
      </c>
      <c r="F146">
        <v>0.14549999999999999</v>
      </c>
      <c r="G146">
        <v>4.5999999999999999E-2</v>
      </c>
      <c r="H146">
        <v>-5.7000000000000002E-2</v>
      </c>
      <c r="I146">
        <v>0.71900000000000008</v>
      </c>
      <c r="J146">
        <v>-15.6</v>
      </c>
      <c r="K146">
        <v>9800</v>
      </c>
      <c r="L146">
        <v>7.98</v>
      </c>
    </row>
    <row r="147" spans="1:12" ht="16" customHeight="1" thickBot="1" x14ac:dyDescent="0.25">
      <c r="A147" t="s">
        <v>528</v>
      </c>
      <c r="B147">
        <v>340</v>
      </c>
      <c r="C147">
        <v>7.0999999999999994E-2</v>
      </c>
      <c r="D147">
        <v>1.2999999999999999E-2</v>
      </c>
      <c r="E147">
        <v>2.2000000000000001E-3</v>
      </c>
      <c r="F147">
        <v>3.2000000000000001E-2</v>
      </c>
      <c r="G147">
        <v>2.5999999999999999E-2</v>
      </c>
      <c r="H147">
        <v>-0.13900000000000001</v>
      </c>
      <c r="I147">
        <v>1.31</v>
      </c>
      <c r="J147">
        <v>17.600000000000001</v>
      </c>
      <c r="K147">
        <v>1.37</v>
      </c>
      <c r="L147">
        <v>5.7</v>
      </c>
    </row>
    <row r="148" spans="1:12" ht="16" customHeight="1" thickBot="1" x14ac:dyDescent="0.25">
      <c r="A148" t="s">
        <v>529</v>
      </c>
      <c r="B148">
        <v>105</v>
      </c>
      <c r="C148">
        <v>1.2999999999999999E-2</v>
      </c>
      <c r="D148">
        <v>4.0000000000000001E-3</v>
      </c>
      <c r="E148">
        <v>0</v>
      </c>
      <c r="F148">
        <v>5.5999999999999987E-2</v>
      </c>
      <c r="G148">
        <v>6.6000000000000003E-2</v>
      </c>
      <c r="H148">
        <v>-6.2E-2</v>
      </c>
      <c r="I148">
        <v>0.60599999999999998</v>
      </c>
      <c r="J148">
        <v>-0.4</v>
      </c>
      <c r="K148">
        <v>1.1100000000000001</v>
      </c>
      <c r="L148">
        <v>5.46</v>
      </c>
    </row>
    <row r="149" spans="1:12" x14ac:dyDescent="0.2">
      <c r="A149" t="s">
        <v>530</v>
      </c>
      <c r="B149">
        <v>54</v>
      </c>
      <c r="C149">
        <v>0.05</v>
      </c>
      <c r="D149">
        <v>1.2999999999999999E-2</v>
      </c>
      <c r="E149">
        <v>0</v>
      </c>
      <c r="F149">
        <v>4.5999999999999999E-2</v>
      </c>
      <c r="G149">
        <v>6.8000000000000005E-2</v>
      </c>
      <c r="H149">
        <v>-8.4000000000000005E-2</v>
      </c>
      <c r="I149">
        <v>0.80799999999999994</v>
      </c>
      <c r="J149">
        <v>7.1</v>
      </c>
      <c r="K149">
        <v>1.1100000000000001</v>
      </c>
      <c r="L149">
        <v>2.1</v>
      </c>
    </row>
    <row r="150" spans="1:12" ht="16" customHeight="1" thickBot="1" x14ac:dyDescent="0.25">
      <c r="A150" t="s">
        <v>531</v>
      </c>
      <c r="B150">
        <v>5</v>
      </c>
      <c r="C150">
        <v>-1.4999999999999999E-2</v>
      </c>
      <c r="F150">
        <v>5.0299999999999997E-2</v>
      </c>
      <c r="K150">
        <v>578.5</v>
      </c>
      <c r="L150">
        <v>15.89</v>
      </c>
    </row>
    <row r="151" spans="1:12" ht="16" customHeight="1" thickBot="1" x14ac:dyDescent="0.25">
      <c r="A151" t="s">
        <v>532</v>
      </c>
      <c r="B151">
        <v>302</v>
      </c>
      <c r="C151">
        <v>2.9000000000000001E-2</v>
      </c>
      <c r="D151">
        <v>-1.4999999999999999E-2</v>
      </c>
      <c r="E151">
        <v>3.7499999999999999E-2</v>
      </c>
      <c r="F151">
        <v>5.5E-2</v>
      </c>
      <c r="G151">
        <v>0.34899999999999998</v>
      </c>
      <c r="H151">
        <v>-0.1</v>
      </c>
      <c r="I151">
        <v>0.80299999999999994</v>
      </c>
      <c r="J151">
        <v>2.2000000000000002</v>
      </c>
      <c r="K151">
        <v>14.73</v>
      </c>
      <c r="L151">
        <v>59.3</v>
      </c>
    </row>
    <row r="152" spans="1:12" ht="16" customHeight="1" thickBot="1" x14ac:dyDescent="0.25">
      <c r="A152" t="s">
        <v>533</v>
      </c>
      <c r="B152">
        <v>1631</v>
      </c>
      <c r="C152">
        <v>0.04</v>
      </c>
      <c r="D152">
        <v>3.0000000000000001E-3</v>
      </c>
      <c r="E152">
        <v>0.01</v>
      </c>
      <c r="F152">
        <v>3.7000000000000012E-2</v>
      </c>
      <c r="G152">
        <v>3.1E-2</v>
      </c>
      <c r="H152">
        <v>-6.0999999999999999E-2</v>
      </c>
      <c r="I152">
        <v>0.42599999999999999</v>
      </c>
      <c r="J152">
        <v>3.5</v>
      </c>
      <c r="K152">
        <v>1145.8499999999999</v>
      </c>
      <c r="L152">
        <v>51.78</v>
      </c>
    </row>
    <row r="153" spans="1:12" ht="16" customHeight="1" thickBot="1" x14ac:dyDescent="0.25">
      <c r="A153" t="s">
        <v>534</v>
      </c>
      <c r="B153">
        <v>1</v>
      </c>
      <c r="C153">
        <v>-3.5999999999999997E-2</v>
      </c>
      <c r="E153">
        <v>0.15</v>
      </c>
      <c r="F153">
        <v>5.8099999999999999E-2</v>
      </c>
      <c r="G153">
        <v>0.127</v>
      </c>
      <c r="K153">
        <v>175.31</v>
      </c>
      <c r="L153">
        <v>11.19</v>
      </c>
    </row>
    <row r="154" spans="1:12" ht="16" customHeight="1" thickBot="1" x14ac:dyDescent="0.25">
      <c r="A154" t="s">
        <v>535</v>
      </c>
      <c r="B154">
        <v>1281</v>
      </c>
      <c r="C154">
        <v>2.7E-2</v>
      </c>
      <c r="D154">
        <v>0.02</v>
      </c>
      <c r="E154">
        <v>0</v>
      </c>
      <c r="F154">
        <v>5.5E-2</v>
      </c>
      <c r="G154">
        <v>0.1457</v>
      </c>
      <c r="H154">
        <v>-0.11</v>
      </c>
      <c r="I154">
        <v>1.2</v>
      </c>
      <c r="J154">
        <v>0.7</v>
      </c>
      <c r="K154">
        <v>1.1100000000000001</v>
      </c>
      <c r="L154">
        <v>47.33</v>
      </c>
    </row>
    <row r="155" spans="1:12" ht="16" customHeight="1" thickBot="1" x14ac:dyDescent="0.25">
      <c r="A155" t="s">
        <v>536</v>
      </c>
      <c r="B155">
        <v>81</v>
      </c>
      <c r="C155">
        <v>-1.4999999999999999E-2</v>
      </c>
      <c r="D155">
        <v>1.4E-2</v>
      </c>
      <c r="E155">
        <v>0.05</v>
      </c>
      <c r="F155">
        <v>9.9000000000000005E-2</v>
      </c>
      <c r="G155">
        <v>5.0999999999999997E-2</v>
      </c>
      <c r="H155">
        <v>-0.111</v>
      </c>
      <c r="I155">
        <v>1.01</v>
      </c>
      <c r="J155">
        <v>-1.3</v>
      </c>
      <c r="K155">
        <v>199</v>
      </c>
      <c r="L155">
        <v>21.92</v>
      </c>
    </row>
    <row r="156" spans="1:12" ht="16" customHeight="1" thickBot="1" x14ac:dyDescent="0.25">
      <c r="A156" t="s">
        <v>537</v>
      </c>
      <c r="B156">
        <v>26</v>
      </c>
      <c r="C156">
        <v>-8.4000000000000005E-2</v>
      </c>
      <c r="E156">
        <v>0.17100000000000001</v>
      </c>
      <c r="F156">
        <v>3.3959999999999999</v>
      </c>
      <c r="G156">
        <v>0.17699999999999999</v>
      </c>
      <c r="H156">
        <v>-0.124</v>
      </c>
      <c r="I156">
        <v>2.5939999999999999</v>
      </c>
      <c r="J156">
        <v>-12.6</v>
      </c>
      <c r="K156">
        <v>45.11</v>
      </c>
      <c r="L156">
        <v>43.85</v>
      </c>
    </row>
    <row r="157" spans="1:12" ht="16" customHeight="1" thickBot="1" x14ac:dyDescent="0.25">
      <c r="A157" t="s">
        <v>538</v>
      </c>
      <c r="B157">
        <v>4</v>
      </c>
      <c r="C157">
        <v>-0.13400000000000001</v>
      </c>
      <c r="E157">
        <v>0.1</v>
      </c>
      <c r="F157">
        <v>0.69499999999999995</v>
      </c>
      <c r="G157">
        <v>0.112</v>
      </c>
      <c r="H157">
        <v>-0.129</v>
      </c>
      <c r="I157">
        <v>1.1140000000000001</v>
      </c>
      <c r="J157">
        <v>11.4</v>
      </c>
      <c r="K157">
        <v>7.46</v>
      </c>
      <c r="L157">
        <v>0.59</v>
      </c>
    </row>
    <row r="158" spans="1:12" ht="16" customHeight="1" thickBot="1" x14ac:dyDescent="0.25">
      <c r="A158" t="s">
        <v>539</v>
      </c>
      <c r="B158">
        <v>4</v>
      </c>
      <c r="C158">
        <v>-2.4E-2</v>
      </c>
      <c r="E158">
        <v>3.7499999999999999E-2</v>
      </c>
      <c r="F158">
        <v>3.3000000000000002E-2</v>
      </c>
      <c r="G158">
        <v>0.23400000000000001</v>
      </c>
      <c r="H158">
        <v>-4.5999999999999999E-2</v>
      </c>
      <c r="I158">
        <v>0.15490000000000001</v>
      </c>
      <c r="J158">
        <v>7</v>
      </c>
      <c r="K158">
        <v>14.36</v>
      </c>
      <c r="L158">
        <v>1.1599999999999999</v>
      </c>
    </row>
    <row r="159" spans="1:12" ht="16" customHeight="1" thickBot="1" x14ac:dyDescent="0.25">
      <c r="A159" t="s">
        <v>540</v>
      </c>
      <c r="B159">
        <v>541</v>
      </c>
      <c r="C159">
        <v>4.7E-2</v>
      </c>
      <c r="D159">
        <v>0.02</v>
      </c>
      <c r="E159">
        <v>0</v>
      </c>
      <c r="F159">
        <v>3.3000000000000002E-2</v>
      </c>
      <c r="G159">
        <v>7.4999999999999997E-2</v>
      </c>
      <c r="H159">
        <v>-3.1E-2</v>
      </c>
      <c r="I159">
        <v>0.39900000000000002</v>
      </c>
      <c r="J159">
        <v>5.2</v>
      </c>
      <c r="K159">
        <v>8.65</v>
      </c>
      <c r="L159">
        <v>10.33</v>
      </c>
    </row>
    <row r="160" spans="1:12" ht="16" customHeight="1" thickBot="1" x14ac:dyDescent="0.25">
      <c r="A160" t="s">
        <v>541</v>
      </c>
      <c r="B160">
        <v>752</v>
      </c>
      <c r="C160">
        <v>4.0999999999999988E-2</v>
      </c>
      <c r="D160">
        <v>1.7000000000000001E-2</v>
      </c>
      <c r="E160">
        <v>-7.4999999999999997E-3</v>
      </c>
      <c r="F160">
        <v>1.4999999999999999E-2</v>
      </c>
      <c r="G160">
        <v>2.5000000000000001E-2</v>
      </c>
      <c r="H160">
        <v>-2.5999999999999999E-2</v>
      </c>
      <c r="I160">
        <v>0.42899999999999999</v>
      </c>
      <c r="J160">
        <v>3.8</v>
      </c>
      <c r="K160">
        <v>0.92</v>
      </c>
      <c r="L160">
        <v>8.61</v>
      </c>
    </row>
    <row r="161" spans="1:12" ht="16" customHeight="1" thickBot="1" x14ac:dyDescent="0.25">
      <c r="A161" t="s">
        <v>542</v>
      </c>
      <c r="B161">
        <v>65</v>
      </c>
      <c r="C161">
        <v>4.8000000000000001E-2</v>
      </c>
      <c r="F161">
        <v>1.3946000000000001</v>
      </c>
      <c r="G161">
        <v>0.09</v>
      </c>
      <c r="H161">
        <v>-0.114</v>
      </c>
      <c r="I161">
        <v>0.30009999999999998</v>
      </c>
      <c r="J161">
        <v>-0.62</v>
      </c>
      <c r="K161">
        <v>436.5</v>
      </c>
      <c r="L161">
        <v>17.5</v>
      </c>
    </row>
    <row r="162" spans="1:12" ht="16" customHeight="1" thickBot="1" x14ac:dyDescent="0.25">
      <c r="A162" t="s">
        <v>543</v>
      </c>
      <c r="B162">
        <v>669</v>
      </c>
      <c r="C162">
        <v>3.7000000000000012E-2</v>
      </c>
      <c r="D162">
        <v>2.7000000000000001E-3</v>
      </c>
      <c r="E162">
        <v>1.1299999999999999E-2</v>
      </c>
      <c r="F162">
        <v>2.8400000000000002E-2</v>
      </c>
      <c r="G162">
        <v>3.7100000000000001E-2</v>
      </c>
      <c r="H162">
        <v>-4.4999999999999998E-2</v>
      </c>
      <c r="I162">
        <v>0.28199999999999997</v>
      </c>
      <c r="J162">
        <v>9.5</v>
      </c>
      <c r="K162">
        <v>28.02</v>
      </c>
      <c r="L162">
        <v>23.55</v>
      </c>
    </row>
    <row r="163" spans="1:12" ht="16" customHeight="1" thickBot="1" x14ac:dyDescent="0.25">
      <c r="A163" t="s">
        <v>544</v>
      </c>
      <c r="B163">
        <v>8</v>
      </c>
      <c r="C163">
        <v>8.6999999999999994E-2</v>
      </c>
      <c r="E163">
        <v>0.13250000000000001</v>
      </c>
      <c r="F163">
        <v>8.6999999999999994E-2</v>
      </c>
      <c r="G163">
        <v>7.4999999999999997E-2</v>
      </c>
      <c r="H163">
        <v>-5.0000000000000001E-3</v>
      </c>
      <c r="I163">
        <v>0.47770000000000001</v>
      </c>
      <c r="J163">
        <v>0</v>
      </c>
      <c r="K163">
        <v>9.68</v>
      </c>
      <c r="L163">
        <v>9.3000000000000007</v>
      </c>
    </row>
    <row r="164" spans="1:12" ht="16" customHeight="1" thickBot="1" x14ac:dyDescent="0.25">
      <c r="A164" t="s">
        <v>545</v>
      </c>
      <c r="B164">
        <v>62</v>
      </c>
      <c r="C164">
        <v>4.2999999999999997E-2</v>
      </c>
      <c r="D164">
        <v>1.4999999999999999E-2</v>
      </c>
      <c r="E164">
        <v>0.05</v>
      </c>
      <c r="F164">
        <v>4.0999999999999988E-2</v>
      </c>
      <c r="G164">
        <v>9.5000000000000001E-2</v>
      </c>
      <c r="H164">
        <v>-2.5999999999999999E-2</v>
      </c>
      <c r="I164">
        <v>0.37799999999999989</v>
      </c>
      <c r="J164">
        <v>-1.5</v>
      </c>
      <c r="K164">
        <v>2314</v>
      </c>
      <c r="L164">
        <v>59.73</v>
      </c>
    </row>
    <row r="165" spans="1:12" ht="16" customHeight="1" thickBot="1" x14ac:dyDescent="0.25">
      <c r="A165" t="s">
        <v>546</v>
      </c>
      <c r="B165">
        <v>502</v>
      </c>
      <c r="C165">
        <v>-3.0000000000000001E-3</v>
      </c>
      <c r="D165">
        <v>-1.0999999999999999E-2</v>
      </c>
      <c r="E165">
        <v>5.0000000000000001E-3</v>
      </c>
      <c r="F165">
        <v>2.7099999999999999E-2</v>
      </c>
      <c r="G165">
        <v>2.2499999999999999E-2</v>
      </c>
      <c r="H165">
        <v>-6.0999999999999999E-2</v>
      </c>
      <c r="I165">
        <v>0.505</v>
      </c>
      <c r="J165">
        <v>4.2</v>
      </c>
      <c r="K165">
        <v>32.64</v>
      </c>
      <c r="L165">
        <v>66.650000000000006</v>
      </c>
    </row>
    <row r="166" spans="1:12" ht="16" customHeight="1" thickBot="1" x14ac:dyDescent="0.25">
      <c r="A166" t="s">
        <v>547</v>
      </c>
      <c r="B166">
        <v>8</v>
      </c>
      <c r="C166">
        <v>7.8E-2</v>
      </c>
      <c r="E166">
        <v>0.04</v>
      </c>
      <c r="F166">
        <v>5.8999999999999997E-2</v>
      </c>
      <c r="G166">
        <v>4.0999999999999988E-2</v>
      </c>
      <c r="H166">
        <v>-4.7E-2</v>
      </c>
      <c r="I166">
        <v>0.29499999999999998</v>
      </c>
      <c r="J166">
        <v>-3.2</v>
      </c>
      <c r="K166">
        <v>588.96</v>
      </c>
      <c r="L166">
        <v>8.2799999999999994</v>
      </c>
    </row>
    <row r="167" spans="1:12" ht="16" customHeight="1" thickBot="1" x14ac:dyDescent="0.25">
      <c r="A167" t="s">
        <v>548</v>
      </c>
      <c r="B167">
        <v>22</v>
      </c>
      <c r="C167">
        <v>-7.6999999999999999E-2</v>
      </c>
      <c r="D167">
        <v>5.0999999999999997E-2</v>
      </c>
      <c r="E167">
        <v>3.5000000000000003E-2</v>
      </c>
      <c r="F167">
        <v>2.1999999999999999E-2</v>
      </c>
      <c r="G167">
        <v>5.0999999999999997E-2</v>
      </c>
      <c r="H167">
        <v>-0.112</v>
      </c>
      <c r="I167">
        <v>0.82700000000000007</v>
      </c>
      <c r="J167">
        <v>2.2999999999999998</v>
      </c>
      <c r="K167">
        <v>6.74</v>
      </c>
      <c r="L167">
        <v>1.37</v>
      </c>
    </row>
    <row r="168" spans="1:12" ht="16" customHeight="1" thickBot="1" x14ac:dyDescent="0.25">
      <c r="A168" t="s">
        <v>549</v>
      </c>
      <c r="B168">
        <v>39</v>
      </c>
      <c r="C168">
        <v>3.0000000000000001E-3</v>
      </c>
      <c r="D168">
        <v>6.9999999999999993E-3</v>
      </c>
      <c r="E168">
        <v>6.25E-2</v>
      </c>
      <c r="F168">
        <v>6.4000000000000001E-2</v>
      </c>
      <c r="G168">
        <v>0.17799999999999999</v>
      </c>
      <c r="H168">
        <v>-0.114</v>
      </c>
      <c r="I168">
        <v>0.87599999999999989</v>
      </c>
      <c r="J168">
        <v>-6.9</v>
      </c>
      <c r="K168">
        <v>2.8</v>
      </c>
      <c r="L168">
        <v>11.81</v>
      </c>
    </row>
    <row r="169" spans="1:12" ht="16" customHeight="1" thickBot="1" x14ac:dyDescent="0.25">
      <c r="A169" t="s">
        <v>550</v>
      </c>
      <c r="B169">
        <v>720</v>
      </c>
      <c r="C169">
        <v>7.400000000000001E-2</v>
      </c>
      <c r="D169">
        <v>2.7E-2</v>
      </c>
      <c r="E169">
        <v>0.14000000000000001</v>
      </c>
      <c r="F169">
        <v>0.21310000000000001</v>
      </c>
      <c r="G169">
        <v>0.112</v>
      </c>
      <c r="H169">
        <v>-3.4000000000000002E-2</v>
      </c>
      <c r="I169">
        <v>0.39500000000000002</v>
      </c>
      <c r="J169">
        <v>-5.0999999999999996</v>
      </c>
      <c r="K169">
        <v>8.6199999999999992</v>
      </c>
      <c r="L169">
        <v>83.61</v>
      </c>
    </row>
    <row r="170" spans="1:12" ht="16" customHeight="1" thickBot="1" x14ac:dyDescent="0.25">
      <c r="A170" t="s">
        <v>551</v>
      </c>
      <c r="B170">
        <v>45</v>
      </c>
      <c r="C170">
        <v>5.8999999999999997E-2</v>
      </c>
      <c r="F170">
        <v>0.1</v>
      </c>
      <c r="G170">
        <v>4.3799999999999999E-2</v>
      </c>
      <c r="H170">
        <v>1E-3</v>
      </c>
      <c r="I170">
        <v>0.309</v>
      </c>
      <c r="J170">
        <v>0.5</v>
      </c>
      <c r="K170">
        <v>3.5</v>
      </c>
      <c r="L170">
        <v>6</v>
      </c>
    </row>
    <row r="171" spans="1:12" ht="16" customHeight="1" thickBot="1" x14ac:dyDescent="0.25">
      <c r="A171" t="s">
        <v>552</v>
      </c>
      <c r="B171">
        <v>37</v>
      </c>
      <c r="C171">
        <v>0.13700000000000001</v>
      </c>
      <c r="D171">
        <v>-2E-3</v>
      </c>
      <c r="E171">
        <v>6.5000000000000002E-2</v>
      </c>
      <c r="F171">
        <v>2.5999999999999999E-2</v>
      </c>
      <c r="G171">
        <v>2.4400000000000002E-2</v>
      </c>
      <c r="H171">
        <v>-6.6000000000000003E-2</v>
      </c>
      <c r="I171">
        <v>0.498</v>
      </c>
      <c r="J171">
        <v>-9.8000000000000007</v>
      </c>
      <c r="K171">
        <v>3665</v>
      </c>
      <c r="L171">
        <v>45.74</v>
      </c>
    </row>
    <row r="172" spans="1:12" ht="16" customHeight="1" thickBot="1" x14ac:dyDescent="0.25">
      <c r="A172" t="s">
        <v>553</v>
      </c>
      <c r="B172">
        <v>156</v>
      </c>
      <c r="C172">
        <v>2.7E-2</v>
      </c>
      <c r="D172">
        <v>1.4999999999999999E-2</v>
      </c>
      <c r="E172">
        <v>0.09</v>
      </c>
      <c r="F172">
        <v>0.10299999999999999</v>
      </c>
      <c r="G172">
        <v>9.3000000000000013E-2</v>
      </c>
      <c r="H172">
        <v>-6.0999999999999999E-2</v>
      </c>
      <c r="I172">
        <v>0.60799999999999998</v>
      </c>
      <c r="J172">
        <v>4.3</v>
      </c>
      <c r="K172">
        <v>27.25</v>
      </c>
      <c r="L172">
        <v>44.13</v>
      </c>
    </row>
    <row r="173" spans="1:12" ht="16" customHeight="1" thickBot="1" x14ac:dyDescent="0.25">
      <c r="A173" t="s">
        <v>554</v>
      </c>
      <c r="B173">
        <v>421</v>
      </c>
      <c r="C173">
        <v>-6.0999999999999999E-2</v>
      </c>
      <c r="D173">
        <v>0.02</v>
      </c>
      <c r="E173">
        <v>1.4999999999999999E-2</v>
      </c>
      <c r="F173">
        <v>1.2E-2</v>
      </c>
      <c r="G173">
        <v>0.05</v>
      </c>
      <c r="H173">
        <v>-8.0000000000000002E-3</v>
      </c>
      <c r="I173">
        <v>0.36899999999999999</v>
      </c>
      <c r="J173">
        <v>5.9</v>
      </c>
      <c r="K173">
        <v>3.67</v>
      </c>
      <c r="L173">
        <v>9.9</v>
      </c>
    </row>
    <row r="174" spans="1:12" ht="16" customHeight="1" thickBot="1" x14ac:dyDescent="0.25">
      <c r="A174" t="s">
        <v>555</v>
      </c>
      <c r="B174">
        <v>2708</v>
      </c>
      <c r="C174">
        <v>6.8000000000000005E-2</v>
      </c>
      <c r="D174">
        <v>1.0999999999999999E-2</v>
      </c>
      <c r="E174">
        <v>2.5000000000000001E-3</v>
      </c>
      <c r="F174">
        <v>5.0999999999999997E-2</v>
      </c>
      <c r="G174">
        <v>4.2000000000000003E-2</v>
      </c>
      <c r="H174">
        <v>-0.14899999999999999</v>
      </c>
      <c r="I174">
        <v>0.94900000000000007</v>
      </c>
      <c r="J174">
        <v>-3.5</v>
      </c>
      <c r="K174">
        <v>1.25</v>
      </c>
      <c r="L174">
        <v>67.2</v>
      </c>
    </row>
    <row r="175" spans="1:12" ht="16" customHeight="1" thickBot="1" x14ac:dyDescent="0.25">
      <c r="A175" t="s">
        <v>556</v>
      </c>
      <c r="B175">
        <v>20937</v>
      </c>
      <c r="C175">
        <v>4.9000000000000002E-2</v>
      </c>
      <c r="D175">
        <v>2.3E-2</v>
      </c>
      <c r="E175">
        <v>2.5000000000000001E-3</v>
      </c>
      <c r="F175">
        <v>6.8000000000000005E-2</v>
      </c>
      <c r="G175">
        <v>4.2000000000000003E-2</v>
      </c>
      <c r="H175">
        <v>-0.14899999999999999</v>
      </c>
      <c r="I175">
        <v>1.2809999999999999</v>
      </c>
      <c r="J175">
        <v>-3.1</v>
      </c>
      <c r="K175">
        <v>98.56</v>
      </c>
      <c r="L175">
        <v>329.48</v>
      </c>
    </row>
    <row r="176" spans="1:12" ht="16" customHeight="1" thickBot="1" x14ac:dyDescent="0.25">
      <c r="A176" t="s">
        <v>557</v>
      </c>
      <c r="B176">
        <v>54</v>
      </c>
      <c r="C176">
        <v>0.113</v>
      </c>
      <c r="D176">
        <v>7.8E-2</v>
      </c>
      <c r="E176">
        <v>5.2499999999999998E-2</v>
      </c>
      <c r="F176">
        <v>8.0700000000000008E-2</v>
      </c>
      <c r="G176">
        <v>0.08</v>
      </c>
      <c r="H176">
        <v>-5.0999999999999997E-2</v>
      </c>
      <c r="I176">
        <v>0.73</v>
      </c>
      <c r="J176">
        <v>-0.6</v>
      </c>
      <c r="K176">
        <v>37.81</v>
      </c>
      <c r="L176">
        <v>3.53</v>
      </c>
    </row>
    <row r="177" spans="1:12" ht="16" customHeight="1" thickBot="1" x14ac:dyDescent="0.25">
      <c r="A177" t="s">
        <v>558</v>
      </c>
      <c r="B177">
        <v>58</v>
      </c>
      <c r="C177">
        <v>6.2E-2</v>
      </c>
      <c r="E177">
        <v>0.14000000000000001</v>
      </c>
      <c r="F177">
        <v>0.10299999999999999</v>
      </c>
      <c r="G177">
        <v>9.8000000000000004E-2</v>
      </c>
      <c r="H177">
        <v>-4.3999999999999997E-2</v>
      </c>
      <c r="I177">
        <v>0.40400000000000003</v>
      </c>
      <c r="J177">
        <v>-5.4</v>
      </c>
      <c r="K177">
        <v>9527.2999999999993</v>
      </c>
      <c r="L177">
        <v>34.549999999999997</v>
      </c>
    </row>
    <row r="178" spans="1:12" ht="16" customHeight="1" thickBot="1" x14ac:dyDescent="0.25">
      <c r="A178" t="s">
        <v>559</v>
      </c>
      <c r="B178">
        <v>482</v>
      </c>
      <c r="C178">
        <v>-0.26800000000000002</v>
      </c>
      <c r="D178">
        <v>-0.23699999999999999</v>
      </c>
      <c r="E178">
        <v>0.56859999999999999</v>
      </c>
      <c r="F178">
        <v>11.975</v>
      </c>
      <c r="G178">
        <v>6.4000000000000001E-2</v>
      </c>
      <c r="H178">
        <v>-0.29899999999999999</v>
      </c>
      <c r="I178">
        <v>3.5</v>
      </c>
      <c r="J178">
        <v>-3.5</v>
      </c>
      <c r="K178">
        <v>971748.8</v>
      </c>
      <c r="L178">
        <v>32.6</v>
      </c>
    </row>
    <row r="179" spans="1:12" x14ac:dyDescent="0.2">
      <c r="A179" t="s">
        <v>560</v>
      </c>
      <c r="B179">
        <v>271</v>
      </c>
      <c r="C179">
        <v>-6.1699999999999998E-2</v>
      </c>
      <c r="D179">
        <v>6.88E-2</v>
      </c>
      <c r="E179">
        <v>0.04</v>
      </c>
      <c r="F179">
        <v>2.1000000000000001E-2</v>
      </c>
      <c r="G179">
        <v>3.7199999999999997E-2</v>
      </c>
      <c r="H179">
        <v>-5.8000000000000003E-2</v>
      </c>
      <c r="I179">
        <v>0.46700000000000003</v>
      </c>
      <c r="J179">
        <v>5</v>
      </c>
      <c r="K179">
        <v>23170</v>
      </c>
      <c r="L179">
        <v>97.58</v>
      </c>
    </row>
    <row r="180" spans="1:12" ht="16" customHeight="1" thickBot="1" x14ac:dyDescent="0.25">
      <c r="A180" t="s">
        <v>561</v>
      </c>
      <c r="B180">
        <v>23</v>
      </c>
      <c r="C180">
        <v>-5.0000000000000001E-3</v>
      </c>
      <c r="E180">
        <v>0.27</v>
      </c>
      <c r="F180">
        <v>7.7000000000000002E-3</v>
      </c>
      <c r="G180">
        <v>0.13420000000000001</v>
      </c>
      <c r="H180">
        <v>-4.3999999999999997E-2</v>
      </c>
      <c r="I180">
        <v>0.81700000000000006</v>
      </c>
      <c r="J180">
        <v>-0.01</v>
      </c>
      <c r="K180">
        <v>246.5</v>
      </c>
      <c r="L180">
        <v>29.82</v>
      </c>
    </row>
    <row r="181" spans="1:12" ht="16" customHeight="1" thickBot="1" x14ac:dyDescent="0.25">
      <c r="A181" t="s">
        <v>562</v>
      </c>
      <c r="B181">
        <v>19</v>
      </c>
      <c r="C181">
        <v>6.9999999999999993E-3</v>
      </c>
      <c r="E181">
        <v>0.09</v>
      </c>
      <c r="F181">
        <v>0.193</v>
      </c>
      <c r="G181">
        <v>0.122</v>
      </c>
      <c r="H181">
        <v>-0.11</v>
      </c>
      <c r="I181">
        <v>0.96</v>
      </c>
      <c r="J181">
        <v>12.2</v>
      </c>
      <c r="K181">
        <v>22.64</v>
      </c>
      <c r="L181">
        <v>17.88</v>
      </c>
    </row>
    <row r="182" spans="1:12" x14ac:dyDescent="0.2">
      <c r="A182" t="s">
        <v>563</v>
      </c>
      <c r="B182">
        <v>17</v>
      </c>
      <c r="C182">
        <v>-4.0999999999999988E-2</v>
      </c>
      <c r="E182">
        <v>0.6</v>
      </c>
      <c r="F182">
        <v>0.58399999999999996</v>
      </c>
      <c r="G182">
        <v>5.7000000000000002E-2</v>
      </c>
      <c r="H182">
        <v>-1.4999999999999999E-2</v>
      </c>
      <c r="I182">
        <v>0.77200000000000002</v>
      </c>
      <c r="J182">
        <v>-1.9</v>
      </c>
      <c r="K182">
        <v>16.36</v>
      </c>
      <c r="L182">
        <v>14.86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88"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7" t="s">
        <v>564</v>
      </c>
    </row>
    <row r="2" spans="2:34" s="72" customFormat="1" x14ac:dyDescent="0.2">
      <c r="AD2" s="72" t="s">
        <v>565</v>
      </c>
      <c r="AE2" s="64" t="s">
        <v>362</v>
      </c>
      <c r="AH2" s="67" t="s">
        <v>566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B3" s="72"/>
      <c r="AD3" s="11" t="s">
        <v>575</v>
      </c>
      <c r="AE3" s="65" t="s">
        <v>358</v>
      </c>
    </row>
    <row r="4" spans="2:34" ht="16" customHeight="1" thickBot="1" x14ac:dyDescent="0.25">
      <c r="B4" s="4" t="s">
        <v>576</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0.76465798799999996</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-0.64780648399999996</v>
      </c>
      <c r="AA4" s="13">
        <f t="shared" si="0"/>
        <v>2.316258822</v>
      </c>
      <c r="AB4" s="72"/>
      <c r="AD4" s="14" t="s">
        <v>577</v>
      </c>
      <c r="AE4" s="66" t="s">
        <v>355</v>
      </c>
    </row>
    <row r="5" spans="2:34" x14ac:dyDescent="0.2">
      <c r="B5" s="4" t="s">
        <v>578</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f t="shared" si="1"/>
        <v>-6.0322870870000003</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-19.717883762</v>
      </c>
      <c r="AA5" s="13">
        <f t="shared" si="1"/>
        <v>-10.205358252</v>
      </c>
      <c r="AB5" s="72"/>
      <c r="AC5" s="16" t="s">
        <v>579</v>
      </c>
      <c r="AE5" s="17"/>
    </row>
    <row r="6" spans="2:34" x14ac:dyDescent="0.2">
      <c r="B6" s="4" t="s">
        <v>580</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-7.4986671132499989</v>
      </c>
      <c r="J6" s="13">
        <f t="shared" si="2"/>
        <v>-7.3831332310000004</v>
      </c>
      <c r="K6" s="13">
        <f t="shared" si="2"/>
        <v>-8.1891422187499998</v>
      </c>
      <c r="L6" s="13">
        <f t="shared" si="2"/>
        <v>-2.2407160722500001</v>
      </c>
      <c r="M6" s="13">
        <f t="shared" si="2"/>
        <v>-7.4441860502499999</v>
      </c>
      <c r="N6" s="13">
        <f t="shared" si="2"/>
        <v>-1.7825158970000001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-8.8653823855000002</v>
      </c>
      <c r="AA6" s="13">
        <f t="shared" si="2"/>
        <v>-1.51588760375</v>
      </c>
      <c r="AB6" s="72"/>
      <c r="AC6" s="18"/>
      <c r="AD6" s="72" t="s">
        <v>581</v>
      </c>
      <c r="AE6" s="17" t="s">
        <v>40</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2"/>
      <c r="AC7" s="19"/>
      <c r="AD7" s="20" t="s">
        <v>583</v>
      </c>
      <c r="AE7" s="21" t="s">
        <v>33</v>
      </c>
    </row>
    <row r="8" spans="2:34" x14ac:dyDescent="0.2">
      <c r="B8" s="4" t="s">
        <v>584</v>
      </c>
      <c r="C8" s="13">
        <f t="shared" ref="C8:AA8" si="4">VLOOKUP($AE$2,$B:$Y,MATCH(C3,$B$3:$Y$3,),)-VLOOKUP($AE$4,$B:$Y,MATCH(C3,$B$3:$Y$3,),)</f>
        <v>9.9083511099999999</v>
      </c>
      <c r="D8" s="13">
        <f t="shared" si="4"/>
        <v>2</v>
      </c>
      <c r="E8" s="13">
        <f t="shared" si="4"/>
        <v>12.632098296999999</v>
      </c>
      <c r="F8" s="13">
        <f t="shared" si="4"/>
        <v>6.5485502609999999</v>
      </c>
      <c r="G8" s="13">
        <f t="shared" si="4"/>
        <v>8.6200399169999997</v>
      </c>
      <c r="H8" s="13">
        <f t="shared" si="4"/>
        <v>16.828758685</v>
      </c>
      <c r="I8" s="13">
        <f t="shared" si="4"/>
        <v>22.654438613</v>
      </c>
      <c r="J8" s="13">
        <f t="shared" si="4"/>
        <v>16.454357801</v>
      </c>
      <c r="K8" s="13">
        <f t="shared" si="4"/>
        <v>15.512699658000001</v>
      </c>
      <c r="L8" s="13">
        <f t="shared" si="4"/>
        <v>6.9785837999999991</v>
      </c>
      <c r="M8" s="13">
        <f t="shared" si="4"/>
        <v>19.633150435000001</v>
      </c>
      <c r="N8" s="13">
        <f t="shared" si="4"/>
        <v>5.6748208050000004</v>
      </c>
      <c r="O8" s="13">
        <f t="shared" si="4"/>
        <v>14.76008</v>
      </c>
      <c r="P8" s="13">
        <f t="shared" si="4"/>
        <v>10.056439569</v>
      </c>
      <c r="Q8" s="13">
        <f t="shared" si="4"/>
        <v>7.4363262630000007</v>
      </c>
      <c r="R8" s="13">
        <f t="shared" si="4"/>
        <v>6.5406359589999994</v>
      </c>
      <c r="S8" s="13">
        <f t="shared" si="4"/>
        <v>3.9265513749999998</v>
      </c>
      <c r="T8" s="13">
        <f t="shared" si="4"/>
        <v>11.524819483</v>
      </c>
      <c r="U8" s="13">
        <f t="shared" si="4"/>
        <v>14.340720632000002</v>
      </c>
      <c r="V8" s="13">
        <f t="shared" si="4"/>
        <v>15.435560906000001</v>
      </c>
      <c r="W8" s="13">
        <f t="shared" si="4"/>
        <v>21.328348251999998</v>
      </c>
      <c r="X8" s="13">
        <f t="shared" si="4"/>
        <v>5.5230397310000008</v>
      </c>
      <c r="Y8" s="13">
        <f t="shared" si="4"/>
        <v>6.3510023139999996</v>
      </c>
      <c r="Z8" s="13" t="e">
        <f t="shared" si="4"/>
        <v>#N/A</v>
      </c>
      <c r="AA8" s="13" t="e">
        <f t="shared" si="4"/>
        <v>#N/A</v>
      </c>
      <c r="AB8" s="72"/>
    </row>
    <row r="9" spans="2:34" x14ac:dyDescent="0.2">
      <c r="B9" s="4" t="s">
        <v>585</v>
      </c>
      <c r="C9" s="13">
        <f t="shared" ref="C9:AA9" si="5">VLOOKUP($AE$2,$B:$Y,MATCH(C3,$B$3:$Y$3,),)-VLOOKUP($AE$3,$B:$Y,MATCH(C3,$B$3:$Y$3,),)</f>
        <v>21.310414532000003</v>
      </c>
      <c r="D9" s="13">
        <f t="shared" si="5"/>
        <v>4.7</v>
      </c>
      <c r="E9" s="13">
        <f t="shared" si="5"/>
        <v>28.918419043</v>
      </c>
      <c r="F9" s="13">
        <f t="shared" si="5"/>
        <v>17.356613572000001</v>
      </c>
      <c r="G9" s="13">
        <f t="shared" si="5"/>
        <v>21.266576831999998</v>
      </c>
      <c r="H9" s="13">
        <f t="shared" si="5"/>
        <v>37.433271173999998</v>
      </c>
      <c r="I9" s="13">
        <f t="shared" si="5"/>
        <v>45.481300286999996</v>
      </c>
      <c r="J9" s="13">
        <f t="shared" si="5"/>
        <v>35.233429057999999</v>
      </c>
      <c r="K9" s="13">
        <f t="shared" si="5"/>
        <v>39.050446313999998</v>
      </c>
      <c r="L9" s="13">
        <f t="shared" si="5"/>
        <v>17.880707788999999</v>
      </c>
      <c r="M9" s="13">
        <f t="shared" si="5"/>
        <v>38.519924924999998</v>
      </c>
      <c r="N9" s="13">
        <f t="shared" si="5"/>
        <v>13.601870804000001</v>
      </c>
      <c r="O9" s="13">
        <f t="shared" si="5"/>
        <v>43.68824</v>
      </c>
      <c r="P9" s="13">
        <f t="shared" si="5"/>
        <v>24.229327589</v>
      </c>
      <c r="Q9" s="13">
        <f t="shared" si="5"/>
        <v>15.459549995</v>
      </c>
      <c r="R9" s="13">
        <f t="shared" si="5"/>
        <v>14.653135742</v>
      </c>
      <c r="S9" s="13">
        <f t="shared" si="5"/>
        <v>8.7596152419999989</v>
      </c>
      <c r="T9" s="13">
        <f t="shared" si="5"/>
        <v>22.863276535000001</v>
      </c>
      <c r="U9" s="13">
        <f t="shared" si="5"/>
        <v>32.297877482000004</v>
      </c>
      <c r="V9" s="13">
        <f t="shared" si="5"/>
        <v>19.81904815</v>
      </c>
      <c r="W9" s="13">
        <f t="shared" si="5"/>
        <v>31.575205992999997</v>
      </c>
      <c r="X9" s="13">
        <f t="shared" si="5"/>
        <v>19.420230555</v>
      </c>
      <c r="Y9" s="13">
        <f t="shared" si="5"/>
        <v>18.740674993999999</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337</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-1.0901795750000001</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0.53495114799999999</v>
      </c>
      <c r="AA71" s="25">
        <f>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338</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-2.2235911339999999</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3.5382041119999998</v>
      </c>
      <c r="AA72" s="25">
        <f>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339</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-1.72172671</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4.284966603</v>
      </c>
      <c r="AA73" s="25">
        <f>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340</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-1.7438928440000001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2.5921270789999999</v>
      </c>
      <c r="AA74" s="25">
        <f>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341</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-0.54547591600000001</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0.20369295500000001</v>
      </c>
      <c r="AA75" s="25">
        <f>VLOOKUP(B75,'Data yoy'!$A:$AW,MATCH($AA$1,'Data yoy'!$A$1:$AW$1,),)</f>
        <v>4.0587609569999996</v>
      </c>
      <c r="AB75" s="72"/>
      <c r="AC75" s="26" t="str">
        <f t="shared" ref="AC75:AC98" si="13">B75</f>
        <v>2016-Q1</v>
      </c>
      <c r="AD75" s="27">
        <f t="shared" ref="AD75:AD106" si="14">(VLOOKUP(AC75,B:Y,MATCH($AE$6,$B$1:$Y$1,),))</f>
        <v>2.4185704760000002</v>
      </c>
      <c r="AE75" s="27">
        <f t="shared" ref="AE75:AE98" si="15">(VLOOKUP(AC75,B:Y,MATCH($AE$7,$B$1:$Y$1,),))</f>
        <v>1.9148209410000001</v>
      </c>
      <c r="AF75" s="27">
        <f t="shared" si="12"/>
        <v>0.50374953500000008</v>
      </c>
    </row>
    <row r="76" spans="2:32" x14ac:dyDescent="0.2">
      <c r="B76" s="24" t="s">
        <v>342</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0.17908624300000001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-3.621577893</v>
      </c>
      <c r="AA76" s="25">
        <f>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343</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8.6290206999999994E-2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-3.2767366290000002</v>
      </c>
      <c r="AA77" s="25">
        <f>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344</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1.1729231419999999</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-1.568911653</v>
      </c>
      <c r="AA78" s="25">
        <f>VLOOKUP(B78,'Data yoy'!$A:$AW,MATCH($AA$1,'Data yoy'!$A$1:$AW$1,),)</f>
        <v>3.4202299219999999</v>
      </c>
      <c r="AB78" s="72"/>
      <c r="AC78" s="26" t="str">
        <f t="shared" si="13"/>
        <v>2016-Q4</v>
      </c>
      <c r="AD78" s="27">
        <f t="shared" si="14"/>
        <v>2.2215100579999998</v>
      </c>
      <c r="AE78" s="27">
        <f t="shared" si="15"/>
        <v>2.020998128</v>
      </c>
      <c r="AF78" s="27">
        <f t="shared" ref="AF78:AF109" si="16">AD78-AE78</f>
        <v>0.20051192999999978</v>
      </c>
    </row>
    <row r="79" spans="2:32" x14ac:dyDescent="0.2">
      <c r="B79" s="24" t="s">
        <v>345</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1.1846646649999999</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0.25851429100000001</v>
      </c>
      <c r="AA79" s="25">
        <f>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346</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1.828467195</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2.9478524300000002</v>
      </c>
      <c r="AA80" s="25">
        <f>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347</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2.4172248299999999</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3.822856646</v>
      </c>
      <c r="AA81" s="25">
        <f>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348</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1.6004158959999999</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4.2698886810000003</v>
      </c>
      <c r="AA82" s="25">
        <f>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349</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2.770876817</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3.0300874169999998</v>
      </c>
      <c r="AA83" s="25">
        <f>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350</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2.6356292149999998</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-2.7322102789999998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351</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2.1890012080000001</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-4.1440371479999998</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352</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2.8459098599999999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-6.4624225810000002</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353</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1.4313071719999999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-6.0072999429999996</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354</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3.1498777059999998</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-0.86099997800000005</v>
      </c>
      <c r="AA88" s="25">
        <f>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355</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1.894762912</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-0.36717946099999998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356</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0.76465798799999996</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-0.64780648399999996</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357</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-2.104502761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0.60514174399999998</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-4.7973049879999996</v>
      </c>
      <c r="AA91" s="25">
        <f>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358</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-21.249193732999998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-6.0322870870000003</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-19.717883762</v>
      </c>
      <c r="AA92" s="25">
        <f>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359</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-7.8337419209999997</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-2.467576233</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-10.298534308000001</v>
      </c>
      <c r="AA93" s="25">
        <f>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360</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-6.407082527</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-1.2994789870000001</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-4.652705707</v>
      </c>
      <c r="AA94" s="25">
        <f>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361</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-5.0861042699999999</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-0.43206129399999998</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2.5378217580000002</v>
      </c>
      <c r="AA95" s="25">
        <f>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362</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24.232106554000001</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7.5695837170000004</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19.669173822000001</v>
      </c>
      <c r="AA96" s="25">
        <f>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363</v>
      </c>
      <c r="C97" s="25">
        <f>VLOOKUP(B97,'Data yoy'!$A:$AW,MATCH($C$1,'Data yoy'!$A$1:$AW$1,),)</f>
        <v>4.946555569</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6.7856135320000002</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3.830445643</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11.295659723</v>
      </c>
      <c r="AA97" s="25">
        <f>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364</v>
      </c>
      <c r="C98" s="25">
        <f>VLOOKUP(B98,'Data yoy'!$A:$AW,MATCH($C$1,'Data yoy'!$A$1:$AW$1,),)</f>
        <v>5.5317363620000002</v>
      </c>
      <c r="D98" s="25">
        <f>VLOOKUP(B98,'Data yoy'!$A:$AW,MATCH($D$1,'Data yoy'!$A$1:$AW$1,),)</f>
        <v>4</v>
      </c>
      <c r="E98" s="25">
        <f>VLOOKUP(B98,'Data yoy'!$A:$AW,MATCH($E$1,'Data yoy'!$A$1:$AW$1,),)</f>
        <v>4.6070402640000001</v>
      </c>
      <c r="F98" s="25">
        <f>VLOOKUP(B98,'Data yoy'!$A:$AW,MATCH($F$1,'Data yoy'!$A$1:$AW$1,),)</f>
        <v>0</v>
      </c>
      <c r="G98" s="25">
        <f>VLOOKUP(B98,'Data yoy'!$A:$AW,MATCH($G$1,'Data yoy'!$A$1:$AW$1,),)</f>
        <v>1.375282927</v>
      </c>
      <c r="H98" s="25">
        <f>VLOOKUP(B98,'Data yoy'!$A:$AW,MATCH($H$1,'Data yoy'!$A$1:$AW$1,),)</f>
        <v>5.4201401960000002</v>
      </c>
      <c r="I98" s="25">
        <f>VLOOKUP(B98,'Data yoy'!$A:$AW,MATCH($I$1,'Data yoy'!$A$1:$AW$1,),)</f>
        <v>0</v>
      </c>
      <c r="J98" s="25">
        <f>VLOOKUP(B98,'Data yoy'!$A:$AW,MATCH($J$1,'Data yoy'!$A$1:$AW$1,),)</f>
        <v>6.3964973929999998</v>
      </c>
      <c r="K98" s="25">
        <f>VLOOKUP(B98,'Data yoy'!$A:$AW,MATCH($K$1,'Data yoy'!$A$1:$AW$1,),)</f>
        <v>5.233834699</v>
      </c>
      <c r="L98" s="25">
        <f>VLOOKUP(B98,'Data yoy'!$A:$AW,MATCH($L$1,'Data yoy'!$A$1:$AW$1,),)</f>
        <v>5.8714568859999998</v>
      </c>
      <c r="M98" s="25">
        <f>VLOOKUP(B98,'Data yoy'!$A:$AW,MATCH($M$1,'Data yoy'!$A$1:$AW$1,),)</f>
        <v>2.7472122040000002</v>
      </c>
      <c r="N98" s="25">
        <f>VLOOKUP(B98,'Data yoy'!$A:$AW,MATCH($N$1,'Data yoy'!$A$1:$AW$1,),)</f>
        <v>0</v>
      </c>
      <c r="O98" s="25">
        <f>VLOOKUP(B98,'Data yoy'!$A:$AW,MATCH($O$1,'Data yoy'!$A$1:$AW$1,),)</f>
        <v>0</v>
      </c>
      <c r="P98" s="25">
        <f>VLOOKUP(B98,'Data yoy'!$A:$AW,MATCH($P$1,'Data yoy'!$A$1:$AW$1,),)</f>
        <v>3.3643720070000001</v>
      </c>
      <c r="Q98" s="25">
        <f>VLOOKUP(B98,'Data yoy'!$A:$AW,MATCH($Q$1,'Data yoy'!$A$1:$AW$1,),)</f>
        <v>0</v>
      </c>
      <c r="R98" s="25">
        <f>VLOOKUP(B98,'Data yoy'!$A:$AW,MATCH($R$1,'Data yoy'!$A$1:$AW$1,),)</f>
        <v>0</v>
      </c>
      <c r="S98" s="25">
        <f>VLOOKUP(B98,'Data yoy'!$A:$AW,MATCH($S$1,'Data yoy'!$A$1:$AW$1,),)</f>
        <v>3.9939059370000001</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3.3851317939999999</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4.6070402640000001</v>
      </c>
      <c r="AF98" s="27">
        <f t="shared" si="16"/>
        <v>-4.6070402640000001</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pane ySplit="3" topLeftCell="A77" activePane="bottomLeft" state="frozen"/>
      <selection pane="bottomLeft" activeCell="A4" sqref="A4:XFD4"/>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2">
      <c r="AD2" s="72" t="s">
        <v>565</v>
      </c>
      <c r="AE2" s="3" t="str">
        <f>'Table yoy'!AE2</f>
        <v>2021-Q2</v>
      </c>
      <c r="AH2" s="72" t="s">
        <v>586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2020-Q2</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2019-Q3</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64</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above</v>
      </c>
      <c r="AC7" s="19"/>
      <c r="AD7" s="20" t="s">
        <v>583</v>
      </c>
      <c r="AE7" s="21" t="s">
        <v>31</v>
      </c>
    </row>
    <row r="8" spans="2:34" x14ac:dyDescent="0.2">
      <c r="B8" s="4" t="s">
        <v>584</v>
      </c>
      <c r="C8" s="13">
        <f t="shared" ref="C8:Y8" si="4">VLOOKUP($AE$2,$B:$Y,MATCH(C3,$B$3:$Y$3,),)-VLOOKUP($AE$4,$B:$Y,MATCH(C3,$B$3:$Y$3,),)</f>
        <v>0.95524774900000009</v>
      </c>
      <c r="D8" s="13">
        <f t="shared" si="4"/>
        <v>-0.10000000000000009</v>
      </c>
      <c r="E8" s="13">
        <f t="shared" si="4"/>
        <v>1.9426719999999997</v>
      </c>
      <c r="F8" s="13">
        <f t="shared" si="4"/>
        <v>0.60498751799999995</v>
      </c>
      <c r="G8" s="13">
        <f t="shared" si="4"/>
        <v>1.6105329660000001</v>
      </c>
      <c r="H8" s="13">
        <f t="shared" si="4"/>
        <v>1.204006669</v>
      </c>
      <c r="I8" s="13">
        <f t="shared" si="4"/>
        <v>4.9730190869999999</v>
      </c>
      <c r="J8" s="13">
        <f t="shared" si="4"/>
        <v>2.5861360530000002</v>
      </c>
      <c r="K8" s="13">
        <f t="shared" si="4"/>
        <v>0.67838529399999992</v>
      </c>
      <c r="L8" s="13">
        <f t="shared" si="4"/>
        <v>0.835024565</v>
      </c>
      <c r="M8" s="13">
        <f t="shared" si="4"/>
        <v>0.43779204499999991</v>
      </c>
      <c r="N8" s="13">
        <f t="shared" si="4"/>
        <v>4.1692893419999999</v>
      </c>
      <c r="O8" s="13">
        <f t="shared" si="4"/>
        <v>0.67838529399999992</v>
      </c>
      <c r="P8" s="13">
        <f t="shared" si="4"/>
        <v>-1.1255463050000001</v>
      </c>
      <c r="Q8" s="13">
        <f t="shared" si="4"/>
        <v>-9.9899411999999965E-2</v>
      </c>
      <c r="R8" s="13">
        <f t="shared" si="4"/>
        <v>1.2459697140000001</v>
      </c>
      <c r="S8" s="13">
        <f t="shared" si="4"/>
        <v>0.36567416000000003</v>
      </c>
      <c r="T8" s="13">
        <f t="shared" si="4"/>
        <v>-0.337490966</v>
      </c>
      <c r="U8" s="13">
        <f t="shared" si="4"/>
        <v>2.0227768130000001</v>
      </c>
      <c r="V8" s="13">
        <f t="shared" si="4"/>
        <v>5.6622050230000003</v>
      </c>
      <c r="W8" s="13">
        <f t="shared" si="4"/>
        <v>1.4508549820000001</v>
      </c>
      <c r="X8" s="13">
        <f t="shared" si="4"/>
        <v>0.75246426599999994</v>
      </c>
      <c r="Y8" s="13">
        <f t="shared" si="4"/>
        <v>0.731962314</v>
      </c>
      <c r="Z8" s="13">
        <f>VLOOKUP($AE$2,$B:$Z,MATCH(Z3,$B$3:$Z$3,),)-VLOOKUP($AE$4,$B:$Z,MATCH(Z3,$B$3:$Z$3,),)</f>
        <v>-1.095246084</v>
      </c>
      <c r="AA8" s="13">
        <f>VLOOKUP($AE$2,$B:$AA,MATCH(AA3,$B$3:$AA$3,),)-VLOOKUP($AE$4,$B:$AA,MATCH(AA3,$B$3:$AA$3,),)</f>
        <v>1.4050617350000001</v>
      </c>
    </row>
    <row r="9" spans="2:34" x14ac:dyDescent="0.2">
      <c r="B9" s="4" t="s">
        <v>585</v>
      </c>
      <c r="C9" s="13">
        <f t="shared" ref="C9:Y9" si="5">VLOOKUP($AE$2,$B:$Y,MATCH(C3,$B$3:$Y$3,),)-VLOOKUP($AE$3,$B:$Y,MATCH(C3,$B$3:$Y$3,),)</f>
        <v>10.577997041</v>
      </c>
      <c r="D9" s="13">
        <f t="shared" si="5"/>
        <v>-9.5</v>
      </c>
      <c r="E9" s="13">
        <f t="shared" si="5"/>
        <v>13.873184999999999</v>
      </c>
      <c r="F9" s="13">
        <f t="shared" si="5"/>
        <v>8.5370945879999987</v>
      </c>
      <c r="G9" s="13">
        <f t="shared" si="5"/>
        <v>12.017697712</v>
      </c>
      <c r="H9" s="13">
        <f t="shared" si="5"/>
        <v>14.730869603999999</v>
      </c>
      <c r="I9" s="13">
        <f t="shared" si="5"/>
        <v>24.881469359</v>
      </c>
      <c r="J9" s="13">
        <f t="shared" si="5"/>
        <v>15.54081347</v>
      </c>
      <c r="K9" s="13">
        <f t="shared" si="5"/>
        <v>18.709488465</v>
      </c>
      <c r="L9" s="13">
        <f t="shared" si="5"/>
        <v>8.8294293709999998</v>
      </c>
      <c r="M9" s="13">
        <f t="shared" si="5"/>
        <v>18.933718483</v>
      </c>
      <c r="N9" s="13">
        <f t="shared" si="5"/>
        <v>7.675935814999999</v>
      </c>
      <c r="O9" s="13">
        <f t="shared" si="5"/>
        <v>18.709488465</v>
      </c>
      <c r="P9" s="13">
        <f t="shared" si="5"/>
        <v>10.243633751000001</v>
      </c>
      <c r="Q9" s="13">
        <f t="shared" si="5"/>
        <v>7.4960828520000007</v>
      </c>
      <c r="R9" s="13">
        <f t="shared" si="5"/>
        <v>7.9461974290000006</v>
      </c>
      <c r="S9" s="13">
        <f t="shared" si="5"/>
        <v>3.9214498129999997</v>
      </c>
      <c r="T9" s="13">
        <f t="shared" si="5"/>
        <v>8.5030975150000003</v>
      </c>
      <c r="U9" s="13">
        <f t="shared" si="5"/>
        <v>16.205535923999999</v>
      </c>
      <c r="V9" s="13">
        <f t="shared" si="5"/>
        <v>8.5636920029999999</v>
      </c>
      <c r="W9" s="13">
        <f t="shared" si="5"/>
        <v>12.271331180000001</v>
      </c>
      <c r="X9" s="13">
        <f t="shared" si="5"/>
        <v>10.210818369</v>
      </c>
      <c r="Y9" s="13">
        <f t="shared" si="5"/>
        <v>11.015998959000001</v>
      </c>
      <c r="Z9" s="13">
        <f>VLOOKUP($AE$2,$B:$Z,MATCH(Z3,$B$3:$Z$3,),)-VLOOKUP($AE$3,$B:$Z,MATCH(Z3,$B$3:$Z$3,),)</f>
        <v>14.181211177</v>
      </c>
      <c r="AA9" s="13">
        <f>VLOOKUP($AE$2,$B:$AA,MATCH(AA3,$B$3:$AA$3,),)-VLOOKUP($AE$3,$B:$AA,MATCH(AA3,$B$3:$AA$3,),)</f>
        <v>12.694330065999999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278</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279</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280</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281</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282</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283</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284</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285</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286</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287</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288</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289</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290</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291</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292</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293</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294</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295</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296</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297</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298</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299</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300</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301</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302</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303</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304</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305</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306</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307</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308</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309</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310</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311</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312</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313</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314</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315</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316</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317</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318</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319</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320</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321</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322</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323</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324</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325</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327</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328</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329</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330</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331</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332</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333</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334</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335</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336</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337</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-1.0172225079999999</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1.488691121</v>
      </c>
      <c r="AA71" s="25">
        <f>VLOOKUP(B71,'Data qoq'!$A:$AU,MATCH($AA$1,'Data qoq'!$A$1:$AU$1,),)</f>
        <v>0.31616919100000002</v>
      </c>
      <c r="AC71" s="26" t="str">
        <f t="shared" si="9"/>
        <v>2015-Q1</v>
      </c>
      <c r="AD71" s="27">
        <f t="shared" si="10"/>
        <v>1.340735534</v>
      </c>
      <c r="AE71" s="27">
        <f t="shared" si="11"/>
        <v>1.340735534</v>
      </c>
    </row>
    <row r="72" spans="2:31" x14ac:dyDescent="0.2">
      <c r="B72" s="24" t="s">
        <v>338</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-0.66980761700000002</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2.3502018379999998</v>
      </c>
      <c r="AA72" s="25">
        <f>VLOOKUP(B72,'Data qoq'!$A:$AU,MATCH($AA$1,'Data qoq'!$A$1:$AU$1,),)</f>
        <v>0.71954186899999995</v>
      </c>
      <c r="AC72" s="26" t="str">
        <f t="shared" si="9"/>
        <v>2015-Q2</v>
      </c>
      <c r="AD72" s="27">
        <f t="shared" si="10"/>
        <v>-0.126935515</v>
      </c>
      <c r="AE72" s="27">
        <f t="shared" si="11"/>
        <v>-0.126935515</v>
      </c>
    </row>
    <row r="73" spans="2:31" x14ac:dyDescent="0.2">
      <c r="B73" s="24" t="s">
        <v>339</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0.19352587500000001</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-8.1822489999999998E-2</v>
      </c>
      <c r="AA73" s="25">
        <f>VLOOKUP(B73,'Data qoq'!$A:$AU,MATCH($AA$1,'Data qoq'!$A$1:$AU$1,),)</f>
        <v>1.088063212</v>
      </c>
      <c r="AC73" s="26" t="str">
        <f t="shared" si="9"/>
        <v>2015-Q3</v>
      </c>
      <c r="AD73" s="27">
        <f t="shared" si="10"/>
        <v>-0.178023243</v>
      </c>
      <c r="AE73" s="27">
        <f t="shared" si="11"/>
        <v>-0.178023243</v>
      </c>
    </row>
    <row r="74" spans="2:31" x14ac:dyDescent="0.2">
      <c r="B74" s="24" t="s">
        <v>340</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-0.25779131700000002</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-1.1530723119999999</v>
      </c>
      <c r="AA74" s="25">
        <f>VLOOKUP(B74,'Data qoq'!$A:$AU,MATCH($AA$1,'Data qoq'!$A$1:$AU$1,),)</f>
        <v>1.0341307470000001</v>
      </c>
      <c r="AC74" s="26" t="str">
        <f t="shared" si="9"/>
        <v>2015-Q4</v>
      </c>
      <c r="AD74" s="27">
        <f t="shared" si="10"/>
        <v>-0.28282542999999999</v>
      </c>
      <c r="AE74" s="27">
        <f t="shared" si="11"/>
        <v>-0.28282542999999999</v>
      </c>
    </row>
    <row r="75" spans="2:31" x14ac:dyDescent="0.2">
      <c r="B75" s="24" t="s">
        <v>341</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0.19005752400000001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-0.87405405199999997</v>
      </c>
      <c r="AA75" s="25">
        <f>VLOOKUP(B75,'Data qoq'!$A:$AU,MATCH($AA$1,'Data qoq'!$A$1:$AU$1,),)</f>
        <v>1.157228852</v>
      </c>
      <c r="AC75" s="26" t="str">
        <f t="shared" ref="AC75:AC97" si="12">B75</f>
        <v>2016-Q1</v>
      </c>
      <c r="AD75" s="27">
        <f t="shared" ref="AD75:AD106" si="13">(VLOOKUP(AC75,B:Y,MATCH($AE$6,$B$1:$Y$1,),))-(VLOOKUP(AC75,B:Y,MATCH($AE$7,$B$1:$Y$1,),))</f>
        <v>-0.22804953300000008</v>
      </c>
      <c r="AE75" s="27">
        <f t="shared" ref="AE75:AE97" si="14">C75-G75</f>
        <v>-0.22804953300000008</v>
      </c>
    </row>
    <row r="76" spans="2:31" x14ac:dyDescent="0.2">
      <c r="B76" s="24" t="s">
        <v>342</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5.3848740999999999E-2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-1.5570118770000001</v>
      </c>
      <c r="AA76" s="25">
        <f>VLOOKUP(B76,'Data qoq'!$A:$AU,MATCH($AA$1,'Data qoq'!$A$1:$AU$1,),)</f>
        <v>0.938104151</v>
      </c>
      <c r="AC76" s="26" t="str">
        <f t="shared" si="12"/>
        <v>2016-Q2</v>
      </c>
      <c r="AD76" s="27">
        <f t="shared" si="13"/>
        <v>-0.111522854</v>
      </c>
      <c r="AE76" s="27">
        <f t="shared" si="14"/>
        <v>-0.111522854</v>
      </c>
    </row>
    <row r="77" spans="2:31" x14ac:dyDescent="0.2">
      <c r="B77" s="24" t="s">
        <v>343</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0.10071646400000001</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0.27568399199999999</v>
      </c>
      <c r="AA77" s="25">
        <f>VLOOKUP(B77,'Data qoq'!$A:$AU,MATCH($AA$1,'Data qoq'!$A$1:$AU$1,),)</f>
        <v>0.9453416</v>
      </c>
      <c r="AC77" s="26" t="str">
        <f t="shared" si="12"/>
        <v>2016-Q3</v>
      </c>
      <c r="AD77" s="27">
        <f t="shared" si="13"/>
        <v>0.25760344899999998</v>
      </c>
      <c r="AE77" s="27">
        <f t="shared" si="14"/>
        <v>0.25760344899999998</v>
      </c>
    </row>
    <row r="78" spans="2:31" x14ac:dyDescent="0.2">
      <c r="B78" s="24" t="s">
        <v>344</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0.82510593799999998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0.59224981700000001</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345</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0.20168498200000001</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0.96627229599999998</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346</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0.690456285</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1.0836265190000001</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347</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0.67948449200000005</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1.1279761399999999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348</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2.0994643E-2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1.025371767</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349</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1.3560321909999999</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-0.23424794600000001</v>
      </c>
      <c r="AA83" s="25">
        <f>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350</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0.55794653999999999</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-4.5698089270000004</v>
      </c>
      <c r="AA84" s="25">
        <f>VLOOKUP(B84,'Data qoq'!$A:$AU,MATCH($AA$1,'Data qoq'!$A$1:$AU$1,),)</f>
        <v>1.123554492</v>
      </c>
      <c r="AC84" s="26" t="str">
        <f t="shared" si="12"/>
        <v>2018-Q2</v>
      </c>
      <c r="AD84" s="27">
        <f t="shared" si="13"/>
        <v>0.27693374500000001</v>
      </c>
      <c r="AE84" s="27">
        <f t="shared" si="14"/>
        <v>0.27693374500000001</v>
      </c>
    </row>
    <row r="85" spans="2:31" s="72" customFormat="1" x14ac:dyDescent="0.2">
      <c r="B85" s="24" t="s">
        <v>351</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0.24136882100000001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-0.33988073499999999</v>
      </c>
      <c r="AA85" s="25">
        <f>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352</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0.66396654799999999</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-1.4180416979999999</v>
      </c>
      <c r="AA86" s="25">
        <f>VLOOKUP(B86,'Data qoq'!$A:$AU,MATCH($AA$1,'Data qoq'!$A$1:$AU$1,),)</f>
        <v>1.228939912</v>
      </c>
      <c r="AC86" s="26" t="str">
        <f t="shared" si="12"/>
        <v>2018-Q4</v>
      </c>
      <c r="AD86" s="27">
        <f t="shared" si="13"/>
        <v>-0.16339479699999998</v>
      </c>
      <c r="AE86" s="27">
        <f t="shared" si="14"/>
        <v>-0.16339479699999998</v>
      </c>
    </row>
    <row r="87" spans="2:31" s="72" customFormat="1" x14ac:dyDescent="0.2">
      <c r="B87" s="24" t="s">
        <v>353</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-3.8077851000000003E-2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0.251178911</v>
      </c>
      <c r="AA87" s="25">
        <f>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354</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2.2617195539999999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0.65519672500000004</v>
      </c>
      <c r="AA88" s="25">
        <f>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355</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-0.97835560099999996</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0.15653552400000001</v>
      </c>
      <c r="AA89" s="25">
        <f>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356</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-0.45248773399999997</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-1.695708848</v>
      </c>
      <c r="AA90" s="25">
        <f>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357</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-2.6373673040000001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-0.196323318</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-3.9358662080000002</v>
      </c>
      <c r="AA91" s="25">
        <f>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358</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-19.449477922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-4.4850020739999996</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-15.119921737</v>
      </c>
      <c r="AA92" s="25">
        <f>VLOOKUP(B92,'Data qoq'!$A:$AU,MATCH($AA$1,'Data qoq'!$A$1:$AU$1,),)</f>
        <v>-10.269196739</v>
      </c>
      <c r="AC92" s="26" t="str">
        <f t="shared" si="12"/>
        <v>2020-Q2</v>
      </c>
      <c r="AD92" s="27">
        <f t="shared" si="13"/>
        <v>1.0589651100000008</v>
      </c>
      <c r="AE92" s="27">
        <f t="shared" si="14"/>
        <v>1.0589651100000008</v>
      </c>
    </row>
    <row r="93" spans="2:31" s="72" customFormat="1" x14ac:dyDescent="0.2">
      <c r="B93" s="24" t="s">
        <v>359</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17.57247971</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2.7780786000000002</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11.907713151999999</v>
      </c>
      <c r="AA93" s="25">
        <f>VLOOKUP(B93,'Data qoq'!$A:$AU,MATCH($AA$1,'Data qoq'!$A$1:$AU$1,),)</f>
        <v>13.854537372999999</v>
      </c>
      <c r="AC93" s="26" t="str">
        <f t="shared" si="12"/>
        <v>2020-Q3</v>
      </c>
      <c r="AD93" s="27">
        <f t="shared" si="13"/>
        <v>-1.495527869</v>
      </c>
      <c r="AE93" s="27">
        <f t="shared" si="14"/>
        <v>-1.495527869</v>
      </c>
    </row>
    <row r="94" spans="2:31" s="72" customFormat="1" x14ac:dyDescent="0.2">
      <c r="B94" s="24" t="s">
        <v>361</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-1.2631829720000001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0.68078932599999997</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3.3087210410000001</v>
      </c>
      <c r="AA94" s="25">
        <f>VLOOKUP(B94,'Data qoq'!$A:$AU,MATCH($AA$1,'Data qoq'!$A$1:$AU$1,),)</f>
        <v>1.459561288</v>
      </c>
      <c r="AC94" s="26" t="str">
        <f t="shared" si="12"/>
        <v>2021-Q1</v>
      </c>
      <c r="AD94" s="27">
        <f t="shared" si="13"/>
        <v>3.4026036949999998</v>
      </c>
      <c r="AE94" s="27">
        <f t="shared" si="14"/>
        <v>3.4026036949999998</v>
      </c>
    </row>
    <row r="95" spans="2:31" s="72" customFormat="1" x14ac:dyDescent="0.2">
      <c r="B95" s="24" t="s">
        <v>362</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5.4319914369999998</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3.1909337409999998</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-0.93871055999999997</v>
      </c>
      <c r="AA95" s="25">
        <f>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363</v>
      </c>
      <c r="C96" s="25">
        <f>VLOOKUP(B96,'Data qoq'!$A:$AT,MATCH($C$1,'Data qoq'!$A$1:$AT$1,),)</f>
        <v>0.57094811099999998</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1.061229086</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-0.79450589500000002</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4.0772854489999997</v>
      </c>
      <c r="AA96" s="25">
        <f>VLOOKUP(B96,'Data qoq'!$A:$AU,MATCH($AA$1,'Data qoq'!$A$1:$AU$1,),)</f>
        <v>-3.6776194019999999</v>
      </c>
      <c r="AC96" s="26" t="str">
        <f t="shared" si="12"/>
        <v>2021-Q3</v>
      </c>
      <c r="AD96" s="27">
        <f t="shared" si="13"/>
        <v>-1.1233273010000002</v>
      </c>
      <c r="AE96" s="27">
        <f t="shared" si="14"/>
        <v>-1.1233273010000002</v>
      </c>
    </row>
    <row r="97" spans="2:31" s="72" customFormat="1" x14ac:dyDescent="0.2">
      <c r="B97" s="24" t="s">
        <v>364</v>
      </c>
      <c r="C97" s="25">
        <f>VLOOKUP(B97,'Data qoq'!$A:$AT,MATCH($C$1,'Data qoq'!$A$1:$AT$1,),)</f>
        <v>1.6790943920000001</v>
      </c>
      <c r="D97" s="25">
        <f>VLOOKUP(B97,'Data qoq'!$A:$AT,MATCH($D$1,'Data qoq'!$A$1:$AT$1,),)</f>
        <v>1.6</v>
      </c>
      <c r="E97" s="25">
        <f>VLOOKUP(B97,'Data qoq'!$A:$AT,MATCH($E$1,'Data qoq'!$A$1:$AT$1,),)</f>
        <v>0.29447699999999999</v>
      </c>
      <c r="F97" s="25">
        <f>VLOOKUP(B97,'Data qoq'!$A:$AT,MATCH($F$1,'Data qoq'!$A$1:$AT$1,),)</f>
        <v>0</v>
      </c>
      <c r="G97" s="25">
        <f>VLOOKUP(B97,'Data qoq'!$A:$AT,MATCH($G$1,'Data qoq'!$A$1:$AT$1,),)</f>
        <v>-0.731986727</v>
      </c>
      <c r="H97" s="25">
        <f>VLOOKUP(B97,'Data qoq'!$A:$AT,MATCH($H$1,'Data qoq'!$A$1:$AT$1,),)</f>
        <v>0.71059852000000001</v>
      </c>
      <c r="I97" s="25">
        <f>VLOOKUP(B97,'Data qoq'!$A:$AT,MATCH($I$1,'Data qoq'!$A$1:$AT$1,),)</f>
        <v>0</v>
      </c>
      <c r="J97" s="25">
        <f>VLOOKUP(B97,'Data qoq'!$A:$AT,MATCH($J$1,'Data qoq'!$A$1:$AT$1,),)</f>
        <v>0.61259812199999997</v>
      </c>
      <c r="K97" s="25">
        <f>VLOOKUP(B97,'Data qoq'!$A:$AT,MATCH($K$1,'Data qoq'!$A$1:$AT$1,),)</f>
        <v>2.0115807550000002</v>
      </c>
      <c r="L97" s="25">
        <f>VLOOKUP(B97,'Data qoq'!$A:$AT,MATCH($L$1,'Data qoq'!$A$1:$AT$1,),)</f>
        <v>1.4000369669999999</v>
      </c>
      <c r="M97" s="25">
        <f>VLOOKUP(B97,'Data qoq'!$A:$AT,MATCH($M$1,'Data qoq'!$A$1:$AT$1,),)</f>
        <v>0.99948927700000001</v>
      </c>
      <c r="N97" s="25">
        <f>VLOOKUP(B97,'Data qoq'!$A:$AT,MATCH($N$1,'Data qoq'!$A$1:$AT$1,),)</f>
        <v>0</v>
      </c>
      <c r="O97" s="25">
        <f>VLOOKUP(B97,'Data qoq'!$A:$AT,MATCH($O$1,'Data qoq'!$J$1:$AT$1,),)</f>
        <v>2.0115807550000002</v>
      </c>
      <c r="P97" s="25">
        <f>VLOOKUP(B97,'Data qoq'!$A:$AT,MATCH($P$1,'Data qoq'!$A$1:$AT$1,),)</f>
        <v>1.600008023</v>
      </c>
      <c r="Q97" s="25">
        <f>VLOOKUP(B97,'Data qoq'!$A:$AT,MATCH($Q$1,'Data qoq'!$A$1:$AT$1,),)</f>
        <v>0</v>
      </c>
      <c r="R97" s="25">
        <f>VLOOKUP(B97,'Data qoq'!$A:$AT,MATCH($R$1,'Data qoq'!$A$1:$AT$1,),)</f>
        <v>0</v>
      </c>
      <c r="S97" s="25">
        <f>VLOOKUP(B97,'Data qoq'!$A:$AT,MATCH($S$1,'Data qoq'!$A$1:$AT$1,),)</f>
        <v>1.118547956</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0.89996890299999999</v>
      </c>
      <c r="Y97" s="25">
        <f>VLOOKUP(B97,'Data qoq'!$A:$AT,MATCH($Y$1,'Data qoq'!$A$1:$AT$1,),)</f>
        <v>0</v>
      </c>
      <c r="Z97" s="25">
        <f>VLOOKUP(B97,'Data qoq'!$A:$AU,MATCH($Z$1,'Data qoq'!$A$1:$AU$1,),)</f>
        <v>0</v>
      </c>
      <c r="AA97" s="25">
        <f>VLOOKUP(B97,'Data qoq'!$A:$AU,MATCH($AA$1,'Data qoq'!$A$1:$AU$1,),)</f>
        <v>0</v>
      </c>
      <c r="AC97" s="26" t="str">
        <f t="shared" si="12"/>
        <v>2021-Q4</v>
      </c>
      <c r="AD97" s="27">
        <f t="shared" si="13"/>
        <v>2.4110811190000003</v>
      </c>
      <c r="AE97" s="27">
        <f t="shared" si="14"/>
        <v>2.4110811190000003</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87" activePane="bottomLeft" state="frozen"/>
      <selection pane="bottomLeft" activeCell="A4" sqref="A4:XFD4"/>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2">
      <c r="AD2" s="72" t="s">
        <v>587</v>
      </c>
      <c r="AE2" s="3" t="str">
        <f>'Table yoy'!AE2</f>
        <v>2021-Q2</v>
      </c>
      <c r="AH2" s="72" t="s">
        <v>586</v>
      </c>
    </row>
    <row r="3" spans="1: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2020-Q2</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2019-Q3</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33</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above</v>
      </c>
      <c r="M7" s="13" t="str">
        <f t="shared" si="3"/>
        <v>above</v>
      </c>
      <c r="N7" s="13" t="str">
        <f t="shared" si="3"/>
        <v>above</v>
      </c>
      <c r="O7" s="13" t="str">
        <f t="shared" si="3"/>
        <v>below</v>
      </c>
      <c r="P7" s="13" t="str">
        <f t="shared" si="3"/>
        <v>below</v>
      </c>
      <c r="Q7" s="13" t="str">
        <f t="shared" si="3"/>
        <v>above</v>
      </c>
      <c r="R7" s="13" t="str">
        <f t="shared" si="3"/>
        <v>above</v>
      </c>
      <c r="S7" s="13" t="str">
        <f t="shared" si="3"/>
        <v>above</v>
      </c>
      <c r="T7" s="13" t="str">
        <f t="shared" si="3"/>
        <v>below</v>
      </c>
      <c r="U7" s="13" t="str">
        <f t="shared" si="3"/>
        <v>above</v>
      </c>
      <c r="V7" s="13" t="str">
        <f t="shared" si="3"/>
        <v>above</v>
      </c>
      <c r="W7" s="13" t="str">
        <f t="shared" si="3"/>
        <v>below</v>
      </c>
      <c r="X7" s="13" t="str">
        <f t="shared" si="3"/>
        <v>above</v>
      </c>
      <c r="Y7" s="13" t="str">
        <f t="shared" si="3"/>
        <v>above</v>
      </c>
      <c r="Z7" s="13" t="str">
        <f t="shared" si="3"/>
        <v>below</v>
      </c>
      <c r="AA7" s="13" t="str">
        <f t="shared" si="3"/>
        <v>above</v>
      </c>
      <c r="AC7" s="19"/>
      <c r="AD7" s="20" t="s">
        <v>583</v>
      </c>
      <c r="AE7" s="21" t="s">
        <v>40</v>
      </c>
    </row>
    <row r="8" spans="1:34" x14ac:dyDescent="0.2">
      <c r="B8" s="4" t="s">
        <v>584</v>
      </c>
      <c r="C8" s="28">
        <f t="shared" ref="C8:AA8" si="4">VLOOKUP($AE$2,$B:$AA,MATCH(C3,$B$3:$AA$3,),)-VLOOKUP($AE$4,$B:$AA,MATCH(C3,$B$3:$AA$3,),)</f>
        <v>3.9559643987393756E-2</v>
      </c>
      <c r="D8" s="28">
        <f t="shared" si="4"/>
        <v>-4.1518838249998691E-3</v>
      </c>
      <c r="E8" s="28">
        <f t="shared" si="4"/>
        <v>8.0592468804237427E-2</v>
      </c>
      <c r="F8" s="28">
        <f t="shared" si="4"/>
        <v>2.433568774025241E-2</v>
      </c>
      <c r="G8" s="28">
        <f t="shared" si="4"/>
        <v>6.6804756409492017E-2</v>
      </c>
      <c r="H8" s="28">
        <f t="shared" si="4"/>
        <v>4.9128688231522721E-2</v>
      </c>
      <c r="I8" s="28">
        <f t="shared" si="4"/>
        <v>0.21714772475596522</v>
      </c>
      <c r="J8" s="28">
        <f t="shared" si="4"/>
        <v>0.10779656889079159</v>
      </c>
      <c r="K8" s="28">
        <f t="shared" si="4"/>
        <v>2.7724597383433025E-2</v>
      </c>
      <c r="L8" s="28">
        <f t="shared" si="4"/>
        <v>3.3947514682315827E-2</v>
      </c>
      <c r="M8" s="28">
        <f t="shared" si="4"/>
        <v>1.8006083997386124E-2</v>
      </c>
      <c r="N8" s="28">
        <f t="shared" si="4"/>
        <v>0.17244123527550825</v>
      </c>
      <c r="O8" s="28">
        <f t="shared" si="4"/>
        <v>-0.4262299923886419</v>
      </c>
      <c r="P8" s="28">
        <f t="shared" si="4"/>
        <v>-4.4705096475878947E-2</v>
      </c>
      <c r="Q8" s="28">
        <f t="shared" si="4"/>
        <v>-4.0869539763193075E-3</v>
      </c>
      <c r="R8" s="28">
        <f t="shared" si="4"/>
        <v>5.1607711358407471E-2</v>
      </c>
      <c r="S8" s="28">
        <f t="shared" si="4"/>
        <v>1.4886499692310817E-2</v>
      </c>
      <c r="T8" s="28">
        <f t="shared" si="4"/>
        <v>-1.3425934027800124E-2</v>
      </c>
      <c r="U8" s="28">
        <f t="shared" si="4"/>
        <v>8.3475041483358714E-2</v>
      </c>
      <c r="V8" s="28">
        <f t="shared" si="4"/>
        <v>0.24348225014460712</v>
      </c>
      <c r="W8" s="28">
        <f t="shared" si="4"/>
        <v>5.9398917912197202E-2</v>
      </c>
      <c r="X8" s="28">
        <f t="shared" si="4"/>
        <v>3.0941725823391497E-2</v>
      </c>
      <c r="Y8" s="28">
        <f t="shared" si="4"/>
        <v>3.0556225178843599E-2</v>
      </c>
      <c r="Z8" s="28">
        <f t="shared" si="4"/>
        <v>-4.3299155139304379E-2</v>
      </c>
      <c r="AA8" s="28">
        <f t="shared" si="4"/>
        <v>5.9160045572450581E-2</v>
      </c>
    </row>
    <row r="9" spans="1:34" x14ac:dyDescent="0.2">
      <c r="B9" s="4" t="s">
        <v>585</v>
      </c>
      <c r="C9" s="29">
        <f t="shared" ref="C9:AA9" si="5">VLOOKUP($AE$2,$B:$AA,MATCH(C3,$B$3:$AA$3,),)-VLOOKUP($AE$3,$B:$AA,MATCH(C3,$B$3:$AA$3,),)</f>
        <v>0.37961981608408712</v>
      </c>
      <c r="D9" s="29">
        <f t="shared" si="5"/>
        <v>-0.45285431886500005</v>
      </c>
      <c r="E9" s="29">
        <f t="shared" si="5"/>
        <v>0.48215728311258466</v>
      </c>
      <c r="F9" s="29">
        <f t="shared" si="5"/>
        <v>0.30481189418358479</v>
      </c>
      <c r="G9" s="29">
        <f t="shared" si="5"/>
        <v>0.42713396746892607</v>
      </c>
      <c r="H9" s="29">
        <f t="shared" si="5"/>
        <v>0.4908690642034389</v>
      </c>
      <c r="I9" s="29">
        <f t="shared" si="5"/>
        <v>0.8146417916870301</v>
      </c>
      <c r="J9" s="29">
        <f t="shared" si="5"/>
        <v>0.53485319865747594</v>
      </c>
      <c r="K9" s="29">
        <f t="shared" si="5"/>
        <v>0.58312769393647601</v>
      </c>
      <c r="L9" s="29">
        <f t="shared" si="5"/>
        <v>0.31848211281829997</v>
      </c>
      <c r="M9" s="29">
        <f t="shared" si="5"/>
        <v>0.58991014175343159</v>
      </c>
      <c r="N9" s="29">
        <f t="shared" si="5"/>
        <v>0.30156534056283524</v>
      </c>
      <c r="O9" s="29">
        <f t="shared" si="5"/>
        <v>0.29952231331682899</v>
      </c>
      <c r="P9" s="29">
        <f t="shared" si="5"/>
        <v>0.34220100069201775</v>
      </c>
      <c r="Q9" s="29">
        <f t="shared" si="5"/>
        <v>0.27368847565183185</v>
      </c>
      <c r="R9" s="29">
        <f t="shared" si="5"/>
        <v>0.29798284063487146</v>
      </c>
      <c r="S9" s="29">
        <f t="shared" si="5"/>
        <v>0.15138406025726991</v>
      </c>
      <c r="T9" s="29">
        <f t="shared" si="5"/>
        <v>0.29587410702488681</v>
      </c>
      <c r="U9" s="29">
        <f t="shared" si="5"/>
        <v>0.54155190468863734</v>
      </c>
      <c r="V9" s="29">
        <f t="shared" si="5"/>
        <v>0.35318614197597964</v>
      </c>
      <c r="W9" s="29">
        <f t="shared" si="5"/>
        <v>0.42748792324590912</v>
      </c>
      <c r="X9" s="29">
        <f t="shared" si="5"/>
        <v>0.36459184119562182</v>
      </c>
      <c r="Y9" s="29">
        <f t="shared" si="5"/>
        <v>0.39470018640178839</v>
      </c>
      <c r="Z9" s="29">
        <f t="shared" si="5"/>
        <v>0.4439103822623317</v>
      </c>
      <c r="AA9" s="29">
        <f t="shared" si="5"/>
        <v>0.45230612161658668</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321</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322</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323</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324</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325</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328</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329</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330</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332</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333</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336</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337</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-4.0072254884535807E-2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6.0890611664242034E-2</v>
      </c>
      <c r="AA71" s="32">
        <f>(((VLOOKUP(B71,'Data qoq'!$A:$AU,MATCH($AA$1,'Data qoq'!$A$1:$AU$1,),))/100+1)^4)-1</f>
        <v>1.2706871935157737E-2</v>
      </c>
      <c r="AC71" s="26" t="str">
        <f t="shared" si="8"/>
        <v>2015-Q1</v>
      </c>
      <c r="AD71" s="31">
        <f t="shared" si="9"/>
        <v>2.6764959055469717E-4</v>
      </c>
      <c r="AE71" s="27"/>
    </row>
    <row r="72" spans="1:31" x14ac:dyDescent="0.2">
      <c r="A72" s="30">
        <v>42156</v>
      </c>
      <c r="B72" s="24" t="s">
        <v>338</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-2.6524319336895252E-2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9.7374372689409849E-2</v>
      </c>
      <c r="AA72" s="32">
        <f>(((VLOOKUP(B72,'Data qoq'!$A:$AU,MATCH($AA$1,'Data qoq'!$A$1:$AU$1,),))/100+1)^4)-1</f>
        <v>2.9093811885170684E-2</v>
      </c>
      <c r="AC72" s="26" t="str">
        <f t="shared" si="8"/>
        <v>2015-Q2</v>
      </c>
      <c r="AD72" s="31">
        <f t="shared" si="9"/>
        <v>-1.2050144943237751E-2</v>
      </c>
      <c r="AE72" s="27"/>
    </row>
    <row r="73" spans="1:31" x14ac:dyDescent="0.2">
      <c r="A73" s="30">
        <v>42248</v>
      </c>
      <c r="B73" s="24" t="s">
        <v>339</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7.7635353645317817E-3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-3.2688848388101599E-3</v>
      </c>
      <c r="AA73" s="32">
        <f>(((VLOOKUP(B73,'Data qoq'!$A:$AU,MATCH($AA$1,'Data qoq'!$A$1:$AU$1,),))/100+1)^4)-1</f>
        <v>4.4238023979601859E-2</v>
      </c>
      <c r="AC73" s="26" t="str">
        <f t="shared" si="8"/>
        <v>2015-Q3</v>
      </c>
      <c r="AD73" s="31">
        <f t="shared" si="9"/>
        <v>-3.7068793041321602E-3</v>
      </c>
      <c r="AE73" s="27"/>
    </row>
    <row r="74" spans="1:31" x14ac:dyDescent="0.2">
      <c r="A74" s="30">
        <v>42339</v>
      </c>
      <c r="B74" s="24" t="s">
        <v>340</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-1.0271847345456719E-2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-4.5331261736229589E-2</v>
      </c>
      <c r="AA74" s="32">
        <f>(((VLOOKUP(B74,'Data qoq'!$A:$AU,MATCH($AA$1,'Data qoq'!$A$1:$AU$1,),))/100+1)^4)-1</f>
        <v>4.2011320864758561E-2</v>
      </c>
      <c r="AC74" s="26" t="str">
        <f t="shared" si="8"/>
        <v>2015-Q4</v>
      </c>
      <c r="AD74" s="31">
        <f t="shared" si="9"/>
        <v>-8.9005258699683676E-3</v>
      </c>
      <c r="AE74" s="27"/>
    </row>
    <row r="75" spans="1:31" x14ac:dyDescent="0.2">
      <c r="A75" s="30">
        <v>42430</v>
      </c>
      <c r="B75" s="24" t="s">
        <v>341</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7.6240015514328352E-3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-3.4506444957995153E-2</v>
      </c>
      <c r="AA75" s="32">
        <f>(((VLOOKUP(B75,'Data qoq'!$A:$AU,MATCH($AA$1,'Data qoq'!$A$1:$AU$1,),))/100+1)^4)-1</f>
        <v>4.7098878128063904E-2</v>
      </c>
      <c r="AC75" s="26" t="str">
        <f t="shared" ref="AC75:AC98" si="10">B75</f>
        <v>2016-Q1</v>
      </c>
      <c r="AD75" s="31">
        <f t="shared" ref="AD75:AD106" si="11">(VLOOKUP(AC75,B:Y,MATCH($AE$6,$B$1:$Y$1,),))-(VLOOKUP(AC75,B:Y,MATCH($AE$7,$B$1:$Y$1,),))</f>
        <v>4.4698620821455037E-3</v>
      </c>
      <c r="AE75" s="27"/>
    </row>
    <row r="76" spans="1:31" x14ac:dyDescent="0.2">
      <c r="A76" s="30">
        <v>42522</v>
      </c>
      <c r="B76" s="24" t="s">
        <v>342</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2.1556900768069376E-3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-6.0840943285591642E-2</v>
      </c>
      <c r="AA76" s="32">
        <f>(((VLOOKUP(B76,'Data qoq'!$A:$AU,MATCH($AA$1,'Data qoq'!$A$1:$AU$1,),))/100+1)^4)-1</f>
        <v>3.8055499698017137E-2</v>
      </c>
      <c r="AC76" s="26" t="str">
        <f t="shared" si="10"/>
        <v>2016-Q2</v>
      </c>
      <c r="AD76" s="31">
        <f t="shared" si="11"/>
        <v>-1.3203132119053773E-2</v>
      </c>
      <c r="AE76" s="27"/>
    </row>
    <row r="77" spans="1:31" x14ac:dyDescent="0.2">
      <c r="A77" s="30">
        <v>42614</v>
      </c>
      <c r="B77" s="24" t="s">
        <v>343</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4.0347489312948515E-3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1.1073044545597321E-2</v>
      </c>
      <c r="AA77" s="32">
        <f>(((VLOOKUP(B77,'Data qoq'!$A:$AU,MATCH($AA$1,'Data qoq'!$A$1:$AU$1,),))/100+1)^4)-1</f>
        <v>3.8353253727399617E-2</v>
      </c>
      <c r="AC77" s="26" t="str">
        <f t="shared" si="10"/>
        <v>2016-Q3</v>
      </c>
      <c r="AD77" s="31">
        <f t="shared" si="11"/>
        <v>4.1735459549330223E-4</v>
      </c>
      <c r="AE77" s="27"/>
    </row>
    <row r="78" spans="1:31" x14ac:dyDescent="0.2">
      <c r="A78" s="30">
        <v>42705</v>
      </c>
      <c r="B78" s="24" t="s">
        <v>344</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3.3414968968097369E-2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2.3901280767584243E-2</v>
      </c>
      <c r="AA78" s="32">
        <f>(((VLOOKUP(B78,'Data qoq'!$A:$AU,MATCH($AA$1,'Data qoq'!$A$1:$AU$1,),))/100+1)^4)-1</f>
        <v>1.3604662766151909E-2</v>
      </c>
      <c r="AC78" s="26" t="str">
        <f t="shared" si="10"/>
        <v>2016-Q4</v>
      </c>
      <c r="AD78" s="31">
        <f t="shared" si="11"/>
        <v>3.5083450544259875E-4</v>
      </c>
      <c r="AE78" s="27"/>
    </row>
    <row r="79" spans="1:31" x14ac:dyDescent="0.2">
      <c r="A79" s="30">
        <v>42795</v>
      </c>
      <c r="B79" s="24" t="s">
        <v>345</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8.0918382113490672E-3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3.9214718612412991E-2</v>
      </c>
      <c r="AA79" s="32">
        <f>(((VLOOKUP(B79,'Data qoq'!$A:$AU,MATCH($AA$1,'Data qoq'!$A$1:$AU$1,),))/100+1)^4)-1</f>
        <v>4.1267275143287874E-2</v>
      </c>
      <c r="AC79" s="26" t="str">
        <f t="shared" si="10"/>
        <v>2017-Q1</v>
      </c>
      <c r="AD79" s="31">
        <f t="shared" si="11"/>
        <v>2.3805565246859395E-3</v>
      </c>
      <c r="AE79" s="27"/>
    </row>
    <row r="80" spans="1:31" x14ac:dyDescent="0.2">
      <c r="A80" s="30">
        <v>42887</v>
      </c>
      <c r="B80" s="24" t="s">
        <v>346</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2.7905608246182823E-2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4.4054712186452294E-2</v>
      </c>
      <c r="AA80" s="32">
        <f>(((VLOOKUP(B80,'Data qoq'!$A:$AU,MATCH($AA$1,'Data qoq'!$A$1:$AU$1,),))/100+1)^4)-1</f>
        <v>4.3267551732002252E-2</v>
      </c>
      <c r="AC80" s="26" t="str">
        <f t="shared" si="10"/>
        <v>2017-Q2</v>
      </c>
      <c r="AD80" s="31">
        <f t="shared" si="11"/>
        <v>2.0038562994537212E-2</v>
      </c>
      <c r="AE80" s="27"/>
    </row>
    <row r="81" spans="1:31" x14ac:dyDescent="0.2">
      <c r="A81" s="30">
        <v>42979</v>
      </c>
      <c r="B81" s="24" t="s">
        <v>347</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2.745765618629914E-2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4.5888200523992673E-2</v>
      </c>
      <c r="AA81" s="32">
        <f>(((VLOOKUP(B81,'Data qoq'!$A:$AU,MATCH($AA$1,'Data qoq'!$A$1:$AU$1,),))/100+1)^4)-1</f>
        <v>3.8954559107242437E-2</v>
      </c>
      <c r="AC81" s="26" t="str">
        <f t="shared" si="10"/>
        <v>2017-Q3</v>
      </c>
      <c r="AD81" s="31">
        <f t="shared" si="11"/>
        <v>1.1137531906543874E-2</v>
      </c>
      <c r="AE81" s="27"/>
    </row>
    <row r="82" spans="1:31" x14ac:dyDescent="0.2">
      <c r="A82" s="30">
        <v>43070</v>
      </c>
      <c r="B82" s="24" t="s">
        <v>348</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8.4005022203847979E-4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4.1650026341740309E-2</v>
      </c>
      <c r="AA82" s="32">
        <f>(((VLOOKUP(B82,'Data qoq'!$A:$AU,MATCH($AA$1,'Data qoq'!$A$1:$AU$1,),))/100+1)^4)-1</f>
        <v>3.246985379134526E-2</v>
      </c>
      <c r="AC82" s="26" t="str">
        <f t="shared" si="10"/>
        <v>2017-Q4</v>
      </c>
      <c r="AD82" s="31">
        <f t="shared" si="11"/>
        <v>1.8461032743094963E-2</v>
      </c>
      <c r="AE82" s="27"/>
    </row>
    <row r="83" spans="1:31" x14ac:dyDescent="0.2">
      <c r="A83" s="30">
        <v>43160</v>
      </c>
      <c r="B83" s="24" t="s">
        <v>349</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5.5354589448898261E-2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-9.3370459644744885E-3</v>
      </c>
      <c r="AA83" s="32">
        <f>(((VLOOKUP(B83,'Data qoq'!$A:$AU,MATCH($AA$1,'Data qoq'!$A$1:$AU$1,),))/100+1)^4)-1</f>
        <v>2.8024162479346915E-2</v>
      </c>
      <c r="AC83" s="26" t="str">
        <f t="shared" si="10"/>
        <v>2018-Q1</v>
      </c>
      <c r="AD83" s="31">
        <f t="shared" si="11"/>
        <v>-6.7573486305954056E-3</v>
      </c>
      <c r="AE83" s="27"/>
    </row>
    <row r="84" spans="1:31" s="72" customFormat="1" x14ac:dyDescent="0.2">
      <c r="A84" s="30">
        <v>43252</v>
      </c>
      <c r="B84" s="24" t="s">
        <v>350</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2.2505339938724056E-2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-0.17063983192888765</v>
      </c>
      <c r="AA84" s="32">
        <f>(((VLOOKUP(B84,'Data qoq'!$A:$AU,MATCH($AA$1,'Data qoq'!$A$1:$AU$1,),))/100+1)^4)-1</f>
        <v>4.5705293820837767E-2</v>
      </c>
      <c r="AC84" s="26" t="str">
        <f t="shared" si="10"/>
        <v>2018-Q2</v>
      </c>
      <c r="AD84" s="31">
        <f t="shared" si="11"/>
        <v>-2.1749218957813898E-3</v>
      </c>
    </row>
    <row r="85" spans="1:31" s="72" customFormat="1" x14ac:dyDescent="0.2">
      <c r="A85" s="30">
        <v>43344</v>
      </c>
      <c r="B85" s="24" t="s">
        <v>351</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9.6897644661275706E-3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-1.3526074968752799E-2</v>
      </c>
      <c r="AA85" s="32">
        <f>(((VLOOKUP(B85,'Data qoq'!$A:$AU,MATCH($AA$1,'Data qoq'!$A$1:$AU$1,),))/100+1)^4)-1</f>
        <v>1.7097055243083137E-2</v>
      </c>
      <c r="AC85" s="26" t="str">
        <f t="shared" si="10"/>
        <v>2018-Q3</v>
      </c>
      <c r="AD85" s="31">
        <f t="shared" si="11"/>
        <v>-2.3066943914975546E-2</v>
      </c>
    </row>
    <row r="86" spans="1:31" s="72" customFormat="1" x14ac:dyDescent="0.2">
      <c r="A86" s="30">
        <v>43435</v>
      </c>
      <c r="B86" s="24" t="s">
        <v>352</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2.682434565241798E-2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-5.552652796344959E-2</v>
      </c>
      <c r="AA86" s="32">
        <f>(((VLOOKUP(B86,'Data qoq'!$A:$AU,MATCH($AA$1,'Data qoq'!$A$1:$AU$1,),))/100+1)^4)-1</f>
        <v>5.0071219513139198E-2</v>
      </c>
      <c r="AC86" s="26" t="str">
        <f t="shared" si="10"/>
        <v>2018-Q4</v>
      </c>
      <c r="AD86" s="31">
        <f t="shared" si="11"/>
        <v>9.9165918209787041E-3</v>
      </c>
    </row>
    <row r="87" spans="1:31" s="72" customFormat="1" x14ac:dyDescent="0.2">
      <c r="A87" s="30">
        <v>43525</v>
      </c>
      <c r="B87" s="24" t="s">
        <v>353</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-1.5222443071766234E-3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1.0085074375362213E-2</v>
      </c>
      <c r="AA87" s="32">
        <f>(((VLOOKUP(B87,'Data qoq'!$A:$AU,MATCH($AA$1,'Data qoq'!$A$1:$AU$1,),))/100+1)^4)-1</f>
        <v>1.5629473574948483E-2</v>
      </c>
      <c r="AC87" s="26" t="str">
        <f t="shared" si="10"/>
        <v>2019-Q1</v>
      </c>
      <c r="AD87" s="31">
        <f t="shared" si="11"/>
        <v>3.2900428037929697E-3</v>
      </c>
    </row>
    <row r="88" spans="1:31" s="72" customFormat="1" x14ac:dyDescent="0.2">
      <c r="A88" s="30">
        <v>43617</v>
      </c>
      <c r="B88" s="24" t="s">
        <v>354</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9.358454721295506E-2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2.6466565550510968E-2</v>
      </c>
      <c r="AA88" s="32">
        <f>(((VLOOKUP(B88,'Data qoq'!$A:$AU,MATCH($AA$1,'Data qoq'!$A$1:$AU$1,),))/100+1)^4)-1</f>
        <v>2.222612077398689E-2</v>
      </c>
      <c r="AC88" s="26" t="str">
        <f t="shared" si="10"/>
        <v>2019-Q2</v>
      </c>
      <c r="AD88" s="31">
        <f t="shared" si="11"/>
        <v>2.1528127001604336E-3</v>
      </c>
    </row>
    <row r="89" spans="1:31" s="72" customFormat="1" x14ac:dyDescent="0.2">
      <c r="A89" s="30">
        <v>43709</v>
      </c>
      <c r="B89" s="24" t="s">
        <v>355</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-3.8563652917277924E-2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6.2761383307599061E-3</v>
      </c>
      <c r="AA89" s="32">
        <f>(((VLOOKUP(B89,'Data qoq'!$A:$AU,MATCH($AA$1,'Data qoq'!$A$1:$AU$1,),))/100+1)^4)-1</f>
        <v>4.143144786491848E-2</v>
      </c>
      <c r="AC89" s="26" t="str">
        <f t="shared" si="10"/>
        <v>2019-Q3</v>
      </c>
      <c r="AD89" s="31">
        <f t="shared" si="11"/>
        <v>-8.5144857165351251E-3</v>
      </c>
    </row>
    <row r="90" spans="1:31" s="72" customFormat="1" x14ac:dyDescent="0.2">
      <c r="A90" s="30">
        <v>43800</v>
      </c>
      <c r="B90" s="24" t="s">
        <v>356</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-1.7977032429816631E-2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-6.6122517698976147E-2</v>
      </c>
      <c r="AA90" s="32">
        <f>(((VLOOKUP(B90,'Data qoq'!$A:$AU,MATCH($AA$1,'Data qoq'!$A$1:$AU$1,),))/100+1)^4)-1</f>
        <v>1.3597777798740385E-2</v>
      </c>
      <c r="AC90" s="26" t="str">
        <f t="shared" si="10"/>
        <v>2019-Q4</v>
      </c>
      <c r="AD90" s="31">
        <f t="shared" si="11"/>
        <v>1.4960345240125905E-3</v>
      </c>
    </row>
    <row r="91" spans="1:31" s="72" customFormat="1" x14ac:dyDescent="0.2">
      <c r="A91" s="30">
        <v>43891</v>
      </c>
      <c r="B91" s="24" t="s">
        <v>357</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-0.10139416357322195</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-7.8298372654671544E-3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-0.14838150559920915</v>
      </c>
      <c r="AA91" s="32">
        <f>(((VLOOKUP(B91,'Data qoq'!$A:$AU,MATCH($AA$1,'Data qoq'!$A$1:$AU$1,),))/100+1)^4)-1</f>
        <v>-4.9966042643958541E-2</v>
      </c>
      <c r="AC91" s="26" t="str">
        <f t="shared" si="10"/>
        <v>2020-Q1</v>
      </c>
      <c r="AD91" s="31">
        <f t="shared" si="11"/>
        <v>-3.0244825911174944E-2</v>
      </c>
    </row>
    <row r="92" spans="1:31" s="72" customFormat="1" x14ac:dyDescent="0.2">
      <c r="A92" s="30">
        <v>43983</v>
      </c>
      <c r="B92" s="24" t="s">
        <v>358</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-0.57900839237605162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-0.16768775820460491</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-0.48093339907087618</v>
      </c>
      <c r="AA92" s="32">
        <f>(((VLOOKUP(B92,'Data qoq'!$A:$AU,MATCH($AA$1,'Data qoq'!$A$1:$AU$1,),))/100+1)^4)-1</f>
        <v>-0.35171462817921761</v>
      </c>
      <c r="AC92" s="26" t="str">
        <f t="shared" si="10"/>
        <v>2020-Q2</v>
      </c>
      <c r="AD92" s="31">
        <f t="shared" si="11"/>
        <v>0.18741476690618253</v>
      </c>
    </row>
    <row r="93" spans="1:31" s="72" customFormat="1" x14ac:dyDescent="0.2">
      <c r="A93" s="30">
        <v>44075</v>
      </c>
      <c r="B93" s="24" t="s">
        <v>359</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0.91083290720623511</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0.11584013379575286</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0.56833951153924533</v>
      </c>
      <c r="AA93" s="32">
        <f>(((VLOOKUP(B93,'Data qoq'!$A:$AU,MATCH($AA$1,'Data qoq'!$A$1:$AU$1,),))/100+1)^4)-1</f>
        <v>0.68035627391393261</v>
      </c>
      <c r="AC93" s="26" t="str">
        <f t="shared" si="10"/>
        <v>2020-Q3</v>
      </c>
      <c r="AD93" s="31">
        <f t="shared" si="11"/>
        <v>-0.30612618295525107</v>
      </c>
    </row>
    <row r="94" spans="1:31" s="72" customFormat="1" x14ac:dyDescent="0.2">
      <c r="A94" s="30">
        <v>44166</v>
      </c>
      <c r="B94" s="24" t="s">
        <v>360</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6.1467144335567214E-2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2.9919683186228729E-2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0.19213445502075466</v>
      </c>
      <c r="AA94" s="32">
        <f>(((VLOOKUP(B94,'Data qoq'!$A:$AU,MATCH($AA$1,'Data qoq'!$A$1:$AU$1,),))/100+1)^4)-1</f>
        <v>-1.4450679721116466E-2</v>
      </c>
      <c r="AC94" s="26" t="str">
        <f t="shared" si="10"/>
        <v>2020-Q4</v>
      </c>
      <c r="AD94" s="31">
        <f t="shared" si="11"/>
        <v>-7.5395873920244605E-2</v>
      </c>
    </row>
    <row r="95" spans="1:31" s="72" customFormat="1" x14ac:dyDescent="0.2">
      <c r="A95" s="30">
        <v>44256</v>
      </c>
      <c r="B95" s="24" t="s">
        <v>361</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-4.9577976983910088E-2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2.7510921764817731E-2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0.13906351178352927</v>
      </c>
      <c r="AA95" s="32">
        <f>(((VLOOKUP(B95,'Data qoq'!$A:$AU,MATCH($AA$1,'Data qoq'!$A$1:$AU$1,),))/100+1)^4)-1</f>
        <v>5.967312572012351E-2</v>
      </c>
      <c r="AC95" s="26" t="str">
        <f t="shared" si="10"/>
        <v>2021-Q1</v>
      </c>
      <c r="AD95" s="31">
        <f t="shared" si="11"/>
        <v>4.1413215468819708E-2</v>
      </c>
    </row>
    <row r="96" spans="1:31" s="72" customFormat="1" x14ac:dyDescent="0.2">
      <c r="A96" s="30">
        <v>44348</v>
      </c>
      <c r="B96" s="24" t="s">
        <v>362</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0.23563339931097849</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0.13387758235823033</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-3.7023016808544473E-2</v>
      </c>
      <c r="AA96" s="32">
        <f>(((VLOOKUP(B96,'Data qoq'!$A:$AU,MATCH($AA$1,'Data qoq'!$A$1:$AU$1,),))/100+1)^4)-1</f>
        <v>0.10059149343736906</v>
      </c>
      <c r="AC96" s="26" t="str">
        <f t="shared" si="10"/>
        <v>2021-Q2</v>
      </c>
      <c r="AD96" s="31">
        <f t="shared" si="11"/>
        <v>-0.14506974166826292</v>
      </c>
    </row>
    <row r="97" spans="1:30" s="72" customFormat="1" x14ac:dyDescent="0.2">
      <c r="A97" s="30">
        <v>44440</v>
      </c>
      <c r="B97" s="24" t="s">
        <v>363</v>
      </c>
      <c r="C97" s="32">
        <f>(((VLOOKUP(B97,'Data qoq'!$A:$AT,MATCH($C$1,'Data qoq'!$A$1:$AT$1,),))/100+1)^4)-1</f>
        <v>2.303425902456091E-2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4.3129681082444415E-2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-3.1403494139439658E-2</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0.17333986295733617</v>
      </c>
      <c r="AA97" s="32">
        <f>(((VLOOKUP(B97,'Data qoq'!$A:$AU,MATCH($AA$1,'Data qoq'!$A$1:$AU$1,),))/100+1)^4)-1</f>
        <v>-0.13918697368550914</v>
      </c>
      <c r="AC97" s="26" t="str">
        <f t="shared" si="10"/>
        <v>2021-Q3</v>
      </c>
      <c r="AD97" s="31">
        <f t="shared" si="11"/>
        <v>4.754876712724343E-2</v>
      </c>
    </row>
    <row r="98" spans="1:30" s="72" customFormat="1" x14ac:dyDescent="0.2">
      <c r="A98" s="30">
        <v>44531</v>
      </c>
      <c r="B98" s="24" t="s">
        <v>364</v>
      </c>
      <c r="C98" s="32">
        <f>(((VLOOKUP(B98,'Data qoq'!$A:$AT,MATCH($C$1,'Data qoq'!$A$1:$AT$1,),))/100+1)^4)-1</f>
        <v>6.8874405826816254E-2</v>
      </c>
      <c r="D98" s="32">
        <f>(((VLOOKUP(B98,'Data qoq'!$A:$AT,MATCH($D$1,'Data qoq'!$A$1:$AT$1,),))/100+1)^4)-1</f>
        <v>6.5552449536000035E-2</v>
      </c>
      <c r="E98" s="32">
        <f>(((VLOOKUP(B98,'Data qoq'!$A:$AT,MATCH($E$1,'Data qoq'!$A$1:$AT$1,),))/100+1)^4)-1</f>
        <v>1.1831212241614208E-2</v>
      </c>
      <c r="F98" s="32">
        <f>(((VLOOKUP(B98,'Data qoq'!$A:$AT,MATCH($F$1,'Data qoq'!$A$1:$AT$1,),))/100+1)^4)-1</f>
        <v>0</v>
      </c>
      <c r="G98" s="32">
        <f>(((VLOOKUP(B98,'Data qoq'!$A:$AT,MATCH($G$1,'Data qoq'!$A$1:$AT$1,),))/100+1)^4)-1</f>
        <v>-2.8959552275361733E-2</v>
      </c>
      <c r="H98" s="32">
        <f>(((VLOOKUP(B98,'Data qoq'!$A:$AT,MATCH($H$1,'Data qoq'!$A$1:$AT$1,),))/100+1)^4)-1</f>
        <v>2.8728348771343226E-2</v>
      </c>
      <c r="I98" s="32">
        <f>(((VLOOKUP(B98,'Data qoq'!$A:$AT,MATCH($I$1,'Data qoq'!$A$1:$AT$1,),))/100+1)^4)-1</f>
        <v>0</v>
      </c>
      <c r="J98" s="32">
        <f>(((VLOOKUP(B98,'Data qoq'!$A:$AT,MATCH($J$1,'Data qoq'!$A$1:$AT$1,),))/100+1)^4)-1</f>
        <v>2.4730011738387292E-2</v>
      </c>
      <c r="K98" s="32">
        <f>(((VLOOKUP(B98,'Data qoq'!$A:$AT,MATCH($K$1,'Data qoq'!$A$1:$AT$1,),))/100+1)^4)-1</f>
        <v>8.2923827319671295E-2</v>
      </c>
      <c r="L98" s="32">
        <f>(((VLOOKUP(B98,'Data qoq'!$A:$AT,MATCH($L$1,'Data qoq'!$A$1:$AT$1,),))/100+1)^4)-1</f>
        <v>5.7188556074924346E-2</v>
      </c>
      <c r="M98" s="32">
        <f>(((VLOOKUP(B98,'Data qoq'!$A:$AT,MATCH($M$1,'Data qoq'!$A$1:$AT$1,),))/100+1)^4)-1</f>
        <v>4.058296222294322E-2</v>
      </c>
      <c r="N98" s="32">
        <f>(((VLOOKUP(B98,'Data qoq'!$A:$AT,MATCH($N$1,'Data qoq'!$A$1:$AT$1,),))/100+1)^4)-1</f>
        <v>0</v>
      </c>
      <c r="O98" s="32">
        <f>(((VLOOKUP(B98,'Data qoq'!$A:$AT,MATCH($O$1,'Data qoq'!$A$1:$AT$1,),))/100+1)^4)-1</f>
        <v>0</v>
      </c>
      <c r="P98" s="32">
        <f>(((VLOOKUP(B98,'Data qoq'!$A:$AT,MATCH($P$1,'Data qoq'!$A$1:$AT$1,),))/100+1)^4)-1</f>
        <v>6.5552786107980765E-2</v>
      </c>
      <c r="Q98" s="32">
        <f>(((VLOOKUP(B98,'Data qoq'!$A:$AT,MATCH($Q$1,'Data qoq'!$A$1:$AT$1,),))/100+1)^4)-1</f>
        <v>0</v>
      </c>
      <c r="R98" s="32">
        <f>(((VLOOKUP(B98,'Data qoq'!$A:$AT,MATCH($R$1,'Data qoq'!$A$1:$AT$1,),))/100+1)^4)-1</f>
        <v>0</v>
      </c>
      <c r="S98" s="32">
        <f>(((VLOOKUP(B98,'Data qoq'!$A:$AT,MATCH($S$1,'Data qoq'!$A$1:$AT$1,),))/100+1)^4)-1</f>
        <v>4.5498221494671531E-2</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3.6487644793660845E-2</v>
      </c>
      <c r="Y98" s="32">
        <f>(((VLOOKUP(B98,'Data qoq'!$A:$AT,MATCH($Y$1,'Data qoq'!$A$1:$AT$1,),))/100+1)^4)-1</f>
        <v>0</v>
      </c>
      <c r="Z98" s="32">
        <f>(((VLOOKUP(B98,'Data qoq'!$A:$AU,MATCH($Z$1,'Data qoq'!$A$1:$AU$1,),))/100+1)^4)-1</f>
        <v>0</v>
      </c>
      <c r="AA98" s="32">
        <f>(((VLOOKUP(B98,'Data qoq'!$A:$AU,MATCH($AA$1,'Data qoq'!$A$1:$AU$1,),))/100+1)^4)-1</f>
        <v>0</v>
      </c>
      <c r="AC98" s="26" t="str">
        <f t="shared" si="10"/>
        <v>2021-Q4</v>
      </c>
      <c r="AD98" s="31">
        <f t="shared" si="11"/>
        <v>1.1831212241614208E-2</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topLeftCell="A2" zoomScale="180" zoomScaleNormal="180" workbookViewId="0">
      <selection activeCell="H9" sqref="H9"/>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20" width="9.1640625" style="72" customWidth="1"/>
    <col min="21" max="16384" width="9.1640625" style="72"/>
  </cols>
  <sheetData>
    <row r="1" spans="2:5" ht="16" customHeight="1" thickBot="1" x14ac:dyDescent="0.25"/>
    <row r="2" spans="2:5" ht="17" customHeight="1" thickBot="1" x14ac:dyDescent="0.25">
      <c r="B2" s="60" t="s">
        <v>588</v>
      </c>
      <c r="C2" s="61" t="s">
        <v>589</v>
      </c>
      <c r="D2" s="60" t="s">
        <v>590</v>
      </c>
      <c r="E2" s="62" t="s">
        <v>591</v>
      </c>
    </row>
    <row r="3" spans="2:5" ht="16" customHeight="1" x14ac:dyDescent="0.2">
      <c r="B3" s="69" t="s">
        <v>556</v>
      </c>
      <c r="C3" s="71">
        <f>VLOOKUP(B3,'Data World GDP'!$A$2:$L$182,2,FALSE)/$C$31</f>
        <v>0.21416296720607189</v>
      </c>
      <c r="D3" s="33">
        <f>VLOOKUP(B3,'Data World GDP'!$A$2:$L$182,3,FALSE)</f>
        <v>4.9000000000000002E-2</v>
      </c>
      <c r="E3" s="33">
        <f>VLOOKUP(B3,'Data World GDP'!$A$2:$L$182,4,FALSE)</f>
        <v>2.3E-2</v>
      </c>
    </row>
    <row r="4" spans="2:5" ht="16" customHeight="1" x14ac:dyDescent="0.2">
      <c r="B4" s="69" t="s">
        <v>415</v>
      </c>
      <c r="C4" s="71">
        <f>VLOOKUP(B4,'Data World GDP'!$A$2:$L$182,2,FALSE)/$C$31</f>
        <v>0.1506004377979174</v>
      </c>
      <c r="D4" s="33">
        <f>VLOOKUP(B4,'Data World GDP'!$A$2:$L$182,3,FALSE)</f>
        <v>4.9000000000000002E-2</v>
      </c>
      <c r="E4" s="33">
        <f>VLOOKUP(B4,'Data World GDP'!$A$2:$L$182,4,FALSE)</f>
        <v>2E-3</v>
      </c>
    </row>
    <row r="5" spans="2:5" ht="16" customHeight="1" x14ac:dyDescent="0.2">
      <c r="B5" s="69" t="s">
        <v>435</v>
      </c>
      <c r="C5" s="71">
        <f>VLOOKUP(B5,'Data World GDP'!$A$2:$L$182,2,FALSE)/$C$31</f>
        <v>0.13308852110226876</v>
      </c>
      <c r="D5" s="33">
        <f>VLOOKUP(B5,'Data World GDP'!$A$2:$L$182,3,FALSE)</f>
        <v>3.9E-2</v>
      </c>
      <c r="E5" s="33">
        <f>VLOOKUP(B5,'Data World GDP'!$A$2:$L$182,4,FALSE)</f>
        <v>2.1999999999999999E-2</v>
      </c>
    </row>
    <row r="6" spans="2:5" ht="16" customHeight="1" x14ac:dyDescent="0.2">
      <c r="B6" s="69" t="s">
        <v>463</v>
      </c>
      <c r="C6" s="71">
        <f>VLOOKUP(B6,'Data World GDP'!$A$2:$L$182,2,FALSE)/$C$31</f>
        <v>5.0888893435077021E-2</v>
      </c>
      <c r="D6" s="33">
        <f>VLOOKUP(B6,'Data World GDP'!$A$2:$L$182,3,FALSE)</f>
        <v>1.4E-2</v>
      </c>
      <c r="E6" s="33">
        <f>VLOOKUP(B6,'Data World GDP'!$A$2:$L$182,4,FALSE)</f>
        <v>-9.0000000000000011E-3</v>
      </c>
    </row>
    <row r="7" spans="2:5" ht="16" customHeight="1" x14ac:dyDescent="0.2">
      <c r="B7" s="69" t="s">
        <v>442</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555</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454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438</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402</v>
      </c>
      <c r="C11" s="71">
        <f>VLOOKUP(B11,'Data World GDP'!$A$2:$L$182,2,FALSE)/$C$31</f>
        <v>1.4780794173605286E-2</v>
      </c>
      <c r="D11" s="33">
        <f>VLOOKUP(B11,'Data World GDP'!$A$2:$L$182,3,FALSE)</f>
        <v>0.04</v>
      </c>
      <c r="E11" s="33">
        <f>VLOOKUP(B11,'Data World GDP'!$A$2:$L$182,4,FALSE)</f>
        <v>-1E-3</v>
      </c>
    </row>
    <row r="12" spans="2:5" ht="16" customHeight="1" x14ac:dyDescent="0.2">
      <c r="B12" s="69" t="s">
        <v>460</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409</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520</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533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389</v>
      </c>
      <c r="C16" s="71">
        <f>VLOOKUP(B16,'Data World GDP'!$A$2:$L$182,2,FALSE)/$C$31</f>
        <v>1.3614696917002516E-2</v>
      </c>
      <c r="D16" s="33">
        <f>VLOOKUP(B16,'Data World GDP'!$A$2:$L$182,3,FALSE)</f>
        <v>3.9E-2</v>
      </c>
      <c r="E16" s="33">
        <f>VLOOKUP(B16,'Data World GDP'!$A$2:$L$182,4,FALSE)</f>
        <v>-1.9E-2</v>
      </c>
    </row>
    <row r="17" spans="2:8" ht="16" customHeight="1" x14ac:dyDescent="0.2">
      <c r="B17" s="69" t="s">
        <v>535</v>
      </c>
      <c r="C17" s="71">
        <f>VLOOKUP(B17,'Data World GDP'!$A$2:$L$182,2,FALSE)/$C$31</f>
        <v>1.3103250751825862E-2</v>
      </c>
      <c r="D17" s="33">
        <f>VLOOKUP(B17,'Data World GDP'!$A$2:$L$182,3,FALSE)</f>
        <v>2.7E-2</v>
      </c>
      <c r="E17" s="33">
        <f>VLOOKUP(B17,'Data World GDP'!$A$2:$L$182,4,FALSE)</f>
        <v>0.02</v>
      </c>
    </row>
    <row r="18" spans="2:8" ht="16" customHeight="1" x14ac:dyDescent="0.2">
      <c r="B18" s="69" t="s">
        <v>489</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455</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550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543</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514</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458</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424</v>
      </c>
      <c r="C24" s="71">
        <f>VLOOKUP(B24,'Data World GDP'!$A$2:$L$182,2,FALSE)/$C$31</f>
        <v>3.6414966960577728E-3</v>
      </c>
      <c r="D24" s="33">
        <f>VLOOKUP(B24,'Data World GDP'!$A$2:$L$182,3,FALSE)</f>
        <v>3.5999999999999997E-2</v>
      </c>
      <c r="E24" s="33">
        <f>VLOOKUP(B24,'Data World GDP'!$A$2:$L$182,4,FALSE)</f>
        <v>9.0000000000000011E-3</v>
      </c>
      <c r="H24" s="63" t="s">
        <v>18</v>
      </c>
    </row>
    <row r="25" spans="2:8" ht="16" customHeight="1" x14ac:dyDescent="0.2">
      <c r="B25" s="69" t="s">
        <v>423</v>
      </c>
      <c r="C25" s="71">
        <f>VLOOKUP(B25,'Data World GDP'!$A$2:$L$182,2,FALSE)/$C$31</f>
        <v>2.5060862093656024E-3</v>
      </c>
      <c r="D25" s="33">
        <f>VLOOKUP(B25,'Data World GDP'!$A$2:$L$182,3,FALSE)</f>
        <v>3.1E-2</v>
      </c>
      <c r="E25" s="33">
        <f>VLOOKUP(B25,'Data World GDP'!$A$2:$L$182,4,FALSE)</f>
        <v>1.4999999999999999E-2</v>
      </c>
      <c r="H25" s="72" t="s">
        <v>592</v>
      </c>
    </row>
    <row r="26" spans="2:8" ht="16" customHeight="1" x14ac:dyDescent="0.2">
      <c r="B26" s="69" t="s">
        <v>501</v>
      </c>
      <c r="C26" s="71">
        <f>VLOOKUP(B26,'Data World GDP'!$A$2:$L$182,2,FALSE)/$C$31</f>
        <v>2.1583028170454777E-3</v>
      </c>
      <c r="D26" s="33">
        <f>VLOOKUP(B26,'Data World GDP'!$A$2:$L$182,3,FALSE)</f>
        <v>-3.0000000000000001E-3</v>
      </c>
      <c r="E26" s="33">
        <f>VLOOKUP(B26,'Data World GDP'!$A$2:$L$182,4,FALSE)</f>
        <v>-3.7000000000000012E-2</v>
      </c>
      <c r="H26" s="72" t="s">
        <v>593</v>
      </c>
    </row>
    <row r="27" spans="2:8" ht="17" customHeight="1" thickBot="1" x14ac:dyDescent="0.25">
      <c r="B27" s="70" t="s">
        <v>444</v>
      </c>
      <c r="C27" s="71">
        <f>VLOOKUP(B27,'Data World GDP'!$A$2:$L$182,2,FALSE)/$C$31</f>
        <v>1.9332665043677501E-3</v>
      </c>
      <c r="D27" s="34">
        <f>VLOOKUP(B27,'Data World GDP'!$A$2:$L$182,3,FALSE)</f>
        <v>0.13400000000000001</v>
      </c>
      <c r="E27" s="34">
        <f>VLOOKUP(B27,'Data World GDP'!$A$2:$L$182,4,FALSE)</f>
        <v>2.7E-2</v>
      </c>
    </row>
    <row r="31" spans="2:8" x14ac:dyDescent="0.2">
      <c r="B31" s="72" t="s">
        <v>594</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81" activePane="bottomLeft" state="frozen"/>
      <selection pane="bottomLeft" activeCell="M299" sqref="M299"/>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595</v>
      </c>
      <c r="B1" s="45" t="s">
        <v>64</v>
      </c>
      <c r="C1" s="40" t="s">
        <v>596</v>
      </c>
      <c r="D1" s="46"/>
      <c r="E1" s="47" t="s">
        <v>597</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23</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24</v>
      </c>
    </row>
    <row r="4" spans="1:22" x14ac:dyDescent="0.2">
      <c r="A4" s="42">
        <v>17533</v>
      </c>
      <c r="B4" s="43">
        <f>VLOOKUP(A4,'Data yoy'!$B:$AW,MATCH($B$1,'Data yoy'!$B$1:$AW$1,0),FALSE)</f>
        <v>0</v>
      </c>
      <c r="C4" s="43">
        <f>Table13456789101112131415161734[[#This Row],[USA]]-B3</f>
        <v>0</v>
      </c>
      <c r="D4" s="46"/>
      <c r="E4" s="46"/>
      <c r="F4" s="46"/>
      <c r="G4" s="46"/>
      <c r="H4" s="46"/>
      <c r="V4" s="72"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37</v>
      </c>
    </row>
    <row r="12" spans="1:22" x14ac:dyDescent="0.2">
      <c r="A12" s="42">
        <v>18264</v>
      </c>
      <c r="B12" s="43">
        <f>VLOOKUP(A12,'Data yoy'!$B:$AW,MATCH($B$1,'Data yoy'!$B$1:$AW$1,0),FALSE)</f>
        <v>-1.5330175429999999</v>
      </c>
      <c r="C12" s="43">
        <f>Table13456789101112131415161734[[#This Row],[USA]]-B11</f>
        <v>-0.9443263369999999</v>
      </c>
      <c r="D12" s="27"/>
      <c r="V12" s="72" t="s">
        <v>38</v>
      </c>
    </row>
    <row r="13" spans="1:22" x14ac:dyDescent="0.2">
      <c r="A13" s="42">
        <v>18354</v>
      </c>
      <c r="B13" s="43">
        <f>VLOOKUP(A13,'Data yoy'!$B:$AW,MATCH($B$1,'Data yoy'!$B$1:$AW$1,0),FALSE)</f>
        <v>3.7666806990000001</v>
      </c>
      <c r="C13" s="43">
        <f>Table13456789101112131415161734[[#This Row],[USA]]-B12</f>
        <v>5.2996982419999998</v>
      </c>
      <c r="D13" s="27"/>
      <c r="V13" s="72" t="s">
        <v>40</v>
      </c>
    </row>
    <row r="14" spans="1:22" x14ac:dyDescent="0.2">
      <c r="A14" s="42">
        <v>18445</v>
      </c>
      <c r="B14" s="43">
        <f>VLOOKUP(A14,'Data yoy'!$B:$AW,MATCH($B$1,'Data yoy'!$B$1:$AW$1,0),FALSE)</f>
        <v>7.2973606230000003</v>
      </c>
      <c r="C14" s="43">
        <f>Table13456789101112131415161734[[#This Row],[USA]]-B13</f>
        <v>3.5306799240000002</v>
      </c>
      <c r="D14" s="27"/>
      <c r="V14" s="72" t="s">
        <v>41</v>
      </c>
    </row>
    <row r="15" spans="1:22" x14ac:dyDescent="0.2">
      <c r="A15" s="42">
        <v>18537</v>
      </c>
      <c r="B15" s="43">
        <f>VLOOKUP(A15,'Data yoy'!$B:$AW,MATCH($B$1,'Data yoy'!$B$1:$AW$1,0),FALSE)</f>
        <v>10.304959761999999</v>
      </c>
      <c r="C15" s="43">
        <f>Table13456789101112131415161734[[#This Row],[USA]]-B14</f>
        <v>3.007599138999999</v>
      </c>
      <c r="D15" s="27"/>
      <c r="V15" s="72" t="s">
        <v>42</v>
      </c>
    </row>
    <row r="16" spans="1:22" x14ac:dyDescent="0.2">
      <c r="A16" s="42">
        <v>18629</v>
      </c>
      <c r="B16" s="43">
        <f>VLOOKUP(A16,'Data yoy'!$B:$AW,MATCH($B$1,'Data yoy'!$B$1:$AW$1,0),FALSE)</f>
        <v>13.368522327999999</v>
      </c>
      <c r="C16" s="43">
        <f>Table13456789101112131415161734[[#This Row],[USA]]-B15</f>
        <v>3.0635625659999999</v>
      </c>
      <c r="D16" s="27"/>
      <c r="V16" s="72" t="s">
        <v>44</v>
      </c>
    </row>
    <row r="17" spans="1:22" x14ac:dyDescent="0.2">
      <c r="A17" s="42">
        <v>18719</v>
      </c>
      <c r="B17" s="43">
        <f>VLOOKUP(A17,'Data yoy'!$B:$AW,MATCH($B$1,'Data yoy'!$B$1:$AW$1,0),FALSE)</f>
        <v>10.563012123</v>
      </c>
      <c r="C17" s="43">
        <f>Table13456789101112131415161734[[#This Row],[USA]]-B16</f>
        <v>-2.8055102049999991</v>
      </c>
      <c r="D17" s="27"/>
      <c r="V17" s="72" t="s">
        <v>45</v>
      </c>
    </row>
    <row r="18" spans="1:22" x14ac:dyDescent="0.2">
      <c r="A18" s="42">
        <v>18810</v>
      </c>
      <c r="B18" s="43">
        <f>VLOOKUP(A18,'Data yoy'!$B:$AW,MATCH($B$1,'Data yoy'!$B$1:$AW$1,0),FALSE)</f>
        <v>9.1498838239999998</v>
      </c>
      <c r="C18" s="43">
        <f>Table13456789101112131415161734[[#This Row],[USA]]-B17</f>
        <v>-1.4131282990000003</v>
      </c>
      <c r="D18" s="27"/>
      <c r="V18" s="72" t="s">
        <v>46</v>
      </c>
    </row>
    <row r="19" spans="1:22" x14ac:dyDescent="0.2">
      <c r="A19" s="42">
        <v>18902</v>
      </c>
      <c r="B19" s="43">
        <f>VLOOKUP(A19,'Data yoy'!$B:$AW,MATCH($B$1,'Data yoy'!$B$1:$AW$1,0),FALSE)</f>
        <v>7.2546955019999997</v>
      </c>
      <c r="C19" s="43">
        <f>Table13456789101112131415161734[[#This Row],[USA]]-B18</f>
        <v>-1.8951883220000001</v>
      </c>
      <c r="D19" s="27"/>
      <c r="V19" s="72" t="s">
        <v>47</v>
      </c>
    </row>
    <row r="20" spans="1:22" x14ac:dyDescent="0.2">
      <c r="A20" s="42">
        <v>18994</v>
      </c>
      <c r="B20" s="43">
        <f>VLOOKUP(A20,'Data yoy'!$B:$AW,MATCH($B$1,'Data yoy'!$B$1:$AW$1,0),FALSE)</f>
        <v>5.4713784949999997</v>
      </c>
      <c r="C20" s="43">
        <f>Table13456789101112131415161734[[#This Row],[USA]]-B19</f>
        <v>-1.783317007</v>
      </c>
      <c r="D20" s="27"/>
      <c r="V20" s="72" t="s">
        <v>48</v>
      </c>
    </row>
    <row r="21" spans="1:22" x14ac:dyDescent="0.2">
      <c r="A21" s="42">
        <v>19085</v>
      </c>
      <c r="B21" s="43">
        <f>VLOOKUP(A21,'Data yoy'!$B:$AW,MATCH($B$1,'Data yoy'!$B$1:$AW$1,0),FALSE)</f>
        <v>5.170000881</v>
      </c>
      <c r="C21" s="43">
        <f>Table13456789101112131415161734[[#This Row],[USA]]-B20</f>
        <v>-0.30137761399999974</v>
      </c>
      <c r="D21" s="27"/>
      <c r="V21" s="72" t="s">
        <v>49</v>
      </c>
    </row>
    <row r="22" spans="1:22" x14ac:dyDescent="0.2">
      <c r="A22" s="42">
        <v>19176</v>
      </c>
      <c r="B22" s="43">
        <f>VLOOKUP(A22,'Data yoy'!$B:$AW,MATCH($B$1,'Data yoy'!$B$1:$AW$1,0),FALSE)</f>
        <v>3.6014209519999998</v>
      </c>
      <c r="C22" s="43">
        <f>Table13456789101112131415161734[[#This Row],[USA]]-B21</f>
        <v>-1.5685799290000002</v>
      </c>
      <c r="D22" s="27"/>
      <c r="V22" s="72" t="s">
        <v>50</v>
      </c>
    </row>
    <row r="23" spans="1:22" x14ac:dyDescent="0.2">
      <c r="A23" s="42">
        <v>19268</v>
      </c>
      <c r="B23" s="43">
        <f>VLOOKUP(A23,'Data yoy'!$B:$AW,MATCH($B$1,'Data yoy'!$B$1:$AW$1,0),FALSE)</f>
        <v>2.2420593809999998</v>
      </c>
      <c r="C23" s="43">
        <f>Table13456789101112131415161734[[#This Row],[USA]]-B22</f>
        <v>-1.359361571</v>
      </c>
      <c r="D23" s="27"/>
      <c r="V23" s="72" t="s">
        <v>51</v>
      </c>
    </row>
    <row r="24" spans="1:22" x14ac:dyDescent="0.2">
      <c r="A24" s="42">
        <v>19360</v>
      </c>
      <c r="B24" s="43">
        <f>VLOOKUP(A24,'Data yoy'!$B:$AW,MATCH($B$1,'Data yoy'!$B$1:$AW$1,0),FALSE)</f>
        <v>5.3678369469999998</v>
      </c>
      <c r="C24" s="43">
        <f>Table13456789101112131415161734[[#This Row],[USA]]-B23</f>
        <v>3.125777566</v>
      </c>
      <c r="D24" s="27"/>
      <c r="V24" s="72" t="s">
        <v>52</v>
      </c>
    </row>
    <row r="25" spans="1:22" x14ac:dyDescent="0.2">
      <c r="A25" s="42">
        <v>19450</v>
      </c>
      <c r="B25" s="43">
        <f>VLOOKUP(A25,'Data yoy'!$B:$AW,MATCH($B$1,'Data yoy'!$B$1:$AW$1,0),FALSE)</f>
        <v>6.1917895940000003</v>
      </c>
      <c r="C25" s="43">
        <f>Table13456789101112131415161734[[#This Row],[USA]]-B24</f>
        <v>0.82395264700000048</v>
      </c>
      <c r="D25" s="27"/>
      <c r="V25" s="72" t="s">
        <v>53</v>
      </c>
    </row>
    <row r="26" spans="1:22" x14ac:dyDescent="0.2">
      <c r="A26" s="42">
        <v>19541</v>
      </c>
      <c r="B26" s="43">
        <f>VLOOKUP(A26,'Data yoy'!$B:$AW,MATCH($B$1,'Data yoy'!$B$1:$AW$1,0),FALSE)</f>
        <v>6.7825801630000004</v>
      </c>
      <c r="C26" s="43">
        <f>Table13456789101112131415161734[[#This Row],[USA]]-B25</f>
        <v>0.59079056900000015</v>
      </c>
      <c r="D26" s="27"/>
      <c r="V26" s="72" t="s">
        <v>54</v>
      </c>
    </row>
    <row r="27" spans="1:22" x14ac:dyDescent="0.2">
      <c r="A27" s="42">
        <v>19633</v>
      </c>
      <c r="B27" s="43">
        <f>VLOOKUP(A27,'Data yoy'!$B:$AW,MATCH($B$1,'Data yoy'!$B$1:$AW$1,0),FALSE)</f>
        <v>5.4207601810000003</v>
      </c>
      <c r="C27" s="43">
        <f>Table13456789101112131415161734[[#This Row],[USA]]-B26</f>
        <v>-1.3618199820000001</v>
      </c>
      <c r="D27" s="27"/>
      <c r="V27" s="72" t="s">
        <v>56</v>
      </c>
    </row>
    <row r="28" spans="1:22" x14ac:dyDescent="0.2">
      <c r="A28" s="42">
        <v>19725</v>
      </c>
      <c r="B28" s="43">
        <f>VLOOKUP(A28,'Data yoy'!$B:$AW,MATCH($B$1,'Data yoy'!$B$1:$AW$1,0),FALSE)</f>
        <v>0.52334884400000004</v>
      </c>
      <c r="C28" s="43">
        <f>Table13456789101112131415161734[[#This Row],[USA]]-B27</f>
        <v>-4.8974113370000003</v>
      </c>
      <c r="D28" s="27"/>
      <c r="V28" s="72" t="s">
        <v>57</v>
      </c>
    </row>
    <row r="29" spans="1:22" x14ac:dyDescent="0.2">
      <c r="A29" s="42">
        <v>19815</v>
      </c>
      <c r="B29" s="43">
        <f>VLOOKUP(A29,'Data yoy'!$B:$AW,MATCH($B$1,'Data yoy'!$B$1:$AW$1,0),FALSE)</f>
        <v>-1.782902464</v>
      </c>
      <c r="C29" s="43">
        <f>Table13456789101112131415161734[[#This Row],[USA]]-B28</f>
        <v>-2.3062513080000002</v>
      </c>
      <c r="D29" s="27"/>
      <c r="V29" s="72" t="s">
        <v>58</v>
      </c>
    </row>
    <row r="30" spans="1:22" x14ac:dyDescent="0.2">
      <c r="A30" s="42">
        <v>19906</v>
      </c>
      <c r="B30" s="43">
        <f>VLOOKUP(A30,'Data yoy'!$B:$AW,MATCH($B$1,'Data yoy'!$B$1:$AW$1,0),FALSE)</f>
        <v>-2.4300090499999998</v>
      </c>
      <c r="C30" s="43">
        <f>Table13456789101112131415161734[[#This Row],[USA]]-B29</f>
        <v>-0.64710658599999982</v>
      </c>
      <c r="D30" s="27"/>
      <c r="V30" s="72" t="s">
        <v>60</v>
      </c>
    </row>
    <row r="31" spans="1:22" x14ac:dyDescent="0.2">
      <c r="A31" s="42">
        <v>19998</v>
      </c>
      <c r="B31" s="43">
        <f>VLOOKUP(A31,'Data yoy'!$B:$AW,MATCH($B$1,'Data yoy'!$B$1:$AW$1,0),FALSE)</f>
        <v>-0.76976022300000002</v>
      </c>
      <c r="C31" s="43">
        <f>Table13456789101112131415161734[[#This Row],[USA]]-B30</f>
        <v>1.6602488269999998</v>
      </c>
      <c r="D31" s="27"/>
      <c r="V31" s="72" t="s">
        <v>61</v>
      </c>
    </row>
    <row r="32" spans="1:22" x14ac:dyDescent="0.2">
      <c r="A32" s="42">
        <v>20090</v>
      </c>
      <c r="B32" s="43">
        <f>VLOOKUP(A32,'Data yoy'!$B:$AW,MATCH($B$1,'Data yoy'!$B$1:$AW$1,0),FALSE)</f>
        <v>2.7270932499999998</v>
      </c>
      <c r="C32" s="43">
        <f>Table13456789101112131415161734[[#This Row],[USA]]-B31</f>
        <v>3.4968534729999998</v>
      </c>
      <c r="D32" s="27"/>
      <c r="V32" s="72" t="s">
        <v>62</v>
      </c>
    </row>
    <row r="33" spans="1:22" x14ac:dyDescent="0.2">
      <c r="A33" s="42">
        <v>20180</v>
      </c>
      <c r="B33" s="43">
        <f>VLOOKUP(A33,'Data yoy'!$B:$AW,MATCH($B$1,'Data yoy'!$B$1:$AW$1,0),FALSE)</f>
        <v>6.1687319870000001</v>
      </c>
      <c r="C33" s="43">
        <f>Table13456789101112131415161734[[#This Row],[USA]]-B32</f>
        <v>3.4416387370000003</v>
      </c>
      <c r="D33" s="27"/>
      <c r="V33" s="72" t="s">
        <v>63</v>
      </c>
    </row>
    <row r="34" spans="1:22" x14ac:dyDescent="0.2">
      <c r="A34" s="42">
        <v>20271</v>
      </c>
      <c r="B34" s="43">
        <f>VLOOKUP(A34,'Data yoy'!$B:$AW,MATCH($B$1,'Data yoy'!$B$1:$AW$1,0),FALSE)</f>
        <v>7.7788443279999999</v>
      </c>
      <c r="C34" s="43">
        <f>Table13456789101112131415161734[[#This Row],[USA]]-B33</f>
        <v>1.6101123409999998</v>
      </c>
      <c r="D34" s="27"/>
      <c r="V34" s="72" t="s">
        <v>64</v>
      </c>
    </row>
    <row r="35" spans="1:22" x14ac:dyDescent="0.2">
      <c r="A35" s="42">
        <v>20363</v>
      </c>
      <c r="B35" s="43">
        <f>VLOOKUP(A35,'Data yoy'!$B:$AW,MATCH($B$1,'Data yoy'!$B$1:$AW$1,0),FALSE)</f>
        <v>8.0145013810000005</v>
      </c>
      <c r="C35" s="43">
        <f>Table13456789101112131415161734[[#This Row],[USA]]-B34</f>
        <v>0.23565705300000062</v>
      </c>
      <c r="D35" s="27"/>
      <c r="V35" s="72"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2" t="s">
        <v>39</v>
      </c>
    </row>
    <row r="38" spans="1:22" x14ac:dyDescent="0.2">
      <c r="A38" s="42">
        <v>20637</v>
      </c>
      <c r="B38" s="43">
        <f>VLOOKUP(A38,'Data yoy'!$B:$AW,MATCH($B$1,'Data yoy'!$B$1:$AW$1,0),FALSE)</f>
        <v>2.4021458670000002</v>
      </c>
      <c r="C38" s="43">
        <f>Table13456789101112131415161734[[#This Row],[USA]]-B37</f>
        <v>-0.81340266499999991</v>
      </c>
      <c r="D38" s="27"/>
      <c r="V38" s="72" t="s">
        <v>27</v>
      </c>
    </row>
    <row r="39" spans="1:22" x14ac:dyDescent="0.2">
      <c r="A39" s="42">
        <v>20729</v>
      </c>
      <c r="B39" s="43">
        <f>VLOOKUP(A39,'Data yoy'!$B:$AW,MATCH($B$1,'Data yoy'!$B$1:$AW$1,0),FALSE)</f>
        <v>0.94689641000000002</v>
      </c>
      <c r="C39" s="43">
        <f>Table13456789101112131415161734[[#This Row],[USA]]-B38</f>
        <v>-1.4552494570000003</v>
      </c>
      <c r="D39" s="27"/>
      <c r="V39" s="72" t="s">
        <v>43</v>
      </c>
    </row>
    <row r="40" spans="1:22" x14ac:dyDescent="0.2">
      <c r="A40" s="42">
        <v>20821</v>
      </c>
      <c r="B40" s="43">
        <f>VLOOKUP(A40,'Data yoy'!$B:$AW,MATCH($B$1,'Data yoy'!$B$1:$AW$1,0),FALSE)</f>
        <v>1.9960335760000001</v>
      </c>
      <c r="C40" s="43">
        <f>Table13456789101112131415161734[[#This Row],[USA]]-B39</f>
        <v>1.049137166</v>
      </c>
      <c r="D40" s="27"/>
      <c r="V40" s="72" t="s">
        <v>65</v>
      </c>
    </row>
    <row r="41" spans="1:22" x14ac:dyDescent="0.2">
      <c r="A41" s="42">
        <v>20911</v>
      </c>
      <c r="B41" s="43">
        <f>VLOOKUP(A41,'Data yoy'!$B:$AW,MATCH($B$1,'Data yoy'!$B$1:$AW$1,0),FALSE)</f>
        <v>3.0493286199999998</v>
      </c>
      <c r="C41" s="43">
        <f>Table13456789101112131415161734[[#This Row],[USA]]-B40</f>
        <v>1.0532950439999997</v>
      </c>
      <c r="D41" s="27"/>
      <c r="V41" s="72"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2">
        <v>44470</v>
      </c>
      <c r="B299" s="43">
        <f>VLOOKUP(A299,'Data yoy'!$B:$AW,MATCH($B$1,'Data yoy'!$B$1:$AW$1,0),FALSE)</f>
        <v>4.946555569</v>
      </c>
      <c r="C299" s="43">
        <f>Table13456789101112131415161734[[#This Row],[USA]]-B298</f>
        <v>-7.2801215390000005</v>
      </c>
      <c r="D299" s="48"/>
    </row>
    <row r="300" spans="1:4" s="72" customFormat="1" x14ac:dyDescent="0.2">
      <c r="A300" s="42">
        <v>44562</v>
      </c>
      <c r="B300" s="43">
        <f>VLOOKUP(A300,'Data yoy'!$B:$AW,MATCH($B$1,'Data yoy'!$B$1:$AW$1,0),FALSE)</f>
        <v>5.5317363620000002</v>
      </c>
      <c r="C300" s="43">
        <f>Table13456789101112131415161734[[#This Row],[USA]]-B299</f>
        <v>0.58518079300000014</v>
      </c>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78" activePane="bottomLeft" state="frozen"/>
      <selection activeCell="L191" sqref="L191"/>
      <selection pane="bottomLeft" activeCell="E302" sqref="E302"/>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595</v>
      </c>
      <c r="B1" s="45" t="s">
        <v>64</v>
      </c>
      <c r="C1" s="52" t="s">
        <v>596</v>
      </c>
      <c r="D1" s="53" t="s">
        <v>598</v>
      </c>
      <c r="E1" s="47" t="s">
        <v>597</v>
      </c>
      <c r="F1" s="46"/>
      <c r="G1" s="46"/>
      <c r="H1" s="46"/>
      <c r="J1" s="72" t="str">
        <f>B1&amp;" GDP % qoq"</f>
        <v>USA GDP % qoq</v>
      </c>
      <c r="V1" s="72"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2" customFormat="1" x14ac:dyDescent="0.2">
      <c r="A300" s="42">
        <v>44562</v>
      </c>
      <c r="B300" s="43">
        <f>VLOOKUP(A300,'Data qoq'!$B:$AT,MATCH($B$1,'Data qoq'!$B$1:$AT$1,0),FALSE)</f>
        <v>1.6790943920000001</v>
      </c>
      <c r="C300" s="43">
        <f>Table134567891011121314151617343[[#This Row],[USA]]-B299</f>
        <v>1.1081462810000002</v>
      </c>
      <c r="D300" s="55">
        <f>(Table134567891011121314151617343[[#This Row],[USA]]/100 +1)^4-1</f>
        <v>6.8874405826816254E-2</v>
      </c>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30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2022-02-09T06:33:51Z</dcterms:modified>
</cp:coreProperties>
</file>