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0.163395462</v>
                </pt>
                <pt idx="90">
                  <v>0.246966797</v>
                </pt>
                <pt idx="91">
                  <v>2.133216495</v>
                </pt>
                <pt idx="92">
                  <v>1.085863708</v>
                </pt>
                <pt idx="93">
                  <v>1.304072993</v>
                </pt>
                <pt idx="94">
                  <v>2.822611081</v>
                </pt>
                <pt idx="95">
                  <v>2.844508954</v>
                </pt>
                <pt idx="96">
                  <v>3.506479303</v>
                </pt>
                <pt idx="97">
                  <v>3.208283151</v>
                </pt>
                <pt idx="98">
                  <v>3.551086281</v>
                </pt>
                <pt idx="99">
                  <v>2.480864652</v>
                </pt>
                <pt idx="100">
                  <v>3.372198046</v>
                </pt>
                <pt idx="101">
                  <v>2.800324301</v>
                </pt>
                <pt idx="102">
                  <v>0.745350973</v>
                </pt>
                <pt idx="103">
                  <v>0.813966759</v>
                </pt>
                <pt idx="104">
                  <v>-0.262119034</v>
                </pt>
                <pt idx="105">
                  <v>-1.727689586</v>
                </pt>
                <pt idx="106">
                  <v>-1.422980809</v>
                </pt>
                <pt idx="107">
                  <v>-1.438124223</v>
                </pt>
                <pt idx="108">
                  <v>-0.68130958</v>
                </pt>
                <pt idx="109">
                  <v>-0.843773727</v>
                </pt>
                <pt idx="110">
                  <v>-0.02733838</v>
                </pt>
                <pt idx="111">
                  <v>0.325772945</v>
                </pt>
                <pt idx="112">
                  <v>-0.435236104</v>
                </pt>
                <pt idx="113">
                  <v>2.664969922</v>
                </pt>
                <pt idx="114">
                  <v>2.760546005</v>
                </pt>
                <pt idx="115">
                  <v>2.240801399</v>
                </pt>
                <pt idx="116">
                  <v>3.200971683</v>
                </pt>
                <pt idx="117">
                  <v>2.226290066</v>
                </pt>
                <pt idx="118">
                  <v>0.9860262990000001</v>
                </pt>
                <pt idx="119">
                  <v>-0.139929077</v>
                </pt>
                <pt idx="120">
                  <v>-1.443059436</v>
                </pt>
                <pt idx="121">
                  <v>-1.999962491</v>
                </pt>
                <pt idx="122">
                  <v>-0.46309057</v>
                </pt>
                <pt idx="123">
                  <v>0.951638341</v>
                </pt>
                <pt idx="124">
                  <v>1.58047932</v>
                </pt>
                <pt idx="125">
                  <v>1.472000599</v>
                </pt>
                <pt idx="126">
                  <v>1.346398245</v>
                </pt>
                <pt idx="127">
                  <v>1.327073841</v>
                </pt>
                <pt idx="128">
                  <v>2.150100912</v>
                </pt>
                <pt idx="129">
                  <v>2.832947835</v>
                </pt>
                <pt idx="130">
                  <v>2.146100397</v>
                </pt>
                <pt idx="131">
                  <v>2.469895184</v>
                </pt>
                <pt idx="132">
                  <v>1.173811635</v>
                </pt>
                <pt idx="133">
                  <v>0.952795221</v>
                </pt>
                <pt idx="134">
                  <v>1.71934209</v>
                </pt>
                <pt idx="135">
                  <v>2.127738397</v>
                </pt>
                <pt idx="136">
                  <v>2.5026502</v>
                </pt>
                <pt idx="137">
                  <v>2.1378183</v>
                </pt>
                <pt idx="138">
                  <v>1.505042839</v>
                </pt>
                <pt idx="139">
                  <v>0.288800877</v>
                </pt>
                <pt idx="140">
                  <v>1.464819659</v>
                </pt>
                <pt idx="141">
                  <v>1.976104087</v>
                </pt>
                <pt idx="142">
                  <v>1.851261259</v>
                </pt>
                <pt idx="143">
                  <v>1.50195445</v>
                </pt>
                <pt idx="144">
                  <v>0.589690268</v>
                </pt>
                <pt idx="145">
                  <v>0.287417339</v>
                </pt>
                <pt idx="146">
                  <v>-0.341346093</v>
                </pt>
                <pt idx="147">
                  <v>-1.042371744</v>
                </pt>
                <pt idx="148">
                  <v>-3.898318687</v>
                </pt>
                <pt idx="149">
                  <v>-8.843700611999999</v>
                </pt>
                <pt idx="150">
                  <v>-6.517375484</v>
                </pt>
                <pt idx="151">
                  <v>-5.38443674</v>
                </pt>
                <pt idx="152">
                  <v>-1.786944959</v>
                </pt>
                <pt idx="153">
                  <v>4.257563336</v>
                </pt>
                <pt idx="154">
                  <v>3.48761483</v>
                </pt>
                <pt idx="155">
                  <v>5.41066082</v>
                </pt>
                <pt idx="156">
                  <v>3.263433719</v>
                </pt>
                <pt idx="157">
                  <v>1.114892975</v>
                </pt>
                <pt idx="158">
                  <v>-0.943220404</v>
                </pt>
                <pt idx="159">
                  <v>-0.343799531</v>
                </pt>
                <pt idx="160">
                  <v>0.331283099</v>
                </pt>
                <pt idx="161">
                  <v>2.806468373</v>
                </pt>
                <pt idx="162">
                  <v>2.764735232</v>
                </pt>
                <pt idx="163">
                  <v>-0.055721586</v>
                </pt>
                <pt idx="164">
                  <v>0.007954497</v>
                </pt>
                <pt idx="165">
                  <v>0.007941190000000001</v>
                </pt>
                <pt idx="166">
                  <v>1.842642918</v>
                </pt>
                <pt idx="167">
                  <v>3.205680567</v>
                </pt>
                <pt idx="168">
                  <v>3.151922498</v>
                </pt>
                <pt idx="169">
                  <v>2.575056464</v>
                </pt>
                <pt idx="170">
                  <v>-0.174708544</v>
                </pt>
                <pt idx="171">
                  <v>-1.042907933</v>
                </pt>
                <pt idx="172">
                  <v>-0.459301888</v>
                </pt>
                <pt idx="173">
                  <v>0.267267908</v>
                </pt>
                <pt idx="174">
                  <v>2.248496003</v>
                </pt>
                <pt idx="175">
                  <v>2.263084337</v>
                </pt>
                <pt idx="176">
                  <v>1.623344112</v>
                </pt>
                <pt idx="177">
                  <v>0.811758952</v>
                </pt>
                <pt idx="178">
                  <v>0.515169052</v>
                </pt>
                <pt idx="179">
                  <v>0.617291513</v>
                </pt>
                <pt idx="180">
                  <v>0.938498499</v>
                </pt>
                <pt idx="181">
                  <v>1.011796729</v>
                </pt>
                <pt idx="182">
                  <v>1.510895832</v>
                </pt>
                <pt idx="183">
                  <v>2.171957221</v>
                </pt>
                <pt idx="184">
                  <v>2.1380957</v>
                </pt>
                <pt idx="185">
                  <v>1.41595187</v>
                </pt>
                <pt idx="186">
                  <v>1.365919777</v>
                </pt>
                <pt idx="187">
                  <v>0.007619305</v>
                </pt>
                <pt idx="188">
                  <v>-0.239537998</v>
                </pt>
                <pt idx="189">
                  <v>-0.112858318</v>
                </pt>
                <pt idx="190">
                  <v>-0.099802533</v>
                </pt>
                <pt idx="191">
                  <v>0.619048436</v>
                </pt>
                <pt idx="192">
                  <v>-1.990518757</v>
                </pt>
                <pt idx="193">
                  <v>-1.793129343</v>
                </pt>
                <pt idx="194">
                  <v>-9.870362642</v>
                </pt>
                <pt idx="195">
                  <v>-5.048020248</v>
                </pt>
                <pt idx="196">
                  <v>-0.515985289</v>
                </pt>
                <pt idx="197">
                  <v>-1.08869409</v>
                </pt>
                <pt idx="198">
                  <v>7.805681114</v>
                </pt>
                <pt idx="199">
                  <v>1.652269284</v>
                </pt>
                <pt idx="200">
                  <v>0.9320371</v>
                </pt>
                <pt idx="201">
                  <v>0.6205267880000001</v>
                </pt>
                <pt idx="202">
                  <v>1.400727604</v>
                </pt>
                <pt idx="203">
                  <v>1.650360237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0.163395462</v>
                </pt>
                <pt idx="90">
                  <v>0.246966797</v>
                </pt>
                <pt idx="91">
                  <v>2.133216495</v>
                </pt>
                <pt idx="92">
                  <v>1.085863708</v>
                </pt>
                <pt idx="93">
                  <v>1.304072993</v>
                </pt>
                <pt idx="94">
                  <v>2.822611081</v>
                </pt>
                <pt idx="95">
                  <v>2.844508954</v>
                </pt>
                <pt idx="96">
                  <v>3.506479303</v>
                </pt>
                <pt idx="97">
                  <v>3.208283151</v>
                </pt>
                <pt idx="98">
                  <v>3.551086281</v>
                </pt>
                <pt idx="99">
                  <v>2.480864652</v>
                </pt>
                <pt idx="100">
                  <v>3.372198046</v>
                </pt>
                <pt idx="101">
                  <v>2.800324301</v>
                </pt>
                <pt idx="102">
                  <v>0.745350973</v>
                </pt>
                <pt idx="103">
                  <v>0.813966759</v>
                </pt>
                <pt idx="104">
                  <v>-0.262119034</v>
                </pt>
                <pt idx="105">
                  <v>-1.727689586</v>
                </pt>
                <pt idx="106">
                  <v>-1.422980809</v>
                </pt>
                <pt idx="107">
                  <v>-1.438124223</v>
                </pt>
                <pt idx="108">
                  <v>-0.68130958</v>
                </pt>
                <pt idx="109">
                  <v>-0.843773727</v>
                </pt>
                <pt idx="110">
                  <v>-0.02733838</v>
                </pt>
                <pt idx="111">
                  <v>0.325772945</v>
                </pt>
                <pt idx="112">
                  <v>-0.435236104</v>
                </pt>
                <pt idx="113">
                  <v>2.664969922</v>
                </pt>
                <pt idx="114">
                  <v>2.760546005</v>
                </pt>
                <pt idx="115">
                  <v>2.240801399</v>
                </pt>
                <pt idx="116">
                  <v>3.200971683</v>
                </pt>
                <pt idx="117">
                  <v>2.226290066</v>
                </pt>
                <pt idx="118">
                  <v>0.9860262990000001</v>
                </pt>
                <pt idx="119">
                  <v>-0.139929077</v>
                </pt>
                <pt idx="120">
                  <v>-1.443059436</v>
                </pt>
                <pt idx="121">
                  <v>-1.999962491</v>
                </pt>
                <pt idx="122">
                  <v>-0.46309057</v>
                </pt>
                <pt idx="123">
                  <v>0.951638341</v>
                </pt>
                <pt idx="124">
                  <v>1.58047932</v>
                </pt>
                <pt idx="125">
                  <v>1.472000599</v>
                </pt>
                <pt idx="126">
                  <v>1.346398245</v>
                </pt>
                <pt idx="127">
                  <v>1.327073841</v>
                </pt>
                <pt idx="128">
                  <v>2.150100912</v>
                </pt>
                <pt idx="129">
                  <v>2.832947835</v>
                </pt>
                <pt idx="130">
                  <v>2.146100397</v>
                </pt>
                <pt idx="131">
                  <v>2.469895184</v>
                </pt>
                <pt idx="132">
                  <v>1.173811635</v>
                </pt>
                <pt idx="133">
                  <v>0.952795221</v>
                </pt>
                <pt idx="134">
                  <v>1.71934209</v>
                </pt>
                <pt idx="135">
                  <v>2.127738397</v>
                </pt>
                <pt idx="136">
                  <v>2.5026502</v>
                </pt>
                <pt idx="137">
                  <v>2.1378183</v>
                </pt>
                <pt idx="138">
                  <v>1.505042839</v>
                </pt>
                <pt idx="139">
                  <v>0.288800877</v>
                </pt>
                <pt idx="140">
                  <v>1.464819659</v>
                </pt>
                <pt idx="141">
                  <v>1.976104087</v>
                </pt>
                <pt idx="142">
                  <v>1.851261259</v>
                </pt>
                <pt idx="143">
                  <v>1.50195445</v>
                </pt>
                <pt idx="144">
                  <v>0.589690268</v>
                </pt>
                <pt idx="145">
                  <v>0.287417339</v>
                </pt>
                <pt idx="146">
                  <v>-0.341346093</v>
                </pt>
                <pt idx="147">
                  <v>-1.042371744</v>
                </pt>
                <pt idx="148">
                  <v>-3.898318687</v>
                </pt>
                <pt idx="149">
                  <v>-8.843700611999999</v>
                </pt>
                <pt idx="150">
                  <v>-6.517375484</v>
                </pt>
                <pt idx="151">
                  <v>-5.38443674</v>
                </pt>
                <pt idx="152">
                  <v>-1.786944959</v>
                </pt>
                <pt idx="153">
                  <v>4.257563336</v>
                </pt>
                <pt idx="154">
                  <v>3.48761483</v>
                </pt>
                <pt idx="155">
                  <v>5.41066082</v>
                </pt>
                <pt idx="156">
                  <v>3.263433719</v>
                </pt>
                <pt idx="157">
                  <v>1.114892975</v>
                </pt>
                <pt idx="158">
                  <v>-0.943220404</v>
                </pt>
                <pt idx="159">
                  <v>-0.343799531</v>
                </pt>
                <pt idx="160">
                  <v>0.331283099</v>
                </pt>
                <pt idx="161">
                  <v>2.806468373</v>
                </pt>
                <pt idx="162">
                  <v>2.764735232</v>
                </pt>
                <pt idx="163">
                  <v>-0.055721586</v>
                </pt>
                <pt idx="164">
                  <v>0.007954497</v>
                </pt>
                <pt idx="165">
                  <v>0.007941190000000001</v>
                </pt>
                <pt idx="166">
                  <v>1.842642918</v>
                </pt>
                <pt idx="167">
                  <v>3.205680567</v>
                </pt>
                <pt idx="168">
                  <v>3.151922498</v>
                </pt>
                <pt idx="169">
                  <v>2.575056464</v>
                </pt>
                <pt idx="170">
                  <v>-0.174708544</v>
                </pt>
                <pt idx="171">
                  <v>-1.042907933</v>
                </pt>
                <pt idx="172">
                  <v>-0.459301888</v>
                </pt>
                <pt idx="173">
                  <v>0.267267908</v>
                </pt>
                <pt idx="174">
                  <v>2.248496003</v>
                </pt>
                <pt idx="175">
                  <v>2.263084337</v>
                </pt>
                <pt idx="176">
                  <v>1.623344112</v>
                </pt>
                <pt idx="177">
                  <v>0.811758952</v>
                </pt>
                <pt idx="178">
                  <v>0.515169052</v>
                </pt>
                <pt idx="179">
                  <v>0.617291513</v>
                </pt>
                <pt idx="180">
                  <v>0.938498499</v>
                </pt>
                <pt idx="181">
                  <v>1.011796729</v>
                </pt>
                <pt idx="182">
                  <v>1.510895832</v>
                </pt>
                <pt idx="183">
                  <v>2.171957221</v>
                </pt>
                <pt idx="184">
                  <v>2.1380957</v>
                </pt>
                <pt idx="185">
                  <v>1.41595187</v>
                </pt>
                <pt idx="186">
                  <v>1.365919777</v>
                </pt>
                <pt idx="187">
                  <v>0.007619305</v>
                </pt>
                <pt idx="188">
                  <v>-0.239537998</v>
                </pt>
                <pt idx="189">
                  <v>-0.112858318</v>
                </pt>
                <pt idx="190">
                  <v>-0.099802533</v>
                </pt>
                <pt idx="191">
                  <v>0.619048436</v>
                </pt>
                <pt idx="192">
                  <v>-1.990518757</v>
                </pt>
                <pt idx="193">
                  <v>-1.793129343</v>
                </pt>
                <pt idx="194">
                  <v>-9.870362642</v>
                </pt>
                <pt idx="195">
                  <v>-5.048020248</v>
                </pt>
                <pt idx="196">
                  <v>-0.515985289</v>
                </pt>
                <pt idx="197">
                  <v>-1.08869409</v>
                </pt>
                <pt idx="198">
                  <v>7.805681114</v>
                </pt>
                <pt idx="199">
                  <v>1.652269284</v>
                </pt>
                <pt idx="200">
                  <v>0.9320371</v>
                </pt>
                <pt idx="201">
                  <v>0.6205267880000001</v>
                </pt>
                <pt idx="202">
                  <v>1.400727604</v>
                </pt>
                <pt idx="203">
                  <v>1.650360237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0.03243337916587685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6.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276512</colOff>
      <row>279</row>
      <rowOff>94240</rowOff>
    </from>
    <to>
      <col>12</col>
      <colOff>268432</colOff>
      <row>303</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0</colOff>
      <row>5</row>
      <rowOff>0</rowOff>
    </from>
    <to>
      <col>16</col>
      <colOff>521854</colOff>
      <row>24</row>
      <rowOff>165966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292098</colOff>
      <row>256</row>
      <rowOff>153866</rowOff>
    </from>
    <to>
      <col>13</col>
      <colOff>615461</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256686</colOff>
      <row>279</row>
      <rowOff>26132</rowOff>
    </from>
    <to>
      <col>13</col>
      <colOff>622789</colOff>
      <row>301</row>
      <rowOff>65942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0</colOff>
      <row>3</row>
      <rowOff>0</rowOff>
    </from>
    <to>
      <col>18</col>
      <colOff>323363</colOff>
      <row>24</row>
      <rowOff>93540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JPN"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8" defaultColWidth="9.1796875" defaultRowHeight="14.5"/>
  <cols>
    <col width="5.1796875" customWidth="1" style="75" min="1" max="1"/>
    <col width="12.81640625" customWidth="1" style="75" min="2" max="10"/>
    <col width="6.6328125" customWidth="1" style="75" min="11" max="11"/>
    <col width="9.1796875" customWidth="1" style="75" min="12" max="42"/>
    <col width="9.1796875" customWidth="1" style="75" min="43" max="16384"/>
  </cols>
  <sheetData>
    <row r="1" ht="16" customHeight="1" thickBot="1">
      <c r="B1" s="74" t="n"/>
    </row>
    <row r="2" ht="16" customHeight="1" thickBot="1">
      <c r="B2" s="76" t="n"/>
      <c r="C2" s="76" t="n"/>
      <c r="D2" s="76" t="n"/>
      <c r="E2" s="76" t="n"/>
      <c r="F2" s="76" t="n"/>
      <c r="G2" s="76" t="n"/>
      <c r="H2" s="76" t="n"/>
      <c r="I2" s="76" t="n"/>
      <c r="J2" s="76" t="n"/>
    </row>
    <row r="3" ht="16" customHeight="1" thickBot="1">
      <c r="B3" s="77" t="inlineStr">
        <is>
          <t>World GDP</t>
        </is>
      </c>
      <c r="C3" s="78" t="n"/>
      <c r="D3" s="78" t="n"/>
      <c r="E3" s="78" t="n"/>
      <c r="F3" s="78" t="n"/>
      <c r="G3" s="78" t="n"/>
      <c r="H3" s="78" t="n"/>
      <c r="I3" s="78" t="n"/>
      <c r="J3" s="79" t="n"/>
    </row>
    <row r="5">
      <c r="B5" s="80" t="inlineStr">
        <is>
          <t>Definition</t>
        </is>
      </c>
      <c r="C5" s="81" t="n"/>
      <c r="D5" s="81" t="n"/>
      <c r="E5" s="81" t="n"/>
      <c r="F5" s="81" t="n"/>
      <c r="G5" s="81" t="n"/>
      <c r="H5" s="81" t="n"/>
      <c r="I5" s="81" t="n"/>
      <c r="J5" s="82" t="n"/>
    </row>
    <row r="7" ht="132" customHeight="1">
      <c r="B7" s="83"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0" t="inlineStr">
        <is>
          <t>Process / TO DO LIST</t>
        </is>
      </c>
      <c r="C9" s="81" t="n"/>
      <c r="D9" s="81" t="n"/>
      <c r="E9" s="81" t="n"/>
      <c r="F9" s="81" t="n"/>
      <c r="G9" s="81" t="n"/>
      <c r="H9" s="81" t="n"/>
      <c r="I9" s="81" t="n"/>
      <c r="J9" s="82" t="n"/>
    </row>
    <row r="10" ht="16" customHeight="1"/>
    <row r="11" ht="17" customHeight="1">
      <c r="B11" s="80" t="inlineStr">
        <is>
          <t>TO DO LIST</t>
        </is>
      </c>
      <c r="C11" s="81" t="n"/>
      <c r="D11" s="81" t="n"/>
      <c r="E11" s="81" t="n"/>
      <c r="F11" s="82" t="n"/>
      <c r="G11" s="80" t="inlineStr">
        <is>
          <t>Comments</t>
        </is>
      </c>
      <c r="H11" s="81" t="n"/>
      <c r="I11" s="81" t="n"/>
      <c r="J11" s="82" t="n"/>
    </row>
    <row r="12" ht="16" customHeight="1"/>
    <row r="13" ht="16" customHeight="1">
      <c r="B13" s="85" t="inlineStr">
        <is>
          <t>https://data.oecd.org/gdp/quarterly-gdp.htm#indicator-chart</t>
        </is>
      </c>
      <c r="G13" s="75" t="inlineStr">
        <is>
          <t>Data qoq</t>
        </is>
      </c>
    </row>
    <row r="14" ht="16" customHeight="1">
      <c r="B14" s="75" t="inlineStr">
        <is>
          <t>Select Quarterly GDP</t>
        </is>
      </c>
      <c r="G14" s="75" t="inlineStr">
        <is>
          <t>To update manually or with macro</t>
        </is>
      </c>
    </row>
    <row r="15" ht="16" customHeight="1">
      <c r="B15" s="75" t="inlineStr">
        <is>
          <t>Select Table</t>
        </is>
      </c>
      <c r="G15" s="75" t="inlineStr">
        <is>
          <t>In Data qoq tab</t>
        </is>
      </c>
    </row>
    <row r="16" ht="16" customHeight="1">
      <c r="B16" s="75" t="inlineStr">
        <is>
          <t>Select Percentage change, previous period</t>
        </is>
      </c>
    </row>
    <row r="17" ht="16" customHeight="1">
      <c r="B17" s="75" t="inlineStr">
        <is>
          <t>Select latest data available</t>
        </is>
      </c>
    </row>
    <row r="18" ht="16" customHeight="1"/>
    <row r="19" ht="16" customHeight="1">
      <c r="B19" s="85" t="inlineStr">
        <is>
          <t>https://data.oecd.org/gdp/quarterly-gdp.htm#indicator-chart</t>
        </is>
      </c>
      <c r="G19" s="75" t="inlineStr">
        <is>
          <t>Data yoy</t>
        </is>
      </c>
    </row>
    <row r="20" ht="16" customHeight="1">
      <c r="B20" s="75" t="inlineStr">
        <is>
          <t>Select Quarterly GDP</t>
        </is>
      </c>
      <c r="G20" s="75" t="inlineStr">
        <is>
          <t>To update manually or with macro</t>
        </is>
      </c>
    </row>
    <row r="21" ht="16" customHeight="1">
      <c r="B21" s="75" t="inlineStr">
        <is>
          <t>Select Table</t>
        </is>
      </c>
      <c r="G21" s="75" t="inlineStr">
        <is>
          <t>In Data you tab</t>
        </is>
      </c>
    </row>
    <row r="22" ht="16" customHeight="1">
      <c r="B22" s="75" t="inlineStr">
        <is>
          <t>Select Percentage change, previous year</t>
        </is>
      </c>
    </row>
    <row r="23" ht="16" customHeight="1">
      <c r="B23" s="75" t="inlineStr">
        <is>
          <t>Select latest data available</t>
        </is>
      </c>
    </row>
    <row r="24" ht="16" customHeight="1"/>
    <row r="25" ht="16" customHeight="1">
      <c r="B25" s="75" t="inlineStr">
        <is>
          <t>https://data.oecd.org/gdp/quarterly-gdp.htm</t>
        </is>
      </c>
    </row>
    <row r="26" ht="16" customHeight="1"/>
    <row r="27" ht="16" customHeight="1">
      <c r="B27" s="75"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84"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8"/>
  <sheetViews>
    <sheetView workbookViewId="0">
      <pane ySplit="1" topLeftCell="A287"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0.070309361</v>
      </c>
      <c r="AT34" t="n">
        <v>1.627204957</v>
      </c>
    </row>
    <row r="35">
      <c r="A35" t="inlineStr">
        <is>
          <t>1955-Q3</t>
        </is>
      </c>
      <c r="B35" s="87" t="n">
        <v>20363</v>
      </c>
      <c r="V35" t="n">
        <v>1.948748832</v>
      </c>
      <c r="AT35" t="n">
        <v>1.350464288</v>
      </c>
    </row>
    <row r="36">
      <c r="A36" t="inlineStr">
        <is>
          <t>1955-Q4</t>
        </is>
      </c>
      <c r="B36" s="87" t="n">
        <v>20455</v>
      </c>
      <c r="V36" t="n">
        <v>-0.489991897</v>
      </c>
      <c r="AT36" t="n">
        <v>0.600328737</v>
      </c>
    </row>
    <row r="37">
      <c r="A37" t="inlineStr">
        <is>
          <t>1956-Q1</t>
        </is>
      </c>
      <c r="B37" s="87" t="n">
        <v>20546</v>
      </c>
      <c r="V37" t="n">
        <v>1.219215197</v>
      </c>
      <c r="AT37" t="n">
        <v>-0.388380468</v>
      </c>
    </row>
    <row r="38">
      <c r="A38" t="inlineStr">
        <is>
          <t>1956-Q2</t>
        </is>
      </c>
      <c r="B38" s="87" t="n">
        <v>20637</v>
      </c>
      <c r="V38" t="n">
        <v>-0.239853231</v>
      </c>
      <c r="AT38" t="n">
        <v>0.8263194270000001</v>
      </c>
    </row>
    <row r="39">
      <c r="A39" t="inlineStr">
        <is>
          <t>1956-Q3</t>
        </is>
      </c>
      <c r="B39" s="87" t="n">
        <v>20729</v>
      </c>
      <c r="V39" t="n">
        <v>-0.138680575</v>
      </c>
      <c r="AT39" t="n">
        <v>-0.089839593</v>
      </c>
    </row>
    <row r="40">
      <c r="A40" t="inlineStr">
        <is>
          <t>1956-Q4</t>
        </is>
      </c>
      <c r="B40" s="87" t="n">
        <v>20821</v>
      </c>
      <c r="V40" t="n">
        <v>0.339635458</v>
      </c>
      <c r="AT40" t="n">
        <v>1.645864038</v>
      </c>
    </row>
    <row r="41">
      <c r="A41" t="inlineStr">
        <is>
          <t>1957-Q1</t>
        </is>
      </c>
      <c r="B41" s="87" t="n">
        <v>20911</v>
      </c>
      <c r="V41" t="n">
        <v>2.08055963</v>
      </c>
      <c r="AT41" t="n">
        <v>0.6402911529999999</v>
      </c>
    </row>
    <row r="42">
      <c r="A42" t="inlineStr">
        <is>
          <t>1957-Q2</t>
        </is>
      </c>
      <c r="B42" s="87" t="n">
        <v>21002</v>
      </c>
      <c r="V42" t="n">
        <v>0.028737538</v>
      </c>
      <c r="AT42" t="n">
        <v>-0.219085924</v>
      </c>
    </row>
    <row r="43">
      <c r="A43" t="inlineStr">
        <is>
          <t>1957-Q3</t>
        </is>
      </c>
      <c r="B43" s="87" t="n">
        <v>21094</v>
      </c>
      <c r="V43" t="n">
        <v>-0.59373849</v>
      </c>
      <c r="AT43" t="n">
        <v>0.980018402</v>
      </c>
    </row>
    <row r="44">
      <c r="A44" t="inlineStr">
        <is>
          <t>1957-Q4</t>
        </is>
      </c>
      <c r="B44" s="87" t="n">
        <v>21186</v>
      </c>
      <c r="V44" t="n">
        <v>0.062248044</v>
      </c>
      <c r="AT44" t="n">
        <v>-1.034279655</v>
      </c>
    </row>
    <row r="45">
      <c r="A45" t="inlineStr">
        <is>
          <t>1958-Q1</t>
        </is>
      </c>
      <c r="B45" s="87" t="n">
        <v>21276</v>
      </c>
      <c r="V45" t="n">
        <v>2.204727908</v>
      </c>
      <c r="AT45" t="n">
        <v>-2.595440045</v>
      </c>
    </row>
    <row r="46">
      <c r="A46" t="inlineStr">
        <is>
          <t>1958-Q2</t>
        </is>
      </c>
      <c r="B46" s="87" t="n">
        <v>21367</v>
      </c>
      <c r="V46" t="n">
        <v>-2.306438173</v>
      </c>
      <c r="AT46" t="n">
        <v>0.657226726</v>
      </c>
    </row>
    <row r="47">
      <c r="A47" t="inlineStr">
        <is>
          <t>1958-Q3</t>
        </is>
      </c>
      <c r="B47" s="87" t="n">
        <v>21459</v>
      </c>
      <c r="V47" t="n">
        <v>2.187328478</v>
      </c>
      <c r="AT47" t="n">
        <v>2.313217041</v>
      </c>
    </row>
    <row r="48">
      <c r="A48" t="inlineStr">
        <is>
          <t>1958-Q4</t>
        </is>
      </c>
      <c r="B48" s="87" t="n">
        <v>21551</v>
      </c>
      <c r="V48" t="n">
        <v>0.079116795</v>
      </c>
      <c r="AT48" t="n">
        <v>2.33810956</v>
      </c>
    </row>
    <row r="49">
      <c r="A49" t="inlineStr">
        <is>
          <t>1959-Q1</t>
        </is>
      </c>
      <c r="B49" s="87" t="n">
        <v>21641</v>
      </c>
      <c r="V49" t="n">
        <v>0.630258196</v>
      </c>
      <c r="AT49" t="n">
        <v>1.919552804</v>
      </c>
    </row>
    <row r="50">
      <c r="A50" t="inlineStr">
        <is>
          <t>1959-Q2</t>
        </is>
      </c>
      <c r="B50" s="87" t="n">
        <v>21732</v>
      </c>
      <c r="V50" t="n">
        <v>1.661273234</v>
      </c>
      <c r="AT50" t="n">
        <v>2.255169531</v>
      </c>
    </row>
    <row r="51">
      <c r="A51" t="inlineStr">
        <is>
          <t>1959-Q3</t>
        </is>
      </c>
      <c r="B51" s="87" t="n">
        <v>21824</v>
      </c>
      <c r="V51" t="n">
        <v>2.16016561</v>
      </c>
      <c r="AT51" t="n">
        <v>0.070560341</v>
      </c>
    </row>
    <row r="52">
      <c r="A52" t="inlineStr">
        <is>
          <t>1959-Q4</t>
        </is>
      </c>
      <c r="B52" s="87" t="n">
        <v>21916</v>
      </c>
      <c r="V52" t="n">
        <v>2.519066488</v>
      </c>
      <c r="AT52" t="n">
        <v>0.284889055</v>
      </c>
    </row>
    <row r="53">
      <c r="A53" t="inlineStr">
        <is>
          <t>1960-Q1</t>
        </is>
      </c>
      <c r="B53" s="87" t="n">
        <v>22007</v>
      </c>
      <c r="V53" t="n">
        <v>2.497106227</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-0.785893541</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1.501031751</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0.699740958</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1.587735751</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0.37310084</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-0.481567586</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-0.245157812</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0.492807329</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1.036258</v>
      </c>
      <c r="V62" t="n">
        <v>0.944930283</v>
      </c>
      <c r="W62" t="n">
        <v>-0.501022482</v>
      </c>
      <c r="Z62" t="n">
        <v>0.616916724</v>
      </c>
      <c r="AA62" t="n">
        <v>2.243606588</v>
      </c>
      <c r="AC62" t="n">
        <v>1.076640815</v>
      </c>
      <c r="AD62" t="n">
        <v>1.398081898</v>
      </c>
      <c r="AE62" t="n">
        <v>-1.868167524</v>
      </c>
      <c r="AF62" t="n">
        <v>0.161719511</v>
      </c>
      <c r="AH62" t="n">
        <v>1.018640474</v>
      </c>
      <c r="AI62" t="n">
        <v>2.087974212</v>
      </c>
      <c r="AJ62" t="n">
        <v>0.498362202</v>
      </c>
      <c r="AL62" t="n">
        <v>1.076869877</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1.293274</v>
      </c>
      <c r="V63" t="n">
        <v>0.5669782719999999</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1.383945153</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0.5891420000000001</v>
      </c>
      <c r="V64" t="n">
        <v>-0.427566027</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0.724366733</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0.166652</v>
      </c>
      <c r="V65" t="n">
        <v>0.457268801</v>
      </c>
      <c r="W65" t="n">
        <v>3.049262433</v>
      </c>
      <c r="Z65" t="n">
        <v>1.289556448</v>
      </c>
      <c r="AA65" t="n">
        <v>2.485088936</v>
      </c>
      <c r="AC65" t="n">
        <v>0.663827765</v>
      </c>
      <c r="AD65" t="n">
        <v>1.366700433</v>
      </c>
      <c r="AE65" t="n">
        <v>5.859393765</v>
      </c>
      <c r="AF65" t="n">
        <v>0.696456251</v>
      </c>
      <c r="AH65" t="n">
        <v>1.750783472</v>
      </c>
      <c r="AI65" t="n">
        <v>-6.27285825</v>
      </c>
      <c r="AJ65" t="n">
        <v>1.001035817</v>
      </c>
      <c r="AL65" t="n">
        <v>0.393108905</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2.458005</v>
      </c>
      <c r="V66" t="n">
        <v>4.415065315</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2.380876197</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2.259459</v>
      </c>
      <c r="V67" t="n">
        <v>0.475790821</v>
      </c>
      <c r="W67" t="n">
        <v>2.367085247</v>
      </c>
      <c r="Z67" t="n">
        <v>1.121533614</v>
      </c>
      <c r="AA67" t="n">
        <v>2.521477659</v>
      </c>
      <c r="AC67" t="n">
        <v>1.641304821</v>
      </c>
      <c r="AD67" t="n">
        <v>2.932389591</v>
      </c>
      <c r="AE67" t="n">
        <v>3.295069015</v>
      </c>
      <c r="AF67" t="n">
        <v>1.569826892</v>
      </c>
      <c r="AH67" t="n">
        <v>2.353728498</v>
      </c>
      <c r="AI67" t="n">
        <v>2.402534165</v>
      </c>
      <c r="AJ67" t="n">
        <v>1.11193064</v>
      </c>
      <c r="AL67" t="n">
        <v>2.228998797</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1.169685</v>
      </c>
      <c r="V68" t="n">
        <v>2.191614535</v>
      </c>
      <c r="W68" t="n">
        <v>1.796958436</v>
      </c>
      <c r="Z68" t="n">
        <v>0.968148037</v>
      </c>
      <c r="AA68" t="n">
        <v>2.621828944</v>
      </c>
      <c r="AC68" t="n">
        <v>1.028412174</v>
      </c>
      <c r="AD68" t="n">
        <v>3.445524369</v>
      </c>
      <c r="AE68" t="n">
        <v>0.093359129</v>
      </c>
      <c r="AF68" t="n">
        <v>2.483195981</v>
      </c>
      <c r="AH68" t="n">
        <v>2.998675381</v>
      </c>
      <c r="AI68" t="n">
        <v>2.105748604</v>
      </c>
      <c r="AJ68" t="n">
        <v>1.164630214</v>
      </c>
      <c r="AL68" t="n">
        <v>1.299278515</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1.935102</v>
      </c>
      <c r="V69" t="n">
        <v>0.67919602</v>
      </c>
      <c r="W69" t="n">
        <v>1.745428994</v>
      </c>
      <c r="Z69" t="n">
        <v>0.946943572</v>
      </c>
      <c r="AA69" t="n">
        <v>2.529644189</v>
      </c>
      <c r="AC69" t="n">
        <v>1.482283155</v>
      </c>
      <c r="AD69" t="n">
        <v>3.189414254</v>
      </c>
      <c r="AE69" t="n">
        <v>5.970535022</v>
      </c>
      <c r="AF69" t="n">
        <v>2.403890946</v>
      </c>
      <c r="AH69" t="n">
        <v>2.887235401</v>
      </c>
      <c r="AI69" t="n">
        <v>1.337372026</v>
      </c>
      <c r="AJ69" t="n">
        <v>1.215329716</v>
      </c>
      <c r="AL69" t="n">
        <v>1.826574769</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1.114893</v>
      </c>
      <c r="V70" t="n">
        <v>1.859715319</v>
      </c>
      <c r="W70" t="n">
        <v>1.715966667</v>
      </c>
      <c r="Z70" t="n">
        <v>0.939508463</v>
      </c>
      <c r="AA70" t="n">
        <v>2.464762652</v>
      </c>
      <c r="AC70" t="n">
        <v>-1.011876839</v>
      </c>
      <c r="AD70" t="n">
        <v>2.412494839</v>
      </c>
      <c r="AE70" t="n">
        <v>-2.874867444</v>
      </c>
      <c r="AF70" t="n">
        <v>2.34065558</v>
      </c>
      <c r="AH70" t="n">
        <v>2.799082004</v>
      </c>
      <c r="AI70" t="n">
        <v>0.864344699</v>
      </c>
      <c r="AJ70" t="n">
        <v>1.289769828</v>
      </c>
      <c r="AL70" t="n">
        <v>1.239905398</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1.194777</v>
      </c>
      <c r="V71" t="n">
        <v>0.369280877</v>
      </c>
      <c r="W71" t="n">
        <v>2.157617757</v>
      </c>
      <c r="Z71" t="n">
        <v>0.720306033</v>
      </c>
      <c r="AA71" t="n">
        <v>1.990517774</v>
      </c>
      <c r="AC71" t="n">
        <v>-0.168904093</v>
      </c>
      <c r="AD71" t="n">
        <v>1.544361338</v>
      </c>
      <c r="AE71" t="n">
        <v>6.805402395</v>
      </c>
      <c r="AF71" t="n">
        <v>1.266755839</v>
      </c>
      <c r="AH71" t="n">
        <v>2.101629964</v>
      </c>
      <c r="AI71" t="n">
        <v>1.889446915</v>
      </c>
      <c r="AJ71" t="n">
        <v>1.361210281</v>
      </c>
      <c r="AL71" t="n">
        <v>1.215140785</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0.665641</v>
      </c>
      <c r="V72" t="n">
        <v>1.511680388</v>
      </c>
      <c r="W72" t="n">
        <v>2.59261281</v>
      </c>
      <c r="Z72" t="n">
        <v>0.496768236</v>
      </c>
      <c r="AA72" t="n">
        <v>1.526308194</v>
      </c>
      <c r="AC72" t="n">
        <v>-0.418482889</v>
      </c>
      <c r="AD72" t="n">
        <v>1.250663295</v>
      </c>
      <c r="AE72" t="n">
        <v>4.019545705</v>
      </c>
      <c r="AF72" t="n">
        <v>0.19834878</v>
      </c>
      <c r="AH72" t="n">
        <v>1.422456862</v>
      </c>
      <c r="AI72" t="n">
        <v>1.049790249</v>
      </c>
      <c r="AJ72" t="n">
        <v>1.429613923</v>
      </c>
      <c r="AL72" t="n">
        <v>0.807343034</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1.65706</v>
      </c>
      <c r="V73" t="n">
        <v>-0.298284023</v>
      </c>
      <c r="W73" t="n">
        <v>2.508262128</v>
      </c>
      <c r="Z73" t="n">
        <v>0.487566055</v>
      </c>
      <c r="AA73" t="n">
        <v>1.496512559</v>
      </c>
      <c r="AC73" t="n">
        <v>1.350147107</v>
      </c>
      <c r="AD73" t="n">
        <v>0.813162245</v>
      </c>
      <c r="AE73" t="n">
        <v>1.278573815</v>
      </c>
      <c r="AF73" t="n">
        <v>0.191471408</v>
      </c>
      <c r="AH73" t="n">
        <v>1.390493536</v>
      </c>
      <c r="AI73" t="n">
        <v>2.887565198</v>
      </c>
      <c r="AJ73" t="n">
        <v>1.494925999</v>
      </c>
      <c r="AL73" t="n">
        <v>1.614759986</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1.327615</v>
      </c>
      <c r="V74" t="n">
        <v>0.06435115399999999</v>
      </c>
      <c r="W74" t="n">
        <v>2.425116397</v>
      </c>
      <c r="Z74" t="n">
        <v>0.483868724</v>
      </c>
      <c r="AA74" t="n">
        <v>1.456997639</v>
      </c>
      <c r="AC74" t="n">
        <v>1.993828946</v>
      </c>
      <c r="AD74" t="n">
        <v>1.248847841</v>
      </c>
      <c r="AE74" t="n">
        <v>0.226092863</v>
      </c>
      <c r="AF74" t="n">
        <v>0.194235758</v>
      </c>
      <c r="AH74" t="n">
        <v>1.360647158</v>
      </c>
      <c r="AI74" t="n">
        <v>-1.022037609</v>
      </c>
      <c r="AJ74" t="n">
        <v>1.241228834</v>
      </c>
      <c r="AL74" t="n">
        <v>1.17322346</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1.723624</v>
      </c>
      <c r="V75" t="n">
        <v>0.819103386</v>
      </c>
      <c r="W75" t="n">
        <v>1.917831304</v>
      </c>
      <c r="Z75" t="n">
        <v>0.229256974</v>
      </c>
      <c r="AA75" t="n">
        <v>2.116984581</v>
      </c>
      <c r="AC75" t="n">
        <v>1.332058082</v>
      </c>
      <c r="AD75" t="n">
        <v>2.265972003</v>
      </c>
      <c r="AE75" t="n">
        <v>-0.790992177</v>
      </c>
      <c r="AF75" t="n">
        <v>0.275605866</v>
      </c>
      <c r="AH75" t="n">
        <v>1.475944033</v>
      </c>
      <c r="AI75" t="n">
        <v>0.899899217</v>
      </c>
      <c r="AJ75" t="n">
        <v>0.997207065</v>
      </c>
      <c r="AL75" t="n">
        <v>1.580659575</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1.719001</v>
      </c>
      <c r="V76" t="n">
        <v>0.663052054</v>
      </c>
      <c r="W76" t="n">
        <v>1.396412929</v>
      </c>
      <c r="Z76" t="n">
        <v>-0.042736612</v>
      </c>
      <c r="AA76" t="n">
        <v>2.775478427</v>
      </c>
      <c r="AC76" t="n">
        <v>1.50234531</v>
      </c>
      <c r="AD76" t="n">
        <v>1.553909699</v>
      </c>
      <c r="AE76" t="n">
        <v>2.332367206</v>
      </c>
      <c r="AF76" t="n">
        <v>0.360587193</v>
      </c>
      <c r="AH76" t="n">
        <v>1.586576684</v>
      </c>
      <c r="AI76" t="n">
        <v>2.673000952</v>
      </c>
      <c r="AJ76" t="n">
        <v>0.760749202</v>
      </c>
      <c r="AL76" t="n">
        <v>1.715414034</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1.91825</v>
      </c>
      <c r="V77" t="n">
        <v>0.148968339</v>
      </c>
      <c r="W77" t="n">
        <v>1.35695634</v>
      </c>
      <c r="Z77" t="n">
        <v>-0.038760612</v>
      </c>
      <c r="AA77" t="n">
        <v>2.665270118</v>
      </c>
      <c r="AC77" t="n">
        <v>0.967116445</v>
      </c>
      <c r="AD77" t="n">
        <v>2.676417582</v>
      </c>
      <c r="AE77" t="n">
        <v>6.129066097</v>
      </c>
      <c r="AF77" t="n">
        <v>0.354312876</v>
      </c>
      <c r="AH77" t="n">
        <v>1.54569495</v>
      </c>
      <c r="AI77" t="n">
        <v>-2.7211587</v>
      </c>
      <c r="AJ77" t="n">
        <v>0.53017089</v>
      </c>
      <c r="AL77" t="n">
        <v>1.667738627</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0.989231</v>
      </c>
      <c r="V78" t="n">
        <v>0.545034745</v>
      </c>
      <c r="W78" t="n">
        <v>1.336467965</v>
      </c>
      <c r="Z78" t="n">
        <v>-0.042143613</v>
      </c>
      <c r="AA78" t="n">
        <v>2.587697707</v>
      </c>
      <c r="AC78" t="n">
        <v>1.424290602</v>
      </c>
      <c r="AD78" t="n">
        <v>3.912582843</v>
      </c>
      <c r="AE78" t="n">
        <v>6.193839408</v>
      </c>
      <c r="AF78" t="n">
        <v>0.352207078</v>
      </c>
      <c r="AH78" t="n">
        <v>1.512978569</v>
      </c>
      <c r="AI78" t="n">
        <v>2.951838813</v>
      </c>
      <c r="AJ78" t="n">
        <v>0.945991298</v>
      </c>
      <c r="AL78" t="n">
        <v>1.282460984</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1.019509</v>
      </c>
      <c r="V79" t="n">
        <v>0.344458306</v>
      </c>
      <c r="W79" t="n">
        <v>1.342155326</v>
      </c>
      <c r="Z79" t="n">
        <v>0.736524492</v>
      </c>
      <c r="AA79" t="n">
        <v>1.046335853</v>
      </c>
      <c r="AC79" t="n">
        <v>2.825008494</v>
      </c>
      <c r="AD79" t="n">
        <v>2.431441883</v>
      </c>
      <c r="AE79" t="n">
        <v>-1.728704276</v>
      </c>
      <c r="AF79" t="n">
        <v>0.118504587</v>
      </c>
      <c r="AH79" t="n">
        <v>1.453550189</v>
      </c>
      <c r="AI79" t="n">
        <v>2.051649338</v>
      </c>
      <c r="AJ79" t="n">
        <v>1.351786941</v>
      </c>
      <c r="AL79" t="n">
        <v>1.03587494</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0.50056</v>
      </c>
      <c r="V80" t="n">
        <v>-0.458801395</v>
      </c>
      <c r="W80" t="n">
        <v>1.340768844</v>
      </c>
      <c r="Z80" t="n">
        <v>1.555854567</v>
      </c>
      <c r="AA80" t="n">
        <v>-0.538181432</v>
      </c>
      <c r="AC80" t="n">
        <v>0.479191887</v>
      </c>
      <c r="AD80" t="n">
        <v>1.998277154</v>
      </c>
      <c r="AE80" t="n">
        <v>1.331174981</v>
      </c>
      <c r="AF80" t="n">
        <v>-0.131479192</v>
      </c>
      <c r="AH80" t="n">
        <v>1.38475762</v>
      </c>
      <c r="AI80" t="n">
        <v>0.328501142</v>
      </c>
      <c r="AJ80" t="n">
        <v>1.742887589</v>
      </c>
      <c r="AL80" t="n">
        <v>0.627471746</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1.052981</v>
      </c>
      <c r="V81" t="n">
        <v>1.317534707</v>
      </c>
      <c r="W81" t="n">
        <v>1.309832395</v>
      </c>
      <c r="Z81" t="n">
        <v>1.527446559</v>
      </c>
      <c r="AA81" t="n">
        <v>-0.557784155</v>
      </c>
      <c r="AC81" t="n">
        <v>1.995070372</v>
      </c>
      <c r="AD81" t="n">
        <v>2.650178346</v>
      </c>
      <c r="AE81" t="n">
        <v>3.370041807</v>
      </c>
      <c r="AF81" t="n">
        <v>-0.12891016</v>
      </c>
      <c r="AH81" t="n">
        <v>1.353178114</v>
      </c>
      <c r="AI81" t="n">
        <v>1.364118813</v>
      </c>
      <c r="AJ81" t="n">
        <v>2.115153055</v>
      </c>
      <c r="AL81" t="n">
        <v>1.100553214</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0.770811</v>
      </c>
      <c r="V82" t="n">
        <v>1.440041892</v>
      </c>
      <c r="W82" t="n">
        <v>1.284634665</v>
      </c>
      <c r="Z82" t="n">
        <v>1.484569826</v>
      </c>
      <c r="AA82" t="n">
        <v>-0.535663561</v>
      </c>
      <c r="AC82" t="n">
        <v>2.150865879</v>
      </c>
      <c r="AD82" t="n">
        <v>2.6901539</v>
      </c>
      <c r="AE82" t="n">
        <v>2.087957254</v>
      </c>
      <c r="AF82" t="n">
        <v>-0.129736904</v>
      </c>
      <c r="AH82" t="n">
        <v>1.325622743</v>
      </c>
      <c r="AI82" t="n">
        <v>1.022579153</v>
      </c>
      <c r="AJ82" t="n">
        <v>1.548682996</v>
      </c>
      <c r="AL82" t="n">
        <v>0.76957036</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1.410163</v>
      </c>
      <c r="V83" t="n">
        <v>0.469435602</v>
      </c>
      <c r="W83" t="n">
        <v>1.408851299</v>
      </c>
      <c r="Z83" t="n">
        <v>1.858371838</v>
      </c>
      <c r="AA83" t="n">
        <v>-1.180127919</v>
      </c>
      <c r="AC83" t="n">
        <v>1.541055336</v>
      </c>
      <c r="AD83" t="n">
        <v>3.467643213</v>
      </c>
      <c r="AE83" t="n">
        <v>4.139624768</v>
      </c>
      <c r="AF83" t="n">
        <v>0.35421015</v>
      </c>
      <c r="AH83" t="n">
        <v>1.646754016</v>
      </c>
      <c r="AI83" t="n">
        <v>1.662570181</v>
      </c>
      <c r="AJ83" t="n">
        <v>1.010316344</v>
      </c>
      <c r="AL83" t="n">
        <v>1.329250676</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1.043192</v>
      </c>
      <c r="V84" t="n">
        <v>0.5314679329999999</v>
      </c>
      <c r="W84" t="n">
        <v>1.52923067</v>
      </c>
      <c r="Z84" t="n">
        <v>2.229628887</v>
      </c>
      <c r="AA84" t="n">
        <v>-1.883272844</v>
      </c>
      <c r="AC84" t="n">
        <v>1.975952573</v>
      </c>
      <c r="AD84" t="n">
        <v>1.933249747</v>
      </c>
      <c r="AE84" t="n">
        <v>0.660321191</v>
      </c>
      <c r="AF84" t="n">
        <v>0.868292486</v>
      </c>
      <c r="AH84" t="n">
        <v>1.967176392</v>
      </c>
      <c r="AI84" t="n">
        <v>0.912321876</v>
      </c>
      <c r="AJ84" t="n">
        <v>0.490641617</v>
      </c>
      <c r="AL84" t="n">
        <v>1.043787122</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1.984789</v>
      </c>
      <c r="V85" t="n">
        <v>3.597325298</v>
      </c>
      <c r="W85" t="n">
        <v>1.496908356</v>
      </c>
      <c r="Z85" t="n">
        <v>2.162924681</v>
      </c>
      <c r="AA85" t="n">
        <v>-1.901361332</v>
      </c>
      <c r="AC85" t="n">
        <v>0.243127406</v>
      </c>
      <c r="AD85" t="n">
        <v>2.385972606</v>
      </c>
      <c r="AE85" t="n">
        <v>6.363252295</v>
      </c>
      <c r="AF85" t="n">
        <v>0.864826129</v>
      </c>
      <c r="AH85" t="n">
        <v>1.912980034</v>
      </c>
      <c r="AI85" t="n">
        <v>3.305850221</v>
      </c>
      <c r="AJ85" t="n">
        <v>-0.018835401</v>
      </c>
      <c r="AL85" t="n">
        <v>1.880229436</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0.94861</v>
      </c>
      <c r="V86" t="n">
        <v>-0.404438026</v>
      </c>
      <c r="W86" t="n">
        <v>1.467886199</v>
      </c>
      <c r="Z86" t="n">
        <v>2.111718256</v>
      </c>
      <c r="AA86" t="n">
        <v>-1.935537198</v>
      </c>
      <c r="AC86" t="n">
        <v>2.09466276</v>
      </c>
      <c r="AD86" t="n">
        <v>3.411931155</v>
      </c>
      <c r="AE86" t="n">
        <v>1.471809575</v>
      </c>
      <c r="AF86" t="n">
        <v>0.84429005</v>
      </c>
      <c r="AH86" t="n">
        <v>1.87251932</v>
      </c>
      <c r="AI86" t="n">
        <v>0.110424316</v>
      </c>
      <c r="AJ86" t="n">
        <v>0.396580941</v>
      </c>
      <c r="AL86" t="n">
        <v>1.160517547</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2.14894</v>
      </c>
      <c r="V87" t="n">
        <v>1.960227859</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1.999234967</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1.450552</v>
      </c>
      <c r="V88" t="n">
        <v>0.42205837</v>
      </c>
      <c r="W88" t="n">
        <v>2.704475894</v>
      </c>
      <c r="Z88" t="n">
        <v>1.51391931</v>
      </c>
      <c r="AA88" t="n">
        <v>0.852386252</v>
      </c>
      <c r="AC88" t="n">
        <v>2.340948619</v>
      </c>
      <c r="AD88" t="n">
        <v>5.69754582</v>
      </c>
      <c r="AE88" t="n">
        <v>-1.706630201</v>
      </c>
      <c r="AF88" t="n">
        <v>3.198278434</v>
      </c>
      <c r="AH88" t="n">
        <v>1.297967474</v>
      </c>
      <c r="AI88" t="n">
        <v>3.344473898</v>
      </c>
      <c r="AJ88" t="n">
        <v>1.212763844</v>
      </c>
      <c r="AL88" t="n">
        <v>1.57420817</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1.315662</v>
      </c>
      <c r="V89" t="n">
        <v>-0.270110917</v>
      </c>
      <c r="W89" t="n">
        <v>2.616588706</v>
      </c>
      <c r="Z89" t="n">
        <v>1.47588051</v>
      </c>
      <c r="AA89" t="n">
        <v>0.850857228</v>
      </c>
      <c r="AC89" t="n">
        <v>1.566157064</v>
      </c>
      <c r="AD89" t="n">
        <v>0.879461273</v>
      </c>
      <c r="AE89" t="n">
        <v>5.110987142</v>
      </c>
      <c r="AF89" t="n">
        <v>3.071908424</v>
      </c>
      <c r="AH89" t="n">
        <v>1.273835347</v>
      </c>
      <c r="AI89" t="n">
        <v>0.365411807</v>
      </c>
      <c r="AJ89" t="n">
        <v>1.603743763</v>
      </c>
      <c r="AL89" t="n">
        <v>1.306510074</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1.103266</v>
      </c>
      <c r="V90" t="n">
        <v>0.793325956</v>
      </c>
      <c r="W90" t="n">
        <v>2.524346623</v>
      </c>
      <c r="Z90" t="n">
        <v>1.445659153</v>
      </c>
      <c r="AA90" t="n">
        <v>0.824550929</v>
      </c>
      <c r="AC90" t="n">
        <v>1.805751378</v>
      </c>
      <c r="AD90" t="n">
        <v>2.911657781</v>
      </c>
      <c r="AE90" t="n">
        <v>3.452410594</v>
      </c>
      <c r="AF90" t="n">
        <v>2.957898403</v>
      </c>
      <c r="AH90" t="n">
        <v>1.24456066</v>
      </c>
      <c r="AI90" t="n">
        <v>1.565815092</v>
      </c>
      <c r="AJ90" t="n">
        <v>1.200889303</v>
      </c>
      <c r="AL90" t="n">
        <v>1.181346052</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1.076987</v>
      </c>
      <c r="V91" t="n">
        <v>0.561986454</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1.309977844</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0.498047</v>
      </c>
      <c r="V92" t="n">
        <v>0.418261945</v>
      </c>
      <c r="W92" t="n">
        <v>1.93354717</v>
      </c>
      <c r="Z92" t="n">
        <v>0.51954077</v>
      </c>
      <c r="AA92" t="n">
        <v>1.662742073</v>
      </c>
      <c r="AC92" t="n">
        <v>-2.021337956</v>
      </c>
      <c r="AD92" t="n">
        <v>3.90301332</v>
      </c>
      <c r="AE92" t="n">
        <v>2.010960349</v>
      </c>
      <c r="AF92" t="n">
        <v>-0.01620282</v>
      </c>
      <c r="AH92" t="n">
        <v>1.864178652</v>
      </c>
      <c r="AI92" t="n">
        <v>3.002685485</v>
      </c>
      <c r="AJ92" t="n">
        <v>0.436963025</v>
      </c>
      <c r="AL92" t="n">
        <v>0.703422371</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0.740704</v>
      </c>
      <c r="V93" t="n">
        <v>-0.666233102</v>
      </c>
      <c r="W93" t="n">
        <v>0.989272916</v>
      </c>
      <c r="Z93" t="n">
        <v>1.70089772</v>
      </c>
      <c r="AA93" t="n">
        <v>-2.71169364</v>
      </c>
      <c r="AC93" t="n">
        <v>5.99645822</v>
      </c>
      <c r="AD93" t="n">
        <v>3.064074178</v>
      </c>
      <c r="AE93" t="n">
        <v>-1.694379647</v>
      </c>
      <c r="AF93" t="n">
        <v>0.570228979</v>
      </c>
      <c r="AH93" t="n">
        <v>1.809210142</v>
      </c>
      <c r="AI93" t="n">
        <v>-1.492127041</v>
      </c>
      <c r="AJ93" t="n">
        <v>0.066650432</v>
      </c>
      <c r="AL93" t="n">
        <v>0.838871459</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1.100712</v>
      </c>
      <c r="V94" t="n">
        <v>2.454907566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1.20459783</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1.428967</v>
      </c>
      <c r="V95" t="n">
        <v>0.969263565</v>
      </c>
      <c r="W95" t="n">
        <v>1.891983963</v>
      </c>
      <c r="Z95" t="n">
        <v>0.019110094</v>
      </c>
      <c r="AA95" t="n">
        <v>4.817922748</v>
      </c>
      <c r="AC95" t="n">
        <v>2.006337881</v>
      </c>
      <c r="AD95" t="n">
        <v>2.680797035</v>
      </c>
      <c r="AE95" t="n">
        <v>0.61861926</v>
      </c>
      <c r="AF95" t="n">
        <v>-0.057051895</v>
      </c>
      <c r="AH95" t="n">
        <v>1.243409286</v>
      </c>
      <c r="AI95" t="n">
        <v>1.530088662</v>
      </c>
      <c r="AJ95" t="n">
        <v>0.695855263</v>
      </c>
      <c r="AL95" t="n">
        <v>1.360307857</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-0.191413</v>
      </c>
      <c r="V96" t="n">
        <v>0.908748333</v>
      </c>
      <c r="W96" t="n">
        <v>-0.565799964</v>
      </c>
      <c r="Z96" t="n">
        <v>0.552682428</v>
      </c>
      <c r="AA96" t="n">
        <v>3.756189481</v>
      </c>
      <c r="AC96" t="n">
        <v>0.11182118</v>
      </c>
      <c r="AD96" t="n">
        <v>-0.322008363</v>
      </c>
      <c r="AE96" t="n">
        <v>7.704463977</v>
      </c>
      <c r="AF96" t="n">
        <v>0.357558921</v>
      </c>
      <c r="AH96" t="n">
        <v>0.696789668</v>
      </c>
      <c r="AI96" t="n">
        <v>2.075317548</v>
      </c>
      <c r="AJ96" t="n">
        <v>1.003664882</v>
      </c>
      <c r="AL96" t="n">
        <v>0.07265329600000001</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0.957331</v>
      </c>
      <c r="V97" t="n">
        <v>-0.569256328</v>
      </c>
      <c r="W97" t="n">
        <v>2.61748959</v>
      </c>
      <c r="Z97" t="n">
        <v>0.989664495</v>
      </c>
      <c r="AA97" t="n">
        <v>2.862524703</v>
      </c>
      <c r="AC97" t="n">
        <v>-0.523040927</v>
      </c>
      <c r="AD97" t="n">
        <v>0.910971913</v>
      </c>
      <c r="AE97" t="n">
        <v>0.560985094</v>
      </c>
      <c r="AF97" t="n">
        <v>0.729430049</v>
      </c>
      <c r="AH97" t="n">
        <v>0.685514904</v>
      </c>
      <c r="AI97" t="n">
        <v>0.488355633</v>
      </c>
      <c r="AJ97" t="n">
        <v>1.30320339</v>
      </c>
      <c r="AL97" t="n">
        <v>0.890479657</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1.189177</v>
      </c>
      <c r="V98" t="n">
        <v>1.822515408</v>
      </c>
      <c r="W98" t="n">
        <v>2.316320101</v>
      </c>
      <c r="Z98" t="n">
        <v>1.292765027</v>
      </c>
      <c r="AA98" t="n">
        <v>2.260075501</v>
      </c>
      <c r="AC98" t="n">
        <v>0.421992045</v>
      </c>
      <c r="AD98" t="n">
        <v>1.613126047</v>
      </c>
      <c r="AE98" t="n">
        <v>3.257423037</v>
      </c>
      <c r="AF98" t="n">
        <v>1.022278013</v>
      </c>
      <c r="AH98" t="n">
        <v>0.675916427</v>
      </c>
      <c r="AI98" t="n">
        <v>0.85825148</v>
      </c>
      <c r="AJ98" t="n">
        <v>1.320492305</v>
      </c>
      <c r="AL98" t="n">
        <v>1.220909724</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1.275122</v>
      </c>
      <c r="V99" t="n">
        <v>1.785165394</v>
      </c>
      <c r="W99" t="n">
        <v>4.660787308</v>
      </c>
      <c r="Z99" t="n">
        <v>1.532577418</v>
      </c>
      <c r="AA99" t="n">
        <v>1.832168664</v>
      </c>
      <c r="AC99" t="n">
        <v>1.464775733</v>
      </c>
      <c r="AD99" t="n">
        <v>1.218442597</v>
      </c>
      <c r="AE99" t="n">
        <v>0.193234303</v>
      </c>
      <c r="AF99" t="n">
        <v>1.295414973</v>
      </c>
      <c r="AH99" t="n">
        <v>1.492963048</v>
      </c>
      <c r="AI99" t="n">
        <v>0.674313443</v>
      </c>
      <c r="AJ99" t="n">
        <v>1.336919477</v>
      </c>
      <c r="AL99" t="n">
        <v>1.341860881</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0.413551</v>
      </c>
      <c r="V100" t="n">
        <v>0.355881806</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0.525738968</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1.480589</v>
      </c>
      <c r="V101" t="n">
        <v>0.143977482</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1.536192981</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1.851494</v>
      </c>
      <c r="V102" t="n">
        <v>2.666919382</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1.800337123</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1.237294</v>
      </c>
      <c r="V103" t="n">
        <v>0.27376782</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1.280618251</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1.708267</v>
      </c>
      <c r="V104" t="n">
        <v>1.576602872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1.756865417</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2.517065</v>
      </c>
      <c r="V105" t="n">
        <v>4.914568643</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2.326646039</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1.083505</v>
      </c>
      <c r="V106" t="n">
        <v>0.171075585</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1.104378598</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0.101344</v>
      </c>
      <c r="V107" t="n">
        <v>-0.9670716110000001</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0.364600891</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0.973695</v>
      </c>
      <c r="V108" t="n">
        <v>-0.388652205</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1.137272369</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-0.845275</v>
      </c>
      <c r="V109" t="n">
        <v>-2.77211595</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-0.437258645</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0.487008</v>
      </c>
      <c r="V110" t="n">
        <v>1.460443045</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0.465107998</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-0.08372599999999999</v>
      </c>
      <c r="V111" t="n">
        <v>0.619858824</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0.01768683</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-0.850282</v>
      </c>
      <c r="V112" t="n">
        <v>-1.453322278</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-0.611428305</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-0.783893</v>
      </c>
      <c r="V113" t="n">
        <v>0.036182289</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-0.521424379</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0.511588</v>
      </c>
      <c r="V114" t="n">
        <v>-1.631100285</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0.530734113</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1.246744</v>
      </c>
      <c r="V115" t="n">
        <v>-0.361044415</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1.096001098</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1.33611</v>
      </c>
      <c r="V116" t="n">
        <v>1.143078175</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1.371950381</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1.690825</v>
      </c>
      <c r="V117" t="n">
        <v>1.651501165</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1.640436418</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0.922526</v>
      </c>
      <c r="V118" t="n">
        <v>-0.113298767</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1.02653198</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0.824295</v>
      </c>
      <c r="V119" t="n">
        <v>1.282334351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0.885624721</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0.991398</v>
      </c>
      <c r="V120" t="n">
        <v>2.129114714</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0.954514012</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1.09959</v>
      </c>
      <c r="V121" t="n">
        <v>-0.040598004</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0.902719114</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0.972227</v>
      </c>
      <c r="V122" t="n">
        <v>-0.734829231</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0.8708372559999999</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0.928098</v>
      </c>
      <c r="V123" t="n">
        <v>0.693448514</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0.922496018</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0.711012</v>
      </c>
      <c r="V124" t="n">
        <v>1.712047587</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0.816387903</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0.81854</v>
      </c>
      <c r="V125" t="n">
        <v>0.747507279</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0.794799551</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2.282021</v>
      </c>
      <c r="V126" t="n">
        <v>1.180597003</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1.981682651</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0.98647</v>
      </c>
      <c r="V127" t="n">
        <v>1.370045655</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0.901442541</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1.256234</v>
      </c>
      <c r="V128" t="n">
        <v>0.8903910310000001</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1.315197525</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0.5108009999999999</v>
      </c>
      <c r="V129" t="n">
        <v>-0.5175104190000001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0.572574526</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1.252134</v>
      </c>
      <c r="V130" t="n">
        <v>4.430060558</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1.231442768</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0.518002</v>
      </c>
      <c r="V131" t="n">
        <v>-2.238184508</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0.481355419</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0.570255</v>
      </c>
      <c r="V132" t="n">
        <v>1.030358428</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0.679945015</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1.194674745</v>
      </c>
      <c r="U133" t="n">
        <v>0.314822</v>
      </c>
      <c r="V133" t="n">
        <v>-1.127648762</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0.571666316</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-0.7272778479999999</v>
      </c>
      <c r="U134" t="n">
        <v>-1.210832</v>
      </c>
      <c r="V134" t="n">
        <v>-1.972236824</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-1.067639733</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0.153143808</v>
      </c>
      <c r="U135" t="n">
        <v>0.253557</v>
      </c>
      <c r="V135" t="n">
        <v>-0.117576961</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0.299110085</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-0.2012078</v>
      </c>
      <c r="U136" t="n">
        <v>1.148253</v>
      </c>
      <c r="V136" t="n">
        <v>-1.14533871</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1.152748206</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0.320594483</v>
      </c>
      <c r="U137" t="n">
        <v>1.148981</v>
      </c>
      <c r="V137" t="n">
        <v>-0.191894567</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1.039360592</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0.703806164</v>
      </c>
      <c r="U138" t="n">
        <v>-0.024246</v>
      </c>
      <c r="V138" t="n">
        <v>0.168079421</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0.213816888</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0.65156614</v>
      </c>
      <c r="U139" t="n">
        <v>0.613084</v>
      </c>
      <c r="V139" t="n">
        <v>1.079617245</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0.642161762</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0.586239109</v>
      </c>
      <c r="U140" t="n">
        <v>-0.268583</v>
      </c>
      <c r="V140" t="n">
        <v>0.060510277</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-0.06274492800000001</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0.836427955</v>
      </c>
      <c r="U141" t="n">
        <v>-0.361628</v>
      </c>
      <c r="V141" t="n">
        <v>0.015516274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-0.30525529</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0.6867046999999999</v>
      </c>
      <c r="U142" t="n">
        <v>0.293649</v>
      </c>
      <c r="V142" t="n">
        <v>1.014766019</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0.248302226</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-0.015567912</v>
      </c>
      <c r="U143" t="n">
        <v>-0.235255</v>
      </c>
      <c r="V143" t="n">
        <v>0.233914444</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-0.154152245</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0.591139312</v>
      </c>
      <c r="U144" t="n">
        <v>0.313591</v>
      </c>
      <c r="V144" t="n">
        <v>0.643924363</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0.198546911</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0.418558294</v>
      </c>
      <c r="U145" t="n">
        <v>0.94863</v>
      </c>
      <c r="V145" t="n">
        <v>1.775369674</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0.797077594</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0.029013243</v>
      </c>
      <c r="U146" t="n">
        <v>1.349058</v>
      </c>
      <c r="V146" t="n">
        <v>0.640533906</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1.095273493</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0.098068655</v>
      </c>
      <c r="U147" t="n">
        <v>1.373017</v>
      </c>
      <c r="V147" t="n">
        <v>1.040435992</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1.317726754</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0.611867076</v>
      </c>
      <c r="U148" t="n">
        <v>1.546283</v>
      </c>
      <c r="V148" t="n">
        <v>0.737779119</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1.431187813</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0.40808463</v>
      </c>
      <c r="U149" t="n">
        <v>1.334051</v>
      </c>
      <c r="V149" t="n">
        <v>0.6316554089999999</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1.427673255</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0.419902902</v>
      </c>
      <c r="U150" t="n">
        <v>0.883606</v>
      </c>
      <c r="V150" t="n">
        <v>-0.991207867</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0.665681886</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0.702869253</v>
      </c>
      <c r="U151" t="n">
        <v>1.156507</v>
      </c>
      <c r="V151" t="n">
        <v>0.632847173</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1.228724295</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-0.076185473</v>
      </c>
      <c r="U152" t="n">
        <v>0.693322</v>
      </c>
      <c r="V152" t="n">
        <v>1.848885105</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0.615879459</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0.265512303</v>
      </c>
      <c r="U153" t="n">
        <v>0.949672</v>
      </c>
      <c r="V153" t="n">
        <v>0.6467840459999999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0.967428821</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0.904963385</v>
      </c>
      <c r="U154" t="n">
        <v>1.187922</v>
      </c>
      <c r="V154" t="n">
        <v>2.022236956</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1.077316094</v>
      </c>
      <c r="AN154" t="n">
        <v>0.973922931</v>
      </c>
      <c r="AR154" t="n">
        <v>1.056977679</v>
      </c>
      <c r="AT154" t="n">
        <v>0.880466353</v>
      </c>
      <c r="AU154" t="n">
        <v>-0.727141963</v>
      </c>
    </row>
    <row r="155">
      <c r="A155" t="inlineStr">
        <is>
          <t>1985-Q3</t>
        </is>
      </c>
      <c r="B155" s="87" t="n">
        <v>31321</v>
      </c>
      <c r="D155" t="n">
        <v>1.331002293</v>
      </c>
      <c r="E155" t="n">
        <v>1.484461339</v>
      </c>
      <c r="F155" t="n">
        <v>0.677149728</v>
      </c>
      <c r="H155" t="n">
        <v>1.268698772</v>
      </c>
      <c r="I155" t="n">
        <v>0.173055277</v>
      </c>
      <c r="M155" t="n">
        <v>1.302408149</v>
      </c>
      <c r="N155" t="n">
        <v>2.179652219</v>
      </c>
      <c r="P155" t="n">
        <v>1.036666832</v>
      </c>
      <c r="S155" t="n">
        <v>0.499088621</v>
      </c>
      <c r="T155" t="n">
        <v>0.520144591</v>
      </c>
      <c r="U155" t="n">
        <v>1.20464</v>
      </c>
      <c r="V155" t="n">
        <v>0.072487315</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1.145804689</v>
      </c>
      <c r="AN155" t="n">
        <v>-0.373988317</v>
      </c>
      <c r="AR155" t="n">
        <v>1.103460017</v>
      </c>
      <c r="AT155" t="n">
        <v>1.527121263</v>
      </c>
      <c r="AU155" t="n">
        <v>-0.263979032</v>
      </c>
    </row>
    <row r="156">
      <c r="A156" t="inlineStr">
        <is>
          <t>1985-Q4</t>
        </is>
      </c>
      <c r="B156" s="87" t="n">
        <v>31413</v>
      </c>
      <c r="D156" t="n">
        <v>-0.288637868</v>
      </c>
      <c r="E156" t="n">
        <v>-0.416358753</v>
      </c>
      <c r="F156" t="n">
        <v>0.517968412</v>
      </c>
      <c r="H156" t="n">
        <v>1.534781494</v>
      </c>
      <c r="I156" t="n">
        <v>0.863876138</v>
      </c>
      <c r="M156" t="n">
        <v>0.599977251</v>
      </c>
      <c r="N156" t="n">
        <v>1.901622049</v>
      </c>
      <c r="P156" t="n">
        <v>1.148468301</v>
      </c>
      <c r="S156" t="n">
        <v>0.168415598</v>
      </c>
      <c r="T156" t="n">
        <v>0.426638419</v>
      </c>
      <c r="U156" t="n">
        <v>0.783467</v>
      </c>
      <c r="V156" t="n">
        <v>0.149865121</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0.819606335</v>
      </c>
      <c r="AN156" t="n">
        <v>1.587131687</v>
      </c>
      <c r="AR156" t="n">
        <v>-1.004893611</v>
      </c>
      <c r="AT156" t="n">
        <v>0.743327344</v>
      </c>
      <c r="AU156" t="n">
        <v>1.069340316</v>
      </c>
    </row>
    <row r="157">
      <c r="A157" t="inlineStr">
        <is>
          <t>1986-Q1</t>
        </is>
      </c>
      <c r="B157" s="87" t="n">
        <v>31503</v>
      </c>
      <c r="D157" t="n">
        <v>0.6621976040000001</v>
      </c>
      <c r="E157" t="n">
        <v>0.89439608</v>
      </c>
      <c r="F157" t="n">
        <v>0.547889625</v>
      </c>
      <c r="H157" t="n">
        <v>-0.030061903</v>
      </c>
      <c r="I157" t="n">
        <v>0.397947567</v>
      </c>
      <c r="M157" t="n">
        <v>-0.57204937</v>
      </c>
      <c r="N157" t="n">
        <v>0.8650818139999999</v>
      </c>
      <c r="P157" t="n">
        <v>0.28204135</v>
      </c>
      <c r="S157" t="n">
        <v>0.060355234</v>
      </c>
      <c r="T157" t="n">
        <v>0.355012336</v>
      </c>
      <c r="U157" t="n">
        <v>0.557615</v>
      </c>
      <c r="V157" t="n">
        <v>0.9006954740000001</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0.426418586</v>
      </c>
      <c r="AN157" t="n">
        <v>1.321063257</v>
      </c>
      <c r="AR157" t="n">
        <v>2.023470286</v>
      </c>
      <c r="AT157" t="n">
        <v>0.933524708</v>
      </c>
      <c r="AU157" t="n">
        <v>-1.191395651</v>
      </c>
    </row>
    <row r="158">
      <c r="A158" t="inlineStr">
        <is>
          <t>1986-Q2</t>
        </is>
      </c>
      <c r="B158" s="87" t="n">
        <v>31594</v>
      </c>
      <c r="D158" t="n">
        <v>-0.183784777</v>
      </c>
      <c r="E158" t="n">
        <v>1.209921631</v>
      </c>
      <c r="F158" t="n">
        <v>0.203576123</v>
      </c>
      <c r="H158" t="n">
        <v>0.568484015</v>
      </c>
      <c r="I158" t="n">
        <v>0.709904749</v>
      </c>
      <c r="M158" t="n">
        <v>1.150684662</v>
      </c>
      <c r="N158" t="n">
        <v>-0.296741302</v>
      </c>
      <c r="P158" t="n">
        <v>2.381555918</v>
      </c>
      <c r="S158" t="n">
        <v>0.43515726</v>
      </c>
      <c r="T158" t="n">
        <v>1.110608755</v>
      </c>
      <c r="U158" t="n">
        <v>0.486677</v>
      </c>
      <c r="V158" t="n">
        <v>0.509533898</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0.629962007</v>
      </c>
      <c r="AN158" t="n">
        <v>1.128379966</v>
      </c>
      <c r="AR158" t="n">
        <v>0.500524353</v>
      </c>
      <c r="AT158" t="n">
        <v>0.450377363</v>
      </c>
      <c r="AU158" t="n">
        <v>0.690410026</v>
      </c>
    </row>
    <row r="159">
      <c r="A159" t="inlineStr">
        <is>
          <t>1986-Q3</t>
        </is>
      </c>
      <c r="B159" s="87" t="n">
        <v>31686</v>
      </c>
      <c r="D159" t="n">
        <v>0.28539091</v>
      </c>
      <c r="E159" t="n">
        <v>0.08147199199999999</v>
      </c>
      <c r="F159" t="n">
        <v>1.230936529</v>
      </c>
      <c r="H159" t="n">
        <v>0.126214599</v>
      </c>
      <c r="I159" t="n">
        <v>0.035565252</v>
      </c>
      <c r="M159" t="n">
        <v>0.738239227</v>
      </c>
      <c r="N159" t="n">
        <v>-0.039017767</v>
      </c>
      <c r="P159" t="n">
        <v>-0.705039025</v>
      </c>
      <c r="S159" t="n">
        <v>4.358457381</v>
      </c>
      <c r="T159" t="n">
        <v>0.478657354</v>
      </c>
      <c r="U159" t="n">
        <v>0.762274</v>
      </c>
      <c r="V159" t="n">
        <v>0.456712443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0.684979219</v>
      </c>
      <c r="AN159" t="n">
        <v>0.5352335070000001</v>
      </c>
      <c r="AR159" t="n">
        <v>0.489035763</v>
      </c>
      <c r="AT159" t="n">
        <v>0.956992886</v>
      </c>
      <c r="AU159" t="n">
        <v>0.225035091</v>
      </c>
    </row>
    <row r="160">
      <c r="A160" t="inlineStr">
        <is>
          <t>1986-Q4</t>
        </is>
      </c>
      <c r="B160" s="87" t="n">
        <v>31778</v>
      </c>
      <c r="D160" t="n">
        <v>1.652932727</v>
      </c>
      <c r="E160" t="n">
        <v>0.074006433</v>
      </c>
      <c r="F160" t="n">
        <v>-1.156201418</v>
      </c>
      <c r="H160" t="n">
        <v>-0.722101968</v>
      </c>
      <c r="I160" t="n">
        <v>-0.077682127</v>
      </c>
      <c r="M160" t="n">
        <v>0.997108218</v>
      </c>
      <c r="N160" t="n">
        <v>0.367632584</v>
      </c>
      <c r="P160" t="n">
        <v>0.638803135</v>
      </c>
      <c r="S160" t="n">
        <v>-1.874460476</v>
      </c>
      <c r="T160" t="n">
        <v>0.103115291</v>
      </c>
      <c r="U160" t="n">
        <v>0.61474</v>
      </c>
      <c r="V160" t="n">
        <v>1.561500019</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0.585725723</v>
      </c>
      <c r="AN160" t="n">
        <v>1.600706368</v>
      </c>
      <c r="AR160" t="n">
        <v>0.303682301</v>
      </c>
      <c r="AT160" t="n">
        <v>0.5369857179999999</v>
      </c>
      <c r="AU160" t="n">
        <v>0.419882585</v>
      </c>
    </row>
    <row r="161">
      <c r="A161" t="inlineStr">
        <is>
          <t>1987-Q1</t>
        </is>
      </c>
      <c r="B161" s="87" t="n">
        <v>31868</v>
      </c>
      <c r="D161" t="n">
        <v>0.979564083</v>
      </c>
      <c r="E161" t="n">
        <v>-0.8528270570000001</v>
      </c>
      <c r="F161" t="n">
        <v>0.706357821</v>
      </c>
      <c r="H161" t="n">
        <v>2.307193327</v>
      </c>
      <c r="I161" t="n">
        <v>0.029011769</v>
      </c>
      <c r="M161" t="n">
        <v>-2.509804892</v>
      </c>
      <c r="N161" t="n">
        <v>-1.569174494</v>
      </c>
      <c r="P161" t="n">
        <v>2.048184242</v>
      </c>
      <c r="S161" t="n">
        <v>0.766620586</v>
      </c>
      <c r="T161" t="n">
        <v>0.149510312</v>
      </c>
      <c r="U161" t="n">
        <v>0.244973</v>
      </c>
      <c r="V161" t="n">
        <v>0.936613316</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0.319245978</v>
      </c>
      <c r="AN161" t="n">
        <v>1.805396508</v>
      </c>
      <c r="AR161" t="n">
        <v>0.45626201</v>
      </c>
      <c r="AT161" t="n">
        <v>0.74501963</v>
      </c>
      <c r="AU161" t="n">
        <v>0.72728254</v>
      </c>
    </row>
    <row r="162">
      <c r="A162" t="inlineStr">
        <is>
          <t>1987-Q2</t>
        </is>
      </c>
      <c r="B162" s="87" t="n">
        <v>31959</v>
      </c>
      <c r="D162" t="n">
        <v>1.587134583</v>
      </c>
      <c r="E162" t="n">
        <v>1.764855166</v>
      </c>
      <c r="F162" t="n">
        <v>1.111189178</v>
      </c>
      <c r="H162" t="n">
        <v>1.291592995</v>
      </c>
      <c r="I162" t="n">
        <v>0.7822971399999999</v>
      </c>
      <c r="M162" t="n">
        <v>2.244993958</v>
      </c>
      <c r="N162" t="n">
        <v>3.024836903</v>
      </c>
      <c r="P162" t="n">
        <v>1.49605753</v>
      </c>
      <c r="S162" t="n">
        <v>1.741914027</v>
      </c>
      <c r="T162" t="n">
        <v>1.460792645</v>
      </c>
      <c r="U162" t="n">
        <v>1.483091</v>
      </c>
      <c r="V162" t="n">
        <v>1.47921727</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1.652607769</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0.705535501</v>
      </c>
      <c r="U163" t="n">
        <v>1.128957</v>
      </c>
      <c r="V163" t="n">
        <v>2.383817874</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1.102827553</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1.438302229</v>
      </c>
      <c r="U164" t="n">
        <v>1.72984</v>
      </c>
      <c r="V164" t="n">
        <v>1.336047676</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1.819856768</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1.224568126</v>
      </c>
      <c r="U165" t="n">
        <v>0.927359</v>
      </c>
      <c r="V165" t="n">
        <v>1.520296542</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0.821337045</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0.845353475</v>
      </c>
      <c r="U166" t="n">
        <v>0.91915</v>
      </c>
      <c r="V166" t="n">
        <v>0.217352449</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0.694716411</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1.289605791</v>
      </c>
      <c r="U167" t="n">
        <v>1.075356</v>
      </c>
      <c r="V167" t="n">
        <v>1.345872731</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1.050231212</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0.868121204</v>
      </c>
      <c r="U168" t="n">
        <v>1.147624</v>
      </c>
      <c r="V168" t="n">
        <v>0.750731405</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1.158277522</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1.186652103</v>
      </c>
      <c r="U169" t="n">
        <v>1.258071</v>
      </c>
      <c r="V169" t="n">
        <v>0.513393136</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1.226366069</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1.181078757</v>
      </c>
      <c r="U170" t="n">
        <v>0.319865</v>
      </c>
      <c r="V170" t="n">
        <v>0.406816898</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0.399317068</v>
      </c>
      <c r="AN170" t="n">
        <v>-1.41413539</v>
      </c>
      <c r="AR170" t="n">
        <v>0.675412149</v>
      </c>
      <c r="AT170" t="n">
        <v>0.763265657</v>
      </c>
      <c r="AU170" t="n">
        <v>0.433857416</v>
      </c>
    </row>
    <row r="171">
      <c r="A171" t="inlineStr">
        <is>
          <t>1989-Q3</t>
        </is>
      </c>
      <c r="B171" s="87" t="n">
        <v>32782</v>
      </c>
      <c r="D171" t="n">
        <v>0.819787588</v>
      </c>
      <c r="E171" t="n">
        <v>0.829097953</v>
      </c>
      <c r="F171" t="n">
        <v>0.37144843</v>
      </c>
      <c r="H171" t="n">
        <v>0.357792585</v>
      </c>
      <c r="I171" t="n">
        <v>0.601303534</v>
      </c>
      <c r="M171" t="n">
        <v>0.9132452559999999</v>
      </c>
      <c r="N171" t="n">
        <v>-1.486353377</v>
      </c>
      <c r="P171" t="n">
        <v>1.339679544</v>
      </c>
      <c r="S171" t="n">
        <v>1.178506979</v>
      </c>
      <c r="T171" t="n">
        <v>1.077038149</v>
      </c>
      <c r="U171" t="n">
        <v>0.9077460000000001</v>
      </c>
      <c r="V171" t="n">
        <v>-0.008344433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0.977863878</v>
      </c>
      <c r="AN171" t="n">
        <v>1.972954215</v>
      </c>
      <c r="AR171" t="n">
        <v>0.030821689</v>
      </c>
      <c r="AT171" t="n">
        <v>0.740876994</v>
      </c>
      <c r="AU171" t="n">
        <v>0.080345162</v>
      </c>
    </row>
    <row r="172">
      <c r="A172" t="inlineStr">
        <is>
          <t>1989-Q4</t>
        </is>
      </c>
      <c r="B172" s="87" t="n">
        <v>32874</v>
      </c>
      <c r="D172" t="n">
        <v>-0.272437689</v>
      </c>
      <c r="E172" t="n">
        <v>1.300395898</v>
      </c>
      <c r="F172" t="n">
        <v>1.298638289</v>
      </c>
      <c r="H172" t="n">
        <v>-0.213453123</v>
      </c>
      <c r="I172" t="n">
        <v>1.250615356</v>
      </c>
      <c r="M172" t="n">
        <v>1.158805549</v>
      </c>
      <c r="N172" t="n">
        <v>1.6576394</v>
      </c>
      <c r="P172" t="n">
        <v>-0.166005345</v>
      </c>
      <c r="S172" t="n">
        <v>0.047319186</v>
      </c>
      <c r="T172" t="n">
        <v>1.316321071</v>
      </c>
      <c r="U172" t="n">
        <v>0.941277</v>
      </c>
      <c r="V172" t="n">
        <v>0.184520093</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0.960194898</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0.423247237</v>
      </c>
      <c r="U173" t="n">
        <v>0.791073</v>
      </c>
      <c r="V173" t="n">
        <v>0.850561025</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0.967395878</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0.516290633</v>
      </c>
      <c r="U174" t="n">
        <v>0.843499</v>
      </c>
      <c r="V174" t="n">
        <v>0.35209975</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0.909087693</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0.501011405</v>
      </c>
      <c r="U175" t="n">
        <v>0.492801</v>
      </c>
      <c r="V175" t="n">
        <v>-1.209277939</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0.360257518</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-0.004062582</v>
      </c>
      <c r="U176" t="n">
        <v>-0.349166</v>
      </c>
      <c r="V176" t="n">
        <v>-0.412552456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0.230205201</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0.126456367</v>
      </c>
      <c r="U177" t="n">
        <v>0.275431</v>
      </c>
      <c r="V177" t="n">
        <v>-0.489243764</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0.065161725</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0.400279787</v>
      </c>
      <c r="U178" t="n">
        <v>0.551087</v>
      </c>
      <c r="V178" t="n">
        <v>-0.375509086</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0.634633792</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0.216524775</v>
      </c>
      <c r="U179" t="n">
        <v>0.20084</v>
      </c>
      <c r="V179" t="n">
        <v>-0.290975691</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0.31961368</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0.6870023709999999</v>
      </c>
      <c r="U180" t="n">
        <v>0.542751</v>
      </c>
      <c r="V180" t="n">
        <v>0.200923433</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0.6096157679999999</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0.7788373119999999</v>
      </c>
      <c r="U181" t="n">
        <v>0.792686</v>
      </c>
      <c r="V181" t="n">
        <v>-0.044733911</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0.87247071</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0.074378795</v>
      </c>
      <c r="U182" t="n">
        <v>0.395064</v>
      </c>
      <c r="V182" t="n">
        <v>-0.326734997</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0.274627889</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-0.050206507</v>
      </c>
      <c r="U183" t="n">
        <v>0.456474</v>
      </c>
      <c r="V183" t="n">
        <v>0.5523092429999999</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0.487513299</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-0.18903338</v>
      </c>
      <c r="U184" t="n">
        <v>0.320625</v>
      </c>
      <c r="V184" t="n">
        <v>0.537097177</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0.276959019</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-0.65127018</v>
      </c>
      <c r="U185" t="n">
        <v>0.201733</v>
      </c>
      <c r="V185" t="n">
        <v>0.668095416</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1.646514936</v>
      </c>
      <c r="AL185" t="n">
        <v>0.203594101</v>
      </c>
      <c r="AN185" t="n">
        <v>-1.318634595</v>
      </c>
      <c r="AR185" t="n">
        <v>-1.660741425</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-0.035212959</v>
      </c>
      <c r="U186" t="n">
        <v>0.188789</v>
      </c>
      <c r="V186" t="n">
        <v>0.395852038</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2.211104503</v>
      </c>
      <c r="AL186" t="n">
        <v>0.423806121</v>
      </c>
      <c r="AN186" t="n">
        <v>0.050113557</v>
      </c>
      <c r="AP186" t="n">
        <v>1.3909376</v>
      </c>
      <c r="AR186" t="n">
        <v>1.294462272</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0.186187411</v>
      </c>
      <c r="U187" t="n">
        <v>0.242557</v>
      </c>
      <c r="V187" t="n">
        <v>0.758772442</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2.026356324</v>
      </c>
      <c r="AL187" t="n">
        <v>0.388047125</v>
      </c>
      <c r="AN187" t="n">
        <v>0.695529051</v>
      </c>
      <c r="AP187" t="n">
        <v>1.159824799</v>
      </c>
      <c r="AR187" t="n">
        <v>0.814543703</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0.224816689</v>
      </c>
      <c r="U188" t="n">
        <v>0.839578</v>
      </c>
      <c r="V188" t="n">
        <v>0.587440486</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0.932666823</v>
      </c>
      <c r="AL188" t="n">
        <v>0.868127597</v>
      </c>
      <c r="AN188" t="n">
        <v>0.335461909</v>
      </c>
      <c r="AP188" t="n">
        <v>1.506506636</v>
      </c>
      <c r="AR188" t="n">
        <v>0.284666195</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0.669738394</v>
      </c>
      <c r="U189" t="n">
        <v>0.9787360000000001</v>
      </c>
      <c r="V189" t="n">
        <v>1.055220156</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1.515705501</v>
      </c>
      <c r="AL189" t="n">
        <v>0.925004489</v>
      </c>
      <c r="AN189" t="n">
        <v>0.33869414</v>
      </c>
      <c r="AP189" t="n">
        <v>1.788229087</v>
      </c>
      <c r="AR189" t="n">
        <v>1.143712992</v>
      </c>
      <c r="AT189" t="n">
        <v>0.97031284</v>
      </c>
      <c r="AU189" t="n">
        <v>-0.047133474</v>
      </c>
    </row>
    <row r="190">
      <c r="A190" t="inlineStr">
        <is>
          <t>1994-Q2</t>
        </is>
      </c>
      <c r="B190" s="87"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1.013470308</v>
      </c>
      <c r="U190" t="n">
        <v>0.8077530000000001</v>
      </c>
      <c r="V190" t="n">
        <v>1.060404658</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0.664680266</v>
      </c>
      <c r="AL190" t="n">
        <v>0.55545229</v>
      </c>
      <c r="AN190" t="n">
        <v>1.295817808</v>
      </c>
      <c r="AP190" t="n">
        <v>1.218534052</v>
      </c>
      <c r="AR190" t="n">
        <v>1.027655495</v>
      </c>
      <c r="AT190" t="n">
        <v>1.355099752</v>
      </c>
      <c r="AU190" t="n">
        <v>0.975661962</v>
      </c>
    </row>
    <row r="191">
      <c r="A191" t="inlineStr">
        <is>
          <t>1994-Q3</t>
        </is>
      </c>
      <c r="B191" s="87"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0.852415563</v>
      </c>
      <c r="U191" t="n">
        <v>0.801284</v>
      </c>
      <c r="V191" t="n">
        <v>1.083125744</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1.71090294</v>
      </c>
      <c r="AL191" t="n">
        <v>0.920816089</v>
      </c>
      <c r="AN191" t="n">
        <v>0.452189918</v>
      </c>
      <c r="AP191" t="n">
        <v>1.899671272</v>
      </c>
      <c r="AR191" t="n">
        <v>0.885840205</v>
      </c>
      <c r="AT191" t="n">
        <v>0.584536016</v>
      </c>
      <c r="AU191" t="n">
        <v>1.124515257</v>
      </c>
    </row>
    <row r="192">
      <c r="A192" t="inlineStr">
        <is>
          <t>1994-Q4</t>
        </is>
      </c>
      <c r="B192" s="87"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0.9261257000000001</v>
      </c>
      <c r="U192" t="n">
        <v>0.78095</v>
      </c>
      <c r="V192" t="n">
        <v>0.485532426</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1.330348577</v>
      </c>
      <c r="AL192" t="n">
        <v>0.974071542</v>
      </c>
      <c r="AN192" t="n">
        <v>1.201951322</v>
      </c>
      <c r="AP192" t="n">
        <v>1.416354765</v>
      </c>
      <c r="AR192" t="n">
        <v>1.731322335</v>
      </c>
      <c r="AT192" t="n">
        <v>1.145518265</v>
      </c>
      <c r="AU192" t="n">
        <v>1.858295375</v>
      </c>
    </row>
    <row r="193">
      <c r="A193" t="inlineStr">
        <is>
          <t>1995-Q1</t>
        </is>
      </c>
      <c r="B193" s="87"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0.317879915</v>
      </c>
      <c r="U193" t="n">
        <v>0.469981</v>
      </c>
      <c r="V193" t="n">
        <v>0.250800926</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1.215047655</v>
      </c>
      <c r="AL193" t="n">
        <v>0.342545358</v>
      </c>
      <c r="AN193" t="n">
        <v>0.174836529</v>
      </c>
      <c r="AP193" t="n">
        <v>1.517995219</v>
      </c>
      <c r="AR193" t="n">
        <v>1.27646253</v>
      </c>
      <c r="AT193" t="n">
        <v>0.35469547</v>
      </c>
      <c r="AU193" t="n">
        <v>0.24994674</v>
      </c>
    </row>
    <row r="194">
      <c r="A194" t="inlineStr">
        <is>
          <t>1995-Q2</t>
        </is>
      </c>
      <c r="B194" s="87"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0.578261</v>
      </c>
      <c r="P194" t="n">
        <v>0.626475344</v>
      </c>
      <c r="Q194" t="n">
        <v>-0.988348453</v>
      </c>
      <c r="R194" t="n">
        <v>0.604975</v>
      </c>
      <c r="S194" t="n">
        <v>2.686170213</v>
      </c>
      <c r="T194" t="n">
        <v>0.627533091</v>
      </c>
      <c r="U194" t="n">
        <v>0.441304</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1.275295438</v>
      </c>
      <c r="AL194" t="n">
        <v>0.365081611</v>
      </c>
      <c r="AM194" t="n">
        <v>1.879337713</v>
      </c>
      <c r="AN194" t="n">
        <v>1.179121107</v>
      </c>
      <c r="AP194" t="n">
        <v>1.66691031</v>
      </c>
      <c r="AQ194" t="n">
        <v>0.247902331</v>
      </c>
      <c r="AR194" t="n">
        <v>0.483770373</v>
      </c>
      <c r="AT194" t="n">
        <v>0.298305699</v>
      </c>
      <c r="AU194" t="n">
        <v>0.287484075</v>
      </c>
    </row>
    <row r="195">
      <c r="A195" t="inlineStr">
        <is>
          <t>1995-Q3</t>
        </is>
      </c>
      <c r="B195" s="87"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0.350581</v>
      </c>
      <c r="P195" t="n">
        <v>0.404785766</v>
      </c>
      <c r="Q195" t="n">
        <v>-0.337687553</v>
      </c>
      <c r="R195" t="n">
        <v>0.408331</v>
      </c>
      <c r="S195" t="n">
        <v>-0.451811563</v>
      </c>
      <c r="T195" t="n">
        <v>0.169516869</v>
      </c>
      <c r="U195" t="n">
        <v>0.749297</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0.920566502</v>
      </c>
      <c r="AL195" t="n">
        <v>0.866432158</v>
      </c>
      <c r="AM195" t="n">
        <v>2.793311006</v>
      </c>
      <c r="AN195" t="n">
        <v>0.433832717</v>
      </c>
      <c r="AP195" t="n">
        <v>0.57650346</v>
      </c>
      <c r="AQ195" t="n">
        <v>0.197734563</v>
      </c>
      <c r="AR195" t="n">
        <v>0.363565088</v>
      </c>
      <c r="AT195" t="n">
        <v>0.850664868</v>
      </c>
      <c r="AU195" t="n">
        <v>0.663462949</v>
      </c>
    </row>
    <row r="196">
      <c r="A196" t="inlineStr">
        <is>
          <t>1995-Q4</t>
        </is>
      </c>
      <c r="B196" s="87"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0.359987</v>
      </c>
      <c r="P196" t="n">
        <v>0.747758398</v>
      </c>
      <c r="Q196" t="n">
        <v>1.169999579</v>
      </c>
      <c r="R196" t="n">
        <v>0.423287</v>
      </c>
      <c r="S196" t="n">
        <v>0.049144311</v>
      </c>
      <c r="T196" t="n">
        <v>-0.000378873</v>
      </c>
      <c r="U196" t="n">
        <v>0.434065</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0.674212148</v>
      </c>
      <c r="AL196" t="n">
        <v>0.54448008</v>
      </c>
      <c r="AM196" t="n">
        <v>1.280270225</v>
      </c>
      <c r="AN196" t="n">
        <v>0.677522441</v>
      </c>
      <c r="AP196" t="n">
        <v>1.906354353</v>
      </c>
      <c r="AQ196" t="n">
        <v>0.23018651</v>
      </c>
      <c r="AR196" t="n">
        <v>1.105867036</v>
      </c>
      <c r="AT196" t="n">
        <v>0.679036536</v>
      </c>
      <c r="AU196" t="n">
        <v>0.336366655</v>
      </c>
    </row>
    <row r="197">
      <c r="A197" t="inlineStr">
        <is>
          <t>1996-Q1</t>
        </is>
      </c>
      <c r="B197" s="87" t="n">
        <v>35156</v>
      </c>
      <c r="C197" t="n">
        <v>2.749659958</v>
      </c>
      <c r="D197" t="n">
        <v>1.647735719</v>
      </c>
      <c r="E197" t="n">
        <v>0.778207192</v>
      </c>
      <c r="F197" t="n">
        <v>-0.201498034</v>
      </c>
      <c r="H197" t="n">
        <v>0.06880559</v>
      </c>
      <c r="I197" t="n">
        <v>0.415450947</v>
      </c>
      <c r="J197" t="n">
        <v>3.079251895</v>
      </c>
      <c r="L197" t="n">
        <v>2.390120762</v>
      </c>
      <c r="M197" t="n">
        <v>-0.816170731</v>
      </c>
      <c r="N197" t="n">
        <v>0.015030293</v>
      </c>
      <c r="O197" t="n">
        <v>0.128349</v>
      </c>
      <c r="P197" t="n">
        <v>0.596091367</v>
      </c>
      <c r="Q197" t="n">
        <v>0.899312661</v>
      </c>
      <c r="R197" t="n">
        <v>0.203901</v>
      </c>
      <c r="S197" t="n">
        <v>1.80299922</v>
      </c>
      <c r="T197" t="n">
        <v>0.708874303</v>
      </c>
      <c r="U197" t="n">
        <v>0.494859</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1.406060606</v>
      </c>
      <c r="AL197" t="n">
        <v>0.719759112</v>
      </c>
      <c r="AM197" t="n">
        <v>2.086419536</v>
      </c>
      <c r="AN197" t="n">
        <v>0.78990095</v>
      </c>
      <c r="AP197" t="n">
        <v>1.691661068</v>
      </c>
      <c r="AQ197" t="n">
        <v>0.646353997</v>
      </c>
      <c r="AR197" t="n">
        <v>0.6588919559999999</v>
      </c>
      <c r="AT197" t="n">
        <v>0.748971329</v>
      </c>
      <c r="AU197" t="n">
        <v>1.852498307</v>
      </c>
    </row>
    <row r="198">
      <c r="A198" t="inlineStr">
        <is>
          <t>1996-Q2</t>
        </is>
      </c>
      <c r="B198" s="87" t="n">
        <v>35247</v>
      </c>
      <c r="C198" t="n">
        <v>2.228766023</v>
      </c>
      <c r="D198" t="n">
        <v>0.636789097</v>
      </c>
      <c r="E198" t="n">
        <v>0.736180932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0.705588</v>
      </c>
      <c r="S198" t="n">
        <v>0.789033009</v>
      </c>
      <c r="T198" t="n">
        <v>0.108272582</v>
      </c>
      <c r="U198" t="n">
        <v>1.160224</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0.887520918</v>
      </c>
      <c r="AL198" t="n">
        <v>1.125320984</v>
      </c>
      <c r="AM198" t="n">
        <v>2.002789613</v>
      </c>
      <c r="AN198" t="n">
        <v>1.199491897</v>
      </c>
      <c r="AP198" t="n">
        <v>1.175727392</v>
      </c>
      <c r="AQ198" t="n">
        <v>1.178967345</v>
      </c>
      <c r="AR198" t="n">
        <v>-0.772914929</v>
      </c>
      <c r="AT198" t="n">
        <v>1.667883947</v>
      </c>
      <c r="AU198" t="n">
        <v>1.19135893</v>
      </c>
    </row>
    <row r="199">
      <c r="A199" t="inlineStr">
        <is>
          <t>1996-Q3</t>
        </is>
      </c>
      <c r="B199" s="87" t="n">
        <v>35339</v>
      </c>
      <c r="C199" t="n">
        <v>2.296677959</v>
      </c>
      <c r="D199" t="n">
        <v>0.798903374</v>
      </c>
      <c r="E199" t="n">
        <v>0.348781214</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0.504104</v>
      </c>
      <c r="S199" t="n">
        <v>0.58010194</v>
      </c>
      <c r="T199" t="n">
        <v>0.515849275</v>
      </c>
      <c r="U199" t="n">
        <v>0.622825</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0.654601463</v>
      </c>
      <c r="AL199" t="n">
        <v>0.733030261</v>
      </c>
      <c r="AM199" t="n">
        <v>1.104700221</v>
      </c>
      <c r="AN199" t="n">
        <v>1.356809474</v>
      </c>
      <c r="AP199" t="n">
        <v>2.507871479</v>
      </c>
      <c r="AQ199" t="n">
        <v>1.292397383</v>
      </c>
      <c r="AR199" t="n">
        <v>0.387990427</v>
      </c>
      <c r="AT199" t="n">
        <v>0.897010936</v>
      </c>
      <c r="AU199" t="n">
        <v>1.191484164</v>
      </c>
    </row>
    <row r="200">
      <c r="A200" t="inlineStr">
        <is>
          <t>1996-Q4</t>
        </is>
      </c>
      <c r="B200" s="87" t="n">
        <v>35431</v>
      </c>
      <c r="C200" t="n">
        <v>1.822265983</v>
      </c>
      <c r="D200" t="n">
        <v>0.931680649</v>
      </c>
      <c r="E200" t="n">
        <v>0.149836044</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0.397958</v>
      </c>
      <c r="S200" t="n">
        <v>1.873057648</v>
      </c>
      <c r="T200" t="n">
        <v>0.254756527</v>
      </c>
      <c r="U200" t="n">
        <v>0.850168</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1.309516803</v>
      </c>
      <c r="AL200" t="n">
        <v>0.951415385</v>
      </c>
      <c r="AM200" t="n">
        <v>-3.449859474</v>
      </c>
      <c r="AN200" t="n">
        <v>0.282339693</v>
      </c>
      <c r="AP200" t="n">
        <v>1.96926817</v>
      </c>
      <c r="AQ200" t="n">
        <v>1.742924609</v>
      </c>
      <c r="AR200" t="n">
        <v>0.726560044</v>
      </c>
      <c r="AT200" t="n">
        <v>1.038397649</v>
      </c>
      <c r="AU200" t="n">
        <v>0.938171466</v>
      </c>
    </row>
    <row r="201">
      <c r="A201" t="inlineStr">
        <is>
          <t>1997-Q1</t>
        </is>
      </c>
      <c r="B201" s="87" t="n">
        <v>35521</v>
      </c>
      <c r="C201" t="n">
        <v>2.100205284</v>
      </c>
      <c r="D201" t="n">
        <v>0.630057446</v>
      </c>
      <c r="E201" t="n">
        <v>0.623319885</v>
      </c>
      <c r="F201" t="n">
        <v>1.002376205</v>
      </c>
      <c r="G201" t="n">
        <v>1.04695239</v>
      </c>
      <c r="H201" t="n">
        <v>1.319174451</v>
      </c>
      <c r="I201" t="n">
        <v>1.029480619</v>
      </c>
      <c r="J201" t="n">
        <v>2.267707579</v>
      </c>
      <c r="L201" t="n">
        <v>-0.451355878</v>
      </c>
      <c r="M201" t="n">
        <v>-0.522686688</v>
      </c>
      <c r="N201" t="n">
        <v>1.255106285</v>
      </c>
      <c r="O201" t="n">
        <v>0.255192</v>
      </c>
      <c r="P201" t="n">
        <v>1.02024876</v>
      </c>
      <c r="Q201" t="n">
        <v>3.625720109</v>
      </c>
      <c r="R201" t="n">
        <v>0.386904</v>
      </c>
      <c r="S201" t="n">
        <v>1.1790249</v>
      </c>
      <c r="T201" t="n">
        <v>0.34666845</v>
      </c>
      <c r="U201" t="n">
        <v>0.496981</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-0.377610596</v>
      </c>
      <c r="AL201" t="n">
        <v>0.609659615</v>
      </c>
      <c r="AM201" t="n">
        <v>6.231666416</v>
      </c>
      <c r="AN201" t="n">
        <v>1.644745127</v>
      </c>
      <c r="AP201" t="n">
        <v>0.986904602</v>
      </c>
      <c r="AQ201" t="n">
        <v>0.499531796</v>
      </c>
      <c r="AR201" t="n">
        <v>0.913237157</v>
      </c>
      <c r="AT201" t="n">
        <v>0.645560777</v>
      </c>
      <c r="AU201" t="n">
        <v>0.46421678</v>
      </c>
    </row>
    <row r="202">
      <c r="A202" t="inlineStr">
        <is>
          <t>1997-Q2</t>
        </is>
      </c>
      <c r="B202" s="87" t="n">
        <v>35612</v>
      </c>
      <c r="C202" t="n">
        <v>1.487513881</v>
      </c>
      <c r="D202" t="n">
        <v>2.984776871</v>
      </c>
      <c r="E202" t="n">
        <v>0.297214673</v>
      </c>
      <c r="F202" t="n">
        <v>1.546782044</v>
      </c>
      <c r="G202" t="n">
        <v>0.534601144</v>
      </c>
      <c r="H202" t="n">
        <v>1.129631513</v>
      </c>
      <c r="I202" t="n">
        <v>0.264702832</v>
      </c>
      <c r="J202" t="n">
        <v>2.081233855</v>
      </c>
      <c r="L202" t="n">
        <v>-0.226835869</v>
      </c>
      <c r="M202" t="n">
        <v>1.294373116</v>
      </c>
      <c r="N202" t="n">
        <v>1.717487195</v>
      </c>
      <c r="O202" t="n">
        <v>1.218628</v>
      </c>
      <c r="P202" t="n">
        <v>0.912896259</v>
      </c>
      <c r="Q202" t="n">
        <v>4.202833637</v>
      </c>
      <c r="R202" t="n">
        <v>1.20534</v>
      </c>
      <c r="S202" t="n">
        <v>1.518402825</v>
      </c>
      <c r="T202" t="n">
        <v>1.002271674</v>
      </c>
      <c r="U202" t="n">
        <v>1.061164</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1.959355046</v>
      </c>
      <c r="AL202" t="n">
        <v>1.284014531</v>
      </c>
      <c r="AM202" t="n">
        <v>1.39468008</v>
      </c>
      <c r="AN202" t="n">
        <v>0.908618014</v>
      </c>
      <c r="AP202" t="n">
        <v>1.487198615</v>
      </c>
      <c r="AQ202" t="n">
        <v>2.302426202</v>
      </c>
      <c r="AR202" t="n">
        <v>1.162802941</v>
      </c>
      <c r="AT202" t="n">
        <v>1.661978105</v>
      </c>
      <c r="AU202" t="n">
        <v>0.627410873</v>
      </c>
    </row>
    <row r="203">
      <c r="A203" t="inlineStr">
        <is>
          <t>1997-Q3</t>
        </is>
      </c>
      <c r="B203" s="87" t="n">
        <v>35704</v>
      </c>
      <c r="C203" t="n">
        <v>2.517217344</v>
      </c>
      <c r="D203" t="n">
        <v>0.127777198</v>
      </c>
      <c r="E203" t="n">
        <v>1.224431531</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0.760439</v>
      </c>
      <c r="S203" t="n">
        <v>2.357253706</v>
      </c>
      <c r="T203" t="n">
        <v>0.983446109</v>
      </c>
      <c r="U203" t="n">
        <v>0.877987</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-0.228774057</v>
      </c>
      <c r="AL203" t="n">
        <v>0.924557351</v>
      </c>
      <c r="AM203" t="n">
        <v>0.433570456</v>
      </c>
      <c r="AN203" t="n">
        <v>1.300962327</v>
      </c>
      <c r="AP203" t="n">
        <v>1.664423983</v>
      </c>
      <c r="AQ203" t="n">
        <v>0.882965203</v>
      </c>
      <c r="AR203" t="n">
        <v>0.764730295</v>
      </c>
      <c r="AT203" t="n">
        <v>1.250778573</v>
      </c>
      <c r="AU203" t="n">
        <v>0.099423795</v>
      </c>
    </row>
    <row r="204">
      <c r="A204" t="inlineStr">
        <is>
          <t>1997-Q4</t>
        </is>
      </c>
      <c r="B204" s="87" t="n">
        <v>35796</v>
      </c>
      <c r="C204" t="n">
        <v>1.351457572</v>
      </c>
      <c r="D204" t="n">
        <v>1.454726746</v>
      </c>
      <c r="E204" t="n">
        <v>0.999488823</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1.114679</v>
      </c>
      <c r="S204" t="n">
        <v>2.946020128</v>
      </c>
      <c r="T204" t="n">
        <v>0.9852610429999999</v>
      </c>
      <c r="U204" t="n">
        <v>0.830303</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-0.174840208</v>
      </c>
      <c r="AL204" t="n">
        <v>0.942629904</v>
      </c>
      <c r="AM204" t="n">
        <v>1.711591554</v>
      </c>
      <c r="AN204" t="n">
        <v>0.672324286</v>
      </c>
      <c r="AP204" t="n">
        <v>-0.53663107</v>
      </c>
      <c r="AQ204" t="n">
        <v>0.367747668</v>
      </c>
      <c r="AR204" t="n">
        <v>2.009644745</v>
      </c>
      <c r="AT204" t="n">
        <v>0.858743563</v>
      </c>
      <c r="AU204" t="n">
        <v>0.013815329</v>
      </c>
    </row>
    <row r="205">
      <c r="A205" t="inlineStr">
        <is>
          <t>1998-Q1</t>
        </is>
      </c>
      <c r="B205" s="87" t="n">
        <v>35886</v>
      </c>
      <c r="C205" t="n">
        <v>0.5174215639999999</v>
      </c>
      <c r="D205" t="n">
        <v>0.649824525</v>
      </c>
      <c r="E205" t="n">
        <v>0.838908253</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0.689737</v>
      </c>
      <c r="S205" t="n">
        <v>-0.728759332</v>
      </c>
      <c r="T205" t="n">
        <v>0.9342757310000001</v>
      </c>
      <c r="U205" t="n">
        <v>0.46892</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-0.531181808</v>
      </c>
      <c r="AL205" t="n">
        <v>0.408304322</v>
      </c>
      <c r="AM205" t="n">
        <v>1.907511996</v>
      </c>
      <c r="AN205" t="n">
        <v>1.447666569</v>
      </c>
      <c r="AP205" t="n">
        <v>1.770298115</v>
      </c>
      <c r="AQ205" t="n">
        <v>0.612557638</v>
      </c>
      <c r="AR205" t="n">
        <v>0.428437627</v>
      </c>
      <c r="AT205" t="n">
        <v>0.999375401</v>
      </c>
      <c r="AU205" t="n">
        <v>0.262703844</v>
      </c>
    </row>
    <row r="206">
      <c r="A206" t="inlineStr">
        <is>
          <t>1998-Q2</t>
        </is>
      </c>
      <c r="B206" s="87" t="n">
        <v>35977</v>
      </c>
      <c r="C206" t="n">
        <v>1.959505358</v>
      </c>
      <c r="D206" t="n">
        <v>0.931644204</v>
      </c>
      <c r="E206" t="n">
        <v>0.990673699</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0.424108</v>
      </c>
      <c r="S206" t="n">
        <v>2.01816089</v>
      </c>
      <c r="T206" t="n">
        <v>0.8054708820000001</v>
      </c>
      <c r="U206" t="n">
        <v>0.450259</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0.525358658</v>
      </c>
      <c r="AL206" t="n">
        <v>0.456889436</v>
      </c>
      <c r="AM206" t="n">
        <v>0.034419248</v>
      </c>
      <c r="AN206" t="n">
        <v>1.535719128</v>
      </c>
      <c r="AP206" t="n">
        <v>0.009299444</v>
      </c>
      <c r="AQ206" t="n">
        <v>0.724907492</v>
      </c>
      <c r="AR206" t="n">
        <v>1.342088183</v>
      </c>
      <c r="AS206" t="n">
        <v>-0.796542956</v>
      </c>
      <c r="AT206" t="n">
        <v>0.925820507</v>
      </c>
      <c r="AU206" t="n">
        <v>0.141425317</v>
      </c>
    </row>
    <row r="207">
      <c r="A207" t="inlineStr">
        <is>
          <t>1998-Q3</t>
        </is>
      </c>
      <c r="B207" s="87" t="n">
        <v>36069</v>
      </c>
      <c r="C207" t="n">
        <v>-0.304614298</v>
      </c>
      <c r="D207" t="n">
        <v>1.903486416</v>
      </c>
      <c r="E207" t="n">
        <v>0.735845293</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0.630838</v>
      </c>
      <c r="S207" t="n">
        <v>1.256142814</v>
      </c>
      <c r="T207" t="n">
        <v>0.7388218090000001</v>
      </c>
      <c r="U207" t="n">
        <v>0.788231</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0.103374013</v>
      </c>
      <c r="AL207" t="n">
        <v>0.706610348</v>
      </c>
      <c r="AM207" t="n">
        <v>0.970780365</v>
      </c>
      <c r="AN207" t="n">
        <v>1.108503881</v>
      </c>
      <c r="AP207" t="n">
        <v>-0.825873636</v>
      </c>
      <c r="AQ207" t="n">
        <v>0.852114644</v>
      </c>
      <c r="AR207" t="n">
        <v>0.538853944</v>
      </c>
      <c r="AS207" t="n">
        <v>-1.407074898</v>
      </c>
      <c r="AT207" t="n">
        <v>1.252764553</v>
      </c>
      <c r="AU207" t="n">
        <v>-0.219033432</v>
      </c>
    </row>
    <row r="208">
      <c r="A208" t="inlineStr">
        <is>
          <t>1998-Q4</t>
        </is>
      </c>
      <c r="B208" s="87" t="n">
        <v>36161</v>
      </c>
      <c r="C208" t="n">
        <v>-2.549266052</v>
      </c>
      <c r="D208" t="n">
        <v>1.515103209</v>
      </c>
      <c r="E208" t="n">
        <v>0.358516666</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0.172407</v>
      </c>
      <c r="S208" t="n">
        <v>0.8864677480000001</v>
      </c>
      <c r="T208" t="n">
        <v>0.657275012</v>
      </c>
      <c r="U208" t="n">
        <v>0.95557</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0.998250194</v>
      </c>
      <c r="AL208" t="n">
        <v>0.842012177</v>
      </c>
      <c r="AM208" t="n">
        <v>0.328306967</v>
      </c>
      <c r="AN208" t="n">
        <v>0.753210152</v>
      </c>
      <c r="AP208" t="n">
        <v>7.555085198</v>
      </c>
      <c r="AQ208" t="n">
        <v>0.754523046</v>
      </c>
      <c r="AR208" t="n">
        <v>1.160372913</v>
      </c>
      <c r="AS208" t="n">
        <v>-0.258688159</v>
      </c>
      <c r="AT208" t="n">
        <v>1.616190702</v>
      </c>
      <c r="AU208" t="n">
        <v>0.096284366</v>
      </c>
    </row>
    <row r="209">
      <c r="A209" t="inlineStr">
        <is>
          <t>1999-Q1</t>
        </is>
      </c>
      <c r="B209" s="87" t="n">
        <v>36251</v>
      </c>
      <c r="C209" t="n">
        <v>-1.245853391</v>
      </c>
      <c r="D209" t="n">
        <v>0.7303676609999999</v>
      </c>
      <c r="E209" t="n">
        <v>0.650282284</v>
      </c>
      <c r="F209" t="n">
        <v>1.04496599</v>
      </c>
      <c r="G209" t="n">
        <v>0.177555077</v>
      </c>
      <c r="H209" t="n">
        <v>1.813816174</v>
      </c>
      <c r="I209" t="n">
        <v>0.122291445</v>
      </c>
      <c r="J209" t="n">
        <v>0.019194374</v>
      </c>
      <c r="L209" t="n">
        <v>0.020765021</v>
      </c>
      <c r="M209" t="n">
        <v>1.154631146</v>
      </c>
      <c r="N209" t="n">
        <v>0.906036323</v>
      </c>
      <c r="O209" t="n">
        <v>1.109787</v>
      </c>
      <c r="P209" t="n">
        <v>1.003493424</v>
      </c>
      <c r="Q209" t="n">
        <v>-0.757955654</v>
      </c>
      <c r="R209" t="n">
        <v>1.05476</v>
      </c>
      <c r="S209" t="n">
        <v>1.649363081</v>
      </c>
      <c r="T209" t="n">
        <v>1.066319938</v>
      </c>
      <c r="U209" t="n">
        <v>0.5918</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1.161634809</v>
      </c>
      <c r="AL209" t="n">
        <v>0.6736728279999999</v>
      </c>
      <c r="AM209" t="n">
        <v>0.816354559</v>
      </c>
      <c r="AN209" t="n">
        <v>1.32919639</v>
      </c>
      <c r="AP209" t="n">
        <v>-3.349409562</v>
      </c>
      <c r="AQ209" t="n">
        <v>1.674921815</v>
      </c>
      <c r="AR209" t="n">
        <v>1.134957473</v>
      </c>
      <c r="AS209" t="n">
        <v>-1.685820218</v>
      </c>
      <c r="AT209" t="n">
        <v>0.943826615</v>
      </c>
      <c r="AU209" t="n">
        <v>0.961068944</v>
      </c>
    </row>
    <row r="210">
      <c r="A210" t="inlineStr">
        <is>
          <t>1999-Q2</t>
        </is>
      </c>
      <c r="B210" s="87" t="n">
        <v>36342</v>
      </c>
      <c r="C210" t="n">
        <v>-1.129907359</v>
      </c>
      <c r="D210" t="n">
        <v>0.324602215</v>
      </c>
      <c r="E210" t="n">
        <v>1.31750373</v>
      </c>
      <c r="F210" t="n">
        <v>1.368173585</v>
      </c>
      <c r="G210" t="n">
        <v>0.5198562329999999</v>
      </c>
      <c r="H210" t="n">
        <v>0.836544698</v>
      </c>
      <c r="I210" t="n">
        <v>0.578946436</v>
      </c>
      <c r="J210" t="n">
        <v>0.272836528</v>
      </c>
      <c r="L210" t="n">
        <v>0.460670666</v>
      </c>
      <c r="M210" t="n">
        <v>4.88e-06</v>
      </c>
      <c r="N210" t="n">
        <v>0.516383093</v>
      </c>
      <c r="O210" t="n">
        <v>0.451776</v>
      </c>
      <c r="P210" t="n">
        <v>1.192424139</v>
      </c>
      <c r="Q210" t="n">
        <v>0.877411454</v>
      </c>
      <c r="R210" t="n">
        <v>0.493364</v>
      </c>
      <c r="S210" t="n">
        <v>0.531208499</v>
      </c>
      <c r="T210" t="n">
        <v>0.276449114</v>
      </c>
      <c r="U210" t="n">
        <v>0.565493</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0.794542085</v>
      </c>
      <c r="AL210" t="n">
        <v>0.711239845</v>
      </c>
      <c r="AM210" t="n">
        <v>2.070388561</v>
      </c>
      <c r="AN210" t="n">
        <v>0.52210511</v>
      </c>
      <c r="AP210" t="n">
        <v>-1.699650836</v>
      </c>
      <c r="AQ210" t="n">
        <v>4.245525172</v>
      </c>
      <c r="AR210" t="n">
        <v>0.640301774</v>
      </c>
      <c r="AS210" t="n">
        <v>-0.563715666</v>
      </c>
      <c r="AT210" t="n">
        <v>0.83500003</v>
      </c>
      <c r="AU210" t="n">
        <v>0.795890222</v>
      </c>
    </row>
    <row r="211">
      <c r="A211" t="inlineStr">
        <is>
          <t>1999-Q3</t>
        </is>
      </c>
      <c r="B211" s="87" t="n">
        <v>36434</v>
      </c>
      <c r="C211" t="n">
        <v>-0.288150498</v>
      </c>
      <c r="D211" t="n">
        <v>1.15815717</v>
      </c>
      <c r="E211" t="n">
        <v>1.659397974</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1.119833</v>
      </c>
      <c r="S211" t="n">
        <v>0.533205236</v>
      </c>
      <c r="T211" t="n">
        <v>1.113215008</v>
      </c>
      <c r="U211" t="n">
        <v>1.162104</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2.785437732</v>
      </c>
      <c r="AL211" t="n">
        <v>1.161096502</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7" t="n">
        <v>36526</v>
      </c>
      <c r="C212" t="n">
        <v>1.672821014</v>
      </c>
      <c r="D212" t="n">
        <v>1.697206368</v>
      </c>
      <c r="E212" t="n">
        <v>0.284132256</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1.171739</v>
      </c>
      <c r="S212" t="n">
        <v>0.8529039349999999</v>
      </c>
      <c r="T212" t="n">
        <v>1.428646183</v>
      </c>
      <c r="U212" t="n">
        <v>1.24451</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1.216769193</v>
      </c>
      <c r="AL212" t="n">
        <v>1.32733546</v>
      </c>
      <c r="AM212" t="n">
        <v>1.461199203</v>
      </c>
      <c r="AN212" t="n">
        <v>0.57433716</v>
      </c>
      <c r="AP212" t="n">
        <v>-0.452697142</v>
      </c>
      <c r="AQ212" t="n">
        <v>1.75998831</v>
      </c>
      <c r="AR212" t="n">
        <v>1.851244831</v>
      </c>
      <c r="AS212" t="n">
        <v>2.987420294</v>
      </c>
      <c r="AT212" t="n">
        <v>1.642779005</v>
      </c>
      <c r="AU212" t="n">
        <v>1.099982162</v>
      </c>
    </row>
    <row r="213">
      <c r="A213" t="inlineStr">
        <is>
          <t>2000-Q1</t>
        </is>
      </c>
      <c r="B213" s="87" t="n">
        <v>36617</v>
      </c>
      <c r="C213" t="n">
        <v>-0.340002407</v>
      </c>
      <c r="D213" t="n">
        <v>0.40178032</v>
      </c>
      <c r="E213" t="n">
        <v>0.928251437</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1.217725</v>
      </c>
      <c r="S213" t="n">
        <v>2.982422893</v>
      </c>
      <c r="T213" t="n">
        <v>1.035587904</v>
      </c>
      <c r="U213" t="n">
        <v>0.900208</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1.453815261</v>
      </c>
      <c r="AL213" t="n">
        <v>1.026682255</v>
      </c>
      <c r="AM213" t="n">
        <v>0.727396597</v>
      </c>
      <c r="AN213" t="n">
        <v>2.225468585</v>
      </c>
      <c r="AP213" t="n">
        <v>1.066049101</v>
      </c>
      <c r="AQ213" t="n">
        <v>1.08342336</v>
      </c>
      <c r="AR213" t="n">
        <v>0.713299317</v>
      </c>
      <c r="AS213" t="n">
        <v>1.574851379</v>
      </c>
      <c r="AT213" t="n">
        <v>0.364447361</v>
      </c>
      <c r="AU213" t="n">
        <v>1.168839972</v>
      </c>
    </row>
    <row r="214">
      <c r="A214" t="inlineStr">
        <is>
          <t>2000-Q2</t>
        </is>
      </c>
      <c r="B214" s="87" t="n">
        <v>36708</v>
      </c>
      <c r="C214" t="n">
        <v>-1.60889246</v>
      </c>
      <c r="D214" t="n">
        <v>0.9193603930000001</v>
      </c>
      <c r="E214" t="n">
        <v>0.7942719660000001</v>
      </c>
      <c r="F214" t="n">
        <v>0.719574385</v>
      </c>
      <c r="G214" t="n">
        <v>1.40336721</v>
      </c>
      <c r="H214" t="n">
        <v>1.188584709</v>
      </c>
      <c r="I214" t="n">
        <v>0.443327996</v>
      </c>
      <c r="J214" t="n">
        <v>0.221694277</v>
      </c>
      <c r="L214" t="n">
        <v>0.9542966859999999</v>
      </c>
      <c r="M214" t="n">
        <v>0.809332948</v>
      </c>
      <c r="N214" t="n">
        <v>1.138417342</v>
      </c>
      <c r="O214" t="n">
        <v>0.917629</v>
      </c>
      <c r="P214" t="n">
        <v>1.258317872</v>
      </c>
      <c r="Q214" t="n">
        <v>2.504249328</v>
      </c>
      <c r="R214" t="n">
        <v>0.9749060000000001</v>
      </c>
      <c r="S214" t="n">
        <v>0.770593242</v>
      </c>
      <c r="T214" t="n">
        <v>1.03145608</v>
      </c>
      <c r="U214" t="n">
        <v>1.257331</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0.042224157</v>
      </c>
      <c r="AL214" t="n">
        <v>1.259261156</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7" t="n">
        <v>36800</v>
      </c>
      <c r="C215" t="n">
        <v>-0.255185082</v>
      </c>
      <c r="D215" t="n">
        <v>0.277602022</v>
      </c>
      <c r="E215" t="n">
        <v>0.550462757</v>
      </c>
      <c r="F215" t="n">
        <v>0.463712377</v>
      </c>
      <c r="G215" t="n">
        <v>1.163773914</v>
      </c>
      <c r="H215" t="n">
        <v>1.016981788</v>
      </c>
      <c r="I215" t="n">
        <v>0.942006809</v>
      </c>
      <c r="J215" t="n">
        <v>1.55589961</v>
      </c>
      <c r="L215" t="n">
        <v>1.298622324</v>
      </c>
      <c r="M215" t="n">
        <v>-0.047224415</v>
      </c>
      <c r="N215" t="n">
        <v>0.276238214</v>
      </c>
      <c r="O215" t="n">
        <v>0.557814</v>
      </c>
      <c r="P215" t="n">
        <v>1.080112971</v>
      </c>
      <c r="Q215" t="n">
        <v>1.233840827</v>
      </c>
      <c r="R215" t="n">
        <v>0.552651</v>
      </c>
      <c r="S215" t="n">
        <v>1.565924032</v>
      </c>
      <c r="T215" t="n">
        <v>0.6939701660000001</v>
      </c>
      <c r="U215" t="n">
        <v>0.220036</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0.382494922</v>
      </c>
      <c r="AL215" t="n">
        <v>0.484022793</v>
      </c>
      <c r="AM215" t="n">
        <v>0.321144409</v>
      </c>
      <c r="AN215" t="n">
        <v>1.464864525</v>
      </c>
      <c r="AP215" t="n">
        <v>0.606449661</v>
      </c>
      <c r="AQ215" t="n">
        <v>1.169167758</v>
      </c>
      <c r="AR215" t="n">
        <v>0.800973323</v>
      </c>
      <c r="AS215" t="n">
        <v>1.489316422</v>
      </c>
      <c r="AT215" t="n">
        <v>0.099774128</v>
      </c>
      <c r="AU215" t="n">
        <v>0.990394283</v>
      </c>
    </row>
    <row r="216">
      <c r="A216" t="inlineStr">
        <is>
          <t>2000-Q4</t>
        </is>
      </c>
      <c r="B216" s="87" t="n">
        <v>36892</v>
      </c>
      <c r="C216" t="n">
        <v>0.306858135</v>
      </c>
      <c r="D216" t="n">
        <v>-0.370983354</v>
      </c>
      <c r="E216" t="n">
        <v>1.280999037</v>
      </c>
      <c r="F216" t="n">
        <v>0.977660399</v>
      </c>
      <c r="G216" t="n">
        <v>1.218583702</v>
      </c>
      <c r="H216" t="n">
        <v>0.1712074</v>
      </c>
      <c r="I216" t="n">
        <v>1.332834426</v>
      </c>
      <c r="J216" t="n">
        <v>1.173626284</v>
      </c>
      <c r="L216" t="n">
        <v>0.475647341</v>
      </c>
      <c r="M216" t="n">
        <v>-0.295305313</v>
      </c>
      <c r="N216" t="n">
        <v>0.9778001670000001</v>
      </c>
      <c r="O216" t="n">
        <v>0.683179</v>
      </c>
      <c r="P216" t="n">
        <v>1.018595501</v>
      </c>
      <c r="Q216" t="n">
        <v>2.249921227</v>
      </c>
      <c r="R216" t="n">
        <v>0.684125</v>
      </c>
      <c r="S216" t="n">
        <v>1.063064683</v>
      </c>
      <c r="T216" t="n">
        <v>0.81807316</v>
      </c>
      <c r="U216" t="n">
        <v>0.61251</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0.183949125</v>
      </c>
      <c r="AL216" t="n">
        <v>0.582429599</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7" t="n">
        <v>36982</v>
      </c>
      <c r="C217" t="n">
        <v>0.163646159</v>
      </c>
      <c r="D217" t="n">
        <v>1.035857102</v>
      </c>
      <c r="E217" t="n">
        <v>-0.216946573</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0.905222</v>
      </c>
      <c r="S217" t="n">
        <v>0.489247671</v>
      </c>
      <c r="T217" t="n">
        <v>0.492419651</v>
      </c>
      <c r="U217" t="n">
        <v>0.337679</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0.327877453</v>
      </c>
      <c r="AL217" t="n">
        <v>0.260805447</v>
      </c>
      <c r="AM217" t="n">
        <v>-0.324818696</v>
      </c>
      <c r="AN217" t="n">
        <v>-0.312683656</v>
      </c>
      <c r="AP217" t="n">
        <v>0.709739634</v>
      </c>
      <c r="AQ217" t="n">
        <v>1.266692798</v>
      </c>
      <c r="AR217" t="n">
        <v>0.350836819</v>
      </c>
      <c r="AS217" t="n">
        <v>-5.125129608</v>
      </c>
      <c r="AT217" t="n">
        <v>-0.324221003</v>
      </c>
      <c r="AU217" t="n">
        <v>0.614511833</v>
      </c>
    </row>
    <row r="218">
      <c r="A218" t="inlineStr">
        <is>
          <t>2001-Q2</t>
        </is>
      </c>
      <c r="B218" s="87" t="n">
        <v>37073</v>
      </c>
      <c r="C218" t="n">
        <v>-0.829817774</v>
      </c>
      <c r="D218" t="n">
        <v>0.81552952</v>
      </c>
      <c r="E218" t="n">
        <v>-0.086548505</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0.09944</v>
      </c>
      <c r="S218" t="n">
        <v>0.119503397</v>
      </c>
      <c r="T218" t="n">
        <v>0.129152074</v>
      </c>
      <c r="U218" t="n">
        <v>0.190714</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1.409187168</v>
      </c>
      <c r="AL218" t="n">
        <v>0.14256615</v>
      </c>
      <c r="AM218" t="n">
        <v>-0.293647183</v>
      </c>
      <c r="AN218" t="n">
        <v>0.967446145</v>
      </c>
      <c r="AP218" t="n">
        <v>1.056192818</v>
      </c>
      <c r="AQ218" t="n">
        <v>0.227136481</v>
      </c>
      <c r="AR218" t="n">
        <v>0.023382294</v>
      </c>
      <c r="AS218" t="n">
        <v>-4.844038717</v>
      </c>
      <c r="AT218" t="n">
        <v>0.621389215</v>
      </c>
      <c r="AU218" t="n">
        <v>0.499704416</v>
      </c>
    </row>
    <row r="219">
      <c r="A219" t="inlineStr">
        <is>
          <t>2001-Q3</t>
        </is>
      </c>
      <c r="B219" s="87" t="n">
        <v>37165</v>
      </c>
      <c r="C219" t="n">
        <v>-4.645878876</v>
      </c>
      <c r="D219" t="n">
        <v>1.173847231</v>
      </c>
      <c r="E219" t="n">
        <v>0.050690869</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0.143517</v>
      </c>
      <c r="S219" t="n">
        <v>0.632169934</v>
      </c>
      <c r="T219" t="n">
        <v>0.273136879</v>
      </c>
      <c r="U219" t="n">
        <v>-0.358026</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0.747653914</v>
      </c>
      <c r="AL219" t="n">
        <v>-0.09068749299999999</v>
      </c>
      <c r="AM219" t="n">
        <v>0.480016084</v>
      </c>
      <c r="AN219" t="n">
        <v>0.146341395</v>
      </c>
      <c r="AP219" t="n">
        <v>0.382926132</v>
      </c>
      <c r="AQ219" t="n">
        <v>0.599802466</v>
      </c>
      <c r="AR219" t="n">
        <v>0.382346</v>
      </c>
      <c r="AS219" t="n">
        <v>1.251785772</v>
      </c>
      <c r="AT219" t="n">
        <v>-0.400349016</v>
      </c>
      <c r="AU219" t="n">
        <v>0.265747943</v>
      </c>
    </row>
    <row r="220">
      <c r="A220" t="inlineStr">
        <is>
          <t>2001-Q4</t>
        </is>
      </c>
      <c r="B220" s="87" t="n">
        <v>37257</v>
      </c>
      <c r="C220" t="n">
        <v>-5.694872931</v>
      </c>
      <c r="D220" t="n">
        <v>1.217177551</v>
      </c>
      <c r="E220" t="n">
        <v>0.35965286</v>
      </c>
      <c r="F220" t="n">
        <v>-0.09969491</v>
      </c>
      <c r="G220" t="n">
        <v>-0.263779607</v>
      </c>
      <c r="H220" t="n">
        <v>0.608829247</v>
      </c>
      <c r="I220" t="n">
        <v>-0.318730252</v>
      </c>
      <c r="J220" t="n">
        <v>0.6246003369999999</v>
      </c>
      <c r="L220" t="n">
        <v>0.740816546</v>
      </c>
      <c r="M220" t="n">
        <v>-0.08149295300000001</v>
      </c>
      <c r="N220" t="n">
        <v>-0.197216541</v>
      </c>
      <c r="O220" t="n">
        <v>0.103997</v>
      </c>
      <c r="P220" t="n">
        <v>0.680507295</v>
      </c>
      <c r="Q220" t="n">
        <v>1.467099435</v>
      </c>
      <c r="R220" t="n">
        <v>0.139888</v>
      </c>
      <c r="S220" t="n">
        <v>-0.281151844</v>
      </c>
      <c r="T220" t="n">
        <v>-0.06566862900000001</v>
      </c>
      <c r="U220" t="n">
        <v>0.086995</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1.484211065</v>
      </c>
      <c r="AL220" t="n">
        <v>0.171339785</v>
      </c>
      <c r="AM220" t="n">
        <v>0.013797992</v>
      </c>
      <c r="AN220" t="n">
        <v>1.399039679</v>
      </c>
      <c r="AP220" t="n">
        <v>2.171562651</v>
      </c>
      <c r="AQ220" t="n">
        <v>1.0066457</v>
      </c>
      <c r="AR220" t="n">
        <v>0.842278979</v>
      </c>
      <c r="AS220" t="n">
        <v>-1.682896271</v>
      </c>
      <c r="AT220" t="n">
        <v>0.277314358</v>
      </c>
      <c r="AU220" t="n">
        <v>0.769322925</v>
      </c>
    </row>
    <row r="221">
      <c r="A221" t="inlineStr">
        <is>
          <t>2002-Q1</t>
        </is>
      </c>
      <c r="B221" s="87" t="n">
        <v>37347</v>
      </c>
      <c r="C221" t="n">
        <v>-4.931018536</v>
      </c>
      <c r="D221" t="n">
        <v>0.753058007</v>
      </c>
      <c r="E221" t="n">
        <v>0.994321005</v>
      </c>
      <c r="F221" t="n">
        <v>0.859674646</v>
      </c>
      <c r="G221" t="n">
        <v>2.427443904</v>
      </c>
      <c r="H221" t="n">
        <v>1.484226046</v>
      </c>
      <c r="I221" t="n">
        <v>0.015774073</v>
      </c>
      <c r="J221" t="n">
        <v>0.8374344339999999</v>
      </c>
      <c r="L221" t="n">
        <v>-0.196354374</v>
      </c>
      <c r="M221" t="n">
        <v>-0.512640062</v>
      </c>
      <c r="N221" t="n">
        <v>-0.033566445</v>
      </c>
      <c r="O221" t="n">
        <v>0.139552</v>
      </c>
      <c r="P221" t="n">
        <v>0.430755321</v>
      </c>
      <c r="Q221" t="n">
        <v>0.696998635</v>
      </c>
      <c r="R221" t="n">
        <v>0.176444</v>
      </c>
      <c r="S221" t="n">
        <v>0.654199432</v>
      </c>
      <c r="T221" t="n">
        <v>0.563541318</v>
      </c>
      <c r="U221" t="n">
        <v>0.509919</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0.8800242069999999</v>
      </c>
      <c r="AL221" t="n">
        <v>0.561626326</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7" t="n">
        <v>37438</v>
      </c>
      <c r="C222" t="n">
        <v>0.423986148</v>
      </c>
      <c r="D222" t="n">
        <v>1.728331961</v>
      </c>
      <c r="E222" t="n">
        <v>0.540882975</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0.553517</v>
      </c>
      <c r="S222" t="n">
        <v>0.989145658</v>
      </c>
      <c r="T222" t="n">
        <v>0.407922174</v>
      </c>
      <c r="U222" t="n">
        <v>0.585705</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1.314769915</v>
      </c>
      <c r="AL222" t="n">
        <v>0.791527044</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7" t="n">
        <v>37530</v>
      </c>
      <c r="C223" t="n">
        <v>0.074497309</v>
      </c>
      <c r="D223" t="n">
        <v>0.299598984</v>
      </c>
      <c r="E223" t="n">
        <v>0.217010146</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0.397487</v>
      </c>
      <c r="S223" t="n">
        <v>-0.234029644</v>
      </c>
      <c r="T223" t="n">
        <v>0.246322961</v>
      </c>
      <c r="U223" t="n">
        <v>0.413657</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1.194088767</v>
      </c>
      <c r="AL223" t="n">
        <v>0.498148176</v>
      </c>
      <c r="AM223" t="n">
        <v>0.943384807</v>
      </c>
      <c r="AN223" t="n">
        <v>-0.453600128</v>
      </c>
      <c r="AP223" t="n">
        <v>2.247972799</v>
      </c>
      <c r="AQ223" t="n">
        <v>1.186865661</v>
      </c>
      <c r="AR223" t="n">
        <v>0.593869732</v>
      </c>
      <c r="AS223" t="n">
        <v>1.366468032</v>
      </c>
      <c r="AT223" t="n">
        <v>0.403528704</v>
      </c>
      <c r="AU223" t="n">
        <v>1.131829481</v>
      </c>
    </row>
    <row r="224">
      <c r="A224" t="inlineStr">
        <is>
          <t>2002-Q4</t>
        </is>
      </c>
      <c r="B224" s="87" t="n">
        <v>37622</v>
      </c>
      <c r="C224" t="n">
        <v>1.019056942</v>
      </c>
      <c r="D224" t="n">
        <v>0.815406451</v>
      </c>
      <c r="E224" t="n">
        <v>-0.32179873</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0.258176</v>
      </c>
      <c r="S224" t="n">
        <v>1.138140747</v>
      </c>
      <c r="T224" t="n">
        <v>0.230087291</v>
      </c>
      <c r="U224" t="n">
        <v>0.225725</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1.370163591</v>
      </c>
      <c r="AL224" t="n">
        <v>0.348801253</v>
      </c>
      <c r="AM224" t="n">
        <v>0.529460267</v>
      </c>
      <c r="AN224" t="n">
        <v>-0.746441208</v>
      </c>
      <c r="AP224" t="n">
        <v>0.66136226</v>
      </c>
      <c r="AQ224" t="n">
        <v>1.725578702</v>
      </c>
      <c r="AR224" t="n">
        <v>0.181951737</v>
      </c>
      <c r="AS224" t="n">
        <v>2.13363529</v>
      </c>
      <c r="AT224" t="n">
        <v>0.130655767</v>
      </c>
      <c r="AU224" t="n">
        <v>0.831988659</v>
      </c>
    </row>
    <row r="225">
      <c r="A225" t="inlineStr">
        <is>
          <t>2003-Q1</t>
        </is>
      </c>
      <c r="B225" s="87" t="n">
        <v>37712</v>
      </c>
      <c r="C225" t="n">
        <v>3.695017177</v>
      </c>
      <c r="D225" t="n">
        <v>0.188630634</v>
      </c>
      <c r="E225" t="n">
        <v>0.656876129</v>
      </c>
      <c r="F225" t="n">
        <v>-0.263543192</v>
      </c>
      <c r="G225" t="n">
        <v>-0.456615207</v>
      </c>
      <c r="H225" t="n">
        <v>0.553325235</v>
      </c>
      <c r="I225" t="n">
        <v>-0.474320226</v>
      </c>
      <c r="J225" t="n">
        <v>1.421052776</v>
      </c>
      <c r="L225" t="n">
        <v>1.055680792</v>
      </c>
      <c r="M225" t="n">
        <v>-1.478778285</v>
      </c>
      <c r="N225" t="n">
        <v>0.5359057820000001</v>
      </c>
      <c r="O225" t="n">
        <v>-0.31859</v>
      </c>
      <c r="P225" t="n">
        <v>0.936732447</v>
      </c>
      <c r="Q225" t="n">
        <v>2.293806472</v>
      </c>
      <c r="R225" t="n">
        <v>-0.208639</v>
      </c>
      <c r="S225" t="n">
        <v>-0.70655442</v>
      </c>
      <c r="T225" t="n">
        <v>0.09314399299999999</v>
      </c>
      <c r="U225" t="n">
        <v>0.15347</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0.6132903629999999</v>
      </c>
      <c r="AL225" t="n">
        <v>0.203633802</v>
      </c>
      <c r="AM225" t="n">
        <v>0.392599991</v>
      </c>
      <c r="AN225" t="n">
        <v>0.105061371</v>
      </c>
      <c r="AP225" t="n">
        <v>1.77896488</v>
      </c>
      <c r="AQ225" t="n">
        <v>-0.045402369</v>
      </c>
      <c r="AR225" t="n">
        <v>1.138608968</v>
      </c>
      <c r="AS225" t="n">
        <v>0.083600699</v>
      </c>
      <c r="AT225" t="n">
        <v>0.516723187</v>
      </c>
      <c r="AU225" t="n">
        <v>0.63476228</v>
      </c>
    </row>
    <row r="226">
      <c r="A226" t="inlineStr">
        <is>
          <t>2003-Q2</t>
        </is>
      </c>
      <c r="B226" s="87" t="n">
        <v>37803</v>
      </c>
      <c r="C226" t="n">
        <v>3.164325049</v>
      </c>
      <c r="D226" t="n">
        <v>0.425839357</v>
      </c>
      <c r="E226" t="n">
        <v>0.182638246</v>
      </c>
      <c r="F226" t="n">
        <v>0.213740458</v>
      </c>
      <c r="G226" t="n">
        <v>-0.819460857</v>
      </c>
      <c r="H226" t="n">
        <v>-0.147463728</v>
      </c>
      <c r="I226" t="n">
        <v>-0.213060532</v>
      </c>
      <c r="J226" t="n">
        <v>1.058676682</v>
      </c>
      <c r="L226" t="n">
        <v>1.051891208</v>
      </c>
      <c r="M226" t="n">
        <v>0.10615703</v>
      </c>
      <c r="N226" t="n">
        <v>-0.930017583</v>
      </c>
      <c r="O226" t="n">
        <v>0.089715</v>
      </c>
      <c r="P226" t="n">
        <v>0.526951735</v>
      </c>
      <c r="Q226" t="n">
        <v>2.315752348</v>
      </c>
      <c r="R226" t="n">
        <v>0.117481</v>
      </c>
      <c r="S226" t="n">
        <v>1.438304315</v>
      </c>
      <c r="T226" t="n">
        <v>-0.204802197</v>
      </c>
      <c r="U226" t="n">
        <v>0.576628</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0.494812832</v>
      </c>
      <c r="AL226" t="n">
        <v>0.519017544</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7" t="n">
        <v>37895</v>
      </c>
      <c r="C227" t="n">
        <v>2.443638131</v>
      </c>
      <c r="D227" t="n">
        <v>1.741555908</v>
      </c>
      <c r="E227" t="n">
        <v>0.254839389</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0.587039</v>
      </c>
      <c r="S227" t="n">
        <v>1.196162047</v>
      </c>
      <c r="T227" t="n">
        <v>0.673264516</v>
      </c>
      <c r="U227" t="n">
        <v>1.054186</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2.150281868</v>
      </c>
      <c r="AL227" t="n">
        <v>1.046704175</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7" t="n">
        <v>37987</v>
      </c>
      <c r="C228" t="n">
        <v>1.87649889</v>
      </c>
      <c r="D228" t="n">
        <v>1.657213568</v>
      </c>
      <c r="E228" t="n">
        <v>0.173326756</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0.7668469999999999</v>
      </c>
      <c r="S228" t="n">
        <v>0.183308401</v>
      </c>
      <c r="T228" t="n">
        <v>0.6759792140000001</v>
      </c>
      <c r="U228" t="n">
        <v>0.952613</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1.320293399</v>
      </c>
      <c r="AL228" t="n">
        <v>1.075605689</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7" t="n">
        <v>38078</v>
      </c>
      <c r="C229" t="n">
        <v>3.210352949</v>
      </c>
      <c r="D229" t="n">
        <v>0.765730185</v>
      </c>
      <c r="E229" t="n">
        <v>0.972438013</v>
      </c>
      <c r="F229" t="n">
        <v>1.498661289</v>
      </c>
      <c r="G229" t="n">
        <v>1.37164643</v>
      </c>
      <c r="H229" t="n">
        <v>0.720267587</v>
      </c>
      <c r="I229" t="n">
        <v>0.532821434</v>
      </c>
      <c r="J229" t="n">
        <v>2.106265265</v>
      </c>
      <c r="L229" t="n">
        <v>1.065731847</v>
      </c>
      <c r="M229" t="n">
        <v>-0.174887574</v>
      </c>
      <c r="N229" t="n">
        <v>0.481617502</v>
      </c>
      <c r="O229" t="n">
        <v>0.506203</v>
      </c>
      <c r="P229" t="n">
        <v>0.60844005</v>
      </c>
      <c r="Q229" t="n">
        <v>2.319078214</v>
      </c>
      <c r="R229" t="n">
        <v>0.632613</v>
      </c>
      <c r="S229" t="n">
        <v>1.276604694</v>
      </c>
      <c r="T229" t="n">
        <v>0.973699374</v>
      </c>
      <c r="U229" t="n">
        <v>0.525685</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1.719066005</v>
      </c>
      <c r="AL229" t="n">
        <v>0.761302408</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7" t="n">
        <v>38169</v>
      </c>
      <c r="C230" t="n">
        <v>-1.047052645</v>
      </c>
      <c r="D230" t="n">
        <v>0.675671723</v>
      </c>
      <c r="E230" t="n">
        <v>0.7635943670000001</v>
      </c>
      <c r="F230" t="n">
        <v>0.961516501</v>
      </c>
      <c r="G230" t="n">
        <v>2.784337897</v>
      </c>
      <c r="H230" t="n">
        <v>1.187819015</v>
      </c>
      <c r="I230" t="n">
        <v>0.808856787</v>
      </c>
      <c r="J230" t="n">
        <v>1.922414893</v>
      </c>
      <c r="L230" t="n">
        <v>1.234532121</v>
      </c>
      <c r="M230" t="n">
        <v>0.5139600479999999</v>
      </c>
      <c r="N230" t="n">
        <v>0.595381652</v>
      </c>
      <c r="O230" t="n">
        <v>0.613202</v>
      </c>
      <c r="P230" t="n">
        <v>0.983144346</v>
      </c>
      <c r="Q230" t="n">
        <v>-0.679633921</v>
      </c>
      <c r="R230" t="n">
        <v>0.6349590000000001</v>
      </c>
      <c r="S230" t="n">
        <v>0.859723809</v>
      </c>
      <c r="T230" t="n">
        <v>0.585234351</v>
      </c>
      <c r="U230" t="n">
        <v>0.589619</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0.869859919</v>
      </c>
      <c r="AL230" t="n">
        <v>0.696276845</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7" t="n">
        <v>38261</v>
      </c>
      <c r="C231" t="n">
        <v>5.045977988</v>
      </c>
      <c r="D231" t="n">
        <v>0.765851618</v>
      </c>
      <c r="E231" t="n">
        <v>1.148264794</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0.286787</v>
      </c>
      <c r="S231" t="n">
        <v>1.085054253</v>
      </c>
      <c r="T231" t="n">
        <v>0.268751874</v>
      </c>
      <c r="U231" t="n">
        <v>0.612569</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0.30686527</v>
      </c>
      <c r="AL231" t="n">
        <v>0.6036035239999999</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7" t="n">
        <v>38353</v>
      </c>
      <c r="C232" t="n">
        <v>1.322852222</v>
      </c>
      <c r="D232" t="n">
        <v>0.746479523</v>
      </c>
      <c r="E232" t="n">
        <v>0.357587768</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0.47142</v>
      </c>
      <c r="S232" t="n">
        <v>1.505214274</v>
      </c>
      <c r="T232" t="n">
        <v>0.753854082</v>
      </c>
      <c r="U232" t="n">
        <v>0.587418</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0.36398553</v>
      </c>
      <c r="AL232" t="n">
        <v>0.695856585</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7" t="n">
        <v>38443</v>
      </c>
      <c r="C233" t="n">
        <v>2.912729904</v>
      </c>
      <c r="D233" t="n">
        <v>0.759550909</v>
      </c>
      <c r="E233" t="n">
        <v>-0.185033893</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0.238504</v>
      </c>
      <c r="S233" t="n">
        <v>0.989264573</v>
      </c>
      <c r="T233" t="n">
        <v>0.226712889</v>
      </c>
      <c r="U233" t="n">
        <v>0.690447</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1.179219046</v>
      </c>
      <c r="AL233" t="n">
        <v>0.746571188</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7" t="n">
        <v>38534</v>
      </c>
      <c r="C234" t="n">
        <v>2.192770066</v>
      </c>
      <c r="D234" t="n">
        <v>0.450761352</v>
      </c>
      <c r="E234" t="n">
        <v>1.258093482</v>
      </c>
      <c r="F234" t="n">
        <v>0.599075268</v>
      </c>
      <c r="G234" t="n">
        <v>1.167460222</v>
      </c>
      <c r="H234" t="n">
        <v>0.725522707</v>
      </c>
      <c r="I234" t="n">
        <v>1.092301309</v>
      </c>
      <c r="J234" t="n">
        <v>1.660761948</v>
      </c>
      <c r="L234" t="n">
        <v>1.527264726</v>
      </c>
      <c r="M234" t="n">
        <v>0.536190398</v>
      </c>
      <c r="N234" t="n">
        <v>1.968906957</v>
      </c>
      <c r="O234" t="n">
        <v>0.615439</v>
      </c>
      <c r="P234" t="n">
        <v>0.888808271</v>
      </c>
      <c r="Q234" t="n">
        <v>3.959927932</v>
      </c>
      <c r="R234" t="n">
        <v>0.6698229999999999</v>
      </c>
      <c r="S234" t="n">
        <v>-1.196153235</v>
      </c>
      <c r="T234" t="n">
        <v>0.27621609</v>
      </c>
      <c r="U234" t="n">
        <v>0.587203</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1.614073667</v>
      </c>
      <c r="AL234" t="n">
        <v>0.684437813</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7" t="n">
        <v>38626</v>
      </c>
      <c r="C235" t="n">
        <v>0.730894112</v>
      </c>
      <c r="D235" t="n">
        <v>1.126512054</v>
      </c>
      <c r="E235" t="n">
        <v>0.693970105</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0.778894</v>
      </c>
      <c r="S235" t="n">
        <v>1.447934682</v>
      </c>
      <c r="T235" t="n">
        <v>0.554923436</v>
      </c>
      <c r="U235" t="n">
        <v>0.8249649999999999</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0.5063948579999999</v>
      </c>
      <c r="AL235" t="n">
        <v>0.897033724</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7" t="n">
        <v>38718</v>
      </c>
      <c r="C236" t="n">
        <v>1.837032243</v>
      </c>
      <c r="D236" t="n">
        <v>0.769484568</v>
      </c>
      <c r="E236" t="n">
        <v>0.87181714</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0.693021</v>
      </c>
      <c r="S236" t="n">
        <v>0.28743607</v>
      </c>
      <c r="T236" t="n">
        <v>0.667836499</v>
      </c>
      <c r="U236" t="n">
        <v>0.532122</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-0.422022694</v>
      </c>
      <c r="AL236" t="n">
        <v>0.753913776</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7" t="n">
        <v>38808</v>
      </c>
      <c r="C237" t="n">
        <v>2.633916237</v>
      </c>
      <c r="D237" t="n">
        <v>0.103497838</v>
      </c>
      <c r="E237" t="n">
        <v>1.169092624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0.944796</v>
      </c>
      <c r="S237" t="n">
        <v>2.494514835</v>
      </c>
      <c r="T237" t="n">
        <v>0.766158484</v>
      </c>
      <c r="U237" t="n">
        <v>0.90645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1.606590698</v>
      </c>
      <c r="AL237" t="n">
        <v>1.019399698</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7" t="n">
        <v>38899</v>
      </c>
      <c r="C238" t="n">
        <v>1.287039367</v>
      </c>
      <c r="D238" t="n">
        <v>0.229233827</v>
      </c>
      <c r="E238" t="n">
        <v>0.17876743</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1.23048</v>
      </c>
      <c r="S238" t="n">
        <v>0.244923148</v>
      </c>
      <c r="T238" t="n">
        <v>1.038031757</v>
      </c>
      <c r="U238" t="n">
        <v>0.453966</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0.410725686</v>
      </c>
      <c r="AL238" t="n">
        <v>0.674872523</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7" t="n">
        <v>38991</v>
      </c>
      <c r="C239" t="n">
        <v>2.782968304</v>
      </c>
      <c r="D239" t="n">
        <v>1.489792419</v>
      </c>
      <c r="E239" t="n">
        <v>1.324560058</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0.626451</v>
      </c>
      <c r="S239" t="n">
        <v>0.950365525</v>
      </c>
      <c r="T239" t="n">
        <v>0.084148863</v>
      </c>
      <c r="U239" t="n">
        <v>0.182481</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0.61462815</v>
      </c>
      <c r="AL239" t="n">
        <v>0.37214197</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7" t="n">
        <v>39083</v>
      </c>
      <c r="C240" t="n">
        <v>2.112507363</v>
      </c>
      <c r="D240" t="n">
        <v>1.279085293</v>
      </c>
      <c r="E240" t="n">
        <v>0.860857972</v>
      </c>
      <c r="F240" t="n">
        <v>1.135413316</v>
      </c>
      <c r="G240" t="n">
        <v>1.174842205</v>
      </c>
      <c r="H240" t="n">
        <v>0.398598242</v>
      </c>
      <c r="I240" t="n">
        <v>1.285272965</v>
      </c>
      <c r="J240" t="n">
        <v>2.134831237</v>
      </c>
      <c r="L240" t="n">
        <v>1.34905802</v>
      </c>
      <c r="M240" t="n">
        <v>1.514652417</v>
      </c>
      <c r="N240" t="n">
        <v>-0.271021311</v>
      </c>
      <c r="O240" t="n">
        <v>1.173614</v>
      </c>
      <c r="P240" t="n">
        <v>0.948808227</v>
      </c>
      <c r="Q240" t="n">
        <v>2.48096435</v>
      </c>
      <c r="R240" t="n">
        <v>1.05593</v>
      </c>
      <c r="S240" t="n">
        <v>0.785150741</v>
      </c>
      <c r="T240" t="n">
        <v>0.720254101</v>
      </c>
      <c r="U240" t="n">
        <v>0.959654</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0.886819877</v>
      </c>
      <c r="AL240" t="n">
        <v>0.966521386</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7" t="n">
        <v>39173</v>
      </c>
      <c r="C241" t="n">
        <v>2.356481989</v>
      </c>
      <c r="D241" t="n">
        <v>1.385619157</v>
      </c>
      <c r="E241" t="n">
        <v>1.149872176</v>
      </c>
      <c r="F241" t="n">
        <v>1.417379597</v>
      </c>
      <c r="G241" t="n">
        <v>1.94115681</v>
      </c>
      <c r="H241" t="n">
        <v>0.639626644</v>
      </c>
      <c r="I241" t="n">
        <v>0.568101328</v>
      </c>
      <c r="J241" t="n">
        <v>1.026061307</v>
      </c>
      <c r="L241" t="n">
        <v>1.711122785</v>
      </c>
      <c r="M241" t="n">
        <v>0.062645067</v>
      </c>
      <c r="N241" t="n">
        <v>0.33129799</v>
      </c>
      <c r="O241" t="n">
        <v>0.600064</v>
      </c>
      <c r="P241" t="n">
        <v>0.9203708</v>
      </c>
      <c r="Q241" t="n">
        <v>3.3156809</v>
      </c>
      <c r="R241" t="n">
        <v>0.727997</v>
      </c>
      <c r="S241" t="n">
        <v>1.932458496</v>
      </c>
      <c r="T241" t="n">
        <v>0.725130907</v>
      </c>
      <c r="U241" t="n">
        <v>0.39101</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1.298701299</v>
      </c>
      <c r="AL241" t="n">
        <v>0.680868193</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7" t="n">
        <v>39264</v>
      </c>
      <c r="C242" t="n">
        <v>2.177428249</v>
      </c>
      <c r="D242" t="n">
        <v>0.665560937</v>
      </c>
      <c r="E242" t="n">
        <v>1.009523388</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0.718086</v>
      </c>
      <c r="S242" t="n">
        <v>1.797506864</v>
      </c>
      <c r="T242" t="n">
        <v>0.683246884</v>
      </c>
      <c r="U242" t="n">
        <v>0.5596100000000001</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0.902794954</v>
      </c>
      <c r="AL242" t="n">
        <v>0.670133215</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7" t="n">
        <v>39356</v>
      </c>
      <c r="C243" t="n">
        <v>1.334657052</v>
      </c>
      <c r="D243" t="n">
        <v>1.125923661</v>
      </c>
      <c r="E243" t="n">
        <v>0.321108654</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0.528769</v>
      </c>
      <c r="S243" t="n">
        <v>0.918417552</v>
      </c>
      <c r="T243" t="n">
        <v>0.473028525</v>
      </c>
      <c r="U243" t="n">
        <v>0.389198</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0.759897046</v>
      </c>
      <c r="AL243" t="n">
        <v>0.529213634</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7" t="n">
        <v>39448</v>
      </c>
      <c r="C244" t="n">
        <v>3.07661741</v>
      </c>
      <c r="D244" t="n">
        <v>0.409536918</v>
      </c>
      <c r="E244" t="n">
        <v>0.838187731</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0.602935</v>
      </c>
      <c r="S244" t="n">
        <v>1.319947274</v>
      </c>
      <c r="T244" t="n">
        <v>0.190598981</v>
      </c>
      <c r="U244" t="n">
        <v>0.474984</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0.20070551</v>
      </c>
      <c r="AL244" t="n">
        <v>0.708610698</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7" t="n">
        <v>39539</v>
      </c>
      <c r="C245" t="n">
        <v>0.9364904080000001</v>
      </c>
      <c r="D245" t="n">
        <v>1.004997728</v>
      </c>
      <c r="E245" t="n">
        <v>0.821378652</v>
      </c>
      <c r="F245" t="n">
        <v>0.431929904</v>
      </c>
      <c r="G245" t="n">
        <v>1.226133417</v>
      </c>
      <c r="H245" t="n">
        <v>0.07664056700000001</v>
      </c>
      <c r="I245" t="n">
        <v>0.845041325</v>
      </c>
      <c r="J245" t="n">
        <v>2.107285899</v>
      </c>
      <c r="L245" t="n">
        <v>0.470427993</v>
      </c>
      <c r="M245" t="n">
        <v>0.640153777</v>
      </c>
      <c r="N245" t="n">
        <v>-0.041561001</v>
      </c>
      <c r="O245" t="n">
        <v>0.517002</v>
      </c>
      <c r="P245" t="n">
        <v>0.221135567</v>
      </c>
      <c r="Q245" t="n">
        <v>-2.220161464</v>
      </c>
      <c r="R245" t="n">
        <v>0.563437</v>
      </c>
      <c r="S245" t="n">
        <v>-0.122968349</v>
      </c>
      <c r="T245" t="n">
        <v>0.480893903</v>
      </c>
      <c r="U245" t="n">
        <v>0.07008399999999999</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-0.455235205</v>
      </c>
      <c r="AL245" t="n">
        <v>0.183745292</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7" t="n">
        <v>39630</v>
      </c>
      <c r="C246" t="n">
        <v>0.516724849</v>
      </c>
      <c r="D246" t="n">
        <v>0.329524015</v>
      </c>
      <c r="E246" t="n">
        <v>0.802984438</v>
      </c>
      <c r="F246" t="n">
        <v>0.06348686200000001</v>
      </c>
      <c r="G246" t="n">
        <v>2.086313923</v>
      </c>
      <c r="H246" t="n">
        <v>0.361671897</v>
      </c>
      <c r="I246" t="n">
        <v>1.177505933</v>
      </c>
      <c r="J246" t="n">
        <v>0.09872054500000001</v>
      </c>
      <c r="L246" t="n">
        <v>0.72075756</v>
      </c>
      <c r="M246" t="n">
        <v>-0.243822487</v>
      </c>
      <c r="N246" t="n">
        <v>-0.922683985</v>
      </c>
      <c r="O246" t="n">
        <v>-0.337516</v>
      </c>
      <c r="P246" t="n">
        <v>0.115662067</v>
      </c>
      <c r="Q246" t="n">
        <v>1.015879371</v>
      </c>
      <c r="R246" t="n">
        <v>-0.255219</v>
      </c>
      <c r="S246" t="n">
        <v>-0.802954874</v>
      </c>
      <c r="T246" t="n">
        <v>-0.5472099580000001</v>
      </c>
      <c r="U246" t="n">
        <v>0.03922</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-0.276422764</v>
      </c>
      <c r="AL246" t="n">
        <v>0.01878784</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7" t="n">
        <v>39722</v>
      </c>
      <c r="C247" t="n">
        <v>0.776344428</v>
      </c>
      <c r="D247" t="n">
        <v>0.678659999</v>
      </c>
      <c r="E247" t="n">
        <v>-0.649154955</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-0.486087</v>
      </c>
      <c r="S247" t="n">
        <v>0.345367222</v>
      </c>
      <c r="T247" t="n">
        <v>-0.165316755</v>
      </c>
      <c r="U247" t="n">
        <v>-0.680534</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-0.395401924</v>
      </c>
      <c r="AL247" t="n">
        <v>-0.492062259</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7" t="n">
        <v>39814</v>
      </c>
      <c r="C248" t="n">
        <v>-4.652411844</v>
      </c>
      <c r="D248" t="n">
        <v>-0.414019141</v>
      </c>
      <c r="E248" t="n">
        <v>-2.256556314</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-1.842818</v>
      </c>
      <c r="S248" t="n">
        <v>-2.145738102</v>
      </c>
      <c r="T248" t="n">
        <v>-1.509564791</v>
      </c>
      <c r="U248" t="n">
        <v>-2.108958</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-0.72437078</v>
      </c>
      <c r="AL248" t="n">
        <v>-2.020500984</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7" t="n">
        <v>39904</v>
      </c>
      <c r="C249" t="n">
        <v>-3.683437435</v>
      </c>
      <c r="D249" t="n">
        <v>0.921681359</v>
      </c>
      <c r="E249" t="n">
        <v>-1.782056713</v>
      </c>
      <c r="F249" t="n">
        <v>-0.97325393</v>
      </c>
      <c r="G249" t="n">
        <v>-1.428428976</v>
      </c>
      <c r="H249" t="n">
        <v>-2.259686183</v>
      </c>
      <c r="I249" t="n">
        <v>-1.791754666</v>
      </c>
      <c r="J249" t="n">
        <v>-0.486364714</v>
      </c>
      <c r="L249" t="n">
        <v>-3.348916325</v>
      </c>
      <c r="M249" t="n">
        <v>-4.684417665</v>
      </c>
      <c r="N249" t="n">
        <v>-1.423447795</v>
      </c>
      <c r="O249" t="n">
        <v>-3.093594</v>
      </c>
      <c r="P249" t="n">
        <v>-2.600341016</v>
      </c>
      <c r="Q249" t="n">
        <v>-2.651968931</v>
      </c>
      <c r="R249" t="n">
        <v>-2.88296</v>
      </c>
      <c r="S249" t="n">
        <v>-6.477614128</v>
      </c>
      <c r="T249" t="n">
        <v>-1.706236994</v>
      </c>
      <c r="U249" t="n">
        <v>-2.305264</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-0.886305549</v>
      </c>
      <c r="AL249" t="n">
        <v>-2.325146971</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7" t="n">
        <v>39995</v>
      </c>
      <c r="C250" t="n">
        <v>-2.258320206</v>
      </c>
      <c r="D250" t="n">
        <v>0.726661383</v>
      </c>
      <c r="E250" t="n">
        <v>-0.7892558629999999</v>
      </c>
      <c r="F250" t="n">
        <v>0.047812829</v>
      </c>
      <c r="G250" t="n">
        <v>1.822778384</v>
      </c>
      <c r="H250" t="n">
        <v>-1.091258596</v>
      </c>
      <c r="I250" t="n">
        <v>0.582591717</v>
      </c>
      <c r="J250" t="n">
        <v>-0.582358636</v>
      </c>
      <c r="L250" t="n">
        <v>-0.381636029</v>
      </c>
      <c r="M250" t="n">
        <v>0.159631649</v>
      </c>
      <c r="N250" t="n">
        <v>-1.938341181</v>
      </c>
      <c r="O250" t="n">
        <v>-0.0248</v>
      </c>
      <c r="P250" t="n">
        <v>-0.004460138</v>
      </c>
      <c r="Q250" t="n">
        <v>-3.374436657</v>
      </c>
      <c r="R250" t="n">
        <v>-0.06719899999999999</v>
      </c>
      <c r="S250" t="n">
        <v>-0.436809528</v>
      </c>
      <c r="T250" t="n">
        <v>-0.013414673</v>
      </c>
      <c r="U250" t="n">
        <v>0.105677</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-0.070706651</v>
      </c>
      <c r="AL250" t="n">
        <v>0.194851569</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7" t="n">
        <v>40087</v>
      </c>
      <c r="C251" t="n">
        <v>3.963996416</v>
      </c>
      <c r="D251" t="n">
        <v>0.339594849</v>
      </c>
      <c r="E251" t="n">
        <v>0.38196109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0.386953</v>
      </c>
      <c r="S251" t="n">
        <v>0.924668988</v>
      </c>
      <c r="T251" t="n">
        <v>0.183477198</v>
      </c>
      <c r="U251" t="n">
        <v>0.314738</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0.511945392</v>
      </c>
      <c r="AL251" t="n">
        <v>0.599497209</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7" t="n">
        <v>40179</v>
      </c>
      <c r="C252" t="n">
        <v>1.91046049</v>
      </c>
      <c r="D252" t="n">
        <v>0.761815531</v>
      </c>
      <c r="E252" t="n">
        <v>0.6608544629999999</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0.428461</v>
      </c>
      <c r="S252" t="n">
        <v>-0.7719448719999999</v>
      </c>
      <c r="T252" t="n">
        <v>0.706412963</v>
      </c>
      <c r="U252" t="n">
        <v>0.935013</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1.234005549</v>
      </c>
      <c r="AL252" t="n">
        <v>0.878190518</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7" t="n">
        <v>40269</v>
      </c>
      <c r="C253" t="n">
        <v>3.000151049</v>
      </c>
      <c r="D253" t="n">
        <v>0.427130494</v>
      </c>
      <c r="E253" t="n">
        <v>-0.452801826</v>
      </c>
      <c r="F253" t="n">
        <v>0.518118543</v>
      </c>
      <c r="G253" t="n">
        <v>2.089750099</v>
      </c>
      <c r="H253" t="n">
        <v>1.206341487</v>
      </c>
      <c r="I253" t="n">
        <v>0.991605347</v>
      </c>
      <c r="J253" t="n">
        <v>0.323498697</v>
      </c>
      <c r="L253" t="n">
        <v>0.6876280769999999</v>
      </c>
      <c r="M253" t="n">
        <v>0.812025848</v>
      </c>
      <c r="N253" t="n">
        <v>0.863569079</v>
      </c>
      <c r="O253" t="n">
        <v>0.441928</v>
      </c>
      <c r="P253" t="n">
        <v>-0.022261964</v>
      </c>
      <c r="Q253" t="n">
        <v>1.378154123</v>
      </c>
      <c r="R253" t="n">
        <v>0.423407</v>
      </c>
      <c r="S253" t="n">
        <v>1.001905585</v>
      </c>
      <c r="T253" t="n">
        <v>0.345080195</v>
      </c>
      <c r="U253" t="n">
        <v>0.6525339999999999</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0.298605146</v>
      </c>
      <c r="AL253" t="n">
        <v>0.62635142</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7" t="n">
        <v>40360</v>
      </c>
      <c r="C254" t="n">
        <v>4.432905409</v>
      </c>
      <c r="D254" t="n">
        <v>0.653567264</v>
      </c>
      <c r="E254" t="n">
        <v>1.29676038</v>
      </c>
      <c r="F254" t="n">
        <v>0.985354241</v>
      </c>
      <c r="G254" t="n">
        <v>1.241186031</v>
      </c>
      <c r="H254" t="n">
        <v>0.523260909</v>
      </c>
      <c r="I254" t="n">
        <v>0.6335536430000001</v>
      </c>
      <c r="J254" t="n">
        <v>3.393417369</v>
      </c>
      <c r="L254" t="n">
        <v>1.220476124</v>
      </c>
      <c r="M254" t="n">
        <v>2.25194371</v>
      </c>
      <c r="N254" t="n">
        <v>0.683517919</v>
      </c>
      <c r="O254" t="n">
        <v>0.969781</v>
      </c>
      <c r="P254" t="n">
        <v>0.156239562</v>
      </c>
      <c r="Q254" t="n">
        <v>1.267533638</v>
      </c>
      <c r="R254" t="n">
        <v>1.001733</v>
      </c>
      <c r="S254" t="n">
        <v>2.761947367</v>
      </c>
      <c r="T254" t="n">
        <v>0.487752533</v>
      </c>
      <c r="U254" t="n">
        <v>1.068532</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0.660685155</v>
      </c>
      <c r="AL254" t="n">
        <v>1.104855662</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7" t="n">
        <v>40452</v>
      </c>
      <c r="C255" t="n">
        <v>0.612262216</v>
      </c>
      <c r="D255" t="n">
        <v>0.680313938</v>
      </c>
      <c r="E255" t="n">
        <v>0.953785684</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0.500882</v>
      </c>
      <c r="S255" t="n">
        <v>-0.410728143</v>
      </c>
      <c r="T255" t="n">
        <v>0.631288449</v>
      </c>
      <c r="U255" t="n">
        <v>0.88525</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-0.198525241</v>
      </c>
      <c r="AL255" t="n">
        <v>0.841421494</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7" t="n">
        <v>40544</v>
      </c>
      <c r="C256" t="n">
        <v>1.343380956</v>
      </c>
      <c r="D256" t="n">
        <v>0.849654202</v>
      </c>
      <c r="E256" t="n">
        <v>1.155999497</v>
      </c>
      <c r="F256" t="n">
        <v>0.505236083</v>
      </c>
      <c r="G256" t="n">
        <v>1.417526682</v>
      </c>
      <c r="H256" t="n">
        <v>1.117505154</v>
      </c>
      <c r="I256" t="n">
        <v>0.820960704</v>
      </c>
      <c r="J256" t="n">
        <v>1.189865358</v>
      </c>
      <c r="L256" t="n">
        <v>0.448272634</v>
      </c>
      <c r="M256" t="n">
        <v>0.81107565</v>
      </c>
      <c r="N256" t="n">
        <v>-0.225049653</v>
      </c>
      <c r="O256" t="n">
        <v>0.590824</v>
      </c>
      <c r="P256" t="n">
        <v>0.052271008</v>
      </c>
      <c r="Q256" t="n">
        <v>2.10112549</v>
      </c>
      <c r="R256" t="n">
        <v>0.617196</v>
      </c>
      <c r="S256" t="n">
        <v>2.100121636</v>
      </c>
      <c r="T256" t="n">
        <v>0.655104215</v>
      </c>
      <c r="U256" t="n">
        <v>0.362426</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-0.535866521</v>
      </c>
      <c r="AL256" t="n">
        <v>0.561324812</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7" t="n">
        <v>40634</v>
      </c>
      <c r="C257" t="n">
        <v>2.338642755</v>
      </c>
      <c r="D257" t="n">
        <v>-0.315390932</v>
      </c>
      <c r="E257" t="n">
        <v>0.796595907</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0.903008</v>
      </c>
      <c r="S257" t="n">
        <v>0.558440833</v>
      </c>
      <c r="T257" t="n">
        <v>1.05115393</v>
      </c>
      <c r="U257" t="n">
        <v>0.096396</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1.079547774</v>
      </c>
      <c r="AL257" t="n">
        <v>0.291737713</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7" t="n">
        <v>40725</v>
      </c>
      <c r="C258" t="n">
        <v>0.983880769</v>
      </c>
      <c r="D258" t="n">
        <v>1.276976276</v>
      </c>
      <c r="E258" t="n">
        <v>0.407926806</v>
      </c>
      <c r="F258" t="n">
        <v>0.207189998</v>
      </c>
      <c r="G258" t="n">
        <v>0.974823676</v>
      </c>
      <c r="H258" t="n">
        <v>0.19480651</v>
      </c>
      <c r="I258" t="n">
        <v>0.628587596</v>
      </c>
      <c r="J258" t="n">
        <v>1.4368042</v>
      </c>
      <c r="K258" t="n">
        <v>2.3</v>
      </c>
      <c r="L258" t="n">
        <v>0.31880308</v>
      </c>
      <c r="M258" t="n">
        <v>0.09470656600000001</v>
      </c>
      <c r="N258" t="n">
        <v>1.002326552</v>
      </c>
      <c r="O258" t="n">
        <v>-0.022478</v>
      </c>
      <c r="P258" t="n">
        <v>-0.310222499</v>
      </c>
      <c r="Q258" t="n">
        <v>1.909178879</v>
      </c>
      <c r="R258" t="n">
        <v>0.07223599999999999</v>
      </c>
      <c r="S258" t="n">
        <v>-0.174006405</v>
      </c>
      <c r="T258" t="n">
        <v>-0.099065821</v>
      </c>
      <c r="U258" t="n">
        <v>0.221439</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0.476469282</v>
      </c>
      <c r="AL258" t="n">
        <v>0.363681835</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7" t="n">
        <v>40817</v>
      </c>
      <c r="C259" t="n">
        <v>0.842071207</v>
      </c>
      <c r="D259" t="n">
        <v>1.366687941</v>
      </c>
      <c r="E259" t="n">
        <v>0.502690494</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0.204263</v>
      </c>
      <c r="S259" t="n">
        <v>0.122387672</v>
      </c>
      <c r="T259" t="n">
        <v>0.501812364</v>
      </c>
      <c r="U259" t="n">
        <v>0.5007</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1.046878454</v>
      </c>
      <c r="AL259" t="n">
        <v>0.594618668</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7" t="n">
        <v>40909</v>
      </c>
      <c r="C260" t="n">
        <v>-0.001317625</v>
      </c>
      <c r="D260" t="n">
        <v>1.079366582</v>
      </c>
      <c r="E260" t="n">
        <v>-0.03529643</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-0.369072</v>
      </c>
      <c r="S260" t="n">
        <v>0.027781379</v>
      </c>
      <c r="T260" t="n">
        <v>0.166902471</v>
      </c>
      <c r="U260" t="n">
        <v>0.471738</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0.5647470570000001</v>
      </c>
      <c r="AL260" t="n">
        <v>0.419774631</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7" t="n">
        <v>41000</v>
      </c>
      <c r="C261" t="n">
        <v>-1.084747065</v>
      </c>
      <c r="D261" t="n">
        <v>0.952626279</v>
      </c>
      <c r="E261" t="n">
        <v>0.85640715</v>
      </c>
      <c r="F261" t="n">
        <v>0.214596578</v>
      </c>
      <c r="G261" t="n">
        <v>-1.353348913</v>
      </c>
      <c r="H261" t="n">
        <v>0.064087343</v>
      </c>
      <c r="I261" t="n">
        <v>0.555154895</v>
      </c>
      <c r="J261" t="n">
        <v>2.05531398</v>
      </c>
      <c r="K261" t="n">
        <v>1.6</v>
      </c>
      <c r="L261" t="n">
        <v>-0.169658261</v>
      </c>
      <c r="M261" t="n">
        <v>0.209109421</v>
      </c>
      <c r="N261" t="n">
        <v>-0.06945702400000001</v>
      </c>
      <c r="O261" t="n">
        <v>-0.214963</v>
      </c>
      <c r="P261" t="n">
        <v>-0.931195619</v>
      </c>
      <c r="Q261" t="n">
        <v>0.593756221</v>
      </c>
      <c r="R261" t="n">
        <v>-0.182623</v>
      </c>
      <c r="S261" t="n">
        <v>-0.4369723</v>
      </c>
      <c r="T261" t="n">
        <v>0.041552165</v>
      </c>
      <c r="U261" t="n">
        <v>0.611664</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0.601123151</v>
      </c>
      <c r="AL261" t="n">
        <v>0.492110373</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7" t="n">
        <v>41091</v>
      </c>
      <c r="C262" t="n">
        <v>-3.358685172</v>
      </c>
      <c r="D262" t="n">
        <v>0.733707881</v>
      </c>
      <c r="E262" t="n">
        <v>-0.426669764</v>
      </c>
      <c r="F262" t="n">
        <v>-0.00100064</v>
      </c>
      <c r="G262" t="n">
        <v>1.767039241</v>
      </c>
      <c r="H262" t="n">
        <v>0.326163737</v>
      </c>
      <c r="I262" t="n">
        <v>0.230194151</v>
      </c>
      <c r="J262" t="n">
        <v>1.853532999</v>
      </c>
      <c r="K262" t="n">
        <v>2.3</v>
      </c>
      <c r="L262" t="n">
        <v>-0.536142129</v>
      </c>
      <c r="M262" t="n">
        <v>0.208649622</v>
      </c>
      <c r="N262" t="n">
        <v>0.075250259</v>
      </c>
      <c r="O262" t="n">
        <v>-0.263888</v>
      </c>
      <c r="P262" t="n">
        <v>-0.958602679</v>
      </c>
      <c r="Q262" t="n">
        <v>1.226167909</v>
      </c>
      <c r="R262" t="n">
        <v>-0.228233</v>
      </c>
      <c r="S262" t="n">
        <v>-1.058171539</v>
      </c>
      <c r="T262" t="n">
        <v>-0.150821386</v>
      </c>
      <c r="U262" t="n">
        <v>0.065069</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0.440286186</v>
      </c>
      <c r="AL262" t="n">
        <v>0.148051164</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7" t="n">
        <v>41183</v>
      </c>
      <c r="C263" t="n">
        <v>3.095470843</v>
      </c>
      <c r="D263" t="n">
        <v>0.578684247</v>
      </c>
      <c r="E263" t="n">
        <v>-0.227126773</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-0.108293</v>
      </c>
      <c r="S263" t="n">
        <v>-0.385316617</v>
      </c>
      <c r="T263" t="n">
        <v>0.2368739</v>
      </c>
      <c r="U263" t="n">
        <v>0.142958</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0.193737769</v>
      </c>
      <c r="AL263" t="n">
        <v>0.177420081</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7" t="n">
        <v>41275</v>
      </c>
      <c r="C264" t="n">
        <v>1.701287551</v>
      </c>
      <c r="D264" t="n">
        <v>0.481942606</v>
      </c>
      <c r="E264" t="n">
        <v>-0.073511302</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-0.416294</v>
      </c>
      <c r="S264" t="n">
        <v>-0.07736141000000001</v>
      </c>
      <c r="T264" t="n">
        <v>-0.134519018</v>
      </c>
      <c r="U264" t="n">
        <v>-0.060101</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1.437528077</v>
      </c>
      <c r="AL264" t="n">
        <v>0.047843922</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7" t="n">
        <v>41365</v>
      </c>
      <c r="C265" t="n">
        <v>-0.036290432</v>
      </c>
      <c r="D265" t="n">
        <v>0.44795946</v>
      </c>
      <c r="E265" t="n">
        <v>-0.091732044</v>
      </c>
      <c r="F265" t="n">
        <v>-0.274637479</v>
      </c>
      <c r="G265" t="n">
        <v>0.5120912480000001</v>
      </c>
      <c r="H265" t="n">
        <v>0.897004855</v>
      </c>
      <c r="I265" t="n">
        <v>0.376594586</v>
      </c>
      <c r="J265" t="n">
        <v>0.874088863</v>
      </c>
      <c r="K265" t="n">
        <v>1.8</v>
      </c>
      <c r="L265" t="n">
        <v>-0.424785783</v>
      </c>
      <c r="M265" t="n">
        <v>-0.456263233</v>
      </c>
      <c r="N265" t="n">
        <v>0.563835211</v>
      </c>
      <c r="O265" t="n">
        <v>-0.332403</v>
      </c>
      <c r="P265" t="n">
        <v>-0.307528213</v>
      </c>
      <c r="Q265" t="n">
        <v>0.479255618</v>
      </c>
      <c r="R265" t="n">
        <v>-0.250194</v>
      </c>
      <c r="S265" t="n">
        <v>-0.857299318</v>
      </c>
      <c r="T265" t="n">
        <v>0.092748128</v>
      </c>
      <c r="U265" t="n">
        <v>0.5796790000000001</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-0.182920959</v>
      </c>
      <c r="AL265" t="n">
        <v>0.574741501</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7" t="n">
        <v>41456</v>
      </c>
      <c r="C266" t="n">
        <v>0.61604704</v>
      </c>
      <c r="D266" t="n">
        <v>0.394469712</v>
      </c>
      <c r="E266" t="n">
        <v>0.047824731</v>
      </c>
      <c r="F266" t="n">
        <v>0.5838348840000001</v>
      </c>
      <c r="G266" t="n">
        <v>1.4411558</v>
      </c>
      <c r="H266" t="n">
        <v>0.580357191</v>
      </c>
      <c r="I266" t="n">
        <v>0.724574486</v>
      </c>
      <c r="J266" t="n">
        <v>0.77698986</v>
      </c>
      <c r="K266" t="n">
        <v>1.7</v>
      </c>
      <c r="L266" t="n">
        <v>0.36711851</v>
      </c>
      <c r="M266" t="n">
        <v>1.068615489</v>
      </c>
      <c r="N266" t="n">
        <v>0.07428193900000001</v>
      </c>
      <c r="O266" t="n">
        <v>0.514731</v>
      </c>
      <c r="P266" t="n">
        <v>-0.08824781199999999</v>
      </c>
      <c r="Q266" t="n">
        <v>-0.256550109</v>
      </c>
      <c r="R266" t="n">
        <v>0.500366</v>
      </c>
      <c r="S266" t="n">
        <v>0.460926042</v>
      </c>
      <c r="T266" t="n">
        <v>0.65732002</v>
      </c>
      <c r="U266" t="n">
        <v>0.438251</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1.167052469</v>
      </c>
      <c r="AL266" t="n">
        <v>0.522209935</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7" t="n">
        <v>41548</v>
      </c>
      <c r="C267" t="n">
        <v>0.543690037</v>
      </c>
      <c r="D267" t="n">
        <v>0.809111943</v>
      </c>
      <c r="E267" t="n">
        <v>0.415186744</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0.345778</v>
      </c>
      <c r="S267" t="n">
        <v>0.348848232</v>
      </c>
      <c r="T267" t="n">
        <v>-0.087236647</v>
      </c>
      <c r="U267" t="n">
        <v>0.68742</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0.56630756</v>
      </c>
      <c r="AL267" t="n">
        <v>0.707804484</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7" t="n">
        <v>41640</v>
      </c>
      <c r="C268" t="n">
        <v>-0.955356913</v>
      </c>
      <c r="D268" t="n">
        <v>0.8097901</v>
      </c>
      <c r="E268" t="n">
        <v>0.439409701</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0.341283</v>
      </c>
      <c r="S268" t="n">
        <v>-0.179485726</v>
      </c>
      <c r="T268" t="n">
        <v>0.6402126299999999</v>
      </c>
      <c r="U268" t="n">
        <v>0.491244</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0.288195366</v>
      </c>
      <c r="AL268" t="n">
        <v>0.503602568</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7" t="n">
        <v>41730</v>
      </c>
      <c r="C269" t="n">
        <v>-1.495860004</v>
      </c>
      <c r="D269" t="n">
        <v>0.754816821</v>
      </c>
      <c r="E269" t="n">
        <v>-0.165692395</v>
      </c>
      <c r="F269" t="n">
        <v>0.429826386</v>
      </c>
      <c r="G269" t="n">
        <v>0.833057567</v>
      </c>
      <c r="H269" t="n">
        <v>0.163447761</v>
      </c>
      <c r="I269" t="n">
        <v>0.516211726</v>
      </c>
      <c r="J269" t="n">
        <v>0.368691637</v>
      </c>
      <c r="K269" t="n">
        <v>1.8</v>
      </c>
      <c r="L269" t="n">
        <v>-0.5476726669999999</v>
      </c>
      <c r="M269" t="n">
        <v>0.973900086</v>
      </c>
      <c r="N269" t="n">
        <v>0.253255592</v>
      </c>
      <c r="O269" t="n">
        <v>0.414157</v>
      </c>
      <c r="P269" t="n">
        <v>0.367288312</v>
      </c>
      <c r="Q269" t="n">
        <v>1.641611766</v>
      </c>
      <c r="R269" t="n">
        <v>0.451195</v>
      </c>
      <c r="S269" t="n">
        <v>-0.772230003</v>
      </c>
      <c r="T269" t="n">
        <v>0.025536628</v>
      </c>
      <c r="U269" t="n">
        <v>0.140704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1.578628956</v>
      </c>
      <c r="AL269" t="n">
        <v>0.371283442</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7" t="n">
        <v>41821</v>
      </c>
      <c r="C270" t="n">
        <v>-0.600520003</v>
      </c>
      <c r="D270" t="n">
        <v>0.476418498</v>
      </c>
      <c r="E270" t="n">
        <v>0.497564067</v>
      </c>
      <c r="F270" t="n">
        <v>0.265272916</v>
      </c>
      <c r="G270" t="n">
        <v>-1.478083253</v>
      </c>
      <c r="H270" t="n">
        <v>0.913329104</v>
      </c>
      <c r="I270" t="n">
        <v>0.812341238</v>
      </c>
      <c r="J270" t="n">
        <v>0.628219664</v>
      </c>
      <c r="K270" t="n">
        <v>1.8</v>
      </c>
      <c r="L270" t="n">
        <v>0.934762938</v>
      </c>
      <c r="M270" t="n">
        <v>0</v>
      </c>
      <c r="N270" t="n">
        <v>-0.072441775</v>
      </c>
      <c r="O270" t="n">
        <v>0.195009</v>
      </c>
      <c r="P270" t="n">
        <v>0.471333071</v>
      </c>
      <c r="Q270" t="n">
        <v>0.408102708</v>
      </c>
      <c r="R270" t="n">
        <v>0.267975</v>
      </c>
      <c r="S270" t="n">
        <v>0.162133293</v>
      </c>
      <c r="T270" t="n">
        <v>0.08570955399999999</v>
      </c>
      <c r="U270" t="n">
        <v>0.472179</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0.416907071</v>
      </c>
      <c r="AL270" t="n">
        <v>0.480039241</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7" t="n">
        <v>41913</v>
      </c>
      <c r="C271" t="n">
        <v>-0.8592876270000001</v>
      </c>
      <c r="D271" t="n">
        <v>0.443193099</v>
      </c>
      <c r="E271" t="n">
        <v>0.025192331</v>
      </c>
      <c r="F271" t="n">
        <v>0.690442001</v>
      </c>
      <c r="G271" t="n">
        <v>-0.033011564</v>
      </c>
      <c r="H271" t="n">
        <v>0.959051308</v>
      </c>
      <c r="I271" t="n">
        <v>0.588292276</v>
      </c>
      <c r="J271" t="n">
        <v>-0.446785885</v>
      </c>
      <c r="K271" t="n">
        <v>1.8</v>
      </c>
      <c r="L271" t="n">
        <v>1.188807082</v>
      </c>
      <c r="M271" t="n">
        <v>0.508953736</v>
      </c>
      <c r="N271" t="n">
        <v>1.673875429</v>
      </c>
      <c r="O271" t="n">
        <v>0.493915</v>
      </c>
      <c r="P271" t="n">
        <v>0.734260997</v>
      </c>
      <c r="Q271" t="n">
        <v>1.340420066</v>
      </c>
      <c r="R271" t="n">
        <v>0.566111</v>
      </c>
      <c r="S271" t="n">
        <v>0.386585668</v>
      </c>
      <c r="T271" t="n">
        <v>0.570087865</v>
      </c>
      <c r="U271" t="n">
        <v>0.7907459999999999</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1.291865142</v>
      </c>
      <c r="AL271" t="n">
        <v>0.782569277</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7" t="n">
        <v>42005</v>
      </c>
      <c r="C272" t="n">
        <v>0.563930371</v>
      </c>
      <c r="D272" t="n">
        <v>0.375642287</v>
      </c>
      <c r="E272" t="n">
        <v>0.145402746</v>
      </c>
      <c r="F272" t="n">
        <v>0.522583418</v>
      </c>
      <c r="G272" t="n">
        <v>0.521248988</v>
      </c>
      <c r="H272" t="n">
        <v>0.691975668</v>
      </c>
      <c r="I272" t="n">
        <v>0.650401396</v>
      </c>
      <c r="J272" t="n">
        <v>1.180876747</v>
      </c>
      <c r="K272" t="n">
        <v>1.8</v>
      </c>
      <c r="L272" t="n">
        <v>1.146457887</v>
      </c>
      <c r="M272" t="n">
        <v>0.810214471</v>
      </c>
      <c r="N272" t="n">
        <v>0.358693362</v>
      </c>
      <c r="O272" t="n">
        <v>0.355859</v>
      </c>
      <c r="P272" t="n">
        <v>0.859167269</v>
      </c>
      <c r="Q272" t="n">
        <v>1.497656701</v>
      </c>
      <c r="R272" t="n">
        <v>0.410638</v>
      </c>
      <c r="S272" t="n">
        <v>-0.239025686</v>
      </c>
      <c r="T272" t="n">
        <v>-0.046280788</v>
      </c>
      <c r="U272" t="n">
        <v>0.427972</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1.617566331</v>
      </c>
      <c r="AL272" t="n">
        <v>0.550357383</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7" t="n">
        <v>42095</v>
      </c>
      <c r="C273" t="n">
        <v>1.474072285</v>
      </c>
      <c r="D273" t="n">
        <v>0.908579993</v>
      </c>
      <c r="E273" t="n">
        <v>0.225043463</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0.731508</v>
      </c>
      <c r="S273" t="n">
        <v>-0.777743972</v>
      </c>
      <c r="T273" t="n">
        <v>0.5427998939999999</v>
      </c>
      <c r="U273" t="n">
        <v>0.638305</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0.316922966</v>
      </c>
      <c r="AL273" t="n">
        <v>0.808822801</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7" t="n">
        <v>42186</v>
      </c>
      <c r="C274" t="n">
        <v>2.268144922</v>
      </c>
      <c r="D274" t="n">
        <v>0.085700902</v>
      </c>
      <c r="E274" t="n">
        <v>0.143871993</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0.487281</v>
      </c>
      <c r="S274" t="n">
        <v>1.521684969</v>
      </c>
      <c r="T274" t="n">
        <v>0.104493246</v>
      </c>
      <c r="U274" t="n">
        <v>0.451676</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0.802369413</v>
      </c>
      <c r="AL274" t="n">
        <v>0.544180971</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7" t="n">
        <v>42278</v>
      </c>
      <c r="C275" t="n">
        <v>-0.016367776</v>
      </c>
      <c r="D275" t="n">
        <v>1.031412574</v>
      </c>
      <c r="E275" t="n">
        <v>0.700351426</v>
      </c>
      <c r="F275" t="n">
        <v>0.191087084</v>
      </c>
      <c r="G275" t="n">
        <v>-1.588204883</v>
      </c>
      <c r="H275" t="n">
        <v>0.353701829</v>
      </c>
      <c r="I275" t="n">
        <v>0.622111981</v>
      </c>
      <c r="J275" t="n">
        <v>-0.420338875</v>
      </c>
      <c r="K275" t="n">
        <v>1.7</v>
      </c>
      <c r="L275" t="n">
        <v>1.210334064</v>
      </c>
      <c r="M275" t="n">
        <v>0.451081633</v>
      </c>
      <c r="N275" t="n">
        <v>0.301652901</v>
      </c>
      <c r="O275" t="n">
        <v>0.416819</v>
      </c>
      <c r="P275" t="n">
        <v>0.905855831</v>
      </c>
      <c r="Q275" t="n">
        <v>0.744766873</v>
      </c>
      <c r="R275" t="n">
        <v>0.5225649999999999</v>
      </c>
      <c r="S275" t="n">
        <v>-0.009438771</v>
      </c>
      <c r="T275" t="n">
        <v>0.224588034</v>
      </c>
      <c r="U275" t="n">
        <v>0.29765</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0.974054882</v>
      </c>
      <c r="AL275" t="n">
        <v>0.51116716</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7" t="n">
        <v>42370</v>
      </c>
      <c r="C276" t="n">
        <v>-1.134671823</v>
      </c>
      <c r="D276" t="n">
        <v>0.612914107</v>
      </c>
      <c r="E276" t="n">
        <v>0.156559931</v>
      </c>
      <c r="F276" t="n">
        <v>0.416906268</v>
      </c>
      <c r="G276" t="n">
        <v>-0.798475956</v>
      </c>
      <c r="H276" t="n">
        <v>0.074877376</v>
      </c>
      <c r="I276" t="n">
        <v>0.471328876</v>
      </c>
      <c r="J276" t="n">
        <v>0.786231492</v>
      </c>
      <c r="K276" t="n">
        <v>1.6</v>
      </c>
      <c r="L276" t="n">
        <v>0.59351304</v>
      </c>
      <c r="M276" t="n">
        <v>0.439079962</v>
      </c>
      <c r="N276" t="n">
        <v>0.222825124</v>
      </c>
      <c r="O276" t="n">
        <v>0.462104</v>
      </c>
      <c r="P276" t="n">
        <v>0.973057209</v>
      </c>
      <c r="Q276" t="n">
        <v>-0.185241553</v>
      </c>
      <c r="R276" t="n">
        <v>0.486482</v>
      </c>
      <c r="S276" t="n">
        <v>0.560715904</v>
      </c>
      <c r="T276" t="n">
        <v>0.188951509</v>
      </c>
      <c r="U276" t="n">
        <v>0.200778</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1.015801354</v>
      </c>
      <c r="AL276" t="n">
        <v>0.307670237</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7" t="n">
        <v>42461</v>
      </c>
      <c r="C277" t="n">
        <v>-0.87751952</v>
      </c>
      <c r="D277" t="n">
        <v>0.885019595</v>
      </c>
      <c r="E277" t="n">
        <v>0.733006406</v>
      </c>
      <c r="F277" t="n">
        <v>0.057265569</v>
      </c>
      <c r="G277" t="n">
        <v>-1.504990043</v>
      </c>
      <c r="H277" t="n">
        <v>0.54850084</v>
      </c>
      <c r="I277" t="n">
        <v>0.386789036</v>
      </c>
      <c r="J277" t="n">
        <v>1.341427486</v>
      </c>
      <c r="K277" t="n">
        <v>1.4</v>
      </c>
      <c r="L277" t="n">
        <v>0.157393173</v>
      </c>
      <c r="M277" t="n">
        <v>0.839568541</v>
      </c>
      <c r="N277" t="n">
        <v>1.152059046</v>
      </c>
      <c r="O277" t="n">
        <v>0.55583</v>
      </c>
      <c r="P277" t="n">
        <v>0.680244742</v>
      </c>
      <c r="Q277" t="n">
        <v>1.623669913</v>
      </c>
      <c r="R277" t="n">
        <v>0.503485</v>
      </c>
      <c r="S277" t="n">
        <v>1.233455365</v>
      </c>
      <c r="T277" t="n">
        <v>0.648757799</v>
      </c>
      <c r="U277" t="n">
        <v>0.6108710000000001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1.169692737</v>
      </c>
      <c r="AL277" t="n">
        <v>0.552480745</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7" t="n">
        <v>42552</v>
      </c>
      <c r="C278" t="n">
        <v>-1.67030487</v>
      </c>
      <c r="D278" t="n">
        <v>0.630757582</v>
      </c>
      <c r="E278" t="n">
        <v>0.348031013</v>
      </c>
      <c r="F278" t="n">
        <v>0.549434826</v>
      </c>
      <c r="G278" t="n">
        <v>0.349857658</v>
      </c>
      <c r="H278" t="n">
        <v>-0.491711724</v>
      </c>
      <c r="I278" t="n">
        <v>0.671791692</v>
      </c>
      <c r="J278" t="n">
        <v>-0.714488736</v>
      </c>
      <c r="K278" t="n">
        <v>1.9</v>
      </c>
      <c r="L278" t="n">
        <v>0.331402352</v>
      </c>
      <c r="M278" t="n">
        <v>0.443392669</v>
      </c>
      <c r="N278" t="n">
        <v>1.352637774</v>
      </c>
      <c r="O278" t="n">
        <v>0.233836</v>
      </c>
      <c r="P278" t="n">
        <v>0.414833758</v>
      </c>
      <c r="Q278" t="n">
        <v>-0.178401655</v>
      </c>
      <c r="R278" t="n">
        <v>0.316986</v>
      </c>
      <c r="S278" t="n">
        <v>0.155780572</v>
      </c>
      <c r="T278" t="n">
        <v>-0.322133142</v>
      </c>
      <c r="U278" t="n">
        <v>0.187383</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1.037100949</v>
      </c>
      <c r="AL278" t="n">
        <v>0.363299496</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7" t="n">
        <v>42644</v>
      </c>
      <c r="C279" t="n">
        <v>0.409252533</v>
      </c>
      <c r="D279" t="n">
        <v>0.09906805</v>
      </c>
      <c r="E279" t="n">
        <v>0.490213771</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0.484017</v>
      </c>
      <c r="S279" t="n">
        <v>1.129504129</v>
      </c>
      <c r="T279" t="n">
        <v>0.293960913</v>
      </c>
      <c r="U279" t="n">
        <v>0.486281</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0.877867159</v>
      </c>
      <c r="AL279" t="n">
        <v>0.401468663</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7" t="n">
        <v>42736</v>
      </c>
      <c r="C280" t="n">
        <v>0.577153304</v>
      </c>
      <c r="D280" t="n">
        <v>1.053592047</v>
      </c>
      <c r="E280" t="n">
        <v>0.922412041</v>
      </c>
      <c r="F280" t="n">
        <v>0.513277018</v>
      </c>
      <c r="G280" t="n">
        <v>-0.232376931</v>
      </c>
      <c r="H280" t="n">
        <v>0.561483087</v>
      </c>
      <c r="I280" t="n">
        <v>0.147049299</v>
      </c>
      <c r="J280" t="n">
        <v>-0.091803225</v>
      </c>
      <c r="K280" t="n">
        <v>1.6</v>
      </c>
      <c r="L280" t="n">
        <v>0.771382897</v>
      </c>
      <c r="M280" t="n">
        <v>0.36203717</v>
      </c>
      <c r="N280" t="n">
        <v>0.720496974</v>
      </c>
      <c r="O280" t="n">
        <v>0.757128</v>
      </c>
      <c r="P280" t="n">
        <v>0.543757017</v>
      </c>
      <c r="Q280" t="n">
        <v>1.208819618</v>
      </c>
      <c r="R280" t="n">
        <v>0.81667</v>
      </c>
      <c r="S280" t="n">
        <v>0.307602168</v>
      </c>
      <c r="T280" t="n">
        <v>0.583336903</v>
      </c>
      <c r="U280" t="n">
        <v>0.443502</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0.352154406</v>
      </c>
      <c r="AL280" t="n">
        <v>0.806376844</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7" t="n">
        <v>42826</v>
      </c>
      <c r="C281" t="n">
        <v>0.913589888</v>
      </c>
      <c r="D281" t="n">
        <v>0.314683075</v>
      </c>
      <c r="E281" t="n">
        <v>0.289428748</v>
      </c>
      <c r="F281" t="n">
        <v>0.651981383</v>
      </c>
      <c r="G281" t="n">
        <v>1.084753707</v>
      </c>
      <c r="H281" t="n">
        <v>1.08691958</v>
      </c>
      <c r="I281" t="n">
        <v>0.125245304</v>
      </c>
      <c r="J281" t="n">
        <v>-0.319666109</v>
      </c>
      <c r="K281" t="n">
        <v>1.8</v>
      </c>
      <c r="L281" t="n">
        <v>1.650204951</v>
      </c>
      <c r="M281" t="n">
        <v>1.204045529</v>
      </c>
      <c r="N281" t="n">
        <v>0.6543906269999999</v>
      </c>
      <c r="O281" t="n">
        <v>0.6829539999999999</v>
      </c>
      <c r="P281" t="n">
        <v>0.78518249</v>
      </c>
      <c r="Q281" t="n">
        <v>2.071121216</v>
      </c>
      <c r="R281" t="n">
        <v>0.765367</v>
      </c>
      <c r="S281" t="n">
        <v>1.020370911</v>
      </c>
      <c r="T281" t="n">
        <v>0.7555908649999999</v>
      </c>
      <c r="U281" t="n">
        <v>0.6514760000000001</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1.042633239</v>
      </c>
      <c r="AL281" t="n">
        <v>0.643108287</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7" t="n">
        <v>42917</v>
      </c>
      <c r="C282" t="n">
        <v>1.041197855</v>
      </c>
      <c r="D282" t="n">
        <v>0.602469197</v>
      </c>
      <c r="E282" t="n">
        <v>0.711478395</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0.846384</v>
      </c>
      <c r="S282" t="n">
        <v>1.273873841</v>
      </c>
      <c r="T282" t="n">
        <v>0.786525928</v>
      </c>
      <c r="U282" t="n">
        <v>0.56096</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1.028535172</v>
      </c>
      <c r="AL282" t="n">
        <v>0.700149511</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7" t="n">
        <v>43009</v>
      </c>
      <c r="C283" t="n">
        <v>1.268777995</v>
      </c>
      <c r="D283" t="n">
        <v>0.962068027</v>
      </c>
      <c r="E283" t="n">
        <v>0.615908004</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0.790584</v>
      </c>
      <c r="S283" t="n">
        <v>0.372894662</v>
      </c>
      <c r="T283" t="n">
        <v>0.85105654</v>
      </c>
      <c r="U283" t="n">
        <v>0.754983</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0.85114119</v>
      </c>
      <c r="AL283" t="n">
        <v>0.800184189</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7" t="n">
        <v>43101</v>
      </c>
      <c r="C284" t="n">
        <v>0.974447993</v>
      </c>
      <c r="D284" t="n">
        <v>0.478579511</v>
      </c>
      <c r="E284" t="n">
        <v>0.615180329</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0.812855</v>
      </c>
      <c r="S284" t="n">
        <v>0.647030592</v>
      </c>
      <c r="T284" t="n">
        <v>0.599842904</v>
      </c>
      <c r="U284" t="n">
        <v>0.7638509999999999</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0.860345449</v>
      </c>
      <c r="AL284" t="n">
        <v>0.814944737</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7" t="n">
        <v>43191</v>
      </c>
      <c r="C285" t="n">
        <v>-0.314413887</v>
      </c>
      <c r="D285" t="n">
        <v>0.944123547</v>
      </c>
      <c r="E285" t="n">
        <v>0.7155018869999999</v>
      </c>
      <c r="F285" t="n">
        <v>0.372646625</v>
      </c>
      <c r="G285" t="n">
        <v>0.654027688</v>
      </c>
      <c r="H285" t="n">
        <v>0.875239281</v>
      </c>
      <c r="I285" t="n">
        <v>1.113469386</v>
      </c>
      <c r="J285" t="n">
        <v>1.387383595</v>
      </c>
      <c r="K285" t="n">
        <v>1.9</v>
      </c>
      <c r="L285" t="n">
        <v>0.541692343</v>
      </c>
      <c r="M285" t="n">
        <v>-0.580238828</v>
      </c>
      <c r="N285" t="n">
        <v>0.512055136</v>
      </c>
      <c r="O285" t="n">
        <v>-0.003471</v>
      </c>
      <c r="P285" t="n">
        <v>0.427001157</v>
      </c>
      <c r="Q285" t="n">
        <v>0.687530547</v>
      </c>
      <c r="R285" t="n">
        <v>0.14577</v>
      </c>
      <c r="S285" t="n">
        <v>0.291411314</v>
      </c>
      <c r="T285" t="n">
        <v>0.081843914</v>
      </c>
      <c r="U285" t="n">
        <v>0.343258</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0.804263408</v>
      </c>
      <c r="AL285" t="n">
        <v>0.539645389</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7" t="n">
        <v>43282</v>
      </c>
      <c r="C286" t="n">
        <v>-4.562005241</v>
      </c>
      <c r="D286" t="n">
        <v>0.748154605</v>
      </c>
      <c r="E286" t="n">
        <v>0.294870339</v>
      </c>
      <c r="F286" t="n">
        <v>0.452534656</v>
      </c>
      <c r="G286" t="n">
        <v>-0.048829812</v>
      </c>
      <c r="H286" t="n">
        <v>0.785105341</v>
      </c>
      <c r="I286" t="n">
        <v>0.981808</v>
      </c>
      <c r="J286" t="n">
        <v>0.984805909</v>
      </c>
      <c r="K286" t="n">
        <v>1.7</v>
      </c>
      <c r="L286" t="n">
        <v>0.6017117870000001</v>
      </c>
      <c r="M286" t="n">
        <v>0.708886267</v>
      </c>
      <c r="N286" t="n">
        <v>0.502598831</v>
      </c>
      <c r="O286" t="n">
        <v>0.539313</v>
      </c>
      <c r="P286" t="n">
        <v>0.585880251</v>
      </c>
      <c r="Q286" t="n">
        <v>0.869805344</v>
      </c>
      <c r="R286" t="n">
        <v>0.616126</v>
      </c>
      <c r="S286" t="n">
        <v>-0.095093861</v>
      </c>
      <c r="T286" t="n">
        <v>0.431767713</v>
      </c>
      <c r="U286" t="n">
        <v>0.567812</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1.313626253</v>
      </c>
      <c r="AL286" t="n">
        <v>0.592983831</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7" t="n">
        <v>43374</v>
      </c>
      <c r="C287" t="n">
        <v>-0.231590671</v>
      </c>
      <c r="D287" t="n">
        <v>0.464173874</v>
      </c>
      <c r="E287" t="n">
        <v>0.382775862</v>
      </c>
      <c r="F287" t="n">
        <v>0.390736331</v>
      </c>
      <c r="G287" t="n">
        <v>1.016901065</v>
      </c>
      <c r="H287" t="n">
        <v>0.690122507</v>
      </c>
      <c r="I287" t="n">
        <v>-0.318907147</v>
      </c>
      <c r="J287" t="n">
        <v>-0.371028789</v>
      </c>
      <c r="K287" t="n">
        <v>1.4</v>
      </c>
      <c r="L287" t="n">
        <v>0.71256224</v>
      </c>
      <c r="M287" t="n">
        <v>-0.788365008</v>
      </c>
      <c r="N287" t="n">
        <v>0.602133078</v>
      </c>
      <c r="O287" t="n">
        <v>0.008666999999999999</v>
      </c>
      <c r="P287" t="n">
        <v>0.52041551</v>
      </c>
      <c r="Q287" t="n">
        <v>0.862930332</v>
      </c>
      <c r="R287" t="n">
        <v>0.093988</v>
      </c>
      <c r="S287" t="n">
        <v>-0.119861806</v>
      </c>
      <c r="T287" t="n">
        <v>0.383905172</v>
      </c>
      <c r="U287" t="n">
        <v>0.315865</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0.154318533</v>
      </c>
      <c r="AL287" t="n">
        <v>0.288008907</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7" t="n">
        <v>43466</v>
      </c>
      <c r="C288" t="n">
        <v>-1.417682449</v>
      </c>
      <c r="D288" t="n">
        <v>0.236249247</v>
      </c>
      <c r="E288" t="n">
        <v>1.280638558</v>
      </c>
      <c r="F288" t="n">
        <v>0.977159917</v>
      </c>
      <c r="G288" t="n">
        <v>-0.408955563</v>
      </c>
      <c r="H288" t="n">
        <v>0.340869542</v>
      </c>
      <c r="I288" t="n">
        <v>0.227327304</v>
      </c>
      <c r="J288" t="n">
        <v>1.187413119</v>
      </c>
      <c r="K288" t="n">
        <v>1.4</v>
      </c>
      <c r="L288" t="n">
        <v>0.738773543</v>
      </c>
      <c r="M288" t="n">
        <v>0.794634591</v>
      </c>
      <c r="N288" t="n">
        <v>0.499343436</v>
      </c>
      <c r="O288" t="n">
        <v>0.6466229999999999</v>
      </c>
      <c r="P288" t="n">
        <v>0.659258956</v>
      </c>
      <c r="Q288" t="n">
        <v>1.107363251</v>
      </c>
      <c r="R288" t="n">
        <v>0.685122</v>
      </c>
      <c r="S288" t="n">
        <v>-0.040590145</v>
      </c>
      <c r="T288" t="n">
        <v>0.583801254</v>
      </c>
      <c r="U288" t="n">
        <v>0.2587</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1.291419131</v>
      </c>
      <c r="AL288" t="n">
        <v>0.215399311</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7" t="n">
        <v>43556</v>
      </c>
      <c r="C289" t="n">
        <v>0.078556317</v>
      </c>
      <c r="D289" t="n">
        <v>0.510207098</v>
      </c>
      <c r="E289" t="n">
        <v>0.37462302</v>
      </c>
      <c r="F289" t="n">
        <v>0.257570673</v>
      </c>
      <c r="G289" t="n">
        <v>0.301380001</v>
      </c>
      <c r="H289" t="n">
        <v>0.07075927</v>
      </c>
      <c r="I289" t="n">
        <v>0.152124996</v>
      </c>
      <c r="J289" t="n">
        <v>-0.068093582</v>
      </c>
      <c r="K289" t="n">
        <v>1.7</v>
      </c>
      <c r="L289" t="n">
        <v>0.911971974</v>
      </c>
      <c r="M289" t="n">
        <v>0.71562698</v>
      </c>
      <c r="N289" t="n">
        <v>-0.218153226</v>
      </c>
      <c r="O289" t="n">
        <v>0.628509</v>
      </c>
      <c r="P289" t="n">
        <v>0.608861527</v>
      </c>
      <c r="Q289" t="n">
        <v>1.52625079</v>
      </c>
      <c r="R289" t="n">
        <v>0.671979</v>
      </c>
      <c r="S289" t="n">
        <v>0.769760421</v>
      </c>
      <c r="T289" t="n">
        <v>0.676134373</v>
      </c>
      <c r="U289" t="n">
        <v>0.496976</v>
      </c>
      <c r="V289" t="n">
        <v>0.630363596</v>
      </c>
      <c r="W289" t="n">
        <v>0.815928184</v>
      </c>
      <c r="X289" t="n">
        <v>1.926153881</v>
      </c>
      <c r="Y289" t="n">
        <v>1.02608</v>
      </c>
      <c r="Z289" t="n">
        <v>1.607940666</v>
      </c>
      <c r="AA289" t="n">
        <v>0.662021377</v>
      </c>
      <c r="AB289" t="n">
        <v>1.713848958</v>
      </c>
      <c r="AC289" t="n">
        <v>0.188370498</v>
      </c>
      <c r="AD289" t="n">
        <v>0.234418991</v>
      </c>
      <c r="AE289" t="n">
        <v>-0.198579317</v>
      </c>
      <c r="AF289" t="n">
        <v>0.305440693</v>
      </c>
      <c r="AG289" t="n">
        <v>0.373417191</v>
      </c>
      <c r="AH289" t="n">
        <v>0.043774499</v>
      </c>
      <c r="AI289" t="n">
        <v>0.699892649</v>
      </c>
      <c r="AJ289" t="n">
        <v>-0.443113704</v>
      </c>
      <c r="AK289" t="n">
        <v>0.633556542</v>
      </c>
      <c r="AL289" t="n">
        <v>0.551979273</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7" t="n">
        <v>43647</v>
      </c>
      <c r="C290" t="n">
        <v>0.783684064</v>
      </c>
      <c r="D290" t="n">
        <v>0.432131443</v>
      </c>
      <c r="E290" t="n">
        <v>-0.27880599</v>
      </c>
      <c r="F290" t="n">
        <v>0.545479217</v>
      </c>
      <c r="G290" t="n">
        <v>0.661687357</v>
      </c>
      <c r="H290" t="n">
        <v>0.988110124</v>
      </c>
      <c r="I290" t="n">
        <v>0.442970646</v>
      </c>
      <c r="J290" t="n">
        <v>0.878283505</v>
      </c>
      <c r="K290" t="n">
        <v>1.4</v>
      </c>
      <c r="L290" t="n">
        <v>0.673307922</v>
      </c>
      <c r="M290" t="n">
        <v>-0.167744144</v>
      </c>
      <c r="N290" t="n">
        <v>1.005162313</v>
      </c>
      <c r="O290" t="n">
        <v>0.313552</v>
      </c>
      <c r="P290" t="n">
        <v>0.346200217</v>
      </c>
      <c r="Q290" t="n">
        <v>0.166899655</v>
      </c>
      <c r="R290" t="n">
        <v>0.379495</v>
      </c>
      <c r="S290" t="n">
        <v>0.8094328710000001</v>
      </c>
      <c r="T290" t="n">
        <v>0.68779286</v>
      </c>
      <c r="U290" t="n">
        <v>0.475473</v>
      </c>
      <c r="V290" t="n">
        <v>0.109963441</v>
      </c>
      <c r="W290" t="n">
        <v>1.036455402</v>
      </c>
      <c r="X290" t="n">
        <v>0.37491612</v>
      </c>
      <c r="Y290" t="n">
        <v>1.33159</v>
      </c>
      <c r="Z290" t="n">
        <v>1.647226543</v>
      </c>
      <c r="AA290" t="n">
        <v>-0.112179031</v>
      </c>
      <c r="AB290" t="n">
        <v>0.404443614</v>
      </c>
      <c r="AC290" t="n">
        <v>0.228368346</v>
      </c>
      <c r="AD290" t="n">
        <v>0.297460226</v>
      </c>
      <c r="AE290" t="n">
        <v>1.059905534</v>
      </c>
      <c r="AF290" t="n">
        <v>1.761085703</v>
      </c>
      <c r="AG290" t="n">
        <v>0.530024575</v>
      </c>
      <c r="AH290" t="n">
        <v>-0.41153142</v>
      </c>
      <c r="AI290" t="n">
        <v>0.419470479</v>
      </c>
      <c r="AJ290" t="n">
        <v>0.859924439</v>
      </c>
      <c r="AK290" t="n">
        <v>0.610867837</v>
      </c>
      <c r="AL290" t="n">
        <v>0.5559884510000001</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7" t="n">
        <v>43739</v>
      </c>
      <c r="C291" t="n">
        <v>0.163029134</v>
      </c>
      <c r="D291" t="n">
        <v>0.732672958</v>
      </c>
      <c r="E291" t="n">
        <v>0.417883245</v>
      </c>
      <c r="F291" t="n">
        <v>0.727858351</v>
      </c>
      <c r="G291" t="n">
        <v>0.189434769</v>
      </c>
      <c r="H291" t="n">
        <v>0.374026535</v>
      </c>
      <c r="I291" t="n">
        <v>0.5621744869999999</v>
      </c>
      <c r="J291" t="n">
        <v>0.334615464</v>
      </c>
      <c r="K291" t="n">
        <v>1.3</v>
      </c>
      <c r="L291" t="n">
        <v>0.671601571</v>
      </c>
      <c r="M291" t="n">
        <v>0.112016509</v>
      </c>
      <c r="N291" t="n">
        <v>0.45731937</v>
      </c>
      <c r="O291" t="n">
        <v>0.207136</v>
      </c>
      <c r="P291" t="n">
        <v>0.295000101</v>
      </c>
      <c r="Q291" t="n">
        <v>0.294782542</v>
      </c>
      <c r="R291" t="n">
        <v>0.258107</v>
      </c>
      <c r="S291" t="n">
        <v>0.046924695</v>
      </c>
      <c r="T291" t="n">
        <v>0.021200843</v>
      </c>
      <c r="U291" t="n">
        <v>0.554864</v>
      </c>
      <c r="V291" t="n">
        <v>0.610854174</v>
      </c>
      <c r="W291" t="n">
        <v>-0.397980112</v>
      </c>
      <c r="X291" t="n">
        <v>1.426231935</v>
      </c>
      <c r="Y291" t="n">
        <v>0.42006</v>
      </c>
      <c r="Z291" t="n">
        <v>1.804044187</v>
      </c>
      <c r="AA291" t="n">
        <v>-0.405054508</v>
      </c>
      <c r="AB291" t="n">
        <v>1.16385609</v>
      </c>
      <c r="AC291" t="n">
        <v>0.07246351700000001</v>
      </c>
      <c r="AD291" t="n">
        <v>0.212840674</v>
      </c>
      <c r="AE291" t="n">
        <v>0.527437881</v>
      </c>
      <c r="AF291" t="n">
        <v>-0.009661553</v>
      </c>
      <c r="AG291" t="n">
        <v>0.077160906</v>
      </c>
      <c r="AH291" t="n">
        <v>0.243255136</v>
      </c>
      <c r="AI291" t="n">
        <v>0.39398386</v>
      </c>
      <c r="AJ291" t="n">
        <v>0.5682051420000001</v>
      </c>
      <c r="AK291" t="n">
        <v>0.926227096</v>
      </c>
      <c r="AL291" t="n">
        <v>0.534710908</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7" t="n">
        <v>43831</v>
      </c>
      <c r="C292" t="n">
        <v>-1.531483889</v>
      </c>
      <c r="D292" t="n">
        <v>0.533152967</v>
      </c>
      <c r="E292" t="n">
        <v>-0.476686519</v>
      </c>
      <c r="F292" t="n">
        <v>0.603803246</v>
      </c>
      <c r="G292" t="n">
        <v>0.531191926</v>
      </c>
      <c r="H292" t="n">
        <v>0.326868383</v>
      </c>
      <c r="I292" t="n">
        <v>0.550738638</v>
      </c>
      <c r="J292" t="n">
        <v>-3.941958839</v>
      </c>
      <c r="K292" t="n">
        <v>1.1</v>
      </c>
      <c r="L292" t="n">
        <v>0.483390672</v>
      </c>
      <c r="M292" t="n">
        <v>0.261074062</v>
      </c>
      <c r="N292" t="n">
        <v>-0.304154136</v>
      </c>
      <c r="O292" t="n">
        <v>0.015422</v>
      </c>
      <c r="P292" t="n">
        <v>0.217169436</v>
      </c>
      <c r="Q292" t="n">
        <v>1.155287463</v>
      </c>
      <c r="R292" t="n">
        <v>0.060493</v>
      </c>
      <c r="S292" t="n">
        <v>-0.258833339</v>
      </c>
      <c r="T292" t="n">
        <v>-0.268868853</v>
      </c>
      <c r="U292" t="n">
        <v>-0.155343</v>
      </c>
      <c r="V292" t="n">
        <v>-0.025112203</v>
      </c>
      <c r="W292" t="n">
        <v>-0.27085348</v>
      </c>
      <c r="X292" t="n">
        <v>0.474031107</v>
      </c>
      <c r="Y292" t="n">
        <v>0.44249</v>
      </c>
      <c r="Z292" t="n">
        <v>1.273235923</v>
      </c>
      <c r="AA292" t="n">
        <v>3.255866855</v>
      </c>
      <c r="AB292" t="n">
        <v>0.852409653</v>
      </c>
      <c r="AC292" t="n">
        <v>-0.832692422</v>
      </c>
      <c r="AD292" t="n">
        <v>-2.716787296</v>
      </c>
      <c r="AE292" t="n">
        <v>1.271115777</v>
      </c>
      <c r="AF292" t="n">
        <v>0.506468116</v>
      </c>
      <c r="AG292" t="n">
        <v>0.245704</v>
      </c>
      <c r="AH292" t="n">
        <v>-0.5043169240000001</v>
      </c>
      <c r="AI292" t="n">
        <v>0.394667928</v>
      </c>
      <c r="AJ292" t="n">
        <v>0.828953858</v>
      </c>
      <c r="AK292" t="n">
        <v>0.451190129</v>
      </c>
      <c r="AL292" t="n">
        <v>0.027621929</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7" t="n">
        <v>43922</v>
      </c>
      <c r="C293" t="n">
        <v>-4.266027871</v>
      </c>
      <c r="D293" t="n">
        <v>-0.222848529</v>
      </c>
      <c r="E293" t="n">
        <v>-2.505006332</v>
      </c>
      <c r="F293" t="n">
        <v>-2.872160024</v>
      </c>
      <c r="G293" t="n">
        <v>-2.207753821</v>
      </c>
      <c r="H293" t="n">
        <v>-2.128337649</v>
      </c>
      <c r="I293" t="n">
        <v>-1.503572156</v>
      </c>
      <c r="J293" t="n">
        <v>2.241782344</v>
      </c>
      <c r="K293" t="n">
        <v>-10.1</v>
      </c>
      <c r="L293" t="n">
        <v>-3.242594973</v>
      </c>
      <c r="M293" t="n">
        <v>-1.422765492</v>
      </c>
      <c r="N293" t="n">
        <v>-0.262165199</v>
      </c>
      <c r="O293" t="n">
        <v>-3.365601</v>
      </c>
      <c r="P293" t="n">
        <v>-5.48725517</v>
      </c>
      <c r="Q293" t="n">
        <v>0.716075654</v>
      </c>
      <c r="R293" t="n">
        <v>-2.924812</v>
      </c>
      <c r="S293" t="n">
        <v>-0.191580891</v>
      </c>
      <c r="T293" t="n">
        <v>-5.570557741</v>
      </c>
      <c r="U293" t="n">
        <v>-1.804942</v>
      </c>
      <c r="V293" t="n">
        <v>-2.640828448</v>
      </c>
      <c r="W293" t="n">
        <v>-1.940874558</v>
      </c>
      <c r="X293" t="n">
        <v>-0.536926687</v>
      </c>
      <c r="Y293" t="n">
        <v>-0.02507</v>
      </c>
      <c r="Z293" t="n">
        <v>2.633602718</v>
      </c>
      <c r="AA293" t="n">
        <v>-6.622141971</v>
      </c>
      <c r="AB293" t="n">
        <v>-1.219603247</v>
      </c>
      <c r="AC293" t="n">
        <v>-5.857064531</v>
      </c>
      <c r="AD293" t="n">
        <v>0.436289391</v>
      </c>
      <c r="AE293" t="n">
        <v>-1.337455717</v>
      </c>
      <c r="AF293" t="n">
        <v>-1.233812646</v>
      </c>
      <c r="AG293" t="n">
        <v>-0.377459034</v>
      </c>
      <c r="AH293" t="n">
        <v>-0.992249892</v>
      </c>
      <c r="AI293" t="n">
        <v>-1.479096866</v>
      </c>
      <c r="AJ293" t="n">
        <v>-1.291514575</v>
      </c>
      <c r="AK293" t="n">
        <v>-1.052631579</v>
      </c>
      <c r="AL293" t="n">
        <v>-1.629897486</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7" t="n">
        <v>44013</v>
      </c>
      <c r="C294" t="n">
        <v>-14.975655896</v>
      </c>
      <c r="D294" t="n">
        <v>-6.757576577</v>
      </c>
      <c r="E294" t="n">
        <v>-11.321361903</v>
      </c>
      <c r="F294" t="n">
        <v>-11.39783177</v>
      </c>
      <c r="G294" t="n">
        <v>-8.709255834</v>
      </c>
      <c r="H294" t="n">
        <v>-10.928273391</v>
      </c>
      <c r="I294" t="n">
        <v>-7.047209558</v>
      </c>
      <c r="J294" t="n">
        <v>-12.951958514</v>
      </c>
      <c r="K294" t="n">
        <v>11.6</v>
      </c>
      <c r="L294" t="n">
        <v>-8.848739462999999</v>
      </c>
      <c r="M294" t="n">
        <v>-9.481133512</v>
      </c>
      <c r="N294" t="n">
        <v>-6.318874335</v>
      </c>
      <c r="O294" t="n">
        <v>-11.450771</v>
      </c>
      <c r="P294" t="n">
        <v>-17.826255917</v>
      </c>
      <c r="Q294" t="n">
        <v>-6.756192745</v>
      </c>
      <c r="R294" t="n">
        <v>-11.075598</v>
      </c>
      <c r="S294" t="n">
        <v>-6.240075383</v>
      </c>
      <c r="T294" t="n">
        <v>-13.546783366</v>
      </c>
      <c r="U294" t="n">
        <v>-10.197212</v>
      </c>
      <c r="V294" t="n">
        <v>-20.991372606</v>
      </c>
      <c r="W294" t="n">
        <v>-13.354608134</v>
      </c>
      <c r="X294" t="n">
        <v>-14.358048646</v>
      </c>
      <c r="Y294" t="n">
        <v>-23.05824</v>
      </c>
      <c r="Z294" t="n">
        <v>-5.583892677</v>
      </c>
      <c r="AA294" t="n">
        <v>-6.527383101</v>
      </c>
      <c r="AB294" t="n">
        <v>-8.793838042999999</v>
      </c>
      <c r="AC294" t="n">
        <v>-12.113348632</v>
      </c>
      <c r="AD294" t="n">
        <v>-7.951718065</v>
      </c>
      <c r="AE294" t="n">
        <v>-3.026935758</v>
      </c>
      <c r="AF294" t="n">
        <v>-5.559299793</v>
      </c>
      <c r="AG294" t="n">
        <v>-7.081695933</v>
      </c>
      <c r="AH294" t="n">
        <v>-17.755667378</v>
      </c>
      <c r="AI294" t="n">
        <v>-7.90431054</v>
      </c>
      <c r="AJ294" t="n">
        <v>-5.414676326</v>
      </c>
      <c r="AK294" t="n">
        <v>-10.136491369</v>
      </c>
      <c r="AL294" t="n">
        <v>-10.325022003</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7" t="n">
        <v>44105</v>
      </c>
      <c r="C295" t="n">
        <v>11.893161342</v>
      </c>
      <c r="D295" t="n">
        <v>3.855111623</v>
      </c>
      <c r="E295" t="n">
        <v>11.302099448</v>
      </c>
      <c r="F295" t="n">
        <v>11.731267216</v>
      </c>
      <c r="G295" t="n">
        <v>8.095029471</v>
      </c>
      <c r="H295" t="n">
        <v>9.017921363999999</v>
      </c>
      <c r="I295" t="n">
        <v>7.323282517</v>
      </c>
      <c r="J295" t="n">
        <v>5.451150931</v>
      </c>
      <c r="K295" t="n">
        <v>3.2</v>
      </c>
      <c r="L295" t="n">
        <v>6.953208665</v>
      </c>
      <c r="M295" t="n">
        <v>9.004694908999999</v>
      </c>
      <c r="N295" t="n">
        <v>5.85766538</v>
      </c>
      <c r="O295" t="n">
        <v>12.351078</v>
      </c>
      <c r="P295" t="n">
        <v>16.637933629</v>
      </c>
      <c r="Q295" t="n">
        <v>4.779188032</v>
      </c>
      <c r="R295" t="n">
        <v>11.495735</v>
      </c>
      <c r="S295" t="n">
        <v>4.95430943</v>
      </c>
      <c r="T295" t="n">
        <v>18.373992991</v>
      </c>
      <c r="U295" t="n">
        <v>9.495241999999999</v>
      </c>
      <c r="V295" t="n">
        <v>16.608614293</v>
      </c>
      <c r="W295" t="n">
        <v>5.336499915</v>
      </c>
      <c r="X295" t="n">
        <v>11.938090031</v>
      </c>
      <c r="Y295" t="n">
        <v>21.39841</v>
      </c>
      <c r="Z295" t="n">
        <v>12.894430309</v>
      </c>
      <c r="AA295" t="n">
        <v>2.718803881</v>
      </c>
      <c r="AB295" t="n">
        <v>9.046341047</v>
      </c>
      <c r="AC295" t="n">
        <v>14.459447416</v>
      </c>
      <c r="AD295" t="n">
        <v>5.574679955</v>
      </c>
      <c r="AE295" t="n">
        <v>2.347785538</v>
      </c>
      <c r="AF295" t="n">
        <v>8.290337456</v>
      </c>
      <c r="AG295" t="n">
        <v>5.962102979</v>
      </c>
      <c r="AH295" t="n">
        <v>13.151112296</v>
      </c>
      <c r="AI295" t="n">
        <v>6.334224383</v>
      </c>
      <c r="AJ295" t="n">
        <v>4.434557219</v>
      </c>
      <c r="AK295" t="n">
        <v>14.144086871</v>
      </c>
      <c r="AL295" t="n">
        <v>9.463453067</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7" t="n">
        <v>44197</v>
      </c>
      <c r="C296" t="n">
        <v>4.53939723</v>
      </c>
      <c r="D296" t="n">
        <v>3.381809258</v>
      </c>
      <c r="E296" t="n">
        <v>-1.922985104</v>
      </c>
      <c r="F296" t="n">
        <v>-0.527239151</v>
      </c>
      <c r="G296" t="n">
        <v>3.206381294</v>
      </c>
      <c r="H296" t="n">
        <v>2.130500855</v>
      </c>
      <c r="I296" t="n">
        <v>0.259281928</v>
      </c>
      <c r="J296" t="n">
        <v>6.665278172</v>
      </c>
      <c r="K296" t="n">
        <v>2.4</v>
      </c>
      <c r="L296" t="n">
        <v>1.140550376</v>
      </c>
      <c r="M296" t="n">
        <v>0.621471543</v>
      </c>
      <c r="N296" t="n">
        <v>0.059704569</v>
      </c>
      <c r="O296" t="n">
        <v>-0.262431</v>
      </c>
      <c r="P296" t="n">
        <v>-0.058975087</v>
      </c>
      <c r="Q296" t="n">
        <v>2.666014032</v>
      </c>
      <c r="R296" t="n">
        <v>-0.113152</v>
      </c>
      <c r="S296" t="n">
        <v>0.700441544</v>
      </c>
      <c r="T296" t="n">
        <v>-0.915230098</v>
      </c>
      <c r="U296" t="n">
        <v>0.854456</v>
      </c>
      <c r="V296" t="n">
        <v>1.213880983</v>
      </c>
      <c r="W296" t="n">
        <v>4.111236321</v>
      </c>
      <c r="X296" t="n">
        <v>1.391931123</v>
      </c>
      <c r="Y296" t="n">
        <v>7.78787</v>
      </c>
      <c r="Z296" t="n">
        <v>-4.645891554</v>
      </c>
      <c r="AA296" t="n">
        <v>5.222104289</v>
      </c>
      <c r="AB296" t="n">
        <v>2.121365728</v>
      </c>
      <c r="AC296" t="n">
        <v>-0.786706072</v>
      </c>
      <c r="AD296" t="n">
        <v>1.926516846</v>
      </c>
      <c r="AE296" t="n">
        <v>1.213742846</v>
      </c>
      <c r="AF296" t="n">
        <v>-0.368679044</v>
      </c>
      <c r="AG296" t="n">
        <v>1.611369669</v>
      </c>
      <c r="AH296" t="n">
        <v>4.213538699</v>
      </c>
      <c r="AI296" t="n">
        <v>-0.017265811</v>
      </c>
      <c r="AJ296" t="n">
        <v>1.16899443</v>
      </c>
      <c r="AK296" t="n">
        <v>-0.555446841</v>
      </c>
      <c r="AL296" t="n">
        <v>1.021566294</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7" t="n">
        <v>44287</v>
      </c>
      <c r="C297" t="n">
        <v>3.452561206</v>
      </c>
      <c r="D297" t="n">
        <v>2.056889654</v>
      </c>
      <c r="E297" t="n">
        <v>-1.008202895</v>
      </c>
      <c r="F297" t="n">
        <v>1.364535083</v>
      </c>
      <c r="G297" t="n">
        <v>1.053491922</v>
      </c>
      <c r="H297" t="n">
        <v>1.308902555</v>
      </c>
      <c r="I297" t="n">
        <v>-0.133696121</v>
      </c>
      <c r="J297" t="n">
        <v>3.663587692</v>
      </c>
      <c r="K297" t="n">
        <v>0.9</v>
      </c>
      <c r="L297" t="n">
        <v>-0.495155357</v>
      </c>
      <c r="M297" t="n">
        <v>-1.468048603</v>
      </c>
      <c r="N297" t="n">
        <v>1.032880819</v>
      </c>
      <c r="O297" t="n">
        <v>-0.060974</v>
      </c>
      <c r="P297" t="n">
        <v>-0.228663315</v>
      </c>
      <c r="Q297" t="n">
        <v>2.614488704</v>
      </c>
      <c r="R297" t="n">
        <v>0.207334</v>
      </c>
      <c r="S297" t="n">
        <v>-0.140874833</v>
      </c>
      <c r="T297" t="n">
        <v>0.08092661199999999</v>
      </c>
      <c r="U297" t="n">
        <v>0.599406</v>
      </c>
      <c r="V297" t="n">
        <v>-1.052939341</v>
      </c>
      <c r="W297" t="n">
        <v>3.061652986</v>
      </c>
      <c r="X297" t="n">
        <v>1.117595444</v>
      </c>
      <c r="Y297" t="n">
        <v>0.75983</v>
      </c>
      <c r="Z297" t="n">
        <v>8.942287682</v>
      </c>
      <c r="AA297" t="n">
        <v>-3.83936637</v>
      </c>
      <c r="AB297" t="n">
        <v>-0.232266237</v>
      </c>
      <c r="AC297" t="n">
        <v>0.266741006</v>
      </c>
      <c r="AD297" t="n">
        <v>-0.141901457</v>
      </c>
      <c r="AE297" t="n">
        <v>1.724067239</v>
      </c>
      <c r="AF297" t="n">
        <v>2.021735062</v>
      </c>
      <c r="AG297" t="n">
        <v>-0.698419349</v>
      </c>
      <c r="AH297" t="n">
        <v>0.450530388</v>
      </c>
      <c r="AI297" t="n">
        <v>0.00471462</v>
      </c>
      <c r="AJ297" t="n">
        <v>-0.52154226</v>
      </c>
      <c r="AK297" t="n">
        <v>2.084342456</v>
      </c>
      <c r="AL297" t="n">
        <v>0.847962292</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7" t="n">
        <v>44378</v>
      </c>
      <c r="C298" t="n">
        <v>-0.787434564</v>
      </c>
      <c r="D298" t="n">
        <v>0.644644009</v>
      </c>
      <c r="E298" t="n">
        <v>4.110186512</v>
      </c>
      <c r="F298" t="n">
        <v>1.727122043</v>
      </c>
      <c r="G298" t="n">
        <v>-0.264462894</v>
      </c>
      <c r="H298" t="n">
        <v>-0.588596311</v>
      </c>
      <c r="I298" t="n">
        <v>2.013748831</v>
      </c>
      <c r="J298" t="n">
        <v>1.348715839</v>
      </c>
      <c r="K298" t="n">
        <v>1.6</v>
      </c>
      <c r="L298" t="n">
        <v>1.389823598</v>
      </c>
      <c r="M298" t="n">
        <v>1.928643933</v>
      </c>
      <c r="N298" t="n">
        <v>1.854130825</v>
      </c>
      <c r="O298" t="n">
        <v>1.985673</v>
      </c>
      <c r="P298" t="n">
        <v>1.352205559</v>
      </c>
      <c r="Q298" t="n">
        <v>2.85217311</v>
      </c>
      <c r="R298" t="n">
        <v>1.933016</v>
      </c>
      <c r="S298" t="n">
        <v>1.527121394</v>
      </c>
      <c r="T298" t="n">
        <v>1.075591336</v>
      </c>
      <c r="U298" t="n">
        <v>1.806265</v>
      </c>
      <c r="V298" t="n">
        <v>6.52844295</v>
      </c>
      <c r="W298" t="n">
        <v>1.322874174</v>
      </c>
      <c r="X298" t="n">
        <v>2.363956069</v>
      </c>
      <c r="Y298" t="n">
        <v>-8.64884</v>
      </c>
      <c r="Z298" t="n">
        <v>1.931800848</v>
      </c>
      <c r="AA298" t="n">
        <v>4.790280489</v>
      </c>
      <c r="AB298" t="n">
        <v>3.823906466</v>
      </c>
      <c r="AC298" t="n">
        <v>2.469963441</v>
      </c>
      <c r="AD298" t="n">
        <v>0.325515249</v>
      </c>
      <c r="AE298" t="n">
        <v>0.833347929</v>
      </c>
      <c r="AF298" t="n">
        <v>0.581737437</v>
      </c>
      <c r="AG298" t="n">
        <v>2.244875781</v>
      </c>
      <c r="AH298" t="n">
        <v>0.727704765</v>
      </c>
      <c r="AI298" t="n">
        <v>3.72007903</v>
      </c>
      <c r="AJ298" t="n">
        <v>1.310404971</v>
      </c>
      <c r="AK298" t="n">
        <v>2.370961285</v>
      </c>
      <c r="AL298" t="n">
        <v>1.712703568</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7" t="n">
        <v>44470</v>
      </c>
      <c r="C299" t="n">
        <v>3.862045315</v>
      </c>
      <c r="D299" t="n">
        <v>-1.934133492</v>
      </c>
      <c r="E299" t="n">
        <v>4.314871365</v>
      </c>
      <c r="F299" t="n">
        <v>2.32344601</v>
      </c>
      <c r="G299" t="n">
        <v>0.444978639</v>
      </c>
      <c r="H299" t="n">
        <v>1.430867107</v>
      </c>
      <c r="I299" t="n">
        <v>1.799396215</v>
      </c>
      <c r="J299" t="n">
        <v>4.611339688</v>
      </c>
      <c r="K299" t="n">
        <v>0.3</v>
      </c>
      <c r="L299" t="n">
        <v>1.697764004</v>
      </c>
      <c r="M299" t="n">
        <v>0.7852368749999999</v>
      </c>
      <c r="N299" t="n">
        <v>0.903181392</v>
      </c>
      <c r="O299" t="n">
        <v>2.249598</v>
      </c>
      <c r="P299" t="n">
        <v>3.108188446</v>
      </c>
      <c r="Q299" t="n">
        <v>0.710336729</v>
      </c>
      <c r="R299" t="n">
        <v>2.164898</v>
      </c>
      <c r="S299" t="n">
        <v>0.95876611</v>
      </c>
      <c r="T299" t="n">
        <v>3.311189958</v>
      </c>
      <c r="U299" t="n">
        <v>0.989219</v>
      </c>
      <c r="V299" t="n">
        <v>1.733513287</v>
      </c>
      <c r="W299" t="n">
        <v>3.58576804</v>
      </c>
      <c r="X299" t="n">
        <v>1.703832693</v>
      </c>
      <c r="Y299" t="n">
        <v>8.68774</v>
      </c>
      <c r="Z299" t="n">
        <v>3.797418637</v>
      </c>
      <c r="AA299" t="n">
        <v>0.928051349</v>
      </c>
      <c r="AB299" t="n">
        <v>2.286499818</v>
      </c>
      <c r="AC299" t="n">
        <v>2.790192314</v>
      </c>
      <c r="AD299" t="n">
        <v>-0.451389152</v>
      </c>
      <c r="AE299" t="n">
        <v>0.213238983</v>
      </c>
      <c r="AF299" t="n">
        <v>-0.194103088</v>
      </c>
      <c r="AG299" t="n">
        <v>1.364212166</v>
      </c>
      <c r="AH299" t="n">
        <v>-1.054308885</v>
      </c>
      <c r="AI299" t="n">
        <v>1.777871783</v>
      </c>
      <c r="AJ299" t="n">
        <v>3.445896573</v>
      </c>
      <c r="AK299" t="n">
        <v>-3.883256083</v>
      </c>
      <c r="AL299" t="n">
        <v>1.204884699</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7" t="n">
        <v>44562</v>
      </c>
      <c r="C300" t="n">
        <v>1.961825186</v>
      </c>
      <c r="D300" t="n">
        <v>3.819640031</v>
      </c>
      <c r="E300" t="n">
        <v>-1.354653939</v>
      </c>
      <c r="F300" t="n">
        <v>0.57009132</v>
      </c>
      <c r="G300" t="n">
        <v>0.857293622</v>
      </c>
      <c r="H300" t="n">
        <v>1.671567869</v>
      </c>
      <c r="I300" t="n">
        <v>0.087540647</v>
      </c>
      <c r="J300" t="n">
        <v>1.692121555</v>
      </c>
      <c r="K300" t="n">
        <v>1.5</v>
      </c>
      <c r="L300" t="n">
        <v>0.849939884</v>
      </c>
      <c r="M300" t="n">
        <v>-0.02815511</v>
      </c>
      <c r="N300" t="n">
        <v>2.604693961</v>
      </c>
      <c r="O300" t="n">
        <v>0.535778</v>
      </c>
      <c r="P300" t="n">
        <v>2.26529089</v>
      </c>
      <c r="Q300" t="n">
        <v>0.829825344</v>
      </c>
      <c r="R300" t="n">
        <v>0.683862</v>
      </c>
      <c r="S300" t="n">
        <v>0.614182982</v>
      </c>
      <c r="T300" t="n">
        <v>0.566292752</v>
      </c>
      <c r="U300" t="n">
        <v>1.292572</v>
      </c>
      <c r="V300" t="n">
        <v>1.525013404</v>
      </c>
      <c r="W300" t="n">
        <v>0.577293486</v>
      </c>
      <c r="X300" t="n">
        <v>2.057879554</v>
      </c>
      <c r="Y300" t="n">
        <v>4.98936</v>
      </c>
      <c r="Z300" t="n">
        <v>-1.105441684</v>
      </c>
      <c r="AA300" t="n">
        <v>3.17478232</v>
      </c>
      <c r="AB300" t="n">
        <v>4.325885786</v>
      </c>
      <c r="AC300" t="n">
        <v>0.903200398</v>
      </c>
      <c r="AD300" t="n">
        <v>1.204341548</v>
      </c>
      <c r="AE300" t="n">
        <v>1.33777574</v>
      </c>
      <c r="AF300" t="n">
        <v>1.633183727</v>
      </c>
      <c r="AG300" t="n">
        <v>-0.431814241</v>
      </c>
      <c r="AH300" t="n">
        <v>0.989264132</v>
      </c>
      <c r="AI300" t="n">
        <v>0.605223704</v>
      </c>
      <c r="AJ300" t="n">
        <v>0.371447629</v>
      </c>
      <c r="AK300" t="n">
        <v>2.857185913</v>
      </c>
      <c r="AL300" t="n">
        <v>1.355867564</v>
      </c>
      <c r="AM300" t="n">
        <v>1.634625676</v>
      </c>
      <c r="AN300" t="n">
        <v>1.938733959</v>
      </c>
      <c r="AP300" t="n">
        <v>0.320823684</v>
      </c>
      <c r="AQ300" t="n">
        <v>5.160503825</v>
      </c>
      <c r="AR300" t="n">
        <v>1.316138112</v>
      </c>
      <c r="AS300" t="n">
        <v>1.575638393</v>
      </c>
      <c r="AT300" t="n">
        <v>1.69569402</v>
      </c>
      <c r="AU300" t="n">
        <v>1.369403562</v>
      </c>
    </row>
    <row r="301">
      <c r="A301" t="inlineStr">
        <is>
          <t>2022-Q1</t>
        </is>
      </c>
      <c r="B301" s="87" t="n">
        <v>44652</v>
      </c>
      <c r="C301" t="n">
        <v>1.039519439</v>
      </c>
      <c r="D301" t="n">
        <v>0.43774337</v>
      </c>
      <c r="E301" t="n">
        <v>1.230730659</v>
      </c>
      <c r="F301" t="n">
        <v>0.567734486</v>
      </c>
      <c r="G301" t="n">
        <v>1.349037114</v>
      </c>
      <c r="H301" t="n">
        <v>0.6820939029999999</v>
      </c>
      <c r="I301" t="n">
        <v>0.310349846</v>
      </c>
      <c r="J301" t="n">
        <v>-0.686220584</v>
      </c>
      <c r="K301" t="n">
        <v>1.3</v>
      </c>
      <c r="L301" t="n">
        <v>0.614937904</v>
      </c>
      <c r="M301" t="n">
        <v>0.800505021</v>
      </c>
      <c r="N301" t="n">
        <v>-0.48750227</v>
      </c>
      <c r="O301" t="n">
        <v>0.635638</v>
      </c>
      <c r="P301" t="n">
        <v>-0.011760433</v>
      </c>
      <c r="Q301" t="n">
        <v>0.013246175</v>
      </c>
      <c r="R301" t="n">
        <v>0.7599630000000001</v>
      </c>
      <c r="S301" t="n">
        <v>-0.003419797</v>
      </c>
      <c r="T301" t="n">
        <v>-0.234084462</v>
      </c>
      <c r="U301" t="n">
        <v>-0.109517</v>
      </c>
      <c r="V301" t="n">
        <v>0.6183976450000001</v>
      </c>
      <c r="W301" t="n">
        <v>2.179143768</v>
      </c>
      <c r="X301" t="n">
        <v>1.582497673</v>
      </c>
      <c r="Y301" t="n">
        <v>-0.07691000000000001</v>
      </c>
      <c r="Z301" t="n">
        <v>6.971280765</v>
      </c>
      <c r="AA301" t="n">
        <v>-1.014782712</v>
      </c>
      <c r="AB301" t="n">
        <v>-0.8406892419999999</v>
      </c>
      <c r="AC301" t="n">
        <v>0.129662603</v>
      </c>
      <c r="AD301" t="n">
        <v>-0.450097233</v>
      </c>
      <c r="AE301" t="n">
        <v>0.633967885</v>
      </c>
      <c r="AF301" t="n">
        <v>0.745967202</v>
      </c>
      <c r="AG301" t="n">
        <v>1.782897748</v>
      </c>
      <c r="AH301" t="n">
        <v>1.225600174</v>
      </c>
      <c r="AI301" t="n">
        <v>0.319872618</v>
      </c>
      <c r="AJ301" t="n">
        <v>-0.721734953</v>
      </c>
      <c r="AK301" t="n">
        <v>-0.43952824</v>
      </c>
      <c r="AL301" t="n">
        <v>0.23591897</v>
      </c>
      <c r="AM301" t="n">
        <v>4.255502011</v>
      </c>
      <c r="AN301" t="n">
        <v>2.355813626</v>
      </c>
      <c r="AP301" t="n">
        <v>0.320997031</v>
      </c>
      <c r="AQ301" t="n">
        <v>-0.052864959</v>
      </c>
      <c r="AR301" t="n">
        <v>-0.074566434</v>
      </c>
      <c r="AS301" t="n">
        <v>0.589413802</v>
      </c>
      <c r="AT301" t="n">
        <v>-0.410338185</v>
      </c>
      <c r="AU301" t="n">
        <v>1.74312424</v>
      </c>
    </row>
    <row r="302">
      <c r="A302" t="inlineStr">
        <is>
          <t>2022-Q2</t>
        </is>
      </c>
      <c r="B302" s="87" t="n">
        <v>44743</v>
      </c>
      <c r="C302" t="n">
        <v>1.006364289</v>
      </c>
      <c r="D302" t="n">
        <v>0.873324734</v>
      </c>
      <c r="E302" t="n">
        <v>1.936702399</v>
      </c>
      <c r="F302" t="n">
        <v>0.543653175</v>
      </c>
      <c r="G302" t="n">
        <v>0.980055551</v>
      </c>
      <c r="H302" t="n">
        <v>0.794953483</v>
      </c>
      <c r="I302" t="n">
        <v>0.102771306</v>
      </c>
      <c r="J302" t="n">
        <v>0.138327182</v>
      </c>
      <c r="K302" t="n">
        <v>-2.4</v>
      </c>
      <c r="L302" t="n">
        <v>0.302580511</v>
      </c>
      <c r="M302" t="n">
        <v>0.102467391</v>
      </c>
      <c r="N302" t="n">
        <v>0.815994247</v>
      </c>
      <c r="O302" t="n">
        <v>0.8501379999999999</v>
      </c>
      <c r="P302" t="n">
        <v>2.243047556</v>
      </c>
      <c r="Q302" t="n">
        <v>-1.343134517</v>
      </c>
      <c r="R302" t="n">
        <v>0.713066</v>
      </c>
      <c r="S302" t="n">
        <v>1.002034849</v>
      </c>
      <c r="T302" t="n">
        <v>0.491699645</v>
      </c>
      <c r="U302" t="n">
        <v>0.215065</v>
      </c>
      <c r="V302" t="n">
        <v>0.062337439</v>
      </c>
      <c r="W302" t="n">
        <v>0.587291694</v>
      </c>
      <c r="X302" t="n">
        <v>0.808613743</v>
      </c>
      <c r="Y302" t="n">
        <v>-0.01586</v>
      </c>
      <c r="Z302" t="n">
        <v>2.164584857</v>
      </c>
      <c r="AA302" t="n">
        <v>3.697631385</v>
      </c>
      <c r="AB302" t="n">
        <v>1.690970455</v>
      </c>
      <c r="AC302" t="n">
        <v>1.148978301</v>
      </c>
      <c r="AD302" t="n">
        <v>1.103428577</v>
      </c>
      <c r="AE302" t="n">
        <v>0.739266758</v>
      </c>
      <c r="AF302" t="n">
        <v>-0.497233163</v>
      </c>
      <c r="AG302" t="n">
        <v>0.008423872000000001</v>
      </c>
      <c r="AH302" t="n">
        <v>1.144173256</v>
      </c>
      <c r="AI302" t="n">
        <v>2.403149791</v>
      </c>
      <c r="AJ302" t="n">
        <v>1.269831516</v>
      </c>
      <c r="AK302" t="n">
        <v>1.885071003</v>
      </c>
      <c r="AL302" t="n">
        <v>0.472238828</v>
      </c>
      <c r="AM302" t="n">
        <v>-2.335642348</v>
      </c>
      <c r="AN302" t="n">
        <v>0.132242585</v>
      </c>
      <c r="AP302" t="n">
        <v>0.360635043</v>
      </c>
      <c r="AQ302" t="n">
        <v>0.239565628</v>
      </c>
      <c r="AR302" t="n">
        <v>0.727979818</v>
      </c>
      <c r="AS302" t="n">
        <v>1.874313763</v>
      </c>
      <c r="AT302" t="n">
        <v>-0.144633973</v>
      </c>
      <c r="AU302" t="n">
        <v>-0.738679362</v>
      </c>
    </row>
    <row r="303">
      <c r="A303" t="inlineStr">
        <is>
          <t>2022-Q3</t>
        </is>
      </c>
      <c r="B303" s="87" t="n">
        <v>44835</v>
      </c>
      <c r="C303" t="n">
        <v>1.700061575</v>
      </c>
      <c r="D303" t="n">
        <v>0.647000428</v>
      </c>
      <c r="E303" t="n">
        <v>0.21430557</v>
      </c>
      <c r="F303" t="n">
        <v>0.211094577</v>
      </c>
      <c r="G303" t="n">
        <v>0.395910203</v>
      </c>
      <c r="H303" t="n">
        <v>0.728129094</v>
      </c>
      <c r="I303" t="n">
        <v>0.243612991</v>
      </c>
      <c r="J303" t="n">
        <v>-1.180470028</v>
      </c>
      <c r="K303" t="n">
        <v>3.9</v>
      </c>
      <c r="L303" t="n">
        <v>-0.248264586</v>
      </c>
      <c r="M303" t="n">
        <v>0.474594034</v>
      </c>
      <c r="N303" t="n">
        <v>0.269097265</v>
      </c>
      <c r="O303" t="n">
        <v>0.302744</v>
      </c>
      <c r="P303" t="n">
        <v>0.214511681</v>
      </c>
      <c r="Q303" t="n">
        <v>-1.78276585</v>
      </c>
      <c r="R303" t="n">
        <v>0.336895</v>
      </c>
      <c r="S303" t="n">
        <v>-0.242097957</v>
      </c>
      <c r="T303" t="n">
        <v>0.165532903</v>
      </c>
      <c r="U303" t="n">
        <v>0.491719</v>
      </c>
      <c r="V303" t="n">
        <v>-0.312209094</v>
      </c>
      <c r="W303" t="n">
        <v>-0.53899533</v>
      </c>
      <c r="X303" t="n">
        <v>-0.434562852</v>
      </c>
      <c r="Y303" t="n">
        <v>0.7557</v>
      </c>
      <c r="Z303" t="n">
        <v>2.316439198</v>
      </c>
      <c r="AA303" t="n">
        <v>-0.505565112</v>
      </c>
      <c r="AB303" t="n">
        <v>0.474865773</v>
      </c>
      <c r="AC303" t="n">
        <v>0.507162998</v>
      </c>
      <c r="AD303" t="n">
        <v>-0.206316139</v>
      </c>
      <c r="AE303" t="n">
        <v>0.322829368</v>
      </c>
      <c r="AF303" t="n">
        <v>1.110320251</v>
      </c>
      <c r="AG303" t="n">
        <v>-1.68864342</v>
      </c>
      <c r="AH303" t="n">
        <v>0.890356892</v>
      </c>
      <c r="AI303" t="n">
        <v>-0.213667396</v>
      </c>
      <c r="AJ303" t="n">
        <v>1.53769637</v>
      </c>
      <c r="AK303" t="n">
        <v>2.014847767</v>
      </c>
      <c r="AL303" t="n">
        <v>0.465028052</v>
      </c>
      <c r="AM303" t="n">
        <v>0.9589977750000001</v>
      </c>
      <c r="AN303" t="n">
        <v>0.365508715</v>
      </c>
      <c r="AP303" t="n">
        <v>0.356978919</v>
      </c>
      <c r="AQ303" t="n">
        <v>-1.364690483</v>
      </c>
      <c r="AR303" t="n">
        <v>0.599676756</v>
      </c>
      <c r="AS303" t="n">
        <v>-0.12469848</v>
      </c>
      <c r="AT303" t="n">
        <v>0.801155209</v>
      </c>
      <c r="AU303" t="n">
        <v>1.620785411</v>
      </c>
    </row>
    <row r="304">
      <c r="A304" t="inlineStr">
        <is>
          <t>2022-Q4</t>
        </is>
      </c>
      <c r="B304" s="87" t="n">
        <v>44927</v>
      </c>
      <c r="E304" t="n">
        <v>-0.683898525</v>
      </c>
      <c r="F304" t="n">
        <v>0.100145038</v>
      </c>
      <c r="H304" t="n">
        <v>0.4</v>
      </c>
      <c r="K304" t="n">
        <v>0</v>
      </c>
      <c r="L304" t="n">
        <v>-0.303170432</v>
      </c>
      <c r="M304" t="n">
        <v>-0.240803107</v>
      </c>
      <c r="O304" t="n">
        <v>0.118373</v>
      </c>
      <c r="P304" t="n">
        <v>0.224518804</v>
      </c>
      <c r="R304" t="n">
        <v>0.000554</v>
      </c>
      <c r="T304" t="n">
        <v>0.122519859</v>
      </c>
      <c r="Z304" t="n">
        <v>3.498323804</v>
      </c>
      <c r="AC304" t="n">
        <v>-0.117860337</v>
      </c>
      <c r="AE304" t="n">
        <v>-0.373926234</v>
      </c>
      <c r="AG304" t="n">
        <v>0.295808623</v>
      </c>
      <c r="AH304" t="n">
        <v>0.400000208</v>
      </c>
      <c r="AN304" t="n">
        <v>0.198993603</v>
      </c>
      <c r="AR304" t="n">
        <v>-0.600015369</v>
      </c>
      <c r="AT304" t="n">
        <v>0.7151852909999999</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8"/>
  <sheetViews>
    <sheetView topLeftCell="A286" workbookViewId="0">
      <selection activeCell="C1" sqref="C1:AW1"/>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2.758290324</v>
      </c>
      <c r="AV37" t="n">
        <v>3.215548532</v>
      </c>
    </row>
    <row r="38">
      <c r="A38" t="inlineStr">
        <is>
          <t>1956-Q2</t>
        </is>
      </c>
      <c r="B38" s="87" t="n">
        <v>20637</v>
      </c>
      <c r="X38" t="n">
        <v>2.439796478</v>
      </c>
      <c r="AV38" t="n">
        <v>2.402145867</v>
      </c>
    </row>
    <row r="39">
      <c r="A39" t="inlineStr">
        <is>
          <t>1956-Q3</t>
        </is>
      </c>
      <c r="B39" s="87" t="n">
        <v>20729</v>
      </c>
      <c r="X39" t="n">
        <v>0.342312731</v>
      </c>
      <c r="AV39" t="n">
        <v>0.94689641</v>
      </c>
    </row>
    <row r="40">
      <c r="A40" t="inlineStr">
        <is>
          <t>1956-Q4</t>
        </is>
      </c>
      <c r="B40" s="87" t="n">
        <v>20821</v>
      </c>
      <c r="X40" t="n">
        <v>1.178879114</v>
      </c>
      <c r="AV40" t="n">
        <v>1.996033576</v>
      </c>
    </row>
    <row r="41">
      <c r="A41" t="inlineStr">
        <is>
          <t>1957-Q1</t>
        </is>
      </c>
      <c r="B41" s="87" t="n">
        <v>20911</v>
      </c>
      <c r="X41" t="n">
        <v>2.039880299</v>
      </c>
      <c r="AV41" t="n">
        <v>3.04932862</v>
      </c>
    </row>
    <row r="42">
      <c r="A42" t="inlineStr">
        <is>
          <t>1957-Q2</t>
        </is>
      </c>
      <c r="B42" s="87" t="n">
        <v>21002</v>
      </c>
      <c r="X42" t="n">
        <v>2.314608943</v>
      </c>
      <c r="AV42" t="n">
        <v>1.98087427</v>
      </c>
    </row>
    <row r="43">
      <c r="A43" t="inlineStr">
        <is>
          <t>1957-Q3</t>
        </is>
      </c>
      <c r="B43" s="87" t="n">
        <v>21094</v>
      </c>
      <c r="X43" t="n">
        <v>1.848371637</v>
      </c>
      <c r="AV43" t="n">
        <v>3.072905884</v>
      </c>
    </row>
    <row r="44">
      <c r="A44" t="inlineStr">
        <is>
          <t>1957-Q4</t>
        </is>
      </c>
      <c r="B44" s="87" t="n">
        <v>21186</v>
      </c>
      <c r="X44" t="n">
        <v>1.566813344</v>
      </c>
      <c r="AV44" t="n">
        <v>0.355134715</v>
      </c>
    </row>
    <row r="45">
      <c r="A45" t="inlineStr">
        <is>
          <t>1958-Q1</t>
        </is>
      </c>
      <c r="B45" s="87" t="n">
        <v>21276</v>
      </c>
      <c r="X45" t="n">
        <v>1.690356714</v>
      </c>
      <c r="AV45" t="n">
        <v>-2.87142829</v>
      </c>
    </row>
    <row r="46">
      <c r="A46" t="inlineStr">
        <is>
          <t>1958-Q2</t>
        </is>
      </c>
      <c r="B46" s="87" t="n">
        <v>21367</v>
      </c>
      <c r="X46" t="n">
        <v>-0.6836095760000001</v>
      </c>
      <c r="AV46" t="n">
        <v>-2.018409485</v>
      </c>
    </row>
    <row r="47">
      <c r="A47" t="inlineStr">
        <is>
          <t>1958-Q3</t>
        </is>
      </c>
      <c r="B47" s="87" t="n">
        <v>21459</v>
      </c>
      <c r="X47" t="n">
        <v>2.094943088</v>
      </c>
      <c r="AV47" t="n">
        <v>-0.7247978859999999</v>
      </c>
    </row>
    <row r="48">
      <c r="A48" t="inlineStr">
        <is>
          <t>1958-Q4</t>
        </is>
      </c>
      <c r="B48" s="87" t="n">
        <v>21551</v>
      </c>
      <c r="X48" t="n">
        <v>2.112154516</v>
      </c>
      <c r="AV48" t="n">
        <v>2.658137335</v>
      </c>
    </row>
    <row r="49">
      <c r="A49" t="inlineStr">
        <is>
          <t>1959-Q1</t>
        </is>
      </c>
      <c r="B49" s="87" t="n">
        <v>21641</v>
      </c>
      <c r="X49" t="n">
        <v>0.539110902</v>
      </c>
      <c r="AV49" t="n">
        <v>7.416649216</v>
      </c>
    </row>
    <row r="50">
      <c r="A50" t="inlineStr">
        <is>
          <t>1959-Q2</t>
        </is>
      </c>
      <c r="B50" s="87" t="n">
        <v>21732</v>
      </c>
      <c r="X50" t="n">
        <v>4.622391004</v>
      </c>
      <c r="AV50" t="n">
        <v>9.12189848</v>
      </c>
    </row>
    <row r="51">
      <c r="A51" t="inlineStr">
        <is>
          <t>1959-Q3</t>
        </is>
      </c>
      <c r="B51" s="87" t="n">
        <v>21824</v>
      </c>
      <c r="X51" t="n">
        <v>4.594580862</v>
      </c>
      <c r="AV51" t="n">
        <v>6.729998745</v>
      </c>
    </row>
    <row r="52">
      <c r="A52" t="inlineStr">
        <is>
          <t>1959-Q4</t>
        </is>
      </c>
      <c r="B52" s="87" t="n">
        <v>21916</v>
      </c>
      <c r="X52" t="n">
        <v>7.144618509</v>
      </c>
      <c r="AV52" t="n">
        <v>4.588663295</v>
      </c>
    </row>
    <row r="53">
      <c r="A53" t="inlineStr">
        <is>
          <t>1960-Q1</t>
        </is>
      </c>
      <c r="B53" s="87" t="n">
        <v>22007</v>
      </c>
      <c r="X53" t="n">
        <v>9.132318071</v>
      </c>
      <c r="AV53" t="n">
        <v>4.925418809</v>
      </c>
    </row>
    <row r="54">
      <c r="A54" t="inlineStr">
        <is>
          <t>1960-Q2</t>
        </is>
      </c>
      <c r="B54" s="87" t="n">
        <v>22098</v>
      </c>
      <c r="X54" t="n">
        <v>6.505310023</v>
      </c>
      <c r="AV54" t="n">
        <v>2.058208212</v>
      </c>
    </row>
    <row r="55">
      <c r="A55" t="inlineStr">
        <is>
          <t>1960-Q3</t>
        </is>
      </c>
      <c r="B55" s="87" t="n">
        <v>22190</v>
      </c>
      <c r="X55" t="n">
        <v>5.818141442</v>
      </c>
      <c r="AV55" t="n">
        <v>2.485388761</v>
      </c>
    </row>
    <row r="56">
      <c r="A56" t="inlineStr">
        <is>
          <t>1960-Q4</t>
        </is>
      </c>
      <c r="B56" s="87" t="n">
        <v>22282</v>
      </c>
      <c r="X56" t="n">
        <v>3.940269815</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3.018095364</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4.221526992</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2.185788766</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1.226945921</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0.135906148</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0.706384283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1.767446636</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1.581358244</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3.117439957</v>
      </c>
      <c r="X65" t="n">
        <v>1.545434758</v>
      </c>
      <c r="Y65" t="n">
        <v>7.141353272</v>
      </c>
      <c r="AB65" t="n">
        <v>4.251482814</v>
      </c>
      <c r="AC65" t="n">
        <v>10.076270981</v>
      </c>
      <c r="AE65" t="n">
        <v>3.895479919</v>
      </c>
      <c r="AF65" t="n">
        <v>6.21378875</v>
      </c>
      <c r="AG65" t="n">
        <v>10.002246294</v>
      </c>
      <c r="AH65" t="n">
        <v>1.993412063</v>
      </c>
      <c r="AJ65" t="n">
        <v>6.096019154</v>
      </c>
      <c r="AK65" t="n">
        <v>-1.641619373</v>
      </c>
      <c r="AL65" t="n">
        <v>3.039157364</v>
      </c>
      <c r="AN65" t="n">
        <v>3.623777554</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4.568473013</v>
      </c>
      <c r="X66" t="n">
        <v>5.036213042</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4.960641872</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5.565898003</v>
      </c>
      <c r="X67" t="n">
        <v>4.940973186</v>
      </c>
      <c r="Y67" t="n">
        <v>12.013275682</v>
      </c>
      <c r="AB67" t="n">
        <v>5.087018992</v>
      </c>
      <c r="AC67" t="n">
        <v>10.368625258</v>
      </c>
      <c r="AE67" t="n">
        <v>6.6994012</v>
      </c>
      <c r="AF67" t="n">
        <v>9.654809883</v>
      </c>
      <c r="AG67" t="n">
        <v>9.843458492</v>
      </c>
      <c r="AH67" t="n">
        <v>3.68924336</v>
      </c>
      <c r="AJ67" t="n">
        <v>7.815201468</v>
      </c>
      <c r="AK67" t="n">
        <v>4.202308775</v>
      </c>
      <c r="AL67" t="n">
        <v>4.067928667</v>
      </c>
      <c r="AN67" t="n">
        <v>5.835507935</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6.17516405</v>
      </c>
      <c r="X68" t="n">
        <v>7.701369273</v>
      </c>
      <c r="Y68" t="n">
        <v>10.52870362</v>
      </c>
      <c r="AB68" t="n">
        <v>4.72397186</v>
      </c>
      <c r="AC68" t="n">
        <v>10.420619074</v>
      </c>
      <c r="AE68" t="n">
        <v>6.201995409</v>
      </c>
      <c r="AF68" t="n">
        <v>11.111185898</v>
      </c>
      <c r="AG68" t="n">
        <v>6.868184657</v>
      </c>
      <c r="AH68" t="n">
        <v>5.527125252</v>
      </c>
      <c r="AJ68" t="n">
        <v>9.093899794</v>
      </c>
      <c r="AK68" t="n">
        <v>6.761604986</v>
      </c>
      <c r="AL68" t="n">
        <v>4.405922922</v>
      </c>
      <c r="AN68" t="n">
        <v>6.439592948</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8.049694967000001</v>
      </c>
      <c r="X69" t="n">
        <v>7.939299945</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7.959393706</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6.633282212</v>
      </c>
      <c r="X70" t="n">
        <v>5.297701351</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6.75625382</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5.523062247</v>
      </c>
      <c r="X71" t="n">
        <v>5.186079913</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5.697496671</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4.997329165</v>
      </c>
      <c r="X72" t="n">
        <v>4.486222024</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5.184202306</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4.710935098</v>
      </c>
      <c r="X73" t="n">
        <v>3.471780105</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4.965403147</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4.931221752</v>
      </c>
      <c r="X74" t="n">
        <v>1.648001927</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4.8962674</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5.479594806</v>
      </c>
      <c r="X75" t="n">
        <v>2.103555248</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5.275079863</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6.583328044</v>
      </c>
      <c r="X76" t="n">
        <v>1.249978895</v>
      </c>
      <c r="Y76" t="n">
        <v>8.50208958</v>
      </c>
      <c r="AB76" t="n">
        <v>1.162031714</v>
      </c>
      <c r="AC76" t="n">
        <v>8.073848152</v>
      </c>
      <c r="AE76" t="n">
        <v>6.32153055</v>
      </c>
      <c r="AF76" t="n">
        <v>6.007142001</v>
      </c>
      <c r="AG76" t="n">
        <v>3.053442617</v>
      </c>
      <c r="AH76" t="n">
        <v>1.025725976</v>
      </c>
      <c r="AJ76" t="n">
        <v>5.941480444</v>
      </c>
      <c r="AK76" t="n">
        <v>5.499010714</v>
      </c>
      <c r="AL76" t="n">
        <v>4.568888378</v>
      </c>
      <c r="AN76" t="n">
        <v>6.223396168</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6.857174725</v>
      </c>
      <c r="X77" t="n">
        <v>1.704176616</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6.278777603</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6.500324634</v>
      </c>
      <c r="X78" t="n">
        <v>2.192737509</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6.393527634</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5.763146885</v>
      </c>
      <c r="X79" t="n">
        <v>1.711625513</v>
      </c>
      <c r="Y79" t="n">
        <v>5.543635989</v>
      </c>
      <c r="AB79" t="n">
        <v>0.61202429</v>
      </c>
      <c r="AC79" t="n">
        <v>9.377732145</v>
      </c>
      <c r="AE79" t="n">
        <v>6.880078292</v>
      </c>
      <c r="AF79" t="n">
        <v>10.986148697</v>
      </c>
      <c r="AG79" t="n">
        <v>13.337432054</v>
      </c>
      <c r="AH79" t="n">
        <v>1.190680844</v>
      </c>
      <c r="AJ79" t="n">
        <v>6.239657409</v>
      </c>
      <c r="AK79" t="n">
        <v>4.937033036</v>
      </c>
      <c r="AL79" t="n">
        <v>3.63544014</v>
      </c>
      <c r="AN79" t="n">
        <v>5.822931229</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4.49626272</v>
      </c>
      <c r="X80" t="n">
        <v>0.57808609</v>
      </c>
      <c r="Y80" t="n">
        <v>5.485716</v>
      </c>
      <c r="AB80" t="n">
        <v>2.221086894</v>
      </c>
      <c r="AC80" t="n">
        <v>5.851204164</v>
      </c>
      <c r="AE80" t="n">
        <v>5.802716803</v>
      </c>
      <c r="AF80" t="n">
        <v>11.471788614</v>
      </c>
      <c r="AG80" t="n">
        <v>12.228569249</v>
      </c>
      <c r="AH80" t="n">
        <v>0.694544523</v>
      </c>
      <c r="AJ80" t="n">
        <v>6.028594206</v>
      </c>
      <c r="AK80" t="n">
        <v>2.540834896</v>
      </c>
      <c r="AL80" t="n">
        <v>4.645598806</v>
      </c>
      <c r="AN80" t="n">
        <v>4.69105517</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3.609107225</v>
      </c>
      <c r="X81" t="n">
        <v>1.751659525</v>
      </c>
      <c r="Y81" t="n">
        <v>5.436672468</v>
      </c>
      <c r="AB81" t="n">
        <v>3.822701683</v>
      </c>
      <c r="AC81" t="n">
        <v>2.528131274</v>
      </c>
      <c r="AE81" t="n">
        <v>6.879902345</v>
      </c>
      <c r="AF81" t="n">
        <v>11.443301697</v>
      </c>
      <c r="AG81" t="n">
        <v>9.310976925</v>
      </c>
      <c r="AH81" t="n">
        <v>0.209683213</v>
      </c>
      <c r="AJ81" t="n">
        <v>5.827578402</v>
      </c>
      <c r="AK81" t="n">
        <v>6.847092673</v>
      </c>
      <c r="AL81" t="n">
        <v>6.295465769</v>
      </c>
      <c r="AN81" t="n">
        <v>4.107003236</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3.385021406</v>
      </c>
      <c r="X82" t="n">
        <v>2.65740751</v>
      </c>
      <c r="Y82" t="n">
        <v>5.382741926</v>
      </c>
      <c r="AB82" t="n">
        <v>5.408445112</v>
      </c>
      <c r="AC82" t="n">
        <v>-0.593416448</v>
      </c>
      <c r="AE82" t="n">
        <v>7.6455601</v>
      </c>
      <c r="AF82" t="n">
        <v>10.132281283</v>
      </c>
      <c r="AG82" t="n">
        <v>5.084573662</v>
      </c>
      <c r="AH82" t="n">
        <v>-0.271576295</v>
      </c>
      <c r="AJ82" t="n">
        <v>5.632259403</v>
      </c>
      <c r="AK82" t="n">
        <v>4.844838143</v>
      </c>
      <c r="AL82" t="n">
        <v>6.930096169</v>
      </c>
      <c r="AN82" t="n">
        <v>3.579809236</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3.784823071</v>
      </c>
      <c r="X83" t="n">
        <v>2.785265544</v>
      </c>
      <c r="Y83" t="n">
        <v>5.452097117</v>
      </c>
      <c r="AB83" t="n">
        <v>6.582321072</v>
      </c>
      <c r="AC83" t="n">
        <v>-2.783749775</v>
      </c>
      <c r="AE83" t="n">
        <v>6.30141378</v>
      </c>
      <c r="AF83" t="n">
        <v>11.24638467</v>
      </c>
      <c r="AG83" t="n">
        <v>11.359761663</v>
      </c>
      <c r="AH83" t="n">
        <v>-0.036789086</v>
      </c>
      <c r="AJ83" t="n">
        <v>5.833420987</v>
      </c>
      <c r="AK83" t="n">
        <v>4.445109756</v>
      </c>
      <c r="AL83" t="n">
        <v>6.569831344</v>
      </c>
      <c r="AN83" t="n">
        <v>3.880571739</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4.345187452</v>
      </c>
      <c r="X84" t="n">
        <v>3.807807941</v>
      </c>
      <c r="Y84" t="n">
        <v>5.648204716</v>
      </c>
      <c r="AB84" t="n">
        <v>7.289443583</v>
      </c>
      <c r="AC84" t="n">
        <v>-4.098472803</v>
      </c>
      <c r="AE84" t="n">
        <v>7.884903596</v>
      </c>
      <c r="AF84" t="n">
        <v>11.175461277</v>
      </c>
      <c r="AG84" t="n">
        <v>10.62251453</v>
      </c>
      <c r="AH84" t="n">
        <v>0.963930523</v>
      </c>
      <c r="AJ84" t="n">
        <v>6.441395722</v>
      </c>
      <c r="AK84" t="n">
        <v>5.052885411</v>
      </c>
      <c r="AL84" t="n">
        <v>5.258175608</v>
      </c>
      <c r="AN84" t="n">
        <v>4.310345822</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5.307352123</v>
      </c>
      <c r="X85" t="n">
        <v>6.143633269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5.114775607</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5.493154754</v>
      </c>
      <c r="X86" t="n">
        <v>4.213628151</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5.52258052</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6.261676</v>
      </c>
      <c r="X87" t="n">
        <v>5.759977735</v>
      </c>
      <c r="Y87" t="n">
        <v>6.746827129</v>
      </c>
      <c r="AB87" t="n">
        <v>8.577224612</v>
      </c>
      <c r="AC87" t="n">
        <v>-6.172334619</v>
      </c>
      <c r="AE87" t="n">
        <v>6.874522889</v>
      </c>
      <c r="AF87" t="n">
        <v>10.369641908</v>
      </c>
      <c r="AG87" t="n">
        <v>14.21700907</v>
      </c>
      <c r="AH87" t="n">
        <v>4.67629448</v>
      </c>
      <c r="AJ87" t="n">
        <v>7.54069153</v>
      </c>
      <c r="AK87" t="n">
        <v>4.986113557</v>
      </c>
      <c r="AL87" t="n">
        <v>1.685966386</v>
      </c>
      <c r="AN87" t="n">
        <v>6.220290913</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6.690075106</v>
      </c>
      <c r="X88" t="n">
        <v>5.644877924</v>
      </c>
      <c r="Y88" t="n">
        <v>7.982468312</v>
      </c>
      <c r="AB88" t="n">
        <v>7.817075521</v>
      </c>
      <c r="AC88" t="n">
        <v>-3.556261768</v>
      </c>
      <c r="AE88" t="n">
        <v>7.257052077</v>
      </c>
      <c r="AF88" t="n">
        <v>14.445485764</v>
      </c>
      <c r="AG88" t="n">
        <v>11.531282406</v>
      </c>
      <c r="AH88" t="n">
        <v>7.09424257</v>
      </c>
      <c r="AJ88" t="n">
        <v>6.834903722</v>
      </c>
      <c r="AK88" t="n">
        <v>7.516450622</v>
      </c>
      <c r="AL88" t="n">
        <v>2.416678176</v>
      </c>
      <c r="AN88" t="n">
        <v>6.777885591</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5.990076389</v>
      </c>
      <c r="X89" t="n">
        <v>1.701003644</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6.176585999</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6.152455976</v>
      </c>
      <c r="X90" t="n">
        <v>2.924088254</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6.19844729</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5.038490645</v>
      </c>
      <c r="X91" t="n">
        <v>1.512628857</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5.480814102</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4.052298783</v>
      </c>
      <c r="X92" t="n">
        <v>1.508791203</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4.576537351</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3.461811131</v>
      </c>
      <c r="X93" t="n">
        <v>1.105603307</v>
      </c>
      <c r="Y93" t="n">
        <v>7.899130229</v>
      </c>
      <c r="AB93" t="n">
        <v>4.737700024</v>
      </c>
      <c r="AC93" t="n">
        <v>0.957151579</v>
      </c>
      <c r="AE93" t="n">
        <v>5.982116267</v>
      </c>
      <c r="AF93" t="n">
        <v>12.844536368</v>
      </c>
      <c r="AG93" t="n">
        <v>12.10800823</v>
      </c>
      <c r="AH93" t="n">
        <v>5.064038509</v>
      </c>
      <c r="AJ93" t="n">
        <v>6.629729216</v>
      </c>
      <c r="AK93" t="n">
        <v>5.451396488</v>
      </c>
      <c r="AL93" t="n">
        <v>2.538372103</v>
      </c>
      <c r="AN93" t="n">
        <v>4.09380404</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3.459197904</v>
      </c>
      <c r="X94" t="n">
        <v>2.77233282</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4.117725109</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3.819472529</v>
      </c>
      <c r="X95" t="n">
        <v>3.188561857</v>
      </c>
      <c r="Y95" t="n">
        <v>8.759931791</v>
      </c>
      <c r="AB95" t="n">
        <v>1.645343858</v>
      </c>
      <c r="AC95" t="n">
        <v>10.047954045</v>
      </c>
      <c r="AE95" t="n">
        <v>6.710902356</v>
      </c>
      <c r="AF95" t="n">
        <v>11.290849578</v>
      </c>
      <c r="AG95" t="n">
        <v>4.960290713</v>
      </c>
      <c r="AH95" t="n">
        <v>-0.008191354</v>
      </c>
      <c r="AJ95" t="n">
        <v>6.853289384</v>
      </c>
      <c r="AK95" t="n">
        <v>5.829976517</v>
      </c>
      <c r="AL95" t="n">
        <v>1.59044565</v>
      </c>
      <c r="AN95" t="n">
        <v>4.169449989</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3.107226629</v>
      </c>
      <c r="X96" t="n">
        <v>3.692579593</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3.516970996</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3.328942353</v>
      </c>
      <c r="X97" t="n">
        <v>3.793811754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3.569949814</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3.419357086</v>
      </c>
      <c r="X98" t="n">
        <v>3.15315535</v>
      </c>
      <c r="Y98" t="n">
        <v>6.375619088</v>
      </c>
      <c r="AB98" t="n">
        <v>2.880248039</v>
      </c>
      <c r="AC98" t="n">
        <v>14.396529955</v>
      </c>
      <c r="AE98" t="n">
        <v>2.014957053</v>
      </c>
      <c r="AF98" t="n">
        <v>4.948614972</v>
      </c>
      <c r="AG98" t="n">
        <v>12.528585154</v>
      </c>
      <c r="AH98" t="n">
        <v>2.064750722</v>
      </c>
      <c r="AJ98" t="n">
        <v>3.341550471</v>
      </c>
      <c r="AK98" t="n">
        <v>5.037089548</v>
      </c>
      <c r="AL98" t="n">
        <v>4.39247574</v>
      </c>
      <c r="AN98" t="n">
        <v>3.58664295</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3.262493555</v>
      </c>
      <c r="X99" t="n">
        <v>3.986704543</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3.567790794</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3.888392082</v>
      </c>
      <c r="X100" t="n">
        <v>3.416974276</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4.036700936</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4.426841734</v>
      </c>
      <c r="X101" t="n">
        <v>4.158802003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4.702550521</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5.110350013</v>
      </c>
      <c r="X102" t="n">
        <v>5.022580569</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5.30190817</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5.071089329</v>
      </c>
      <c r="X103" t="n">
        <v>3.463110946</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5.238272415</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6.42585894</v>
      </c>
      <c r="X104" t="n">
        <v>4.721628103</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6.527112686</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7.512843907</v>
      </c>
      <c r="X105" t="n">
        <v>9.710286292999999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7.356419749</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6.702166802</v>
      </c>
      <c r="X106" t="n">
        <v>7.043217492</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6.622477038</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5.504897115</v>
      </c>
      <c r="X107" t="n">
        <v>5.718609392</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5.658146037</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4.742904127</v>
      </c>
      <c r="X108" t="n">
        <v>3.673216772</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5.014798264</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1.307560884</v>
      </c>
      <c r="X109" t="n">
        <v>-3.922518772</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2.178284961</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0.709741812</v>
      </c>
      <c r="X110" t="n">
        <v>-2.685842644</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1.532224182</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0.523547599</v>
      </c>
      <c r="X111" t="n">
        <v>-1.12645426</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1.181274187</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-1.29229787</v>
      </c>
      <c r="X112" t="n">
        <v>-2.183238527</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-0.568187295</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-1.23119264</v>
      </c>
      <c r="X113" t="n">
        <v>0.642068654</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-0.652242348</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-1.207033041</v>
      </c>
      <c r="X114" t="n">
        <v>-2.424538456</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-0.5873461129999999</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0.108479302</v>
      </c>
      <c r="X115" t="n">
        <v>-3.375763069</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0.484445152</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2.316013456</v>
      </c>
      <c r="X116" t="n">
        <v>-0.830012991</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2.489692873</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4.8680516</v>
      </c>
      <c r="X117" t="n">
        <v>0.77131913</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4.71699104</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5.296801203</v>
      </c>
      <c r="X118" t="n">
        <v>2.326189232</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5.233434705</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4.857452619</v>
      </c>
      <c r="X119" t="n">
        <v>4.013889445</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5.014448509</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4.500762004</v>
      </c>
      <c r="X120" t="n">
        <v>5.027913315</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4.582012811</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3.89319014</v>
      </c>
      <c r="X121" t="n">
        <v>3.279610114</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3.822945227</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3.94435432</v>
      </c>
      <c r="X122" t="n">
        <v>2.636967768</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3.662940875</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4.051370055</v>
      </c>
      <c r="X123" t="n">
        <v>2.040205688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3.700827215</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3.762488336</v>
      </c>
      <c r="X124" t="n">
        <v>1.623501641</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3.558943596</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3.474035503</v>
      </c>
      <c r="X125" t="n">
        <v>2.424727108</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3.448183093</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4.816282188</v>
      </c>
      <c r="X126" t="n">
        <v>4.401120316</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4.587411644</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4.876902556</v>
      </c>
      <c r="X127" t="n">
        <v>5.102630697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4.565593628</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5.44467809</v>
      </c>
      <c r="X128" t="n">
        <v>4.253584122</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5.082953209</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5.122818399</v>
      </c>
      <c r="X129" t="n">
        <v>2.944543009</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4.851273976</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4.064327562</v>
      </c>
      <c r="X130" t="n">
        <v>6.250656539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4.079923617</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3.5815819</v>
      </c>
      <c r="X131" t="n">
        <v>2.468702795</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3.646603394</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2.879849241</v>
      </c>
      <c r="X132" t="n">
        <v>2.610859818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2.996732826</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3.526442313</v>
      </c>
      <c r="V133" t="n">
        <v>2.679251249</v>
      </c>
      <c r="X133" t="n">
        <v>1.981534796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2.995802725</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1.800314192</v>
      </c>
      <c r="V134" t="n">
        <v>0.18157078</v>
      </c>
      <c r="X134" t="n">
        <v>-4.270650731</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0.656649581</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0.803926633</v>
      </c>
      <c r="V135" t="n">
        <v>-0.081988929</v>
      </c>
      <c r="X135" t="n">
        <v>-2.194130574</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0.474086312</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0.410114276</v>
      </c>
      <c r="V136" t="n">
        <v>0.492260282</v>
      </c>
      <c r="X136" t="n">
        <v>-4.300388074</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0.94592277</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-0.457189258</v>
      </c>
      <c r="V137" t="n">
        <v>1.327894029</v>
      </c>
      <c r="X137" t="n">
        <v>-3.394661527</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1.415357472</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0.977788266</v>
      </c>
      <c r="V138" t="n">
        <v>2.544972572</v>
      </c>
      <c r="X138" t="n">
        <v>-1.285402185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2.728975998</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1.480314525</v>
      </c>
      <c r="V139" t="n">
        <v>2.912716798</v>
      </c>
      <c r="X139" t="n">
        <v>-0.102205572</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3.080338512</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2.281029226</v>
      </c>
      <c r="V140" t="n">
        <v>1.471165117</v>
      </c>
      <c r="X140" t="n">
        <v>1.116367762</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1.841682657</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2.80694296</v>
      </c>
      <c r="V141" t="n">
        <v>-0.044254689</v>
      </c>
      <c r="X141" t="n">
        <v>1.326497297</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0.486389599</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2.789484343</v>
      </c>
      <c r="V142" t="n">
        <v>0.273577487</v>
      </c>
      <c r="X142" t="n">
        <v>2.182975607</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0.520968734</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2.10817984</v>
      </c>
      <c r="V143" t="n">
        <v>-0.571899026</v>
      </c>
      <c r="X143" t="n">
        <v>1.328041338</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-0.274386353</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2.113154186</v>
      </c>
      <c r="V144" t="n">
        <v>0.008504088999999999</v>
      </c>
      <c r="X144" t="n">
        <v>1.918845907</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-0.013647862</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1.689993727</v>
      </c>
      <c r="V145" t="n">
        <v>1.323628783</v>
      </c>
      <c r="X145" t="n">
        <v>3.712189922</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1.091909349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1.025748727</v>
      </c>
      <c r="V146" t="n">
        <v>2.389875559</v>
      </c>
      <c r="X146" t="n">
        <v>3.32796459</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1.946008028</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1.140568794</v>
      </c>
      <c r="V147" t="n">
        <v>4.040466651</v>
      </c>
      <c r="X147" t="n">
        <v>4.159382084</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3.44884657</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1.161409774</v>
      </c>
      <c r="V148" t="n">
        <v>5.318956517</v>
      </c>
      <c r="X148" t="n">
        <v>4.256515154</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4.721472605</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1.15085863</v>
      </c>
      <c r="V149" t="n">
        <v>5.721063807</v>
      </c>
      <c r="X149" t="n">
        <v>3.084918687</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5.376619637</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1.546132195</v>
      </c>
      <c r="V150" t="n">
        <v>5.235533388</v>
      </c>
      <c r="X150" t="n">
        <v>1.413544724</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4.92883499</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2.15968211</v>
      </c>
      <c r="V151" t="n">
        <v>5.010774072</v>
      </c>
      <c r="X151" t="n">
        <v>1.004450815</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4.836660357</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1.461044546</v>
      </c>
      <c r="V152" t="n">
        <v>4.128711962</v>
      </c>
      <c r="X152" t="n">
        <v>2.118498105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3.993978665</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1.316977091</v>
      </c>
      <c r="V153" t="n">
        <v>3.733731587</v>
      </c>
      <c r="X153" t="n">
        <v>2.13385027</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3.522089205</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1.806370732</v>
      </c>
      <c r="V154" t="n">
        <v>4.046645601</v>
      </c>
      <c r="X154" t="n">
        <v>5.24240978</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3.94540361</v>
      </c>
      <c r="AP154" t="n">
        <v>4.2851239</v>
      </c>
      <c r="AT154" t="n">
        <v>3.488603765</v>
      </c>
      <c r="AV154" t="n">
        <v>3.684217505</v>
      </c>
      <c r="AW154" t="n">
        <v>-2.804155293</v>
      </c>
    </row>
    <row r="155">
      <c r="A155" t="inlineStr">
        <is>
          <t>1985-Q3</t>
        </is>
      </c>
      <c r="B155" s="87" t="n">
        <v>31321</v>
      </c>
      <c r="D155" t="n">
        <v>5.747693579</v>
      </c>
      <c r="E155" t="n">
        <v>3.101201726</v>
      </c>
      <c r="F155" t="n">
        <v>2.13081223</v>
      </c>
      <c r="H155" t="n">
        <v>4.769223574</v>
      </c>
      <c r="I155" t="n">
        <v>3.008086334</v>
      </c>
      <c r="M155" t="n">
        <v>2.616635647</v>
      </c>
      <c r="N155" t="n">
        <v>4.639387197</v>
      </c>
      <c r="P155" t="n">
        <v>2.198530976</v>
      </c>
      <c r="T155" t="n">
        <v>3.541247485</v>
      </c>
      <c r="U155" t="n">
        <v>1.621643773</v>
      </c>
      <c r="V155" t="n">
        <v>4.096152983</v>
      </c>
      <c r="X155" t="n">
        <v>4.65638222</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3.860258687</v>
      </c>
      <c r="AP155" t="n">
        <v>1.456021465</v>
      </c>
      <c r="AT155" t="n">
        <v>3.265336819</v>
      </c>
      <c r="AV155" t="n">
        <v>4.262444927</v>
      </c>
      <c r="AW155" t="n">
        <v>-1.426912484</v>
      </c>
    </row>
    <row r="156">
      <c r="A156" t="inlineStr">
        <is>
          <t>1985-Q4</t>
        </is>
      </c>
      <c r="B156" s="87" t="n">
        <v>31413</v>
      </c>
      <c r="D156" t="n">
        <v>4.751916555</v>
      </c>
      <c r="E156" t="n">
        <v>1.705435455</v>
      </c>
      <c r="F156" t="n">
        <v>2.002577486</v>
      </c>
      <c r="H156" t="n">
        <v>4.717962995</v>
      </c>
      <c r="I156" t="n">
        <v>3.027296134</v>
      </c>
      <c r="M156" t="n">
        <v>2.370542268</v>
      </c>
      <c r="N156" t="n">
        <v>6.135595919</v>
      </c>
      <c r="P156" t="n">
        <v>3.240480386</v>
      </c>
      <c r="T156" t="n">
        <v>2.505634363</v>
      </c>
      <c r="U156" t="n">
        <v>2.133011265</v>
      </c>
      <c r="V156" t="n">
        <v>4.189345059</v>
      </c>
      <c r="X156" t="n">
        <v>2.910528207</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4.070554778</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2.224178285</v>
      </c>
      <c r="V157" t="n">
        <v>3.784706752</v>
      </c>
      <c r="X157" t="n">
        <v>3.170150602</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3.512917172</v>
      </c>
      <c r="AP157" t="n">
        <v>3.542920579</v>
      </c>
      <c r="AT157" t="n">
        <v>3.192026819</v>
      </c>
      <c r="AV157" t="n">
        <v>4.145589749</v>
      </c>
      <c r="AW157" t="n">
        <v>-1.122663504</v>
      </c>
    </row>
    <row r="158">
      <c r="A158" t="inlineStr">
        <is>
          <t>1986-Q2</t>
        </is>
      </c>
      <c r="B158" s="87" t="n">
        <v>31594</v>
      </c>
      <c r="D158" t="n">
        <v>1.520674243</v>
      </c>
      <c r="E158" t="n">
        <v>3.199522231</v>
      </c>
      <c r="F158" t="n">
        <v>1.960227312</v>
      </c>
      <c r="H158" t="n">
        <v>3.376397808</v>
      </c>
      <c r="I158" t="n">
        <v>2.160637331</v>
      </c>
      <c r="M158" t="n">
        <v>2.493179711</v>
      </c>
      <c r="N158" t="n">
        <v>4.711821745</v>
      </c>
      <c r="P158" t="n">
        <v>4.926023059</v>
      </c>
      <c r="T158" t="n">
        <v>1.167433383</v>
      </c>
      <c r="U158" t="n">
        <v>2.432512229</v>
      </c>
      <c r="V158" t="n">
        <v>3.065465518</v>
      </c>
      <c r="X158" t="n">
        <v>1.640427211</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3.054783455</v>
      </c>
      <c r="AP158" t="n">
        <v>3.70130734</v>
      </c>
      <c r="AT158" t="n">
        <v>2.623817202</v>
      </c>
      <c r="AV158" t="n">
        <v>3.701580387</v>
      </c>
      <c r="AW158" t="n">
        <v>0.289240695</v>
      </c>
    </row>
    <row r="159">
      <c r="A159" t="inlineStr">
        <is>
          <t>1986-Q3</t>
        </is>
      </c>
      <c r="B159" s="87" t="n">
        <v>31686</v>
      </c>
      <c r="D159" t="n">
        <v>0.473105678</v>
      </c>
      <c r="E159" t="n">
        <v>1.77282273</v>
      </c>
      <c r="F159" t="n">
        <v>2.521071836</v>
      </c>
      <c r="H159" t="n">
        <v>2.210135185</v>
      </c>
      <c r="I159" t="n">
        <v>2.020419299</v>
      </c>
      <c r="M159" t="n">
        <v>1.922379197</v>
      </c>
      <c r="N159" t="n">
        <v>2.438169692</v>
      </c>
      <c r="P159" t="n">
        <v>3.117271102</v>
      </c>
      <c r="T159" t="n">
        <v>5.052467936</v>
      </c>
      <c r="U159" t="n">
        <v>2.390235709</v>
      </c>
      <c r="V159" t="n">
        <v>2.614966303</v>
      </c>
      <c r="X159" t="n">
        <v>2.030672395</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2.58526058</v>
      </c>
      <c r="AP159" t="n">
        <v>4.647721737</v>
      </c>
      <c r="AT159" t="n">
        <v>2.000153459</v>
      </c>
      <c r="AV159" t="n">
        <v>3.119241274</v>
      </c>
      <c r="AW159" t="n">
        <v>0.780967301</v>
      </c>
    </row>
    <row r="160">
      <c r="A160" t="inlineStr">
        <is>
          <t>1986-Q4</t>
        </is>
      </c>
      <c r="B160" s="87" t="n">
        <v>31778</v>
      </c>
      <c r="D160" t="n">
        <v>2.429508875</v>
      </c>
      <c r="E160" t="n">
        <v>2.273967783</v>
      </c>
      <c r="F160" t="n">
        <v>0.81353946</v>
      </c>
      <c r="H160" t="n">
        <v>-0.061759828</v>
      </c>
      <c r="I160" t="n">
        <v>1.068064773</v>
      </c>
      <c r="M160" t="n">
        <v>2.32473051</v>
      </c>
      <c r="N160" t="n">
        <v>0.8961032370000001</v>
      </c>
      <c r="P160" t="n">
        <v>2.597685566</v>
      </c>
      <c r="T160" t="n">
        <v>2.90998448</v>
      </c>
      <c r="U160" t="n">
        <v>2.060386877</v>
      </c>
      <c r="V160" t="n">
        <v>2.443172962</v>
      </c>
      <c r="X160" t="n">
        <v>3.468817695</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2.347284015</v>
      </c>
      <c r="AP160" t="n">
        <v>4.661705392</v>
      </c>
      <c r="AT160" t="n">
        <v>3.348451862</v>
      </c>
      <c r="AV160" t="n">
        <v>2.908033321</v>
      </c>
      <c r="AW160" t="n">
        <v>0.133362615</v>
      </c>
    </row>
    <row r="161">
      <c r="A161" t="inlineStr">
        <is>
          <t>1987-Q1</t>
        </is>
      </c>
      <c r="B161" s="87" t="n">
        <v>31868</v>
      </c>
      <c r="D161" t="n">
        <v>2.752447311</v>
      </c>
      <c r="E161" t="n">
        <v>0.502854125</v>
      </c>
      <c r="F161" t="n">
        <v>0.9724263319999999</v>
      </c>
      <c r="H161" t="n">
        <v>2.274754318</v>
      </c>
      <c r="I161" t="n">
        <v>0.696666472</v>
      </c>
      <c r="M161" t="n">
        <v>0.330519523</v>
      </c>
      <c r="N161" t="n">
        <v>-1.538901736</v>
      </c>
      <c r="P161" t="n">
        <v>4.404611021</v>
      </c>
      <c r="T161" t="n">
        <v>3.636363636</v>
      </c>
      <c r="U161" t="n">
        <v>1.851392672</v>
      </c>
      <c r="V161" t="n">
        <v>2.124668375</v>
      </c>
      <c r="X161" t="n">
        <v>3.505649718</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2.238061506</v>
      </c>
      <c r="AP161" t="n">
        <v>5.162007525</v>
      </c>
      <c r="AT161" t="n">
        <v>1.76089021</v>
      </c>
      <c r="AV161" t="n">
        <v>2.715840619</v>
      </c>
      <c r="AW161" t="n">
        <v>2.077765132</v>
      </c>
    </row>
    <row r="162">
      <c r="A162" t="inlineStr">
        <is>
          <t>1987-Q2</t>
        </is>
      </c>
      <c r="B162" s="87" t="n">
        <v>31959</v>
      </c>
      <c r="D162" t="n">
        <v>4.575460714</v>
      </c>
      <c r="E162" t="n">
        <v>1.053910812</v>
      </c>
      <c r="F162" t="n">
        <v>1.887003395</v>
      </c>
      <c r="H162" t="n">
        <v>3.010131747</v>
      </c>
      <c r="I162" t="n">
        <v>0.769049347</v>
      </c>
      <c r="M162" t="n">
        <v>1.415955776</v>
      </c>
      <c r="N162" t="n">
        <v>1.74129434</v>
      </c>
      <c r="P162" t="n">
        <v>3.501615223</v>
      </c>
      <c r="T162" t="n">
        <v>4.984771138</v>
      </c>
      <c r="U162" t="n">
        <v>2.204142173</v>
      </c>
      <c r="V162" t="n">
        <v>3.137324266</v>
      </c>
      <c r="X162" t="n">
        <v>4.504238643</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3.27704948</v>
      </c>
      <c r="AP162" t="n">
        <v>5.653281801</v>
      </c>
      <c r="AT162" t="n">
        <v>3.493861017</v>
      </c>
      <c r="AV162" t="n">
        <v>3.35847938</v>
      </c>
      <c r="AW162" t="n">
        <v>1.739358961</v>
      </c>
    </row>
    <row r="163">
      <c r="A163" t="inlineStr">
        <is>
          <t>1987-Q3</t>
        </is>
      </c>
      <c r="B163" s="87" t="n">
        <v>32051</v>
      </c>
      <c r="D163" t="n">
        <v>6.169472854</v>
      </c>
      <c r="E163" t="n">
        <v>2.198412717</v>
      </c>
      <c r="F163" t="n">
        <v>2.054659181</v>
      </c>
      <c r="H163" t="n">
        <v>4.446173489</v>
      </c>
      <c r="I163" t="n">
        <v>1.902321317</v>
      </c>
      <c r="M163" t="n">
        <v>1.369526997</v>
      </c>
      <c r="N163" t="n">
        <v>0.374906745</v>
      </c>
      <c r="P163" t="n">
        <v>6.389218713</v>
      </c>
      <c r="T163" t="n">
        <v>0.990668804</v>
      </c>
      <c r="U163" t="n">
        <v>2.434916419</v>
      </c>
      <c r="V163" t="n">
        <v>3.512650405</v>
      </c>
      <c r="X163" t="n">
        <v>6.508989554</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3.705655051</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3.801205191</v>
      </c>
      <c r="V164" t="n">
        <v>4.659867039</v>
      </c>
      <c r="X164" t="n">
        <v>6.272554475</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4.978065898</v>
      </c>
      <c r="AP164" t="n">
        <v>6.29341783</v>
      </c>
      <c r="AT164" t="n">
        <v>4.168421266</v>
      </c>
      <c r="AV164" t="n">
        <v>4.479019138</v>
      </c>
      <c r="AW164" t="n">
        <v>2.700870283</v>
      </c>
    </row>
    <row r="165">
      <c r="A165" t="inlineStr">
        <is>
          <t>1988-Q1</t>
        </is>
      </c>
      <c r="B165" s="87" t="n">
        <v>32234</v>
      </c>
      <c r="D165" t="n">
        <v>5.969246308</v>
      </c>
      <c r="E165" t="n">
        <v>2.786001601</v>
      </c>
      <c r="F165" t="n">
        <v>4.875906512</v>
      </c>
      <c r="H165" t="n">
        <v>5.680408989</v>
      </c>
      <c r="I165" t="n">
        <v>3.213085167</v>
      </c>
      <c r="M165" t="n">
        <v>3.651100816</v>
      </c>
      <c r="N165" t="n">
        <v>3.208773044</v>
      </c>
      <c r="P165" t="n">
        <v>6.051286794</v>
      </c>
      <c r="T165" t="n">
        <v>5.475180843</v>
      </c>
      <c r="U165" t="n">
        <v>4.915462229</v>
      </c>
      <c r="V165" t="n">
        <v>5.372305976</v>
      </c>
      <c r="X165" t="n">
        <v>6.887093693</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5.503474046</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4.279067782</v>
      </c>
      <c r="V166" t="n">
        <v>4.786752888</v>
      </c>
      <c r="X166" t="n">
        <v>5.557983487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4.509295261</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4.883863786</v>
      </c>
      <c r="V167" t="n">
        <v>4.7312126</v>
      </c>
      <c r="X167" t="n">
        <v>4.487859336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4.454926786</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4.294315383</v>
      </c>
      <c r="V168" t="n">
        <v>4.131819456</v>
      </c>
      <c r="X168" t="n">
        <v>3.884338224</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3.776226051</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4.255249515</v>
      </c>
      <c r="V169" t="n">
        <v>4.473031588</v>
      </c>
      <c r="X169" t="n">
        <v>2.853987667</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4.193125735</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4.602326717</v>
      </c>
      <c r="V170" t="n">
        <v>3.852641977</v>
      </c>
      <c r="X170" t="n">
        <v>3.048436769</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3.887463412</v>
      </c>
      <c r="AP170" t="n">
        <v>4.438584578</v>
      </c>
      <c r="AT170" t="n">
        <v>3.146058595</v>
      </c>
      <c r="AV170" t="n">
        <v>3.748292875</v>
      </c>
      <c r="AW170" t="n">
        <v>3.376636664</v>
      </c>
    </row>
    <row r="171">
      <c r="A171" t="inlineStr">
        <is>
          <t>1989-Q3</t>
        </is>
      </c>
      <c r="B171" s="87" t="n">
        <v>32782</v>
      </c>
      <c r="D171" t="n">
        <v>5.651910786</v>
      </c>
      <c r="E171" t="n">
        <v>3.351256043</v>
      </c>
      <c r="F171" t="n">
        <v>3.1070159</v>
      </c>
      <c r="H171" t="n">
        <v>2.601145768</v>
      </c>
      <c r="I171" t="n">
        <v>4.621746256</v>
      </c>
      <c r="M171" t="n">
        <v>3.583956124</v>
      </c>
      <c r="N171" t="n">
        <v>0.034985423</v>
      </c>
      <c r="P171" t="n">
        <v>4.515255385</v>
      </c>
      <c r="T171" t="n">
        <v>6.114329857</v>
      </c>
      <c r="U171" t="n">
        <v>4.382806957</v>
      </c>
      <c r="V171" t="n">
        <v>3.680426672</v>
      </c>
      <c r="X171" t="n">
        <v>1.671469378</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3.813064188</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4.846624064</v>
      </c>
      <c r="V172" t="n">
        <v>3.46891278</v>
      </c>
      <c r="X172" t="n">
        <v>1.10008359</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3.609783106</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4.055606462</v>
      </c>
      <c r="V173" t="n">
        <v>2.99171894</v>
      </c>
      <c r="X173" t="n">
        <v>1.439219507</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3.344715353</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3.371931882</v>
      </c>
      <c r="V174" t="n">
        <v>3.529299471</v>
      </c>
      <c r="X174" t="n">
        <v>1.383939747</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3.869441036</v>
      </c>
      <c r="AP174" t="n">
        <v>5.810788625</v>
      </c>
      <c r="AT174" t="n">
        <v>1.243784388</v>
      </c>
      <c r="AV174" t="n">
        <v>2.412772955</v>
      </c>
      <c r="AW174" t="n">
        <v>-0.541507137</v>
      </c>
    </row>
    <row r="175">
      <c r="A175" t="inlineStr">
        <is>
          <t>1990-Q3</t>
        </is>
      </c>
      <c r="B175" s="87" t="n">
        <v>33147</v>
      </c>
      <c r="D175" t="n">
        <v>0.100126672</v>
      </c>
      <c r="E175" t="n">
        <v>4.510960189</v>
      </c>
      <c r="F175" t="n">
        <v>2.654473433</v>
      </c>
      <c r="H175" t="n">
        <v>-0.399573277</v>
      </c>
      <c r="I175" t="n">
        <v>3.273564547</v>
      </c>
      <c r="M175" t="n">
        <v>5.951496332</v>
      </c>
      <c r="N175" t="n">
        <v>3.664113923</v>
      </c>
      <c r="P175" t="n">
        <v>2.114543688</v>
      </c>
      <c r="T175" t="n">
        <v>-2.136296465</v>
      </c>
      <c r="U175" t="n">
        <v>2.782826795</v>
      </c>
      <c r="V175" t="n">
        <v>3.103574955</v>
      </c>
      <c r="X175" t="n">
        <v>0.166284439</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3.234149053</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1.443331215</v>
      </c>
      <c r="V176" t="n">
        <v>1.785488597</v>
      </c>
      <c r="X176" t="n">
        <v>-0.430679431</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2.487717597</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1.143525589</v>
      </c>
      <c r="V177" t="n">
        <v>1.264758589</v>
      </c>
      <c r="X177" t="n">
        <v>-1.753462875</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1.571898008</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1.02679082</v>
      </c>
      <c r="V178" t="n">
        <v>0.97112544</v>
      </c>
      <c r="X178" t="n">
        <v>-2.465805205</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1.295641386</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0.740815874</v>
      </c>
      <c r="V179" t="n">
        <v>0.677774502</v>
      </c>
      <c r="X179" t="n">
        <v>-1.559182918</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1.254618737</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1.437028631</v>
      </c>
      <c r="V180" t="n">
        <v>1.578883133</v>
      </c>
      <c r="X180" t="n">
        <v>-0.952770471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1.637907111</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2.0979487</v>
      </c>
      <c r="V181" t="n">
        <v>2.102862046</v>
      </c>
      <c r="X181" t="n">
        <v>-0.5103311699999999</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2.457904742</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1.766537046</v>
      </c>
      <c r="V182" t="n">
        <v>1.944431235</v>
      </c>
      <c r="X182" t="n">
        <v>-0.461623088</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2.09137635</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1.49568033</v>
      </c>
      <c r="V183" t="n">
        <v>2.204513524</v>
      </c>
      <c r="X183" t="n">
        <v>0.380218602</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2.262241274</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0.6126086080000001</v>
      </c>
      <c r="V184" t="n">
        <v>1.978716285</v>
      </c>
      <c r="X184" t="n">
        <v>0.7169938810000001</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1.924120265</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-0.815140006</v>
      </c>
      <c r="V185" t="n">
        <v>1.380809711</v>
      </c>
      <c r="X185" t="n">
        <v>1.435255457</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2.144158954</v>
      </c>
      <c r="AN185" t="n">
        <v>1.24827026</v>
      </c>
      <c r="AP185" t="n">
        <v>-2.719594084</v>
      </c>
      <c r="AT185" t="n">
        <v>-4.905089713</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-0.923757645</v>
      </c>
      <c r="V186" t="n">
        <v>1.172508994</v>
      </c>
      <c r="X186" t="n">
        <v>2.170616144</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4.395211721</v>
      </c>
      <c r="AN186" t="n">
        <v>1.398896977</v>
      </c>
      <c r="AP186" t="n">
        <v>-1.76772333</v>
      </c>
      <c r="AT186" t="n">
        <v>-3.176791843</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-0.689429787</v>
      </c>
      <c r="V187" t="n">
        <v>0.9570670489999999</v>
      </c>
      <c r="X187" t="n">
        <v>2.380402198</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7.335253871</v>
      </c>
      <c r="AN187" t="n">
        <v>1.298528682</v>
      </c>
      <c r="AP187" t="n">
        <v>-0.741093157</v>
      </c>
      <c r="AT187" t="n">
        <v>-0.954504697</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-0.277654531</v>
      </c>
      <c r="V188" t="n">
        <v>1.479312026</v>
      </c>
      <c r="X188" t="n">
        <v>2.43166853</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6.987908962</v>
      </c>
      <c r="AN188" t="n">
        <v>1.895719779</v>
      </c>
      <c r="AP188" t="n">
        <v>-0.24897242</v>
      </c>
      <c r="AT188" t="n">
        <v>0.709480331</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1.048321892</v>
      </c>
      <c r="V189" t="n">
        <v>2.266222088</v>
      </c>
      <c r="X189" t="n">
        <v>2.825575189</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6.850225659</v>
      </c>
      <c r="AN189" t="n">
        <v>2.629312535</v>
      </c>
      <c r="AP189" t="n">
        <v>1.426321021</v>
      </c>
      <c r="AR189" t="n">
        <v>5.973834269</v>
      </c>
      <c r="AT189" t="n">
        <v>3.581529105</v>
      </c>
      <c r="AV189" t="n">
        <v>3.430523014</v>
      </c>
      <c r="AW189" t="n">
        <v>2.795771186</v>
      </c>
    </row>
    <row r="190">
      <c r="A190" t="inlineStr">
        <is>
          <t>1994-Q2</t>
        </is>
      </c>
      <c r="B190" s="87"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2.10837201</v>
      </c>
      <c r="V190" t="n">
        <v>2.898020691</v>
      </c>
      <c r="X190" t="n">
        <v>3.506210932</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5.23361287</v>
      </c>
      <c r="AN190" t="n">
        <v>2.763849915</v>
      </c>
      <c r="AP190" t="n">
        <v>2.68916016</v>
      </c>
      <c r="AR190" t="n">
        <v>5.793638036</v>
      </c>
      <c r="AT190" t="n">
        <v>3.308698258</v>
      </c>
      <c r="AV190" t="n">
        <v>4.225399702</v>
      </c>
      <c r="AW190" t="n">
        <v>3.094816274</v>
      </c>
    </row>
    <row r="191">
      <c r="A191" t="inlineStr">
        <is>
          <t>1994-Q3</t>
        </is>
      </c>
      <c r="B191" s="87"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2.787382498</v>
      </c>
      <c r="V191" t="n">
        <v>3.471549133</v>
      </c>
      <c r="X191" t="n">
        <v>3.839408533</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4.90824303</v>
      </c>
      <c r="AN191" t="n">
        <v>3.309227493</v>
      </c>
      <c r="AP191" t="n">
        <v>2.441003251</v>
      </c>
      <c r="AR191" t="n">
        <v>6.567374548</v>
      </c>
      <c r="AT191" t="n">
        <v>3.381758637</v>
      </c>
      <c r="AV191" t="n">
        <v>4.33678486</v>
      </c>
      <c r="AW191" t="n">
        <v>2.934120028</v>
      </c>
    </row>
    <row r="192">
      <c r="A192" t="inlineStr">
        <is>
          <t>1994-Q4</t>
        </is>
      </c>
      <c r="B192" s="87"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3.506622701</v>
      </c>
      <c r="V192" t="n">
        <v>3.411391679</v>
      </c>
      <c r="X192" t="n">
        <v>3.73420581</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5.321588832</v>
      </c>
      <c r="AN192" t="n">
        <v>3.417735377</v>
      </c>
      <c r="AP192" t="n">
        <v>3.325675959</v>
      </c>
      <c r="AR192" t="n">
        <v>6.472727923</v>
      </c>
      <c r="AT192" t="n">
        <v>4.873091875</v>
      </c>
      <c r="AV192" t="n">
        <v>4.115926516</v>
      </c>
      <c r="AW192" t="n">
        <v>3.959652538</v>
      </c>
    </row>
    <row r="193">
      <c r="A193" t="inlineStr">
        <is>
          <t>1995-Q1</t>
        </is>
      </c>
      <c r="B193" s="87"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3.144848812</v>
      </c>
      <c r="V193" t="n">
        <v>2.890380174</v>
      </c>
      <c r="X193" t="n">
        <v>2.908461333</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5.009659147</v>
      </c>
      <c r="AN193" t="n">
        <v>2.820890179</v>
      </c>
      <c r="AP193" t="n">
        <v>3.156940472</v>
      </c>
      <c r="AR193" t="n">
        <v>6.190057349</v>
      </c>
      <c r="AT193" t="n">
        <v>5.010736163</v>
      </c>
      <c r="AV193" t="n">
        <v>3.481130297</v>
      </c>
      <c r="AW193" t="n">
        <v>4.268641734</v>
      </c>
    </row>
    <row r="194">
      <c r="A194" t="inlineStr">
        <is>
          <t>1995-Q2</t>
        </is>
      </c>
      <c r="B194" s="87"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2.750768341</v>
      </c>
      <c r="V194" t="n">
        <v>2.516360767</v>
      </c>
      <c r="X194" t="n">
        <v>2.014827659</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5.646630237</v>
      </c>
      <c r="AN194" t="n">
        <v>2.626230593</v>
      </c>
      <c r="AP194" t="n">
        <v>3.038099685</v>
      </c>
      <c r="AR194" t="n">
        <v>6.660456382</v>
      </c>
      <c r="AT194" t="n">
        <v>4.445408018</v>
      </c>
      <c r="AV194" t="n">
        <v>2.402168869</v>
      </c>
      <c r="AW194" t="n">
        <v>3.558021252</v>
      </c>
    </row>
    <row r="195">
      <c r="A195" t="inlineStr">
        <is>
          <t>1995-Q3</t>
        </is>
      </c>
      <c r="B195" s="87"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2.055015393</v>
      </c>
      <c r="V195" t="n">
        <v>2.463488442</v>
      </c>
      <c r="X195" t="n">
        <v>1.932730408</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4.825711545</v>
      </c>
      <c r="AN195" t="n">
        <v>2.570927653</v>
      </c>
      <c r="AP195" t="n">
        <v>3.019269921</v>
      </c>
      <c r="AR195" t="n">
        <v>5.275469749</v>
      </c>
      <c r="AT195" t="n">
        <v>3.904705403</v>
      </c>
      <c r="AV195" t="n">
        <v>2.673106856</v>
      </c>
      <c r="AW195" t="n">
        <v>3.085873972</v>
      </c>
    </row>
    <row r="196">
      <c r="A196" t="inlineStr">
        <is>
          <t>1995-Q4</t>
        </is>
      </c>
      <c r="B196" s="87"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1.118147582</v>
      </c>
      <c r="V196" t="n">
        <v>2.110812159</v>
      </c>
      <c r="X196" t="n">
        <v>1.621436756</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4.146941867</v>
      </c>
      <c r="AN196" t="n">
        <v>2.134542409</v>
      </c>
      <c r="AP196" t="n">
        <v>2.485423689</v>
      </c>
      <c r="AR196" t="n">
        <v>5.784114897</v>
      </c>
      <c r="AT196" t="n">
        <v>3.265887907</v>
      </c>
      <c r="AV196" t="n">
        <v>2.199579909</v>
      </c>
      <c r="AW196" t="n">
        <v>1.545603231</v>
      </c>
    </row>
    <row r="197">
      <c r="A197" t="inlineStr">
        <is>
          <t>1996-Q1</t>
        </is>
      </c>
      <c r="B197" s="87" t="n">
        <v>35156</v>
      </c>
      <c r="C197" t="n">
        <v>-0.771663571</v>
      </c>
      <c r="D197" t="n">
        <v>4.360667775</v>
      </c>
      <c r="E197" t="n">
        <v>1.784818389</v>
      </c>
      <c r="F197" t="n">
        <v>1.026925133</v>
      </c>
      <c r="H197" t="n">
        <v>0.651940818</v>
      </c>
      <c r="I197" t="n">
        <v>1.005664287</v>
      </c>
      <c r="J197" t="n">
        <v>8.39844639</v>
      </c>
      <c r="K197" t="n">
        <v>10.9</v>
      </c>
      <c r="L197" t="n">
        <v>4.980595243</v>
      </c>
      <c r="M197" t="n">
        <v>0.130783017</v>
      </c>
      <c r="N197" t="n">
        <v>0.877556676</v>
      </c>
      <c r="O197" t="n">
        <v>1.424217091</v>
      </c>
      <c r="P197" t="n">
        <v>2.396042839</v>
      </c>
      <c r="Q197" t="n">
        <v>0.729625783</v>
      </c>
      <c r="R197" t="n">
        <v>1.65020644</v>
      </c>
      <c r="T197" t="n">
        <v>4.11643026</v>
      </c>
      <c r="U197" t="n">
        <v>1.512261057</v>
      </c>
      <c r="V197" t="n">
        <v>2.136095819</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4.343487886</v>
      </c>
      <c r="AN197" t="n">
        <v>2.518492747</v>
      </c>
      <c r="AO197" t="n">
        <v>8.278889163000001</v>
      </c>
      <c r="AP197" t="n">
        <v>3.114674906</v>
      </c>
      <c r="AR197" t="n">
        <v>5.965078755</v>
      </c>
      <c r="AS197" t="n">
        <v>1.328072531</v>
      </c>
      <c r="AT197" t="n">
        <v>2.636186079</v>
      </c>
      <c r="AV197" t="n">
        <v>2.601103993</v>
      </c>
      <c r="AW197" t="n">
        <v>3.168866593</v>
      </c>
    </row>
    <row r="198">
      <c r="A198" t="inlineStr">
        <is>
          <t>1996-Q2</t>
        </is>
      </c>
      <c r="B198" s="87" t="n">
        <v>35247</v>
      </c>
      <c r="C198" t="n">
        <v>5.436258599</v>
      </c>
      <c r="D198" t="n">
        <v>4.587747657</v>
      </c>
      <c r="E198" t="n">
        <v>2.101184636</v>
      </c>
      <c r="F198" t="n">
        <v>1.309798977</v>
      </c>
      <c r="H198" t="n">
        <v>1.311865775</v>
      </c>
      <c r="I198" t="n">
        <v>0.470774195</v>
      </c>
      <c r="J198" t="n">
        <v>6.739028068</v>
      </c>
      <c r="K198" t="n">
        <v>9.4</v>
      </c>
      <c r="L198" t="n">
        <v>5.261256967</v>
      </c>
      <c r="M198" t="n">
        <v>0.740064669</v>
      </c>
      <c r="N198" t="n">
        <v>3.90660937</v>
      </c>
      <c r="O198" t="n">
        <v>1.538710168</v>
      </c>
      <c r="P198" t="n">
        <v>2.516054263</v>
      </c>
      <c r="Q198" t="n">
        <v>3.467307317</v>
      </c>
      <c r="R198" t="n">
        <v>1.75186429</v>
      </c>
      <c r="T198" t="n">
        <v>2.19286886</v>
      </c>
      <c r="U198" t="n">
        <v>0.988435154</v>
      </c>
      <c r="V198" t="n">
        <v>2.867145604</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3.943965517</v>
      </c>
      <c r="AN198" t="n">
        <v>3.295043648</v>
      </c>
      <c r="AO198" t="n">
        <v>8.410095695000001</v>
      </c>
      <c r="AP198" t="n">
        <v>3.135435389</v>
      </c>
      <c r="AR198" t="n">
        <v>5.453130114</v>
      </c>
      <c r="AS198" t="n">
        <v>2.269169762</v>
      </c>
      <c r="AT198" t="n">
        <v>1.352581911</v>
      </c>
      <c r="AV198" t="n">
        <v>4.002127064</v>
      </c>
      <c r="AW198" t="n">
        <v>4.098710883</v>
      </c>
    </row>
    <row r="199">
      <c r="A199" t="inlineStr">
        <is>
          <t>1996-Q3</t>
        </is>
      </c>
      <c r="B199" s="87" t="n">
        <v>35339</v>
      </c>
      <c r="C199" t="n">
        <v>8.276059804000001</v>
      </c>
      <c r="D199" t="n">
        <v>3.092787647</v>
      </c>
      <c r="E199" t="n">
        <v>2.22543413</v>
      </c>
      <c r="F199" t="n">
        <v>1.16970465</v>
      </c>
      <c r="H199" t="n">
        <v>2.052683265</v>
      </c>
      <c r="I199" t="n">
        <v>-0.09813780599999999</v>
      </c>
      <c r="J199" t="n">
        <v>7.463833953</v>
      </c>
      <c r="K199" t="n">
        <v>9.199999999999999</v>
      </c>
      <c r="L199" t="n">
        <v>2.810025742</v>
      </c>
      <c r="M199" t="n">
        <v>0.907324264</v>
      </c>
      <c r="N199" t="n">
        <v>3.767712314</v>
      </c>
      <c r="O199" t="n">
        <v>1.706193926</v>
      </c>
      <c r="P199" t="n">
        <v>2.978766115</v>
      </c>
      <c r="Q199" t="n">
        <v>7.119853491</v>
      </c>
      <c r="R199" t="n">
        <v>1.848919475</v>
      </c>
      <c r="T199" t="n">
        <v>3.25219704</v>
      </c>
      <c r="U199" t="n">
        <v>1.33759894</v>
      </c>
      <c r="V199" t="n">
        <v>2.738015682</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3.670032643</v>
      </c>
      <c r="AN199" t="n">
        <v>3.158429767</v>
      </c>
      <c r="AO199" t="n">
        <v>6.629216618</v>
      </c>
      <c r="AP199" t="n">
        <v>4.083239602</v>
      </c>
      <c r="AR199" t="n">
        <v>7.478143869</v>
      </c>
      <c r="AS199" t="n">
        <v>3.386463064</v>
      </c>
      <c r="AT199" t="n">
        <v>1.377247945</v>
      </c>
      <c r="AV199" t="n">
        <v>4.04992139</v>
      </c>
      <c r="AW199" t="n">
        <v>4.644751385</v>
      </c>
    </row>
    <row r="200">
      <c r="A200" t="inlineStr">
        <is>
          <t>1996-Q4</t>
        </is>
      </c>
      <c r="B200" s="87" t="n">
        <v>35431</v>
      </c>
      <c r="C200" t="n">
        <v>9.410196998</v>
      </c>
      <c r="D200" t="n">
        <v>4.072932696</v>
      </c>
      <c r="E200" t="n">
        <v>2.026844504</v>
      </c>
      <c r="F200" t="n">
        <v>1.757896638</v>
      </c>
      <c r="H200" t="n">
        <v>2.454708574</v>
      </c>
      <c r="I200" t="n">
        <v>0.499259762</v>
      </c>
      <c r="J200" t="n">
        <v>6.919503629</v>
      </c>
      <c r="K200" t="n">
        <v>10.3</v>
      </c>
      <c r="L200" t="n">
        <v>3.646240037</v>
      </c>
      <c r="M200" t="n">
        <v>1.619382048</v>
      </c>
      <c r="N200" t="n">
        <v>3.049006173</v>
      </c>
      <c r="O200" t="n">
        <v>1.820795253</v>
      </c>
      <c r="P200" t="n">
        <v>2.747444334</v>
      </c>
      <c r="Q200" t="n">
        <v>8.032596117000001</v>
      </c>
      <c r="R200" t="n">
        <v>1.823230896</v>
      </c>
      <c r="T200" t="n">
        <v>5.134502586</v>
      </c>
      <c r="U200" t="n">
        <v>1.596148008</v>
      </c>
      <c r="V200" t="n">
        <v>3.163664061</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4.324242424</v>
      </c>
      <c r="AN200" t="n">
        <v>3.575944553</v>
      </c>
      <c r="AO200" t="n">
        <v>1.649273109</v>
      </c>
      <c r="AP200" t="n">
        <v>3.674688619</v>
      </c>
      <c r="AR200" t="n">
        <v>7.544497536</v>
      </c>
      <c r="AS200" t="n">
        <v>4.946837708</v>
      </c>
      <c r="AT200" t="n">
        <v>0.996922846</v>
      </c>
      <c r="AV200" t="n">
        <v>4.421314452</v>
      </c>
      <c r="AW200" t="n">
        <v>5.272397341</v>
      </c>
    </row>
    <row r="201">
      <c r="A201" t="inlineStr">
        <is>
          <t>1997-Q1</t>
        </is>
      </c>
      <c r="B201" s="87" t="n">
        <v>35521</v>
      </c>
      <c r="C201" t="n">
        <v>8.718642749000001</v>
      </c>
      <c r="D201" t="n">
        <v>3.030973801</v>
      </c>
      <c r="E201" t="n">
        <v>1.870038151</v>
      </c>
      <c r="F201" t="n">
        <v>2.985407152</v>
      </c>
      <c r="G201" t="n">
        <v>4.98897467</v>
      </c>
      <c r="H201" t="n">
        <v>3.734889509</v>
      </c>
      <c r="I201" t="n">
        <v>1.113801916</v>
      </c>
      <c r="J201" t="n">
        <v>5.809965161</v>
      </c>
      <c r="K201" t="n">
        <v>10.1</v>
      </c>
      <c r="L201" t="n">
        <v>0.769904237</v>
      </c>
      <c r="M201" t="n">
        <v>1.920072869</v>
      </c>
      <c r="N201" t="n">
        <v>4.326700118</v>
      </c>
      <c r="O201" t="n">
        <v>1.949782926</v>
      </c>
      <c r="P201" t="n">
        <v>3.180672777</v>
      </c>
      <c r="Q201" t="n">
        <v>10.951752521</v>
      </c>
      <c r="R201" t="n">
        <v>2.009191176</v>
      </c>
      <c r="T201" t="n">
        <v>4.490108705</v>
      </c>
      <c r="U201" t="n">
        <v>1.230751018</v>
      </c>
      <c r="V201" t="n">
        <v>3.165842434</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2.489242171</v>
      </c>
      <c r="AN201" t="n">
        <v>3.462722882</v>
      </c>
      <c r="AO201" t="n">
        <v>5.776769539</v>
      </c>
      <c r="AP201" t="n">
        <v>4.553999969</v>
      </c>
      <c r="AR201" t="n">
        <v>6.799178999</v>
      </c>
      <c r="AS201" t="n">
        <v>4.793741991</v>
      </c>
      <c r="AT201" t="n">
        <v>1.252122185</v>
      </c>
      <c r="AV201" t="n">
        <v>4.314134541</v>
      </c>
      <c r="AW201" t="n">
        <v>3.837501516</v>
      </c>
    </row>
    <row r="202">
      <c r="A202" t="inlineStr">
        <is>
          <t>1997-Q2</t>
        </is>
      </c>
      <c r="B202" s="87" t="n">
        <v>35612</v>
      </c>
      <c r="C202" t="n">
        <v>7.93033306</v>
      </c>
      <c r="D202" t="n">
        <v>5.434821032</v>
      </c>
      <c r="E202" t="n">
        <v>1.426131015</v>
      </c>
      <c r="F202" t="n">
        <v>3.849557522</v>
      </c>
      <c r="G202" t="n">
        <v>4.357090393</v>
      </c>
      <c r="H202" t="n">
        <v>4.181304643</v>
      </c>
      <c r="I202" t="n">
        <v>1.749309552</v>
      </c>
      <c r="J202" t="n">
        <v>6.948052477</v>
      </c>
      <c r="K202" t="n">
        <v>10</v>
      </c>
      <c r="L202" t="n">
        <v>-0.121897447</v>
      </c>
      <c r="M202" t="n">
        <v>1.868803931</v>
      </c>
      <c r="N202" t="n">
        <v>3.320563274</v>
      </c>
      <c r="O202" t="n">
        <v>2.483193629</v>
      </c>
      <c r="P202" t="n">
        <v>3.353230625</v>
      </c>
      <c r="Q202" t="n">
        <v>13.679319289</v>
      </c>
      <c r="R202" t="n">
        <v>2.5154132</v>
      </c>
      <c r="T202" t="n">
        <v>5.246261722</v>
      </c>
      <c r="U202" t="n">
        <v>2.134774204</v>
      </c>
      <c r="V202" t="n">
        <v>3.064818396</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3.578093066</v>
      </c>
      <c r="AN202" t="n">
        <v>3.625084458</v>
      </c>
      <c r="AO202" t="n">
        <v>5.146160688</v>
      </c>
      <c r="AP202" t="n">
        <v>4.25348435</v>
      </c>
      <c r="AR202" t="n">
        <v>7.127962116</v>
      </c>
      <c r="AS202" t="n">
        <v>5.95733815</v>
      </c>
      <c r="AT202" t="n">
        <v>3.227344394</v>
      </c>
      <c r="AV202" t="n">
        <v>4.308074979</v>
      </c>
      <c r="AW202" t="n">
        <v>3.258806281</v>
      </c>
    </row>
    <row r="203">
      <c r="A203" t="inlineStr">
        <is>
          <t>1997-Q3</t>
        </is>
      </c>
      <c r="B203" s="87" t="n">
        <v>35704</v>
      </c>
      <c r="C203" t="n">
        <v>8.163017930000001</v>
      </c>
      <c r="D203" t="n">
        <v>4.732828592</v>
      </c>
      <c r="E203" t="n">
        <v>2.31118236</v>
      </c>
      <c r="F203" t="n">
        <v>4.284750802</v>
      </c>
      <c r="G203" t="n">
        <v>1.878842026</v>
      </c>
      <c r="H203" t="n">
        <v>4.511271996</v>
      </c>
      <c r="I203" t="n">
        <v>2.891604191</v>
      </c>
      <c r="J203" t="n">
        <v>8.284487969000001</v>
      </c>
      <c r="K203" t="n">
        <v>8.6</v>
      </c>
      <c r="L203" t="n">
        <v>-1.218810406</v>
      </c>
      <c r="M203" t="n">
        <v>1.836870275</v>
      </c>
      <c r="N203" t="n">
        <v>2.738326569</v>
      </c>
      <c r="O203" t="n">
        <v>2.78749462</v>
      </c>
      <c r="P203" t="n">
        <v>3.694538602</v>
      </c>
      <c r="Q203" t="n">
        <v>13.142515742</v>
      </c>
      <c r="R203" t="n">
        <v>2.776877355</v>
      </c>
      <c r="T203" t="n">
        <v>7.105859955</v>
      </c>
      <c r="U203" t="n">
        <v>2.60990223</v>
      </c>
      <c r="V203" t="n">
        <v>3.326172146</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2.669060091</v>
      </c>
      <c r="AN203" t="n">
        <v>3.822110308</v>
      </c>
      <c r="AO203" t="n">
        <v>4.448203837</v>
      </c>
      <c r="AP203" t="n">
        <v>4.196041148</v>
      </c>
      <c r="AR203" t="n">
        <v>6.24649994</v>
      </c>
      <c r="AS203" t="n">
        <v>5.529049897</v>
      </c>
      <c r="AT203" t="n">
        <v>3.614739898</v>
      </c>
      <c r="AV203" t="n">
        <v>4.673802575</v>
      </c>
      <c r="AW203" t="n">
        <v>2.144435333</v>
      </c>
    </row>
    <row r="204">
      <c r="A204" t="inlineStr">
        <is>
          <t>1997-Q4</t>
        </is>
      </c>
      <c r="B204" s="87" t="n">
        <v>35796</v>
      </c>
      <c r="C204" t="n">
        <v>7.662890987</v>
      </c>
      <c r="D204" t="n">
        <v>5.27557292</v>
      </c>
      <c r="E204" t="n">
        <v>3.179171604</v>
      </c>
      <c r="F204" t="n">
        <v>4.045011335</v>
      </c>
      <c r="G204" t="n">
        <v>3.724515107</v>
      </c>
      <c r="H204" t="n">
        <v>4.6802186</v>
      </c>
      <c r="I204" t="n">
        <v>3.149741668</v>
      </c>
      <c r="J204" t="n">
        <v>9.026836803</v>
      </c>
      <c r="K204" t="n">
        <v>8.6</v>
      </c>
      <c r="L204" t="n">
        <v>-1.560838508</v>
      </c>
      <c r="M204" t="n">
        <v>1.835793338</v>
      </c>
      <c r="N204" t="n">
        <v>2.689372527</v>
      </c>
      <c r="O204" t="n">
        <v>3.451808045</v>
      </c>
      <c r="P204" t="n">
        <v>4.565801736</v>
      </c>
      <c r="Q204" t="n">
        <v>14.362157887</v>
      </c>
      <c r="R204" t="n">
        <v>3.51058089</v>
      </c>
      <c r="T204" t="n">
        <v>8.233936129</v>
      </c>
      <c r="U204" t="n">
        <v>3.357567473</v>
      </c>
      <c r="V204" t="n">
        <v>3.305819388</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1.164783455</v>
      </c>
      <c r="AN204" t="n">
        <v>3.813075</v>
      </c>
      <c r="AO204" t="n">
        <v>10.031875555</v>
      </c>
      <c r="AP204" t="n">
        <v>4.601245602</v>
      </c>
      <c r="AR204" t="n">
        <v>3.635487541</v>
      </c>
      <c r="AS204" t="n">
        <v>4.102698958</v>
      </c>
      <c r="AT204" t="n">
        <v>4.934615088</v>
      </c>
      <c r="AV204" t="n">
        <v>4.487684458</v>
      </c>
      <c r="AW204" t="n">
        <v>1.209032657</v>
      </c>
    </row>
    <row r="205">
      <c r="A205" t="inlineStr">
        <is>
          <t>1998-Q1</t>
        </is>
      </c>
      <c r="B205" s="87" t="n">
        <v>35886</v>
      </c>
      <c r="C205" t="n">
        <v>5.993873078</v>
      </c>
      <c r="D205" t="n">
        <v>5.296252532</v>
      </c>
      <c r="E205" t="n">
        <v>3.400235958</v>
      </c>
      <c r="F205" t="n">
        <v>3.280151433</v>
      </c>
      <c r="G205" t="n">
        <v>0.622225598</v>
      </c>
      <c r="H205" t="n">
        <v>4.776552234</v>
      </c>
      <c r="I205" t="n">
        <v>3.071773382</v>
      </c>
      <c r="J205" t="n">
        <v>7.465671305</v>
      </c>
      <c r="K205" t="n">
        <v>7.3</v>
      </c>
      <c r="L205" t="n">
        <v>-1.120170477</v>
      </c>
      <c r="M205" t="n">
        <v>3.332048181</v>
      </c>
      <c r="N205" t="n">
        <v>2.945633139</v>
      </c>
      <c r="O205" t="n">
        <v>3.853247295</v>
      </c>
      <c r="P205" t="n">
        <v>4.422107873</v>
      </c>
      <c r="Q205" t="n">
        <v>11.264362953</v>
      </c>
      <c r="R205" t="n">
        <v>3.82283717</v>
      </c>
      <c r="T205" t="n">
        <v>6.193127801</v>
      </c>
      <c r="U205" t="n">
        <v>3.962805895</v>
      </c>
      <c r="V205" t="n">
        <v>3.276974576</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1.008834592</v>
      </c>
      <c r="AN205" t="n">
        <v>3.605308547</v>
      </c>
      <c r="AO205" t="n">
        <v>5.553033822</v>
      </c>
      <c r="AP205" t="n">
        <v>4.398434698</v>
      </c>
      <c r="AR205" t="n">
        <v>4.439427111</v>
      </c>
      <c r="AS205" t="n">
        <v>4.219777068</v>
      </c>
      <c r="AT205" t="n">
        <v>4.430496366</v>
      </c>
      <c r="AV205" t="n">
        <v>4.855005883</v>
      </c>
      <c r="AW205" t="n">
        <v>1.006025756</v>
      </c>
    </row>
    <row r="206">
      <c r="A206" t="inlineStr">
        <is>
          <t>1998-Q2</t>
        </is>
      </c>
      <c r="B206" s="87" t="n">
        <v>35977</v>
      </c>
      <c r="C206" t="n">
        <v>6.486822435</v>
      </c>
      <c r="D206" t="n">
        <v>3.197037655</v>
      </c>
      <c r="E206" t="n">
        <v>4.115149399</v>
      </c>
      <c r="F206" t="n">
        <v>2.045164039</v>
      </c>
      <c r="G206" t="n">
        <v>1.780204565</v>
      </c>
      <c r="H206" t="n">
        <v>3.661507904</v>
      </c>
      <c r="I206" t="n">
        <v>3.930737275</v>
      </c>
      <c r="J206" t="n">
        <v>7.060494104</v>
      </c>
      <c r="K206" t="n">
        <v>6.9</v>
      </c>
      <c r="L206" t="n">
        <v>-0.623731779</v>
      </c>
      <c r="M206" t="n">
        <v>1.568821144</v>
      </c>
      <c r="N206" t="n">
        <v>0.443072991</v>
      </c>
      <c r="O206" t="n">
        <v>3.053350253</v>
      </c>
      <c r="P206" t="n">
        <v>4.651064482</v>
      </c>
      <c r="Q206" t="n">
        <v>6.173122134</v>
      </c>
      <c r="R206" t="n">
        <v>3.021399032</v>
      </c>
      <c r="T206" t="n">
        <v>6.715898753</v>
      </c>
      <c r="U206" t="n">
        <v>3.760236565</v>
      </c>
      <c r="V206" t="n">
        <v>2.652675186</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-0.411793303</v>
      </c>
      <c r="AN206" t="n">
        <v>2.759226852</v>
      </c>
      <c r="AO206" t="n">
        <v>4.136986575</v>
      </c>
      <c r="AP206" t="n">
        <v>5.047223434</v>
      </c>
      <c r="AR206" t="n">
        <v>2.91853635</v>
      </c>
      <c r="AS206" t="n">
        <v>2.612692521</v>
      </c>
      <c r="AT206" t="n">
        <v>4.615572761</v>
      </c>
      <c r="AV206" t="n">
        <v>4.095726841</v>
      </c>
      <c r="AW206" t="n">
        <v>0.518211659</v>
      </c>
    </row>
    <row r="207">
      <c r="A207" t="inlineStr">
        <is>
          <t>1998-Q3</t>
        </is>
      </c>
      <c r="B207" s="87" t="n">
        <v>36069</v>
      </c>
      <c r="C207" t="n">
        <v>3.555725661</v>
      </c>
      <c r="D207" t="n">
        <v>5.027178463</v>
      </c>
      <c r="E207" t="n">
        <v>3.612610355</v>
      </c>
      <c r="F207" t="n">
        <v>1.449198849</v>
      </c>
      <c r="G207" t="n">
        <v>0.512312332</v>
      </c>
      <c r="H207" t="n">
        <v>3.381592962</v>
      </c>
      <c r="I207" t="n">
        <v>2.819173201</v>
      </c>
      <c r="J207" t="n">
        <v>3.992208516</v>
      </c>
      <c r="K207" t="n">
        <v>7.8</v>
      </c>
      <c r="L207" t="n">
        <v>-0.008012004</v>
      </c>
      <c r="M207" t="n">
        <v>1.740657421</v>
      </c>
      <c r="N207" t="n">
        <v>2.578105832</v>
      </c>
      <c r="O207" t="n">
        <v>2.83782504</v>
      </c>
      <c r="P207" t="n">
        <v>4.397366071</v>
      </c>
      <c r="Q207" t="n">
        <v>3.283423346</v>
      </c>
      <c r="R207" t="n">
        <v>2.888890091</v>
      </c>
      <c r="T207" t="n">
        <v>5.567899621</v>
      </c>
      <c r="U207" t="n">
        <v>3.508885713</v>
      </c>
      <c r="V207" t="n">
        <v>2.561340432</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-0.080254521</v>
      </c>
      <c r="AN207" t="n">
        <v>2.537317872</v>
      </c>
      <c r="AO207" t="n">
        <v>4.694005715</v>
      </c>
      <c r="AP207" t="n">
        <v>4.847647587</v>
      </c>
      <c r="AR207" t="n">
        <v>0.397518908</v>
      </c>
      <c r="AS207" t="n">
        <v>2.581313002</v>
      </c>
      <c r="AT207" t="n">
        <v>4.381064279</v>
      </c>
      <c r="AV207" t="n">
        <v>4.097768623</v>
      </c>
      <c r="AW207" t="n">
        <v>0.198422096</v>
      </c>
    </row>
    <row r="208">
      <c r="A208" t="inlineStr">
        <is>
          <t>1998-Q4</t>
        </is>
      </c>
      <c r="B208" s="87" t="n">
        <v>36161</v>
      </c>
      <c r="C208" t="n">
        <v>-0.429833848</v>
      </c>
      <c r="D208" t="n">
        <v>5.089680919</v>
      </c>
      <c r="E208" t="n">
        <v>2.955054568</v>
      </c>
      <c r="F208" t="n">
        <v>1.113036174</v>
      </c>
      <c r="G208" t="n">
        <v>-1.468484534</v>
      </c>
      <c r="H208" t="n">
        <v>3.783318734</v>
      </c>
      <c r="I208" t="n">
        <v>1.913270321</v>
      </c>
      <c r="J208" t="n">
        <v>-1.471066787</v>
      </c>
      <c r="K208" t="n">
        <v>9.1</v>
      </c>
      <c r="L208" t="n">
        <v>0.368199446</v>
      </c>
      <c r="M208" t="n">
        <v>0.5633512470000001</v>
      </c>
      <c r="N208" t="n">
        <v>2.921187732</v>
      </c>
      <c r="O208" t="n">
        <v>1.822216688</v>
      </c>
      <c r="P208" t="n">
        <v>4.109377334</v>
      </c>
      <c r="Q208" t="n">
        <v>-1.676421915</v>
      </c>
      <c r="R208" t="n">
        <v>1.930084829</v>
      </c>
      <c r="T208" t="n">
        <v>3.455893555</v>
      </c>
      <c r="U208" t="n">
        <v>3.172703302</v>
      </c>
      <c r="V208" t="n">
        <v>2.6887574</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1.093947399</v>
      </c>
      <c r="AN208" t="n">
        <v>2.43511059</v>
      </c>
      <c r="AO208" t="n">
        <v>3.270160092</v>
      </c>
      <c r="AP208" t="n">
        <v>4.931888145</v>
      </c>
      <c r="AR208" t="n">
        <v>8.565231764</v>
      </c>
      <c r="AS208" t="n">
        <v>2.976618536</v>
      </c>
      <c r="AT208" t="n">
        <v>3.512049413</v>
      </c>
      <c r="AV208" t="n">
        <v>4.879540776</v>
      </c>
      <c r="AW208" t="n">
        <v>0.281043355</v>
      </c>
    </row>
    <row r="209">
      <c r="A209" t="inlineStr">
        <is>
          <t>1999-Q1</t>
        </is>
      </c>
      <c r="B209" s="87" t="n">
        <v>36251</v>
      </c>
      <c r="C209" t="n">
        <v>-2.176492064</v>
      </c>
      <c r="D209" t="n">
        <v>5.173776966</v>
      </c>
      <c r="E209" t="n">
        <v>2.762470204</v>
      </c>
      <c r="F209" t="n">
        <v>1.904799309</v>
      </c>
      <c r="G209" t="n">
        <v>0.69545424</v>
      </c>
      <c r="H209" t="n">
        <v>4.194104167</v>
      </c>
      <c r="I209" t="n">
        <v>1.074544898</v>
      </c>
      <c r="J209" t="n">
        <v>-2.237506971</v>
      </c>
      <c r="K209" t="n">
        <v>8.9</v>
      </c>
      <c r="L209" t="n">
        <v>0.394784701</v>
      </c>
      <c r="M209" t="n">
        <v>0.7782643420000001</v>
      </c>
      <c r="N209" t="n">
        <v>2.31105754</v>
      </c>
      <c r="O209" t="n">
        <v>2.29322565</v>
      </c>
      <c r="P209" t="n">
        <v>4.235349388</v>
      </c>
      <c r="Q209" t="n">
        <v>-3.214104941</v>
      </c>
      <c r="R209" t="n">
        <v>2.299603994</v>
      </c>
      <c r="T209" t="n">
        <v>5.934262693</v>
      </c>
      <c r="U209" t="n">
        <v>3.307675864</v>
      </c>
      <c r="V209" t="n">
        <v>2.81435283</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2.814421384</v>
      </c>
      <c r="AN209" t="n">
        <v>2.70583573</v>
      </c>
      <c r="AO209" t="n">
        <v>2.164412331</v>
      </c>
      <c r="AP209" t="n">
        <v>4.809349106</v>
      </c>
      <c r="AR209" t="n">
        <v>3.103694746</v>
      </c>
      <c r="AS209" t="n">
        <v>4.063944742</v>
      </c>
      <c r="AT209" t="n">
        <v>4.240262645</v>
      </c>
      <c r="AU209" t="n">
        <v>-4.090021275</v>
      </c>
      <c r="AV209" t="n">
        <v>4.821857932</v>
      </c>
      <c r="AW209" t="n">
        <v>0.979536196</v>
      </c>
    </row>
    <row r="210">
      <c r="A210" t="inlineStr">
        <is>
          <t>1999-Q2</t>
        </is>
      </c>
      <c r="B210" s="87" t="n">
        <v>36342</v>
      </c>
      <c r="C210" t="n">
        <v>-5.140582449</v>
      </c>
      <c r="D210" t="n">
        <v>4.541221148</v>
      </c>
      <c r="E210" t="n">
        <v>3.095034194</v>
      </c>
      <c r="F210" t="n">
        <v>2.956680585</v>
      </c>
      <c r="G210" t="n">
        <v>-0.464783727</v>
      </c>
      <c r="H210" t="n">
        <v>5.009661214</v>
      </c>
      <c r="I210" t="n">
        <v>0.553350419</v>
      </c>
      <c r="J210" t="n">
        <v>-3.605962725</v>
      </c>
      <c r="K210" t="n">
        <v>7.9</v>
      </c>
      <c r="L210" t="n">
        <v>0.581592022</v>
      </c>
      <c r="M210" t="n">
        <v>1.217638475</v>
      </c>
      <c r="N210" t="n">
        <v>3.621945401</v>
      </c>
      <c r="O210" t="n">
        <v>2.306213125</v>
      </c>
      <c r="P210" t="n">
        <v>4.295401643</v>
      </c>
      <c r="Q210" t="n">
        <v>-1.809839835</v>
      </c>
      <c r="R210" t="n">
        <v>2.370154167</v>
      </c>
      <c r="T210" t="n">
        <v>4.390231672</v>
      </c>
      <c r="U210" t="n">
        <v>2.765522658</v>
      </c>
      <c r="V210" t="n">
        <v>2.932299205</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3.089734386</v>
      </c>
      <c r="AN210" t="n">
        <v>2.965880328</v>
      </c>
      <c r="AO210" t="n">
        <v>4.243732729</v>
      </c>
      <c r="AP210" t="n">
        <v>3.76305499</v>
      </c>
      <c r="AR210" t="n">
        <v>1.341867706</v>
      </c>
      <c r="AS210" t="n">
        <v>7.701271127</v>
      </c>
      <c r="AT210" t="n">
        <v>3.518406594</v>
      </c>
      <c r="AU210" t="n">
        <v>-3.864923672</v>
      </c>
      <c r="AV210" t="n">
        <v>4.727531513</v>
      </c>
      <c r="AW210" t="n">
        <v>1.639478496</v>
      </c>
    </row>
    <row r="211">
      <c r="A211" t="inlineStr">
        <is>
          <t>1999-Q3</t>
        </is>
      </c>
      <c r="B211" s="87" t="n">
        <v>36434</v>
      </c>
      <c r="C211" t="n">
        <v>-5.124917266</v>
      </c>
      <c r="D211" t="n">
        <v>3.776599325</v>
      </c>
      <c r="E211" t="n">
        <v>4.040216069</v>
      </c>
      <c r="F211" t="n">
        <v>4.147585346</v>
      </c>
      <c r="G211" t="n">
        <v>-0.444884432</v>
      </c>
      <c r="H211" t="n">
        <v>5.690714411</v>
      </c>
      <c r="I211" t="n">
        <v>1.18041215</v>
      </c>
      <c r="J211" t="n">
        <v>-0.906906034</v>
      </c>
      <c r="K211" t="n">
        <v>7.6</v>
      </c>
      <c r="L211" t="n">
        <v>1.470524326</v>
      </c>
      <c r="M211" t="n">
        <v>1.868955232</v>
      </c>
      <c r="N211" t="n">
        <v>2.381316969</v>
      </c>
      <c r="O211" t="n">
        <v>2.845702942</v>
      </c>
      <c r="P211" t="n">
        <v>4.692830204</v>
      </c>
      <c r="Q211" t="n">
        <v>-0.696147557</v>
      </c>
      <c r="R211" t="n">
        <v>2.867601733</v>
      </c>
      <c r="T211" t="n">
        <v>3.644917667</v>
      </c>
      <c r="U211" t="n">
        <v>3.147448037</v>
      </c>
      <c r="V211" t="n">
        <v>3.314125301</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5.85181148</v>
      </c>
      <c r="AN211" t="n">
        <v>3.430562506</v>
      </c>
      <c r="AO211" t="n">
        <v>5.280387269</v>
      </c>
      <c r="AP211" t="n">
        <v>3.631586651</v>
      </c>
      <c r="AR211" t="n">
        <v>1.549544633</v>
      </c>
      <c r="AS211" t="n">
        <v>4.016579357</v>
      </c>
      <c r="AT211" t="n">
        <v>3.772912757</v>
      </c>
      <c r="AU211" t="n">
        <v>-4.137498025</v>
      </c>
      <c r="AV211" t="n">
        <v>4.800205237</v>
      </c>
      <c r="AW211" t="n">
        <v>2.974826457</v>
      </c>
    </row>
    <row r="212">
      <c r="A212" t="inlineStr">
        <is>
          <t>1999-Q4</t>
        </is>
      </c>
      <c r="B212" s="87" t="n">
        <v>36526</v>
      </c>
      <c r="C212" t="n">
        <v>-1.014421187</v>
      </c>
      <c r="D212" t="n">
        <v>3.962759275</v>
      </c>
      <c r="E212" t="n">
        <v>3.963102832</v>
      </c>
      <c r="F212" t="n">
        <v>5.145646191</v>
      </c>
      <c r="G212" t="n">
        <v>2.137744875</v>
      </c>
      <c r="H212" t="n">
        <v>5.738706566</v>
      </c>
      <c r="I212" t="n">
        <v>3.783631719</v>
      </c>
      <c r="J212" t="n">
        <v>5.105253427</v>
      </c>
      <c r="K212" t="n">
        <v>6.7</v>
      </c>
      <c r="L212" t="n">
        <v>2.545411609</v>
      </c>
      <c r="M212" t="n">
        <v>3.121464882</v>
      </c>
      <c r="N212" t="n">
        <v>3.481498563</v>
      </c>
      <c r="O212" t="n">
        <v>3.903010298</v>
      </c>
      <c r="P212" t="n">
        <v>4.72948232</v>
      </c>
      <c r="Q212" t="n">
        <v>3.765001065</v>
      </c>
      <c r="R212" t="n">
        <v>3.893821548</v>
      </c>
      <c r="T212" t="n">
        <v>3.610436149</v>
      </c>
      <c r="U212" t="n">
        <v>3.937902257</v>
      </c>
      <c r="V212" t="n">
        <v>3.609815523</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6.080831606</v>
      </c>
      <c r="AN212" t="n">
        <v>3.928343728</v>
      </c>
      <c r="AO212" t="n">
        <v>6.469197655</v>
      </c>
      <c r="AP212" t="n">
        <v>3.447603511</v>
      </c>
      <c r="AR212" t="n">
        <v>-6.011108112</v>
      </c>
      <c r="AS212" t="n">
        <v>5.054597843</v>
      </c>
      <c r="AT212" t="n">
        <v>4.481626944</v>
      </c>
      <c r="AU212" t="n">
        <v>-1.017626507</v>
      </c>
      <c r="AV212" t="n">
        <v>4.82762665</v>
      </c>
      <c r="AW212" t="n">
        <v>4.007388325</v>
      </c>
    </row>
    <row r="213">
      <c r="A213" t="inlineStr">
        <is>
          <t>2000-Q1</t>
        </is>
      </c>
      <c r="B213" s="87" t="n">
        <v>36617</v>
      </c>
      <c r="C213" t="n">
        <v>-0.106447324</v>
      </c>
      <c r="D213" t="n">
        <v>3.623627716</v>
      </c>
      <c r="E213" t="n">
        <v>4.25022111</v>
      </c>
      <c r="F213" t="n">
        <v>4.798242571</v>
      </c>
      <c r="G213" t="n">
        <v>3.033050761</v>
      </c>
      <c r="H213" t="n">
        <v>5.516373336</v>
      </c>
      <c r="I213" t="n">
        <v>4.305618134</v>
      </c>
      <c r="J213" t="n">
        <v>6.077906255</v>
      </c>
      <c r="K213" t="n">
        <v>8.699999999999999</v>
      </c>
      <c r="L213" t="n">
        <v>3.883609758</v>
      </c>
      <c r="M213" t="n">
        <v>3.402726456</v>
      </c>
      <c r="N213" t="n">
        <v>3.552324637</v>
      </c>
      <c r="O213" t="n">
        <v>4.03928464</v>
      </c>
      <c r="P213" t="n">
        <v>5.353171143</v>
      </c>
      <c r="Q213" t="n">
        <v>8.528629061</v>
      </c>
      <c r="R213" t="n">
        <v>4.061364878</v>
      </c>
      <c r="T213" t="n">
        <v>4.969214053</v>
      </c>
      <c r="U213" t="n">
        <v>3.906297037</v>
      </c>
      <c r="V213" t="n">
        <v>3.927476123</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6.387219945</v>
      </c>
      <c r="AN213" t="n">
        <v>4.292765569</v>
      </c>
      <c r="AO213" t="n">
        <v>6.375251758</v>
      </c>
      <c r="AP213" t="n">
        <v>4.36261334</v>
      </c>
      <c r="AR213" t="n">
        <v>-1.717248499</v>
      </c>
      <c r="AS213" t="n">
        <v>4.44343797</v>
      </c>
      <c r="AT213" t="n">
        <v>4.046015645</v>
      </c>
      <c r="AU213" t="n">
        <v>2.265206291</v>
      </c>
      <c r="AV213" t="n">
        <v>4.225955859</v>
      </c>
      <c r="AW213" t="n">
        <v>4.221428472</v>
      </c>
    </row>
    <row r="214">
      <c r="A214" t="inlineStr">
        <is>
          <t>2000-Q2</t>
        </is>
      </c>
      <c r="B214" s="87" t="n">
        <v>36708</v>
      </c>
      <c r="C214" t="n">
        <v>-0.59039067</v>
      </c>
      <c r="D214" t="n">
        <v>4.237943632</v>
      </c>
      <c r="E214" t="n">
        <v>3.711843978</v>
      </c>
      <c r="F214" t="n">
        <v>4.127696246</v>
      </c>
      <c r="G214" t="n">
        <v>3.938651254</v>
      </c>
      <c r="H214" t="n">
        <v>5.88475154</v>
      </c>
      <c r="I214" t="n">
        <v>4.164974732</v>
      </c>
      <c r="J214" t="n">
        <v>6.023803239</v>
      </c>
      <c r="K214" t="n">
        <v>9.1</v>
      </c>
      <c r="L214" t="n">
        <v>4.394054816</v>
      </c>
      <c r="M214" t="n">
        <v>4.239593704</v>
      </c>
      <c r="N214" t="n">
        <v>4.193146465</v>
      </c>
      <c r="O214" t="n">
        <v>4.521775135</v>
      </c>
      <c r="P214" t="n">
        <v>5.42177424</v>
      </c>
      <c r="Q214" t="n">
        <v>10.2788572</v>
      </c>
      <c r="R214" t="n">
        <v>4.560003114</v>
      </c>
      <c r="T214" t="n">
        <v>5.219166567</v>
      </c>
      <c r="U214" t="n">
        <v>4.688634054</v>
      </c>
      <c r="V214" t="n">
        <v>4.642443245</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5.593158965</v>
      </c>
      <c r="AN214" t="n">
        <v>4.860275791</v>
      </c>
      <c r="AO214" t="n">
        <v>5.366464164</v>
      </c>
      <c r="AP214" t="n">
        <v>3.271881856</v>
      </c>
      <c r="AR214" t="n">
        <v>0.972302289</v>
      </c>
      <c r="AS214" t="n">
        <v>1.590565842</v>
      </c>
      <c r="AT214" t="n">
        <v>5.949140203</v>
      </c>
      <c r="AU214" t="n">
        <v>6.849094604</v>
      </c>
      <c r="AV214" t="n">
        <v>5.244682769</v>
      </c>
      <c r="AW214" t="n">
        <v>4.349746582</v>
      </c>
    </row>
    <row r="215">
      <c r="A215" t="inlineStr">
        <is>
          <t>2000-Q3</t>
        </is>
      </c>
      <c r="B215" s="87" t="n">
        <v>36800</v>
      </c>
      <c r="C215" t="n">
        <v>-0.557525176</v>
      </c>
      <c r="D215" t="n">
        <v>3.330579754</v>
      </c>
      <c r="E215" t="n">
        <v>2.580519983</v>
      </c>
      <c r="F215" t="n">
        <v>3.112976565</v>
      </c>
      <c r="G215" t="n">
        <v>5.130590819</v>
      </c>
      <c r="H215" t="n">
        <v>5.313760943</v>
      </c>
      <c r="I215" t="n">
        <v>4.514445987</v>
      </c>
      <c r="J215" t="n">
        <v>5.448956977</v>
      </c>
      <c r="K215" t="n">
        <v>8.800000000000001</v>
      </c>
      <c r="L215" t="n">
        <v>4.787302386</v>
      </c>
      <c r="M215" t="n">
        <v>3.036496969</v>
      </c>
      <c r="N215" t="n">
        <v>3.839186166</v>
      </c>
      <c r="O215" t="n">
        <v>3.926046874</v>
      </c>
      <c r="P215" t="n">
        <v>5.161392042</v>
      </c>
      <c r="Q215" t="n">
        <v>10.499842051</v>
      </c>
      <c r="R215" t="n">
        <v>3.973524874</v>
      </c>
      <c r="T215" t="n">
        <v>6.300021502</v>
      </c>
      <c r="U215" t="n">
        <v>4.254564483</v>
      </c>
      <c r="V215" t="n">
        <v>3.66796522</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3.12457657</v>
      </c>
      <c r="AN215" t="n">
        <v>4.158443383</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7" t="n">
        <v>36892</v>
      </c>
      <c r="C216" t="n">
        <v>-1.893523605</v>
      </c>
      <c r="D216" t="n">
        <v>1.229172541</v>
      </c>
      <c r="E216" t="n">
        <v>3.600213832</v>
      </c>
      <c r="F216" t="n">
        <v>2.902469136</v>
      </c>
      <c r="G216" t="n">
        <v>4.929687062</v>
      </c>
      <c r="H216" t="n">
        <v>4.030670264</v>
      </c>
      <c r="I216" t="n">
        <v>3.383882266</v>
      </c>
      <c r="J216" t="n">
        <v>3.948465311</v>
      </c>
      <c r="K216" t="n">
        <v>7.5</v>
      </c>
      <c r="L216" t="n">
        <v>4.11423943</v>
      </c>
      <c r="M216" t="n">
        <v>1.901339929</v>
      </c>
      <c r="N216" t="n">
        <v>3.408058061</v>
      </c>
      <c r="O216" t="n">
        <v>3.443261004</v>
      </c>
      <c r="P216" t="n">
        <v>5.054050989</v>
      </c>
      <c r="Q216" t="n">
        <v>10.133563129</v>
      </c>
      <c r="R216" t="n">
        <v>3.47240736</v>
      </c>
      <c r="T216" t="n">
        <v>6.521533141</v>
      </c>
      <c r="U216" t="n">
        <v>3.626980196</v>
      </c>
      <c r="V216" t="n">
        <v>3.020837176</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2.072289157</v>
      </c>
      <c r="AN216" t="n">
        <v>3.392724689</v>
      </c>
      <c r="AO216" t="n">
        <v>3.991334889</v>
      </c>
      <c r="AP216" t="n">
        <v>3.865423683</v>
      </c>
      <c r="AR216" t="n">
        <v>3.268911587</v>
      </c>
      <c r="AS216" t="n">
        <v>4.434207603</v>
      </c>
      <c r="AT216" t="n">
        <v>3.741690853</v>
      </c>
      <c r="AU216" t="n">
        <v>8.639856942</v>
      </c>
      <c r="AV216" t="n">
        <v>2.901620472</v>
      </c>
      <c r="AW216" t="n">
        <v>3.988198371</v>
      </c>
    </row>
    <row r="217">
      <c r="A217" t="inlineStr">
        <is>
          <t>2001-Q1</t>
        </is>
      </c>
      <c r="B217" s="87" t="n">
        <v>36982</v>
      </c>
      <c r="C217" t="n">
        <v>-1.397726021</v>
      </c>
      <c r="D217" t="n">
        <v>1.868474631</v>
      </c>
      <c r="E217" t="n">
        <v>2.424697987</v>
      </c>
      <c r="F217" t="n">
        <v>2.233500049</v>
      </c>
      <c r="G217" t="n">
        <v>4.264586045</v>
      </c>
      <c r="H217" t="n">
        <v>2.934982125</v>
      </c>
      <c r="I217" t="n">
        <v>2.558340393</v>
      </c>
      <c r="J217" t="n">
        <v>3.693030467</v>
      </c>
      <c r="K217" t="n">
        <v>9.5</v>
      </c>
      <c r="L217" t="n">
        <v>3.97053253</v>
      </c>
      <c r="M217" t="n">
        <v>2.496367876</v>
      </c>
      <c r="N217" t="n">
        <v>1.297581844</v>
      </c>
      <c r="O217" t="n">
        <v>3.193101413</v>
      </c>
      <c r="P217" t="n">
        <v>4.497579621</v>
      </c>
      <c r="Q217" t="n">
        <v>7.634576258</v>
      </c>
      <c r="R217" t="n">
        <v>3.152942957</v>
      </c>
      <c r="T217" t="n">
        <v>3.942677064</v>
      </c>
      <c r="U217" t="n">
        <v>3.069880594</v>
      </c>
      <c r="V217" t="n">
        <v>2.44648519</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0.939487504</v>
      </c>
      <c r="AN217" t="n">
        <v>2.608911064</v>
      </c>
      <c r="AO217" t="n">
        <v>2.905023949</v>
      </c>
      <c r="AP217" t="n">
        <v>1.28655306</v>
      </c>
      <c r="AR217" t="n">
        <v>2.904835904</v>
      </c>
      <c r="AS217" t="n">
        <v>4.623552185</v>
      </c>
      <c r="AT217" t="n">
        <v>3.368329315</v>
      </c>
      <c r="AU217" t="n">
        <v>1.473860968</v>
      </c>
      <c r="AV217" t="n">
        <v>2.195542847</v>
      </c>
      <c r="AW217" t="n">
        <v>3.418422297</v>
      </c>
    </row>
    <row r="218">
      <c r="A218" t="inlineStr">
        <is>
          <t>2001-Q2</t>
        </is>
      </c>
      <c r="B218" s="87" t="n">
        <v>37073</v>
      </c>
      <c r="C218" t="n">
        <v>-0.616979289</v>
      </c>
      <c r="D218" t="n">
        <v>1.763667262</v>
      </c>
      <c r="E218" t="n">
        <v>1.529629557</v>
      </c>
      <c r="F218" t="n">
        <v>1.521366065</v>
      </c>
      <c r="G218" t="n">
        <v>2.299429018</v>
      </c>
      <c r="H218" t="n">
        <v>2.000024935</v>
      </c>
      <c r="I218" t="n">
        <v>2.557467227</v>
      </c>
      <c r="J218" t="n">
        <v>4.465949966</v>
      </c>
      <c r="K218" t="n">
        <v>8.6</v>
      </c>
      <c r="L218" t="n">
        <v>3.226307291</v>
      </c>
      <c r="M218" t="n">
        <v>1.62626796</v>
      </c>
      <c r="N218" t="n">
        <v>0.646322458</v>
      </c>
      <c r="O218" t="n">
        <v>2.344349219</v>
      </c>
      <c r="P218" t="n">
        <v>3.968221166</v>
      </c>
      <c r="Q218" t="n">
        <v>5.135470423</v>
      </c>
      <c r="R218" t="n">
        <v>2.258594044</v>
      </c>
      <c r="T218" t="n">
        <v>3.271092038</v>
      </c>
      <c r="U218" t="n">
        <v>2.149371579</v>
      </c>
      <c r="V218" t="n">
        <v>1.367341169</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2.318710596</v>
      </c>
      <c r="AN218" t="n">
        <v>1.477332013</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7" t="n">
        <v>37165</v>
      </c>
      <c r="C219" t="n">
        <v>-4.991747166</v>
      </c>
      <c r="D219" t="n">
        <v>2.673194388</v>
      </c>
      <c r="E219" t="n">
        <v>1.024990859</v>
      </c>
      <c r="F219" t="n">
        <v>0.860147315</v>
      </c>
      <c r="G219" t="n">
        <v>0.577765006</v>
      </c>
      <c r="H219" t="n">
        <v>0.905883926</v>
      </c>
      <c r="I219" t="n">
        <v>1.564842762</v>
      </c>
      <c r="J219" t="n">
        <v>2.623634613</v>
      </c>
      <c r="K219" t="n">
        <v>8</v>
      </c>
      <c r="L219" t="n">
        <v>2.343112374</v>
      </c>
      <c r="M219" t="n">
        <v>1.461672775</v>
      </c>
      <c r="N219" t="n">
        <v>1.270204581</v>
      </c>
      <c r="O219" t="n">
        <v>1.860613933</v>
      </c>
      <c r="P219" t="n">
        <v>3.815871372</v>
      </c>
      <c r="Q219" t="n">
        <v>5.998788796</v>
      </c>
      <c r="R219" t="n">
        <v>1.842519145</v>
      </c>
      <c r="T219" t="n">
        <v>2.321661348</v>
      </c>
      <c r="U219" t="n">
        <v>1.72245569</v>
      </c>
      <c r="V219" t="n">
        <v>0.782661542</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2.690912913</v>
      </c>
      <c r="AN219" t="n">
        <v>0.896940575</v>
      </c>
      <c r="AO219" t="n">
        <v>1.64477365</v>
      </c>
      <c r="AP219" t="n">
        <v>1.473782928</v>
      </c>
      <c r="AR219" t="n">
        <v>2.74311579</v>
      </c>
      <c r="AS219" t="n">
        <v>2.833375687</v>
      </c>
      <c r="AT219" t="n">
        <v>0.470308473</v>
      </c>
      <c r="AU219" t="n">
        <v>-7.277589154</v>
      </c>
      <c r="AV219" t="n">
        <v>0.487352367</v>
      </c>
      <c r="AW219" t="n">
        <v>2.248753055</v>
      </c>
    </row>
    <row r="220">
      <c r="A220" t="inlineStr">
        <is>
          <t>2001-Q4</t>
        </is>
      </c>
      <c r="B220" s="87" t="n">
        <v>37257</v>
      </c>
      <c r="C220" t="n">
        <v>-10.676443041</v>
      </c>
      <c r="D220" t="n">
        <v>4.309881758</v>
      </c>
      <c r="E220" t="n">
        <v>0.105973571</v>
      </c>
      <c r="F220" t="n">
        <v>-0.215954218</v>
      </c>
      <c r="G220" t="n">
        <v>-0.895213404</v>
      </c>
      <c r="H220" t="n">
        <v>1.346715383</v>
      </c>
      <c r="I220" t="n">
        <v>-0.090503285</v>
      </c>
      <c r="J220" t="n">
        <v>2.066740092</v>
      </c>
      <c r="K220" t="n">
        <v>7.5</v>
      </c>
      <c r="L220" t="n">
        <v>2.613210078</v>
      </c>
      <c r="M220" t="n">
        <v>1.679252897</v>
      </c>
      <c r="N220" t="n">
        <v>0.09178534200000001</v>
      </c>
      <c r="O220" t="n">
        <v>1.274658442</v>
      </c>
      <c r="P220" t="n">
        <v>3.468421266</v>
      </c>
      <c r="Q220" t="n">
        <v>5.187265805</v>
      </c>
      <c r="R220" t="n">
        <v>1.292019886</v>
      </c>
      <c r="T220" t="n">
        <v>0.960704517</v>
      </c>
      <c r="U220" t="n">
        <v>0.830786348</v>
      </c>
      <c r="V220" t="n">
        <v>0.256258297</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4.023712097</v>
      </c>
      <c r="AN220" t="n">
        <v>0.484565326</v>
      </c>
      <c r="AO220" t="n">
        <v>-0.12668152</v>
      </c>
      <c r="AP220" t="n">
        <v>2.209251062</v>
      </c>
      <c r="AR220" t="n">
        <v>4.38168244</v>
      </c>
      <c r="AS220" t="n">
        <v>3.133326634</v>
      </c>
      <c r="AT220" t="n">
        <v>1.606742384</v>
      </c>
      <c r="AU220" t="n">
        <v>-10.129126144</v>
      </c>
      <c r="AV220" t="n">
        <v>0.170642236</v>
      </c>
      <c r="AW220" t="n">
        <v>2.165989875</v>
      </c>
    </row>
    <row r="221">
      <c r="A221" t="inlineStr">
        <is>
          <t>2002-Q1</t>
        </is>
      </c>
      <c r="B221" s="87" t="n">
        <v>37347</v>
      </c>
      <c r="C221" t="n">
        <v>-15.219743824</v>
      </c>
      <c r="D221" t="n">
        <v>4.017918677</v>
      </c>
      <c r="E221" t="n">
        <v>1.32116108</v>
      </c>
      <c r="F221" t="n">
        <v>0.585145927</v>
      </c>
      <c r="G221" t="n">
        <v>1.09083814</v>
      </c>
      <c r="H221" t="n">
        <v>2.309048819</v>
      </c>
      <c r="I221" t="n">
        <v>0.103095264</v>
      </c>
      <c r="J221" t="n">
        <v>2.209362343</v>
      </c>
      <c r="K221" t="n">
        <v>8.9</v>
      </c>
      <c r="L221" t="n">
        <v>1.211199164</v>
      </c>
      <c r="M221" t="n">
        <v>-0.847656219</v>
      </c>
      <c r="N221" t="n">
        <v>1.156465893</v>
      </c>
      <c r="O221" t="n">
        <v>0.414295452</v>
      </c>
      <c r="P221" t="n">
        <v>2.817271194</v>
      </c>
      <c r="Q221" t="n">
        <v>4.413932603</v>
      </c>
      <c r="R221" t="n">
        <v>0.560448653</v>
      </c>
      <c r="T221" t="n">
        <v>1.126430168</v>
      </c>
      <c r="U221" t="n">
        <v>0.902147487</v>
      </c>
      <c r="V221" t="n">
        <v>0.428359077</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4.596198593</v>
      </c>
      <c r="AN221" t="n">
        <v>0.78605757</v>
      </c>
      <c r="AO221" t="n">
        <v>0.873564041</v>
      </c>
      <c r="AP221" t="n">
        <v>2.712151949</v>
      </c>
      <c r="AR221" t="n">
        <v>3.973487926</v>
      </c>
      <c r="AS221" t="n">
        <v>3.229662519</v>
      </c>
      <c r="AT221" t="n">
        <v>1.134603322</v>
      </c>
      <c r="AU221" t="n">
        <v>-1.695970785</v>
      </c>
      <c r="AV221" t="n">
        <v>1.328812048</v>
      </c>
      <c r="AW221" t="n">
        <v>2.644757559</v>
      </c>
    </row>
    <row r="222">
      <c r="A222" t="inlineStr">
        <is>
          <t>2002-Q2</t>
        </is>
      </c>
      <c r="B222" s="87" t="n">
        <v>37438</v>
      </c>
      <c r="C222" t="n">
        <v>-14.147871056</v>
      </c>
      <c r="D222" t="n">
        <v>4.959716141</v>
      </c>
      <c r="E222" t="n">
        <v>1.957432623</v>
      </c>
      <c r="F222" t="n">
        <v>1.42783499</v>
      </c>
      <c r="G222" t="n">
        <v>1.930705637</v>
      </c>
      <c r="H222" t="n">
        <v>2.635438778</v>
      </c>
      <c r="I222" t="n">
        <v>-0.079377788</v>
      </c>
      <c r="J222" t="n">
        <v>2.052174061</v>
      </c>
      <c r="K222" t="n">
        <v>8.800000000000001</v>
      </c>
      <c r="L222" t="n">
        <v>1.48364568</v>
      </c>
      <c r="M222" t="n">
        <v>-0.371752743</v>
      </c>
      <c r="N222" t="n">
        <v>0.655051924</v>
      </c>
      <c r="O222" t="n">
        <v>0.846717592</v>
      </c>
      <c r="P222" t="n">
        <v>2.894485768</v>
      </c>
      <c r="Q222" t="n">
        <v>7.931211636</v>
      </c>
      <c r="R222" t="n">
        <v>1.016616236</v>
      </c>
      <c r="T222" t="n">
        <v>2.004818638</v>
      </c>
      <c r="U222" t="n">
        <v>1.183069687</v>
      </c>
      <c r="V222" t="n">
        <v>0.824287218</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4.498814066</v>
      </c>
      <c r="AN222" t="n">
        <v>1.439188526</v>
      </c>
      <c r="AO222" t="n">
        <v>1.875556811</v>
      </c>
      <c r="AP222" t="n">
        <v>1.255985013</v>
      </c>
      <c r="AR222" t="n">
        <v>3.920763226</v>
      </c>
      <c r="AS222" t="n">
        <v>2.81634231</v>
      </c>
      <c r="AT222" t="n">
        <v>2.666981355</v>
      </c>
      <c r="AU222" t="n">
        <v>7.767540922</v>
      </c>
      <c r="AV222" t="n">
        <v>1.322883902</v>
      </c>
      <c r="AW222" t="n">
        <v>3.430329068</v>
      </c>
    </row>
    <row r="223">
      <c r="A223" t="inlineStr">
        <is>
          <t>2002-Q3</t>
        </is>
      </c>
      <c r="B223" s="87" t="n">
        <v>37530</v>
      </c>
      <c r="C223" t="n">
        <v>-9.897878081</v>
      </c>
      <c r="D223" t="n">
        <v>4.052754013</v>
      </c>
      <c r="E223" t="n">
        <v>2.126921572</v>
      </c>
      <c r="F223" t="n">
        <v>2.16566171</v>
      </c>
      <c r="G223" t="n">
        <v>3.885165485</v>
      </c>
      <c r="H223" t="n">
        <v>3.592704106</v>
      </c>
      <c r="I223" t="n">
        <v>-0.091811608</v>
      </c>
      <c r="J223" t="n">
        <v>3.406971333</v>
      </c>
      <c r="K223" t="n">
        <v>9.6</v>
      </c>
      <c r="L223" t="n">
        <v>1.690923749</v>
      </c>
      <c r="M223" t="n">
        <v>0.302678001</v>
      </c>
      <c r="N223" t="n">
        <v>0.098620025</v>
      </c>
      <c r="O223" t="n">
        <v>1.127149044</v>
      </c>
      <c r="P223" t="n">
        <v>2.573236589</v>
      </c>
      <c r="Q223" t="n">
        <v>7.867074062</v>
      </c>
      <c r="R223" t="n">
        <v>1.272800096</v>
      </c>
      <c r="T223" t="n">
        <v>1.126803875</v>
      </c>
      <c r="U223" t="n">
        <v>1.156012445</v>
      </c>
      <c r="V223" t="n">
        <v>1.605126853</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4.96187113</v>
      </c>
      <c r="AN223" t="n">
        <v>2.037040828</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7" t="n">
        <v>37622</v>
      </c>
      <c r="C224" t="n">
        <v>-3.483175649</v>
      </c>
      <c r="D224" t="n">
        <v>3.639727386</v>
      </c>
      <c r="E224" t="n">
        <v>1.433470059</v>
      </c>
      <c r="F224" t="n">
        <v>2.649962126</v>
      </c>
      <c r="G224" t="n">
        <v>5.20715317</v>
      </c>
      <c r="H224" t="n">
        <v>3.530710093</v>
      </c>
      <c r="I224" t="n">
        <v>-0.183354867</v>
      </c>
      <c r="J224" t="n">
        <v>4.258570115</v>
      </c>
      <c r="K224" t="n">
        <v>9.1</v>
      </c>
      <c r="L224" t="n">
        <v>1.612335762</v>
      </c>
      <c r="M224" t="n">
        <v>0.256328501</v>
      </c>
      <c r="N224" t="n">
        <v>-0.034579328</v>
      </c>
      <c r="O224" t="n">
        <v>1.265923619</v>
      </c>
      <c r="P224" t="n">
        <v>2.642342683</v>
      </c>
      <c r="Q224" t="n">
        <v>7.085631349</v>
      </c>
      <c r="R224" t="n">
        <v>1.392427036</v>
      </c>
      <c r="T224" t="n">
        <v>2.566135818</v>
      </c>
      <c r="U224" t="n">
        <v>1.455383933</v>
      </c>
      <c r="V224" t="n">
        <v>1.745960833</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4.843915477</v>
      </c>
      <c r="AN224" t="n">
        <v>2.217807533</v>
      </c>
      <c r="AO224" t="n">
        <v>2.873044748</v>
      </c>
      <c r="AP224" t="n">
        <v>-1.48022333</v>
      </c>
      <c r="AR224" t="n">
        <v>4.286946272</v>
      </c>
      <c r="AS224" t="n">
        <v>4.15242485</v>
      </c>
      <c r="AT224" t="n">
        <v>2.20962701</v>
      </c>
      <c r="AU224" t="n">
        <v>12.07772573</v>
      </c>
      <c r="AV224" t="n">
        <v>1.991286185</v>
      </c>
      <c r="AW224" t="n">
        <v>4.388621949</v>
      </c>
    </row>
    <row r="225">
      <c r="A225" t="inlineStr">
        <is>
          <t>2003-Q1</t>
        </is>
      </c>
      <c r="B225" s="87" t="n">
        <v>37712</v>
      </c>
      <c r="C225" t="n">
        <v>5.274229353</v>
      </c>
      <c r="D225" t="n">
        <v>3.059128641</v>
      </c>
      <c r="E225" t="n">
        <v>1.094557887</v>
      </c>
      <c r="F225" t="n">
        <v>1.506806857</v>
      </c>
      <c r="G225" t="n">
        <v>2.244825525</v>
      </c>
      <c r="H225" t="n">
        <v>2.581037167</v>
      </c>
      <c r="I225" t="n">
        <v>-0.6724734</v>
      </c>
      <c r="J225" t="n">
        <v>4.861989015</v>
      </c>
      <c r="K225" t="n">
        <v>11.1</v>
      </c>
      <c r="L225" t="n">
        <v>2.887060918</v>
      </c>
      <c r="M225" t="n">
        <v>-0.717277303</v>
      </c>
      <c r="N225" t="n">
        <v>0.534887129</v>
      </c>
      <c r="O225" t="n">
        <v>0.802628839</v>
      </c>
      <c r="P225" t="n">
        <v>3.159461939</v>
      </c>
      <c r="Q225" t="n">
        <v>8.783747258</v>
      </c>
      <c r="R225" t="n">
        <v>1.002669502</v>
      </c>
      <c r="T225" t="n">
        <v>1.179534314</v>
      </c>
      <c r="U225" t="n">
        <v>0.980814914</v>
      </c>
      <c r="V225" t="n">
        <v>1.385128327</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4.566700827</v>
      </c>
      <c r="AN225" t="n">
        <v>1.853919118</v>
      </c>
      <c r="AO225" t="n">
        <v>2.586066152</v>
      </c>
      <c r="AP225" t="n">
        <v>-1.551766468</v>
      </c>
      <c r="AR225" t="n">
        <v>5.807922324</v>
      </c>
      <c r="AS225" t="n">
        <v>2.707002088</v>
      </c>
      <c r="AT225" t="n">
        <v>3.492894498</v>
      </c>
      <c r="AU225" t="n">
        <v>8.088298775</v>
      </c>
      <c r="AV225" t="n">
        <v>1.67618894</v>
      </c>
      <c r="AW225" t="n">
        <v>3.922632384</v>
      </c>
    </row>
    <row r="226">
      <c r="A226" t="inlineStr">
        <is>
          <t>2003-Q2</t>
        </is>
      </c>
      <c r="B226" s="87" t="n">
        <v>37803</v>
      </c>
      <c r="C226" t="n">
        <v>8.146920201</v>
      </c>
      <c r="D226" t="n">
        <v>1.739596999</v>
      </c>
      <c r="E226" t="n">
        <v>0.734340318</v>
      </c>
      <c r="F226" t="n">
        <v>0.8604794099999999</v>
      </c>
      <c r="G226" t="n">
        <v>1.084788475</v>
      </c>
      <c r="H226" t="n">
        <v>1.829610796</v>
      </c>
      <c r="I226" t="n">
        <v>-1.140524002</v>
      </c>
      <c r="J226" t="n">
        <v>5.117054934</v>
      </c>
      <c r="K226" t="n">
        <v>9.1</v>
      </c>
      <c r="L226" t="n">
        <v>3.45054584</v>
      </c>
      <c r="M226" t="n">
        <v>-1.040675899</v>
      </c>
      <c r="N226" t="n">
        <v>-0.390223556</v>
      </c>
      <c r="O226" t="n">
        <v>0.37252465</v>
      </c>
      <c r="P226" t="n">
        <v>2.858565609</v>
      </c>
      <c r="Q226" t="n">
        <v>7.542119409</v>
      </c>
      <c r="R226" t="n">
        <v>0.564685595</v>
      </c>
      <c r="T226" t="n">
        <v>1.629539742</v>
      </c>
      <c r="U226" t="n">
        <v>0.36459455</v>
      </c>
      <c r="V226" t="n">
        <v>1.375979136</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3.720425332</v>
      </c>
      <c r="AN226" t="n">
        <v>1.578537234</v>
      </c>
      <c r="AO226" t="n">
        <v>3.582830088</v>
      </c>
      <c r="AP226" t="n">
        <v>-1.97190001</v>
      </c>
      <c r="AR226" t="n">
        <v>6.337211656</v>
      </c>
      <c r="AS226" t="n">
        <v>3.051303896</v>
      </c>
      <c r="AT226" t="n">
        <v>1.373289546</v>
      </c>
      <c r="AU226" t="n">
        <v>3.964297877</v>
      </c>
      <c r="AV226" t="n">
        <v>1.956993642</v>
      </c>
      <c r="AW226" t="n">
        <v>3.121689799</v>
      </c>
    </row>
    <row r="227">
      <c r="A227" t="inlineStr">
        <is>
          <t>2003-Q3</t>
        </is>
      </c>
      <c r="B227" s="87" t="n">
        <v>37895</v>
      </c>
      <c r="C227" t="n">
        <v>10.707165722</v>
      </c>
      <c r="D227" t="n">
        <v>3.202256051</v>
      </c>
      <c r="E227" t="n">
        <v>0.772364839</v>
      </c>
      <c r="F227" t="n">
        <v>0.733625686</v>
      </c>
      <c r="G227" t="n">
        <v>0.659505945</v>
      </c>
      <c r="H227" t="n">
        <v>1.33311469</v>
      </c>
      <c r="I227" t="n">
        <v>-0.0623768</v>
      </c>
      <c r="J227" t="n">
        <v>4.669805437</v>
      </c>
      <c r="K227" t="n">
        <v>10</v>
      </c>
      <c r="L227" t="n">
        <v>3.901196205</v>
      </c>
      <c r="M227" t="n">
        <v>-0.745714633</v>
      </c>
      <c r="N227" t="n">
        <v>-0.38683434</v>
      </c>
      <c r="O227" t="n">
        <v>0.528345187</v>
      </c>
      <c r="P227" t="n">
        <v>2.90247711</v>
      </c>
      <c r="Q227" t="n">
        <v>6.465869337</v>
      </c>
      <c r="R227" t="n">
        <v>0.754553041</v>
      </c>
      <c r="T227" t="n">
        <v>3.086446568</v>
      </c>
      <c r="U227" t="n">
        <v>0.792039815</v>
      </c>
      <c r="V227" t="n">
        <v>2.022646432</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4.700490041</v>
      </c>
      <c r="AN227" t="n">
        <v>2.132990396</v>
      </c>
      <c r="AO227" t="n">
        <v>3.934394895</v>
      </c>
      <c r="AP227" t="n">
        <v>-0.651382451</v>
      </c>
      <c r="AR227" t="n">
        <v>4.408294782</v>
      </c>
      <c r="AS227" t="n">
        <v>3.335557158</v>
      </c>
      <c r="AT227" t="n">
        <v>2.195500177</v>
      </c>
      <c r="AU227" t="n">
        <v>5.487093424</v>
      </c>
      <c r="AV227" t="n">
        <v>3.239908302</v>
      </c>
      <c r="AW227" t="n">
        <v>2.52095906</v>
      </c>
    </row>
    <row r="228">
      <c r="A228" t="inlineStr">
        <is>
          <t>2003-Q4</t>
        </is>
      </c>
      <c r="B228" s="87" t="n">
        <v>37987</v>
      </c>
      <c r="C228" t="n">
        <v>11.646839589</v>
      </c>
      <c r="D228" t="n">
        <v>4.063993326</v>
      </c>
      <c r="E228" t="n">
        <v>1.272925298</v>
      </c>
      <c r="F228" t="n">
        <v>1.056515373</v>
      </c>
      <c r="G228" t="n">
        <v>0.6841294570000001</v>
      </c>
      <c r="H228" t="n">
        <v>1.475555706</v>
      </c>
      <c r="I228" t="n">
        <v>1.543070788</v>
      </c>
      <c r="J228" t="n">
        <v>3.730271238</v>
      </c>
      <c r="K228" t="n">
        <v>10</v>
      </c>
      <c r="L228" t="n">
        <v>4.056062392</v>
      </c>
      <c r="M228" t="n">
        <v>-0.33994105</v>
      </c>
      <c r="N228" t="n">
        <v>1.804920682</v>
      </c>
      <c r="O228" t="n">
        <v>1.02608182</v>
      </c>
      <c r="P228" t="n">
        <v>3.008808334</v>
      </c>
      <c r="Q228" t="n">
        <v>8.451927703000001</v>
      </c>
      <c r="R228" t="n">
        <v>1.265742449</v>
      </c>
      <c r="T228" t="n">
        <v>2.113220514</v>
      </c>
      <c r="U228" t="n">
        <v>1.240431687</v>
      </c>
      <c r="V228" t="n">
        <v>2.762567222</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4.648981457</v>
      </c>
      <c r="AN228" t="n">
        <v>2.872717323</v>
      </c>
      <c r="AO228" t="n">
        <v>4.180913372</v>
      </c>
      <c r="AP228" t="n">
        <v>0.473932977</v>
      </c>
      <c r="AR228" t="n">
        <v>5.471309137</v>
      </c>
      <c r="AS228" t="n">
        <v>2.234122169</v>
      </c>
      <c r="AT228" t="n">
        <v>2.683801924</v>
      </c>
      <c r="AU228" t="n">
        <v>6.405673062</v>
      </c>
      <c r="AV228" t="n">
        <v>4.29507652</v>
      </c>
      <c r="AW228" t="n">
        <v>2.261629374</v>
      </c>
    </row>
    <row r="229">
      <c r="A229" t="inlineStr">
        <is>
          <t>2004-Q1</t>
        </is>
      </c>
      <c r="B229" s="87" t="n">
        <v>38078</v>
      </c>
      <c r="C229" t="n">
        <v>11.125009024</v>
      </c>
      <c r="D229" t="n">
        <v>4.66341547</v>
      </c>
      <c r="E229" t="n">
        <v>1.590418512</v>
      </c>
      <c r="F229" t="n">
        <v>2.842043453</v>
      </c>
      <c r="G229" t="n">
        <v>2.53334256</v>
      </c>
      <c r="H229" t="n">
        <v>1.644029179</v>
      </c>
      <c r="I229" t="n">
        <v>2.570627265</v>
      </c>
      <c r="J229" t="n">
        <v>4.431085077</v>
      </c>
      <c r="K229" t="n">
        <v>10.6</v>
      </c>
      <c r="L229" t="n">
        <v>4.066411867</v>
      </c>
      <c r="M229" t="n">
        <v>0.979021736</v>
      </c>
      <c r="N229" t="n">
        <v>1.749947147</v>
      </c>
      <c r="O229" t="n">
        <v>1.862001315</v>
      </c>
      <c r="P229" t="n">
        <v>2.673776599</v>
      </c>
      <c r="Q229" t="n">
        <v>8.478720812000001</v>
      </c>
      <c r="R229" t="n">
        <v>2.119423908</v>
      </c>
      <c r="T229" t="n">
        <v>4.152698172</v>
      </c>
      <c r="U229" t="n">
        <v>2.131080171</v>
      </c>
      <c r="V229" t="n">
        <v>3.144478469</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5.799110771</v>
      </c>
      <c r="AN229" t="n">
        <v>3.445240322</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7" t="n">
        <v>38169</v>
      </c>
      <c r="C230" t="n">
        <v>6.588660009</v>
      </c>
      <c r="D230" t="n">
        <v>4.923789782</v>
      </c>
      <c r="E230" t="n">
        <v>2.179538309</v>
      </c>
      <c r="F230" t="n">
        <v>3.609431397</v>
      </c>
      <c r="G230" t="n">
        <v>6.258967923</v>
      </c>
      <c r="H230" t="n">
        <v>3.003268745</v>
      </c>
      <c r="I230" t="n">
        <v>3.621052311</v>
      </c>
      <c r="J230" t="n">
        <v>5.323646918</v>
      </c>
      <c r="K230" t="n">
        <v>11.6</v>
      </c>
      <c r="L230" t="n">
        <v>4.254501216</v>
      </c>
      <c r="M230" t="n">
        <v>1.390380548</v>
      </c>
      <c r="N230" t="n">
        <v>3.316610306</v>
      </c>
      <c r="O230" t="n">
        <v>2.394757954</v>
      </c>
      <c r="P230" t="n">
        <v>3.139711529</v>
      </c>
      <c r="Q230" t="n">
        <v>5.302908062</v>
      </c>
      <c r="R230" t="n">
        <v>2.647249678</v>
      </c>
      <c r="T230" t="n">
        <v>3.558635394</v>
      </c>
      <c r="U230" t="n">
        <v>2.939608916</v>
      </c>
      <c r="V230" t="n">
        <v>3.157801349</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6.193953522</v>
      </c>
      <c r="AN230" t="n">
        <v>3.627659843</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7" t="n">
        <v>38261</v>
      </c>
      <c r="C231" t="n">
        <v>9.296294403999999</v>
      </c>
      <c r="D231" t="n">
        <v>3.917567782</v>
      </c>
      <c r="E231" t="n">
        <v>3.090115753</v>
      </c>
      <c r="F231" t="n">
        <v>4.087253884</v>
      </c>
      <c r="G231" t="n">
        <v>6.597073127</v>
      </c>
      <c r="H231" t="n">
        <v>3.831186233</v>
      </c>
      <c r="I231" t="n">
        <v>2.485745298</v>
      </c>
      <c r="J231" t="n">
        <v>7.373368902</v>
      </c>
      <c r="K231" t="n">
        <v>9.800000000000001</v>
      </c>
      <c r="L231" t="n">
        <v>4.642724261</v>
      </c>
      <c r="M231" t="n">
        <v>0.409287298</v>
      </c>
      <c r="N231" t="n">
        <v>3.205574354</v>
      </c>
      <c r="O231" t="n">
        <v>2.097695151</v>
      </c>
      <c r="P231" t="n">
        <v>3.428017032</v>
      </c>
      <c r="Q231" t="n">
        <v>6.635267591</v>
      </c>
      <c r="R231" t="n">
        <v>2.340847999</v>
      </c>
      <c r="T231" t="n">
        <v>3.444933735</v>
      </c>
      <c r="U231" t="n">
        <v>2.525989934</v>
      </c>
      <c r="V231" t="n">
        <v>2.706991498</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4.277564326</v>
      </c>
      <c r="AN231" t="n">
        <v>3.173241425</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7" t="n">
        <v>38353</v>
      </c>
      <c r="C232" t="n">
        <v>8.702324943000001</v>
      </c>
      <c r="D232" t="n">
        <v>2.986583511</v>
      </c>
      <c r="E232" t="n">
        <v>3.279741971</v>
      </c>
      <c r="F232" t="n">
        <v>3.736801233</v>
      </c>
      <c r="G232" t="n">
        <v>6.30747634</v>
      </c>
      <c r="H232" t="n">
        <v>3.860541692</v>
      </c>
      <c r="I232" t="n">
        <v>1.541813881</v>
      </c>
      <c r="J232" t="n">
        <v>8.526356413</v>
      </c>
      <c r="K232" t="n">
        <v>8.800000000000001</v>
      </c>
      <c r="L232" t="n">
        <v>5.738384859</v>
      </c>
      <c r="M232" t="n">
        <v>0.035001868</v>
      </c>
      <c r="N232" t="n">
        <v>2.413156435</v>
      </c>
      <c r="O232" t="n">
        <v>1.752505778</v>
      </c>
      <c r="P232" t="n">
        <v>3.242821024</v>
      </c>
      <c r="Q232" t="n">
        <v>6.081764277</v>
      </c>
      <c r="R232" t="n">
        <v>2.040806569</v>
      </c>
      <c r="T232" t="n">
        <v>4.809876335</v>
      </c>
      <c r="U232" t="n">
        <v>2.605295823</v>
      </c>
      <c r="V232" t="n">
        <v>2.335449479</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3.293344365</v>
      </c>
      <c r="AN232" t="n">
        <v>2.785611336</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7" t="n">
        <v>38443</v>
      </c>
      <c r="C233" t="n">
        <v>8.388864946</v>
      </c>
      <c r="D233" t="n">
        <v>2.980268046</v>
      </c>
      <c r="E233" t="n">
        <v>2.095820872</v>
      </c>
      <c r="F233" t="n">
        <v>2.742948498</v>
      </c>
      <c r="G233" t="n">
        <v>5.733266516</v>
      </c>
      <c r="H233" t="n">
        <v>3.474673797</v>
      </c>
      <c r="I233" t="n">
        <v>1.810850532</v>
      </c>
      <c r="J233" t="n">
        <v>6.407903423</v>
      </c>
      <c r="K233" t="n">
        <v>11.1</v>
      </c>
      <c r="L233" t="n">
        <v>6.420981366</v>
      </c>
      <c r="M233" t="n">
        <v>0.213179989</v>
      </c>
      <c r="N233" t="n">
        <v>1.552318238</v>
      </c>
      <c r="O233" t="n">
        <v>1.450503392</v>
      </c>
      <c r="P233" t="n">
        <v>3.625702319</v>
      </c>
      <c r="Q233" t="n">
        <v>5.498248078</v>
      </c>
      <c r="R233" t="n">
        <v>1.641182947</v>
      </c>
      <c r="T233" t="n">
        <v>4.512511681</v>
      </c>
      <c r="U233" t="n">
        <v>1.846239061</v>
      </c>
      <c r="V233" t="n">
        <v>2.503177725</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2.745142341</v>
      </c>
      <c r="AN233" t="n">
        <v>2.770584163</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7" t="n">
        <v>38534</v>
      </c>
      <c r="C234" t="n">
        <v>11.937629441</v>
      </c>
      <c r="D234" t="n">
        <v>2.750209186</v>
      </c>
      <c r="E234" t="n">
        <v>2.596857912</v>
      </c>
      <c r="F234" t="n">
        <v>2.374112111</v>
      </c>
      <c r="G234" t="n">
        <v>4.069999897</v>
      </c>
      <c r="H234" t="n">
        <v>3.001929546</v>
      </c>
      <c r="I234" t="n">
        <v>2.097112363</v>
      </c>
      <c r="J234" t="n">
        <v>6.134735431</v>
      </c>
      <c r="K234" t="n">
        <v>11.1</v>
      </c>
      <c r="L234" t="n">
        <v>6.728711252</v>
      </c>
      <c r="M234" t="n">
        <v>0.235343816</v>
      </c>
      <c r="N234" t="n">
        <v>2.938909518</v>
      </c>
      <c r="O234" t="n">
        <v>1.452758511</v>
      </c>
      <c r="P234" t="n">
        <v>3.528897629</v>
      </c>
      <c r="Q234" t="n">
        <v>10.42639793</v>
      </c>
      <c r="R234" t="n">
        <v>1.676395195</v>
      </c>
      <c r="T234" t="n">
        <v>2.382177932</v>
      </c>
      <c r="U234" t="n">
        <v>1.533346737</v>
      </c>
      <c r="V234" t="n">
        <v>2.50071636</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3.503191847</v>
      </c>
      <c r="AN234" t="n">
        <v>2.758501251</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7" t="n">
        <v>38626</v>
      </c>
      <c r="C235" t="n">
        <v>7.339449966</v>
      </c>
      <c r="D235" t="n">
        <v>3.117972021</v>
      </c>
      <c r="E235" t="n">
        <v>2.136057049</v>
      </c>
      <c r="F235" t="n">
        <v>1.890494825</v>
      </c>
      <c r="G235" t="n">
        <v>2.135472713</v>
      </c>
      <c r="H235" t="n">
        <v>3.033425786</v>
      </c>
      <c r="I235" t="n">
        <v>3.284852398</v>
      </c>
      <c r="J235" t="n">
        <v>5.941479272</v>
      </c>
      <c r="K235" t="n">
        <v>10.8</v>
      </c>
      <c r="L235" t="n">
        <v>6.772387154</v>
      </c>
      <c r="M235" t="n">
        <v>1.295595637</v>
      </c>
      <c r="N235" t="n">
        <v>2.811266815</v>
      </c>
      <c r="O235" t="n">
        <v>1.966723285</v>
      </c>
      <c r="P235" t="n">
        <v>3.55572303</v>
      </c>
      <c r="Q235" t="n">
        <v>10.570552229</v>
      </c>
      <c r="R235" t="n">
        <v>2.175320658</v>
      </c>
      <c r="T235" t="n">
        <v>2.749714844</v>
      </c>
      <c r="U235" t="n">
        <v>1.823127509</v>
      </c>
      <c r="V235" t="n">
        <v>2.717098371</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3.709079541</v>
      </c>
      <c r="AN235" t="n">
        <v>3.058216634</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7" t="n">
        <v>38718</v>
      </c>
      <c r="C236" t="n">
        <v>7.884162234</v>
      </c>
      <c r="D236" t="n">
        <v>3.141518587</v>
      </c>
      <c r="E236" t="n">
        <v>2.659399246</v>
      </c>
      <c r="F236" t="n">
        <v>2.307236791</v>
      </c>
      <c r="G236" t="n">
        <v>2.612776812</v>
      </c>
      <c r="H236" t="n">
        <v>3.309946552</v>
      </c>
      <c r="I236" t="n">
        <v>4.122969841</v>
      </c>
      <c r="J236" t="n">
        <v>5.50370127</v>
      </c>
      <c r="K236" t="n">
        <v>12.4</v>
      </c>
      <c r="L236" t="n">
        <v>6.752209202</v>
      </c>
      <c r="M236" t="n">
        <v>1.867987207</v>
      </c>
      <c r="N236" t="n">
        <v>2.042172351</v>
      </c>
      <c r="O236" t="n">
        <v>2.212501582</v>
      </c>
      <c r="P236" t="n">
        <v>3.894748998</v>
      </c>
      <c r="Q236" t="n">
        <v>10.820482529</v>
      </c>
      <c r="R236" t="n">
        <v>2.40067895</v>
      </c>
      <c r="T236" t="n">
        <v>1.51700612</v>
      </c>
      <c r="U236" t="n">
        <v>1.736197045</v>
      </c>
      <c r="V236" t="n">
        <v>2.660631678</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2.896873957</v>
      </c>
      <c r="AN236" t="n">
        <v>3.117635867</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7" t="n">
        <v>38808</v>
      </c>
      <c r="C237" t="n">
        <v>7.591879842</v>
      </c>
      <c r="D237" t="n">
        <v>2.469956344</v>
      </c>
      <c r="E237" t="n">
        <v>4.052114389</v>
      </c>
      <c r="F237" t="n">
        <v>2.397412528</v>
      </c>
      <c r="G237" t="n">
        <v>3.48368017</v>
      </c>
      <c r="H237" t="n">
        <v>3.788607776</v>
      </c>
      <c r="I237" t="n">
        <v>4.545987605</v>
      </c>
      <c r="J237" t="n">
        <v>6.33754285</v>
      </c>
      <c r="K237" t="n">
        <v>12.5</v>
      </c>
      <c r="L237" t="n">
        <v>6.879772021</v>
      </c>
      <c r="M237" t="n">
        <v>2.844154575</v>
      </c>
      <c r="N237" t="n">
        <v>3.700915407</v>
      </c>
      <c r="O237" t="n">
        <v>2.891014879</v>
      </c>
      <c r="P237" t="n">
        <v>4.068644074</v>
      </c>
      <c r="Q237" t="n">
        <v>11.409671842</v>
      </c>
      <c r="R237" t="n">
        <v>3.122205107</v>
      </c>
      <c r="T237" t="n">
        <v>3.030122397</v>
      </c>
      <c r="U237" t="n">
        <v>2.283767066</v>
      </c>
      <c r="V237" t="n">
        <v>2.880861498</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3.331500825</v>
      </c>
      <c r="AN237" t="n">
        <v>3.396885381</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7" t="n">
        <v>38899</v>
      </c>
      <c r="C238" t="n">
        <v>6.638297036</v>
      </c>
      <c r="D238" t="n">
        <v>2.243975818</v>
      </c>
      <c r="E238" t="n">
        <v>2.943006425</v>
      </c>
      <c r="F238" t="n">
        <v>2.148910077</v>
      </c>
      <c r="G238" t="n">
        <v>2.592134588</v>
      </c>
      <c r="H238" t="n">
        <v>3.094238728</v>
      </c>
      <c r="I238" t="n">
        <v>4.257249394</v>
      </c>
      <c r="J238" t="n">
        <v>6.771667034</v>
      </c>
      <c r="K238" t="n">
        <v>13.7</v>
      </c>
      <c r="L238" t="n">
        <v>7.319090859</v>
      </c>
      <c r="M238" t="n">
        <v>4.057971796</v>
      </c>
      <c r="N238" t="n">
        <v>4.73163812</v>
      </c>
      <c r="O238" t="n">
        <v>3.390839384</v>
      </c>
      <c r="P238" t="n">
        <v>4.158263371</v>
      </c>
      <c r="Q238" t="n">
        <v>9.410871251</v>
      </c>
      <c r="R238" t="n">
        <v>3.69652088</v>
      </c>
      <c r="T238" t="n">
        <v>4.532839963</v>
      </c>
      <c r="U238" t="n">
        <v>3.060834444</v>
      </c>
      <c r="V238" t="n">
        <v>2.744585436</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2.107814495</v>
      </c>
      <c r="AN238" t="n">
        <v>3.3870624</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7" t="n">
        <v>38991</v>
      </c>
      <c r="C239" t="n">
        <v>8.810715926</v>
      </c>
      <c r="D239" t="n">
        <v>2.611270488</v>
      </c>
      <c r="E239" t="n">
        <v>3.587680834</v>
      </c>
      <c r="F239" t="n">
        <v>2.642265239</v>
      </c>
      <c r="G239" t="n">
        <v>4.904847139</v>
      </c>
      <c r="H239" t="n">
        <v>2.144768711</v>
      </c>
      <c r="I239" t="n">
        <v>3.807714117</v>
      </c>
      <c r="J239" t="n">
        <v>5.656361442</v>
      </c>
      <c r="K239" t="n">
        <v>12.2</v>
      </c>
      <c r="L239" t="n">
        <v>7.021425725</v>
      </c>
      <c r="M239" t="n">
        <v>3.989424214</v>
      </c>
      <c r="N239" t="n">
        <v>3.917567281</v>
      </c>
      <c r="O239" t="n">
        <v>3.248847898</v>
      </c>
      <c r="P239" t="n">
        <v>4.119584867</v>
      </c>
      <c r="Q239" t="n">
        <v>9.299084718</v>
      </c>
      <c r="R239" t="n">
        <v>3.539665057</v>
      </c>
      <c r="T239" t="n">
        <v>4.020140348</v>
      </c>
      <c r="U239" t="n">
        <v>2.578327784</v>
      </c>
      <c r="V239" t="n">
        <v>2.089869242</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2.217772323</v>
      </c>
      <c r="AN239" t="n">
        <v>2.849216891</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7" t="n">
        <v>39083</v>
      </c>
      <c r="C240" t="n">
        <v>9.105055266999999</v>
      </c>
      <c r="D240" t="n">
        <v>3.130185297</v>
      </c>
      <c r="E240" t="n">
        <v>3.576426603</v>
      </c>
      <c r="F240" t="n">
        <v>3.017495577</v>
      </c>
      <c r="G240" t="n">
        <v>4.851310192</v>
      </c>
      <c r="H240" t="n">
        <v>1.547877248</v>
      </c>
      <c r="I240" t="n">
        <v>4.027423218</v>
      </c>
      <c r="J240" t="n">
        <v>6.629901749</v>
      </c>
      <c r="K240" t="n">
        <v>12.5</v>
      </c>
      <c r="L240" t="n">
        <v>6.495767128</v>
      </c>
      <c r="M240" t="n">
        <v>5.069233939</v>
      </c>
      <c r="N240" t="n">
        <v>3.300487701</v>
      </c>
      <c r="O240" t="n">
        <v>3.797236422</v>
      </c>
      <c r="P240" t="n">
        <v>4.065324206</v>
      </c>
      <c r="Q240" t="n">
        <v>9.482543796</v>
      </c>
      <c r="R240" t="n">
        <v>3.91283364</v>
      </c>
      <c r="T240" t="n">
        <v>4.536379989</v>
      </c>
      <c r="U240" t="n">
        <v>2.631740176</v>
      </c>
      <c r="V240" t="n">
        <v>2.52402572</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3.561312085</v>
      </c>
      <c r="AN240" t="n">
        <v>3.066245941</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7" t="n">
        <v>39173</v>
      </c>
      <c r="C241" t="n">
        <v>8.810128598</v>
      </c>
      <c r="D241" t="n">
        <v>4.451072299</v>
      </c>
      <c r="E241" t="n">
        <v>3.556748801</v>
      </c>
      <c r="F241" t="n">
        <v>3.839182017</v>
      </c>
      <c r="G241" t="n">
        <v>5.120799009</v>
      </c>
      <c r="H241" t="n">
        <v>1.375255855</v>
      </c>
      <c r="I241" t="n">
        <v>3.368984457</v>
      </c>
      <c r="J241" t="n">
        <v>6.758496887</v>
      </c>
      <c r="K241" t="n">
        <v>13.8</v>
      </c>
      <c r="L241" t="n">
        <v>6.361299555</v>
      </c>
      <c r="M241" t="n">
        <v>4.134105415</v>
      </c>
      <c r="N241" t="n">
        <v>2.356446554</v>
      </c>
      <c r="O241" t="n">
        <v>3.516278695</v>
      </c>
      <c r="P241" t="n">
        <v>3.828490883</v>
      </c>
      <c r="Q241" t="n">
        <v>10.57250051</v>
      </c>
      <c r="R241" t="n">
        <v>3.689660342</v>
      </c>
      <c r="T241" t="n">
        <v>3.963126531</v>
      </c>
      <c r="U241" t="n">
        <v>2.589953016</v>
      </c>
      <c r="V241" t="n">
        <v>2.000322797</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3.247499468</v>
      </c>
      <c r="AN241" t="n">
        <v>2.72085514</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7" t="n">
        <v>39264</v>
      </c>
      <c r="C242" t="n">
        <v>9.766651065</v>
      </c>
      <c r="D242" t="n">
        <v>4.905778304</v>
      </c>
      <c r="E242" t="n">
        <v>4.415517463</v>
      </c>
      <c r="F242" t="n">
        <v>3.944579043</v>
      </c>
      <c r="G242" t="n">
        <v>6.545142895</v>
      </c>
      <c r="H242" t="n">
        <v>2.304651418</v>
      </c>
      <c r="I242" t="n">
        <v>4.119053528</v>
      </c>
      <c r="J242" t="n">
        <v>5.650819148</v>
      </c>
      <c r="K242" t="n">
        <v>15</v>
      </c>
      <c r="L242" t="n">
        <v>5.179186475</v>
      </c>
      <c r="M242" t="n">
        <v>3.228417933</v>
      </c>
      <c r="N242" t="n">
        <v>-1.053004057</v>
      </c>
      <c r="O242" t="n">
        <v>3.125036175</v>
      </c>
      <c r="P242" t="n">
        <v>3.753222435</v>
      </c>
      <c r="Q242" t="n">
        <v>8.72648959</v>
      </c>
      <c r="R242" t="n">
        <v>3.164818047</v>
      </c>
      <c r="T242" t="n">
        <v>5.573297422</v>
      </c>
      <c r="U242" t="n">
        <v>2.229718728</v>
      </c>
      <c r="V242" t="n">
        <v>2.107593336</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3.75347053</v>
      </c>
      <c r="AN242" t="n">
        <v>2.716019517</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7" t="n">
        <v>39356</v>
      </c>
      <c r="C243" t="n">
        <v>8.219932980999999</v>
      </c>
      <c r="D243" t="n">
        <v>4.529662299</v>
      </c>
      <c r="E243" t="n">
        <v>3.381455262</v>
      </c>
      <c r="F243" t="n">
        <v>3.832958079</v>
      </c>
      <c r="G243" t="n">
        <v>5.885162729</v>
      </c>
      <c r="H243" t="n">
        <v>2.448100483</v>
      </c>
      <c r="I243" t="n">
        <v>4.312070416</v>
      </c>
      <c r="J243" t="n">
        <v>4.518417356</v>
      </c>
      <c r="K243" t="n">
        <v>14.3</v>
      </c>
      <c r="L243" t="n">
        <v>5.380822178</v>
      </c>
      <c r="M243" t="n">
        <v>2.960191362</v>
      </c>
      <c r="N243" t="n">
        <v>0.547088857</v>
      </c>
      <c r="O243" t="n">
        <v>2.978374811</v>
      </c>
      <c r="P243" t="n">
        <v>3.586286896</v>
      </c>
      <c r="Q243" t="n">
        <v>6.505878858</v>
      </c>
      <c r="R243" t="n">
        <v>3.064671973</v>
      </c>
      <c r="T243" t="n">
        <v>5.53988642</v>
      </c>
      <c r="U243" t="n">
        <v>2.626935059</v>
      </c>
      <c r="V243" t="n">
        <v>2.31828243</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3.903271333</v>
      </c>
      <c r="AN243" t="n">
        <v>2.876759098</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7" t="n">
        <v>39448</v>
      </c>
      <c r="C244" t="n">
        <v>9.241707173</v>
      </c>
      <c r="D244" t="n">
        <v>3.632205556</v>
      </c>
      <c r="E244" t="n">
        <v>3.358218472</v>
      </c>
      <c r="F244" t="n">
        <v>3.083887246</v>
      </c>
      <c r="G244" t="n">
        <v>6.290050334</v>
      </c>
      <c r="H244" t="n">
        <v>2.15730178</v>
      </c>
      <c r="I244" t="n">
        <v>3.903077417</v>
      </c>
      <c r="J244" t="n">
        <v>4.257373103</v>
      </c>
      <c r="K244" t="n">
        <v>13.9</v>
      </c>
      <c r="L244" t="n">
        <v>5.333857054</v>
      </c>
      <c r="M244" t="n">
        <v>2.077408729</v>
      </c>
      <c r="N244" t="n">
        <v>1.834574414</v>
      </c>
      <c r="O244" t="n">
        <v>2.301990189</v>
      </c>
      <c r="P244" t="n">
        <v>3.259416399</v>
      </c>
      <c r="Q244" t="n">
        <v>3.303558484</v>
      </c>
      <c r="R244" t="n">
        <v>2.602673439</v>
      </c>
      <c r="T244" t="n">
        <v>6.09991302</v>
      </c>
      <c r="U244" t="n">
        <v>2.087253322</v>
      </c>
      <c r="V244" t="n">
        <v>1.82709049</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3.196642586</v>
      </c>
      <c r="AN244" t="n">
        <v>2.613968865</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7" t="n">
        <v>39539</v>
      </c>
      <c r="C245" t="n">
        <v>7.726196856</v>
      </c>
      <c r="D245" t="n">
        <v>3.243150003</v>
      </c>
      <c r="E245" t="n">
        <v>3.02255314</v>
      </c>
      <c r="F245" t="n">
        <v>2.082244476</v>
      </c>
      <c r="G245" t="n">
        <v>5.544523455</v>
      </c>
      <c r="H245" t="n">
        <v>1.585825708</v>
      </c>
      <c r="I245" t="n">
        <v>4.189201124</v>
      </c>
      <c r="J245" t="n">
        <v>5.37318059</v>
      </c>
      <c r="K245" t="n">
        <v>11.5</v>
      </c>
      <c r="L245" t="n">
        <v>4.048971347</v>
      </c>
      <c r="M245" t="n">
        <v>2.66654559</v>
      </c>
      <c r="N245" t="n">
        <v>1.45612883</v>
      </c>
      <c r="O245" t="n">
        <v>2.217523902</v>
      </c>
      <c r="P245" t="n">
        <v>2.543974892</v>
      </c>
      <c r="Q245" t="n">
        <v>-2.231634338</v>
      </c>
      <c r="R245" t="n">
        <v>2.435051393</v>
      </c>
      <c r="T245" t="n">
        <v>3.960451139</v>
      </c>
      <c r="U245" t="n">
        <v>1.839713461</v>
      </c>
      <c r="V245" t="n">
        <v>1.501573583</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1.409844175</v>
      </c>
      <c r="AN245" t="n">
        <v>2.107301066</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7" t="n">
        <v>39630</v>
      </c>
      <c r="C246" t="n">
        <v>5.975308578</v>
      </c>
      <c r="D246" t="n">
        <v>2.898508698</v>
      </c>
      <c r="E246" t="n">
        <v>2.811898053</v>
      </c>
      <c r="F246" t="n">
        <v>1.682569743</v>
      </c>
      <c r="G246" t="n">
        <v>5.992509544</v>
      </c>
      <c r="H246" t="n">
        <v>0.974880143</v>
      </c>
      <c r="I246" t="n">
        <v>3.812521417</v>
      </c>
      <c r="J246" t="n">
        <v>4.415611015</v>
      </c>
      <c r="K246" t="n">
        <v>10.9</v>
      </c>
      <c r="L246" t="n">
        <v>3.955255518</v>
      </c>
      <c r="M246" t="n">
        <v>1.565052917</v>
      </c>
      <c r="N246" t="n">
        <v>0.972250724</v>
      </c>
      <c r="O246" t="n">
        <v>1.142192573</v>
      </c>
      <c r="P246" t="n">
        <v>1.744347958</v>
      </c>
      <c r="Q246" t="n">
        <v>-1.622401295</v>
      </c>
      <c r="R246" t="n">
        <v>1.445155093</v>
      </c>
      <c r="T246" t="n">
        <v>1.304736046</v>
      </c>
      <c r="U246" t="n">
        <v>0.595123363</v>
      </c>
      <c r="V246" t="n">
        <v>0.9763093269999999</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0.224700739</v>
      </c>
      <c r="AN246" t="n">
        <v>1.446657078</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7" t="n">
        <v>39722</v>
      </c>
      <c r="C247" t="n">
        <v>5.391427857</v>
      </c>
      <c r="D247" t="n">
        <v>2.443405178</v>
      </c>
      <c r="E247" t="n">
        <v>1.817544575</v>
      </c>
      <c r="F247" t="n">
        <v>0.31390366</v>
      </c>
      <c r="G247" t="n">
        <v>6.632592534</v>
      </c>
      <c r="H247" t="n">
        <v>1.377281448</v>
      </c>
      <c r="I247" t="n">
        <v>3.433611746</v>
      </c>
      <c r="J247" t="n">
        <v>3.28079019</v>
      </c>
      <c r="K247" t="n">
        <v>9.5</v>
      </c>
      <c r="L247" t="n">
        <v>2.767976993</v>
      </c>
      <c r="M247" t="n">
        <v>0.397312395</v>
      </c>
      <c r="N247" t="n">
        <v>-0.551895439</v>
      </c>
      <c r="O247" t="n">
        <v>0.155598242</v>
      </c>
      <c r="P247" t="n">
        <v>0.784954148</v>
      </c>
      <c r="Q247" t="n">
        <v>-1.772981648</v>
      </c>
      <c r="R247" t="n">
        <v>0.421047507</v>
      </c>
      <c r="T247" t="n">
        <v>0.729492064</v>
      </c>
      <c r="U247" t="n">
        <v>-0.043997635</v>
      </c>
      <c r="V247" t="n">
        <v>-0.099678557</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-0.924461744</v>
      </c>
      <c r="AN247" t="n">
        <v>0.41606088</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7" t="n">
        <v>39814</v>
      </c>
      <c r="C248" t="n">
        <v>-2.51117362</v>
      </c>
      <c r="D248" t="n">
        <v>1.603167391</v>
      </c>
      <c r="E248" t="n">
        <v>-1.307256126</v>
      </c>
      <c r="F248" t="n">
        <v>-2.258376355</v>
      </c>
      <c r="G248" t="n">
        <v>1.034057178</v>
      </c>
      <c r="H248" t="n">
        <v>0.08807601</v>
      </c>
      <c r="I248" t="n">
        <v>-0.597033487</v>
      </c>
      <c r="J248" t="n">
        <v>0.5611121489999999</v>
      </c>
      <c r="K248" t="n">
        <v>7.1</v>
      </c>
      <c r="L248" t="n">
        <v>-0.559072765</v>
      </c>
      <c r="M248" t="n">
        <v>-1.835047698</v>
      </c>
      <c r="N248" t="n">
        <v>-3.867425881</v>
      </c>
      <c r="O248" t="n">
        <v>-2.166261716</v>
      </c>
      <c r="P248" t="n">
        <v>-1.475901573</v>
      </c>
      <c r="Q248" t="n">
        <v>-12.838646636</v>
      </c>
      <c r="R248" t="n">
        <v>-2.020284057</v>
      </c>
      <c r="T248" t="n">
        <v>-2.715996578</v>
      </c>
      <c r="U248" t="n">
        <v>-1.740180468</v>
      </c>
      <c r="V248" t="n">
        <v>-2.668841951</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-1.839150228</v>
      </c>
      <c r="AN248" t="n">
        <v>-2.305122968</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7" t="n">
        <v>39904</v>
      </c>
      <c r="C249" t="n">
        <v>-6.973299671</v>
      </c>
      <c r="D249" t="n">
        <v>1.519357608</v>
      </c>
      <c r="E249" t="n">
        <v>-3.855725342</v>
      </c>
      <c r="F249" t="n">
        <v>-3.625919024</v>
      </c>
      <c r="G249" t="n">
        <v>-1.615468192</v>
      </c>
      <c r="H249" t="n">
        <v>-2.248517705</v>
      </c>
      <c r="I249" t="n">
        <v>-3.196123537</v>
      </c>
      <c r="J249" t="n">
        <v>-1.99326375</v>
      </c>
      <c r="K249" t="n">
        <v>6.4</v>
      </c>
      <c r="L249" t="n">
        <v>-4.339281011</v>
      </c>
      <c r="M249" t="n">
        <v>-7.028663586</v>
      </c>
      <c r="N249" t="n">
        <v>-5.196421572</v>
      </c>
      <c r="O249" t="n">
        <v>-5.680474472</v>
      </c>
      <c r="P249" t="n">
        <v>-4.2496023</v>
      </c>
      <c r="Q249" t="n">
        <v>-13.223561602</v>
      </c>
      <c r="R249" t="n">
        <v>-5.378134658</v>
      </c>
      <c r="T249" t="n">
        <v>-8.905661724</v>
      </c>
      <c r="U249" t="n">
        <v>-3.87896605</v>
      </c>
      <c r="V249" t="n">
        <v>-4.979176181</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-2.264227642</v>
      </c>
      <c r="AN249" t="n">
        <v>-4.751686733</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7" t="n">
        <v>39995</v>
      </c>
      <c r="C250" t="n">
        <v>-9.54156167</v>
      </c>
      <c r="D250" t="n">
        <v>1.92120473</v>
      </c>
      <c r="E250" t="n">
        <v>-5.37437868</v>
      </c>
      <c r="F250" t="n">
        <v>-3.641015145</v>
      </c>
      <c r="G250" t="n">
        <v>-1.869447591</v>
      </c>
      <c r="H250" t="n">
        <v>-3.663660624</v>
      </c>
      <c r="I250" t="n">
        <v>-3.765321224</v>
      </c>
      <c r="J250" t="n">
        <v>-2.660108913</v>
      </c>
      <c r="K250" t="n">
        <v>8.199999999999999</v>
      </c>
      <c r="L250" t="n">
        <v>-5.386292231</v>
      </c>
      <c r="M250" t="n">
        <v>-6.652650079</v>
      </c>
      <c r="N250" t="n">
        <v>-6.168268009</v>
      </c>
      <c r="O250" t="n">
        <v>-5.384523362</v>
      </c>
      <c r="P250" t="n">
        <v>-4.364486912</v>
      </c>
      <c r="Q250" t="n">
        <v>-16.995008138</v>
      </c>
      <c r="R250" t="n">
        <v>-5.199772059</v>
      </c>
      <c r="T250" t="n">
        <v>-8.569424207999999</v>
      </c>
      <c r="U250" t="n">
        <v>-3.363053378</v>
      </c>
      <c r="V250" t="n">
        <v>-4.916052853</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-2.062612098</v>
      </c>
      <c r="AN250" t="n">
        <v>-4.584020502</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7" t="n">
        <v>40087</v>
      </c>
      <c r="C251" t="n">
        <v>-6.680274903</v>
      </c>
      <c r="D251" t="n">
        <v>1.577954944</v>
      </c>
      <c r="E251" t="n">
        <v>-4.392303527</v>
      </c>
      <c r="F251" t="n">
        <v>-1.849735973</v>
      </c>
      <c r="G251" t="n">
        <v>-1.146178284</v>
      </c>
      <c r="H251" t="n">
        <v>-4.017306655</v>
      </c>
      <c r="I251" t="n">
        <v>-2.900875894</v>
      </c>
      <c r="J251" t="n">
        <v>-0.686240264</v>
      </c>
      <c r="K251" t="n">
        <v>10.6</v>
      </c>
      <c r="L251" t="n">
        <v>-5.168392565</v>
      </c>
      <c r="M251" t="n">
        <v>-5.529560119</v>
      </c>
      <c r="N251" t="n">
        <v>-5.290600352</v>
      </c>
      <c r="O251" t="n">
        <v>-4.498976393</v>
      </c>
      <c r="P251" t="n">
        <v>-3.984658229</v>
      </c>
      <c r="Q251" t="n">
        <v>-18.666625132</v>
      </c>
      <c r="R251" t="n">
        <v>-4.368084956</v>
      </c>
      <c r="T251" t="n">
        <v>-8.041588240999999</v>
      </c>
      <c r="U251" t="n">
        <v>-3.025431407</v>
      </c>
      <c r="V251" t="n">
        <v>-3.96322513</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-1.17045222</v>
      </c>
      <c r="AN251" t="n">
        <v>-3.537348063</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7" t="n">
        <v>40179</v>
      </c>
      <c r="C252" t="n">
        <v>-0.256982465</v>
      </c>
      <c r="D252" t="n">
        <v>2.777309314</v>
      </c>
      <c r="E252" t="n">
        <v>-1.538639756</v>
      </c>
      <c r="F252" t="n">
        <v>1.131078891</v>
      </c>
      <c r="G252" t="n">
        <v>5.368246823</v>
      </c>
      <c r="H252" t="n">
        <v>-1.758873711</v>
      </c>
      <c r="I252" t="n">
        <v>0.698379626</v>
      </c>
      <c r="J252" t="n">
        <v>1.349222364</v>
      </c>
      <c r="K252" t="n">
        <v>11.9</v>
      </c>
      <c r="L252" t="n">
        <v>-3.19054301</v>
      </c>
      <c r="M252" t="n">
        <v>-3.293268355</v>
      </c>
      <c r="N252" t="n">
        <v>-2.911942209</v>
      </c>
      <c r="O252" t="n">
        <v>-2.316084664</v>
      </c>
      <c r="P252" t="n">
        <v>-2.430918826</v>
      </c>
      <c r="Q252" t="n">
        <v>-7.354950676</v>
      </c>
      <c r="R252" t="n">
        <v>-2.155238504</v>
      </c>
      <c r="T252" t="n">
        <v>-6.75056789</v>
      </c>
      <c r="U252" t="n">
        <v>-0.843559774</v>
      </c>
      <c r="V252" t="n">
        <v>-0.976913005</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0.779124413</v>
      </c>
      <c r="AN252" t="n">
        <v>-0.683531987</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7" t="n">
        <v>40269</v>
      </c>
      <c r="C253" t="n">
        <v>6.664374211</v>
      </c>
      <c r="D253" t="n">
        <v>2.273665234</v>
      </c>
      <c r="E253" t="n">
        <v>-0.20609053</v>
      </c>
      <c r="F253" t="n">
        <v>2.654143247</v>
      </c>
      <c r="G253" t="n">
        <v>9.129010269</v>
      </c>
      <c r="H253" t="n">
        <v>1.724913568</v>
      </c>
      <c r="I253" t="n">
        <v>3.552313552</v>
      </c>
      <c r="J253" t="n">
        <v>2.174024178</v>
      </c>
      <c r="K253" t="n">
        <v>12.2</v>
      </c>
      <c r="L253" t="n">
        <v>0.8526157090000001</v>
      </c>
      <c r="M253" t="n">
        <v>2.283396812</v>
      </c>
      <c r="N253" t="n">
        <v>-0.659459022</v>
      </c>
      <c r="O253" t="n">
        <v>1.247803796</v>
      </c>
      <c r="P253" t="n">
        <v>0.151644676</v>
      </c>
      <c r="Q253" t="n">
        <v>-3.519526939</v>
      </c>
      <c r="R253" t="n">
        <v>1.175903843</v>
      </c>
      <c r="T253" t="n">
        <v>0.70712215</v>
      </c>
      <c r="U253" t="n">
        <v>1.225760842</v>
      </c>
      <c r="V253" t="n">
        <v>2.021101524</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1.983945431</v>
      </c>
      <c r="AN253" t="n">
        <v>2.317572048</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7" t="n">
        <v>40360</v>
      </c>
      <c r="C254" t="n">
        <v>13.966431986</v>
      </c>
      <c r="D254" t="n">
        <v>2.199448504</v>
      </c>
      <c r="E254" t="n">
        <v>1.892187414</v>
      </c>
      <c r="F254" t="n">
        <v>3.616108409</v>
      </c>
      <c r="G254" t="n">
        <v>8.505686108000001</v>
      </c>
      <c r="H254" t="n">
        <v>3.385402366</v>
      </c>
      <c r="I254" t="n">
        <v>3.60478014</v>
      </c>
      <c r="J254" t="n">
        <v>6.260029721</v>
      </c>
      <c r="K254" t="n">
        <v>10.8</v>
      </c>
      <c r="L254" t="n">
        <v>2.474577713</v>
      </c>
      <c r="M254" t="n">
        <v>4.420073848</v>
      </c>
      <c r="N254" t="n">
        <v>1.996593348</v>
      </c>
      <c r="O254" t="n">
        <v>2.255045639</v>
      </c>
      <c r="P254" t="n">
        <v>0.312595247</v>
      </c>
      <c r="Q254" t="n">
        <v>1.115473102</v>
      </c>
      <c r="R254" t="n">
        <v>2.258133317</v>
      </c>
      <c r="T254" t="n">
        <v>3.942631175</v>
      </c>
      <c r="U254" t="n">
        <v>1.733139223</v>
      </c>
      <c r="V254" t="n">
        <v>3.002379376</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2.730375427</v>
      </c>
      <c r="AN254" t="n">
        <v>3.246855418</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7" t="n">
        <v>40452</v>
      </c>
      <c r="C255" t="n">
        <v>10.292225521</v>
      </c>
      <c r="D255" t="n">
        <v>2.546483023</v>
      </c>
      <c r="E255" t="n">
        <v>2.472614993</v>
      </c>
      <c r="F255" t="n">
        <v>2.749811226</v>
      </c>
      <c r="G255" t="n">
        <v>6.964124184</v>
      </c>
      <c r="H255" t="n">
        <v>3.651720446</v>
      </c>
      <c r="I255" t="n">
        <v>2.724244045</v>
      </c>
      <c r="J255" t="n">
        <v>7.468611937</v>
      </c>
      <c r="K255" t="n">
        <v>9.9</v>
      </c>
      <c r="L255" t="n">
        <v>2.734126274</v>
      </c>
      <c r="M255" t="n">
        <v>4.689932893</v>
      </c>
      <c r="N255" t="n">
        <v>3.256597062</v>
      </c>
      <c r="O255" t="n">
        <v>2.270767541</v>
      </c>
      <c r="P255" t="n">
        <v>0.05007177</v>
      </c>
      <c r="Q255" t="n">
        <v>4.6562902</v>
      </c>
      <c r="R255" t="n">
        <v>2.374185785</v>
      </c>
      <c r="T255" t="n">
        <v>2.567301507</v>
      </c>
      <c r="U255" t="n">
        <v>2.187877326</v>
      </c>
      <c r="V255" t="n">
        <v>3.58817669</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2.004223777</v>
      </c>
      <c r="AN255" t="n">
        <v>3.495146138</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7" t="n">
        <v>40544</v>
      </c>
      <c r="C256" t="n">
        <v>9.678505757</v>
      </c>
      <c r="D256" t="n">
        <v>2.63587747</v>
      </c>
      <c r="E256" t="n">
        <v>2.976671974</v>
      </c>
      <c r="F256" t="n">
        <v>2.447017697</v>
      </c>
      <c r="G256" t="n">
        <v>5.761353336</v>
      </c>
      <c r="H256" t="n">
        <v>3.601873242</v>
      </c>
      <c r="I256" t="n">
        <v>3.000376417</v>
      </c>
      <c r="J256" t="n">
        <v>7.425977862</v>
      </c>
      <c r="K256" t="n">
        <v>9.9</v>
      </c>
      <c r="L256" t="n">
        <v>3.123834569</v>
      </c>
      <c r="M256" t="n">
        <v>4.768083912</v>
      </c>
      <c r="N256" t="n">
        <v>2.930815669</v>
      </c>
      <c r="O256" t="n">
        <v>2.441543889</v>
      </c>
      <c r="P256" t="n">
        <v>0.137653144</v>
      </c>
      <c r="Q256" t="n">
        <v>6.356621581</v>
      </c>
      <c r="R256" t="n">
        <v>2.566577579</v>
      </c>
      <c r="T256" t="n">
        <v>5.536019488</v>
      </c>
      <c r="U256" t="n">
        <v>2.135813789</v>
      </c>
      <c r="V256" t="n">
        <v>3.000538835</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0.220885998</v>
      </c>
      <c r="AN256" t="n">
        <v>3.170060385</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7" t="n">
        <v>40634</v>
      </c>
      <c r="C257" t="n">
        <v>8.974106389999999</v>
      </c>
      <c r="D257" t="n">
        <v>1.877025378</v>
      </c>
      <c r="E257" t="n">
        <v>4.269112373</v>
      </c>
      <c r="F257" t="n">
        <v>2.409563732</v>
      </c>
      <c r="G257" t="n">
        <v>5.021047749</v>
      </c>
      <c r="H257" t="n">
        <v>3.140203861</v>
      </c>
      <c r="I257" t="n">
        <v>2.52186457</v>
      </c>
      <c r="J257" t="n">
        <v>8.327755967</v>
      </c>
      <c r="K257" t="n">
        <v>10.2</v>
      </c>
      <c r="L257" t="n">
        <v>3.006466566</v>
      </c>
      <c r="M257" t="n">
        <v>5.93925147</v>
      </c>
      <c r="N257" t="n">
        <v>2.271855039</v>
      </c>
      <c r="O257" t="n">
        <v>2.918508391</v>
      </c>
      <c r="P257" t="n">
        <v>0.009648999</v>
      </c>
      <c r="Q257" t="n">
        <v>7.037822876</v>
      </c>
      <c r="R257" t="n">
        <v>3.05641309</v>
      </c>
      <c r="T257" t="n">
        <v>5.072646996</v>
      </c>
      <c r="U257" t="n">
        <v>2.854487943</v>
      </c>
      <c r="V257" t="n">
        <v>2.431427975</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1.001223491</v>
      </c>
      <c r="AN257" t="n">
        <v>2.82698806</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7" t="n">
        <v>40725</v>
      </c>
      <c r="C258" t="n">
        <v>5.375103025</v>
      </c>
      <c r="D258" t="n">
        <v>2.508012012</v>
      </c>
      <c r="E258" t="n">
        <v>3.354197746</v>
      </c>
      <c r="F258" t="n">
        <v>1.620424939</v>
      </c>
      <c r="G258" t="n">
        <v>4.744740698</v>
      </c>
      <c r="H258" t="n">
        <v>2.80319874</v>
      </c>
      <c r="I258" t="n">
        <v>2.516805338</v>
      </c>
      <c r="J258" t="n">
        <v>6.277765559</v>
      </c>
      <c r="K258" t="n">
        <v>10</v>
      </c>
      <c r="L258" t="n">
        <v>2.088883901</v>
      </c>
      <c r="M258" t="n">
        <v>3.704222188</v>
      </c>
      <c r="N258" t="n">
        <v>2.595693052</v>
      </c>
      <c r="O258" t="n">
        <v>1.907098336</v>
      </c>
      <c r="P258" t="n">
        <v>-0.45613034</v>
      </c>
      <c r="Q258" t="n">
        <v>7.716029476</v>
      </c>
      <c r="R258" t="n">
        <v>2.108007176</v>
      </c>
      <c r="T258" t="n">
        <v>2.070675525</v>
      </c>
      <c r="U258" t="n">
        <v>2.253848564</v>
      </c>
      <c r="V258" t="n">
        <v>1.572912191</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0.8163844099999999</v>
      </c>
      <c r="AN258" t="n">
        <v>2.07318972</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7" t="n">
        <v>40817</v>
      </c>
      <c r="C259" t="n">
        <v>5.615790846</v>
      </c>
      <c r="D259" t="n">
        <v>3.206846092</v>
      </c>
      <c r="E259" t="n">
        <v>2.892376714</v>
      </c>
      <c r="F259" t="n">
        <v>1.488149917</v>
      </c>
      <c r="G259" t="n">
        <v>3.600335308</v>
      </c>
      <c r="H259" t="n">
        <v>3.488097449</v>
      </c>
      <c r="I259" t="n">
        <v>1.672969114</v>
      </c>
      <c r="J259" t="n">
        <v>4.506258176</v>
      </c>
      <c r="K259" t="n">
        <v>9.4</v>
      </c>
      <c r="L259" t="n">
        <v>1.158037637</v>
      </c>
      <c r="M259" t="n">
        <v>3.771482477</v>
      </c>
      <c r="N259" t="n">
        <v>-0.261522916</v>
      </c>
      <c r="O259" t="n">
        <v>1.638032088</v>
      </c>
      <c r="P259" t="n">
        <v>-1.050980916</v>
      </c>
      <c r="Q259" t="n">
        <v>7.93340441</v>
      </c>
      <c r="R259" t="n">
        <v>1.806644822</v>
      </c>
      <c r="T259" t="n">
        <v>2.617074654</v>
      </c>
      <c r="U259" t="n">
        <v>2.122284832</v>
      </c>
      <c r="V259" t="n">
        <v>1.185740844</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2.07445297</v>
      </c>
      <c r="AN259" t="n">
        <v>1.823372222</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7" t="n">
        <v>40909</v>
      </c>
      <c r="C260" t="n">
        <v>4.214402785</v>
      </c>
      <c r="D260" t="n">
        <v>3.441927615</v>
      </c>
      <c r="E260" t="n">
        <v>1.680631786</v>
      </c>
      <c r="F260" t="n">
        <v>1.272481695</v>
      </c>
      <c r="G260" t="n">
        <v>3.029996099</v>
      </c>
      <c r="H260" t="n">
        <v>3.150369226</v>
      </c>
      <c r="I260" t="n">
        <v>0.884015672</v>
      </c>
      <c r="J260" t="n">
        <v>5.523533354</v>
      </c>
      <c r="K260" t="n">
        <v>8.800000000000001</v>
      </c>
      <c r="L260" t="n">
        <v>0.81070904</v>
      </c>
      <c r="M260" t="n">
        <v>2.604052065</v>
      </c>
      <c r="N260" t="n">
        <v>0.7803334750000001</v>
      </c>
      <c r="O260" t="n">
        <v>0.613163829</v>
      </c>
      <c r="P260" t="n">
        <v>-1.758500717</v>
      </c>
      <c r="Q260" t="n">
        <v>5.677474685</v>
      </c>
      <c r="R260" t="n">
        <v>0.8087170849999999</v>
      </c>
      <c r="T260" t="n">
        <v>0.53424173</v>
      </c>
      <c r="U260" t="n">
        <v>1.626966905</v>
      </c>
      <c r="V260" t="n">
        <v>1.295948806</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3.203950859</v>
      </c>
      <c r="AN260" t="n">
        <v>1.680045583</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7" t="n">
        <v>41000</v>
      </c>
      <c r="C261" t="n">
        <v>0.728265819</v>
      </c>
      <c r="D261" t="n">
        <v>4.757739011</v>
      </c>
      <c r="E261" t="n">
        <v>1.740967604</v>
      </c>
      <c r="F261" t="n">
        <v>1.003608138</v>
      </c>
      <c r="G261" t="n">
        <v>0.256962258</v>
      </c>
      <c r="H261" t="n">
        <v>2.442677819</v>
      </c>
      <c r="I261" t="n">
        <v>0.916862591</v>
      </c>
      <c r="J261" t="n">
        <v>6.451515181</v>
      </c>
      <c r="K261" t="n">
        <v>8.1</v>
      </c>
      <c r="L261" t="n">
        <v>0.066262849</v>
      </c>
      <c r="M261" t="n">
        <v>0.862905379</v>
      </c>
      <c r="N261" t="n">
        <v>0.491421016</v>
      </c>
      <c r="O261" t="n">
        <v>-0.508078267</v>
      </c>
      <c r="P261" t="n">
        <v>-2.527051699</v>
      </c>
      <c r="Q261" t="n">
        <v>4.192471275</v>
      </c>
      <c r="R261" t="n">
        <v>-0.275899137</v>
      </c>
      <c r="T261" t="n">
        <v>-0.46093186</v>
      </c>
      <c r="U261" t="n">
        <v>0.611612194</v>
      </c>
      <c r="V261" t="n">
        <v>1.817391453</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2.715471119</v>
      </c>
      <c r="AN261" t="n">
        <v>1.88319194</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7" t="n">
        <v>41091</v>
      </c>
      <c r="C262" t="n">
        <v>-3.603308024</v>
      </c>
      <c r="D262" t="n">
        <v>4.195799162</v>
      </c>
      <c r="E262" t="n">
        <v>0.89529072</v>
      </c>
      <c r="F262" t="n">
        <v>0.79376286</v>
      </c>
      <c r="G262" t="n">
        <v>1.043545716</v>
      </c>
      <c r="H262" t="n">
        <v>2.576982045</v>
      </c>
      <c r="I262" t="n">
        <v>0.517327852</v>
      </c>
      <c r="J262" t="n">
        <v>6.888845719</v>
      </c>
      <c r="K262" t="n">
        <v>7.7</v>
      </c>
      <c r="L262" t="n">
        <v>-0.78653014</v>
      </c>
      <c r="M262" t="n">
        <v>0.9777229160000001</v>
      </c>
      <c r="N262" t="n">
        <v>-0.430965796</v>
      </c>
      <c r="O262" t="n">
        <v>-0.748315555</v>
      </c>
      <c r="P262" t="n">
        <v>-3.161013668</v>
      </c>
      <c r="Q262" t="n">
        <v>3.494157329</v>
      </c>
      <c r="R262" t="n">
        <v>-0.575322872</v>
      </c>
      <c r="T262" t="n">
        <v>-1.342555677</v>
      </c>
      <c r="U262" t="n">
        <v>0.559488448</v>
      </c>
      <c r="V262" t="n">
        <v>1.658530844</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2.678481725</v>
      </c>
      <c r="AN262" t="n">
        <v>1.664296613</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7" t="n">
        <v>41183</v>
      </c>
      <c r="C263" t="n">
        <v>-1.449244071</v>
      </c>
      <c r="D263" t="n">
        <v>3.385802542</v>
      </c>
      <c r="E263" t="n">
        <v>0.16262252</v>
      </c>
      <c r="F263" t="n">
        <v>0.750261485</v>
      </c>
      <c r="G263" t="n">
        <v>2.975144604</v>
      </c>
      <c r="H263" t="n">
        <v>1.318874171</v>
      </c>
      <c r="I263" t="n">
        <v>1.718545418</v>
      </c>
      <c r="J263" t="n">
        <v>7.033017899</v>
      </c>
      <c r="K263" t="n">
        <v>7.5</v>
      </c>
      <c r="L263" t="n">
        <v>-0.96106413</v>
      </c>
      <c r="M263" t="n">
        <v>0.375168609</v>
      </c>
      <c r="N263" t="n">
        <v>0.917642586</v>
      </c>
      <c r="O263" t="n">
        <v>-0.997925273</v>
      </c>
      <c r="P263" t="n">
        <v>-3.038068584</v>
      </c>
      <c r="Q263" t="n">
        <v>2.302596292</v>
      </c>
      <c r="R263" t="n">
        <v>-0.885447231</v>
      </c>
      <c r="T263" t="n">
        <v>-1.842831478</v>
      </c>
      <c r="U263" t="n">
        <v>0.294397941</v>
      </c>
      <c r="V263" t="n">
        <v>1.296667242</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1.811565383</v>
      </c>
      <c r="AN263" t="n">
        <v>1.242661724</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7" t="n">
        <v>41275</v>
      </c>
      <c r="C264" t="n">
        <v>0.22870831</v>
      </c>
      <c r="D264" t="n">
        <v>2.774746505</v>
      </c>
      <c r="E264" t="n">
        <v>0.124331987</v>
      </c>
      <c r="F264" t="n">
        <v>0.411142977</v>
      </c>
      <c r="G264" t="n">
        <v>2.152598493</v>
      </c>
      <c r="H264" t="n">
        <v>0.73508073</v>
      </c>
      <c r="I264" t="n">
        <v>1.658139707</v>
      </c>
      <c r="J264" t="n">
        <v>5.376612661</v>
      </c>
      <c r="K264" t="n">
        <v>8.1</v>
      </c>
      <c r="L264" t="n">
        <v>-1.184556753</v>
      </c>
      <c r="M264" t="n">
        <v>0.250925777</v>
      </c>
      <c r="N264" t="n">
        <v>-0.062150336</v>
      </c>
      <c r="O264" t="n">
        <v>-1.019215923</v>
      </c>
      <c r="P264" t="n">
        <v>-3.113791426</v>
      </c>
      <c r="Q264" t="n">
        <v>3.245200352</v>
      </c>
      <c r="R264" t="n">
        <v>-0.932424484</v>
      </c>
      <c r="T264" t="n">
        <v>-1.946007999</v>
      </c>
      <c r="U264" t="n">
        <v>-0.007407207</v>
      </c>
      <c r="V264" t="n">
        <v>0.76046158</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2.695167286</v>
      </c>
      <c r="AN264" t="n">
        <v>0.867683239</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7" t="n">
        <v>41365</v>
      </c>
      <c r="C265" t="n">
        <v>1.291086971</v>
      </c>
      <c r="D265" t="n">
        <v>2.260970823</v>
      </c>
      <c r="E265" t="n">
        <v>-0.816925055</v>
      </c>
      <c r="F265" t="n">
        <v>-0.079050592</v>
      </c>
      <c r="G265" t="n">
        <v>4.084337257</v>
      </c>
      <c r="H265" t="n">
        <v>1.573583484</v>
      </c>
      <c r="I265" t="n">
        <v>1.477620778</v>
      </c>
      <c r="J265" t="n">
        <v>4.156945632</v>
      </c>
      <c r="K265" t="n">
        <v>7.9</v>
      </c>
      <c r="L265" t="n">
        <v>-1.437090588</v>
      </c>
      <c r="M265" t="n">
        <v>-0.414724531</v>
      </c>
      <c r="N265" t="n">
        <v>0.5711882029999999</v>
      </c>
      <c r="O265" t="n">
        <v>-1.135709515</v>
      </c>
      <c r="P265" t="n">
        <v>-2.503864105</v>
      </c>
      <c r="Q265" t="n">
        <v>3.127681749</v>
      </c>
      <c r="R265" t="n">
        <v>-0.999487934</v>
      </c>
      <c r="T265" t="n">
        <v>-2.359964294</v>
      </c>
      <c r="U265" t="n">
        <v>0.043763701</v>
      </c>
      <c r="V265" t="n">
        <v>0.728429403</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1.894803051</v>
      </c>
      <c r="AN265" t="n">
        <v>0.950623187</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7" t="n">
        <v>41456</v>
      </c>
      <c r="C266" t="n">
        <v>5.457058294</v>
      </c>
      <c r="D266" t="n">
        <v>1.916589332</v>
      </c>
      <c r="E266" t="n">
        <v>-0.344290234</v>
      </c>
      <c r="F266" t="n">
        <v>0.505328464</v>
      </c>
      <c r="G266" t="n">
        <v>3.751033249</v>
      </c>
      <c r="H266" t="n">
        <v>1.830937489</v>
      </c>
      <c r="I266" t="n">
        <v>1.978153982</v>
      </c>
      <c r="J266" t="n">
        <v>3.056056522</v>
      </c>
      <c r="K266" t="n">
        <v>7.6</v>
      </c>
      <c r="L266" t="n">
        <v>-0.5420117290000001</v>
      </c>
      <c r="M266" t="n">
        <v>0.439891694</v>
      </c>
      <c r="N266" t="n">
        <v>0.570215085</v>
      </c>
      <c r="O266" t="n">
        <v>-0.363896235</v>
      </c>
      <c r="P266" t="n">
        <v>-1.64708867</v>
      </c>
      <c r="Q266" t="n">
        <v>1.617111162</v>
      </c>
      <c r="R266" t="n">
        <v>-0.276521791</v>
      </c>
      <c r="T266" t="n">
        <v>-0.860853711</v>
      </c>
      <c r="U266" t="n">
        <v>0.853480005</v>
      </c>
      <c r="V266" t="n">
        <v>1.10408536</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2.632093933</v>
      </c>
      <c r="AN266" t="n">
        <v>1.327780412</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7" t="n">
        <v>41548</v>
      </c>
      <c r="C267" t="n">
        <v>2.846824352</v>
      </c>
      <c r="D267" t="n">
        <v>2.150082194</v>
      </c>
      <c r="E267" t="n">
        <v>0.297269014</v>
      </c>
      <c r="F267" t="n">
        <v>0.5719818719999999</v>
      </c>
      <c r="G267" t="n">
        <v>2.482150025</v>
      </c>
      <c r="H267" t="n">
        <v>2.521181159</v>
      </c>
      <c r="I267" t="n">
        <v>1.839682801</v>
      </c>
      <c r="J267" t="n">
        <v>2.844030429</v>
      </c>
      <c r="K267" t="n">
        <v>7.9</v>
      </c>
      <c r="L267" t="n">
        <v>0.247176626</v>
      </c>
      <c r="M267" t="n">
        <v>0.718979913</v>
      </c>
      <c r="N267" t="n">
        <v>1.11226999</v>
      </c>
      <c r="O267" t="n">
        <v>0.037991973</v>
      </c>
      <c r="P267" t="n">
        <v>-1.16961098</v>
      </c>
      <c r="Q267" t="n">
        <v>0.86017889</v>
      </c>
      <c r="R267" t="n">
        <v>0.176784968</v>
      </c>
      <c r="T267" t="n">
        <v>-0.130193592</v>
      </c>
      <c r="U267" t="n">
        <v>0.527375696</v>
      </c>
      <c r="V267" t="n">
        <v>1.653773749</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3.013730737</v>
      </c>
      <c r="AN267" t="n">
        <v>1.864255341</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7" t="n">
        <v>41640</v>
      </c>
      <c r="C268" t="n">
        <v>0.160256138</v>
      </c>
      <c r="D268" t="n">
        <v>2.48337241</v>
      </c>
      <c r="E268" t="n">
        <v>0.812093226</v>
      </c>
      <c r="F268" t="n">
        <v>0.83789398</v>
      </c>
      <c r="G268" t="n">
        <v>2.580831305</v>
      </c>
      <c r="H268" t="n">
        <v>3.384447333</v>
      </c>
      <c r="I268" t="n">
        <v>2.069063793</v>
      </c>
      <c r="J268" t="n">
        <v>2.691385643</v>
      </c>
      <c r="K268" t="n">
        <v>7.7</v>
      </c>
      <c r="L268" t="n">
        <v>1.582280258</v>
      </c>
      <c r="M268" t="n">
        <v>1.462650998</v>
      </c>
      <c r="N268" t="n">
        <v>1.479632236</v>
      </c>
      <c r="O268" t="n">
        <v>0.774323947</v>
      </c>
      <c r="P268" t="n">
        <v>-0.26665421</v>
      </c>
      <c r="Q268" t="n">
        <v>-0.077655273</v>
      </c>
      <c r="R268" t="n">
        <v>0.938874438</v>
      </c>
      <c r="T268" t="n">
        <v>-0.232263912</v>
      </c>
      <c r="U268" t="n">
        <v>1.307242159</v>
      </c>
      <c r="V268" t="n">
        <v>2.214574061</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1.846538943</v>
      </c>
      <c r="AN268" t="n">
        <v>2.32828848</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7" t="n">
        <v>41730</v>
      </c>
      <c r="C269" t="n">
        <v>-1.302183209</v>
      </c>
      <c r="D269" t="n">
        <v>2.796447731</v>
      </c>
      <c r="E269" t="n">
        <v>0.737463788</v>
      </c>
      <c r="F269" t="n">
        <v>1.55021681</v>
      </c>
      <c r="G269" t="n">
        <v>2.908403753</v>
      </c>
      <c r="H269" t="n">
        <v>2.632805647</v>
      </c>
      <c r="I269" t="n">
        <v>2.211035044</v>
      </c>
      <c r="J269" t="n">
        <v>2.176883435</v>
      </c>
      <c r="K269" t="n">
        <v>7.5</v>
      </c>
      <c r="L269" t="n">
        <v>1.45691643</v>
      </c>
      <c r="M269" t="n">
        <v>2.920383714</v>
      </c>
      <c r="N269" t="n">
        <v>1.166224286</v>
      </c>
      <c r="O269" t="n">
        <v>1.529174451</v>
      </c>
      <c r="P269" t="n">
        <v>0.40843899</v>
      </c>
      <c r="Q269" t="n">
        <v>1.078258462</v>
      </c>
      <c r="R269" t="n">
        <v>1.648624354</v>
      </c>
      <c r="T269" t="n">
        <v>-0.146658286</v>
      </c>
      <c r="U269" t="n">
        <v>1.239215135</v>
      </c>
      <c r="V269" t="n">
        <v>1.768462964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3.643904321</v>
      </c>
      <c r="AN269" t="n">
        <v>2.121283076</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7" t="n">
        <v>41821</v>
      </c>
      <c r="C270" t="n">
        <v>-2.495556579</v>
      </c>
      <c r="D270" t="n">
        <v>2.880357175</v>
      </c>
      <c r="E270" t="n">
        <v>1.19030322</v>
      </c>
      <c r="F270" t="n">
        <v>1.228594186</v>
      </c>
      <c r="G270" t="n">
        <v>-0.053059262</v>
      </c>
      <c r="H270" t="n">
        <v>2.972572204</v>
      </c>
      <c r="I270" t="n">
        <v>2.300097029</v>
      </c>
      <c r="J270" t="n">
        <v>2.026046672</v>
      </c>
      <c r="K270" t="n">
        <v>7.6</v>
      </c>
      <c r="L270" t="n">
        <v>2.030724408</v>
      </c>
      <c r="M270" t="n">
        <v>1.832189168</v>
      </c>
      <c r="N270" t="n">
        <v>1.017899621</v>
      </c>
      <c r="O270" t="n">
        <v>1.206225196</v>
      </c>
      <c r="P270" t="n">
        <v>0.970801693</v>
      </c>
      <c r="Q270" t="n">
        <v>1.751805941</v>
      </c>
      <c r="R270" t="n">
        <v>1.413578217</v>
      </c>
      <c r="T270" t="n">
        <v>-0.443643947</v>
      </c>
      <c r="U270" t="n">
        <v>0.664300217</v>
      </c>
      <c r="V270" t="n">
        <v>1.802840908</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2.875393269</v>
      </c>
      <c r="AN270" t="n">
        <v>2.078441545</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7" t="n">
        <v>41913</v>
      </c>
      <c r="C271" t="n">
        <v>-3.856124867</v>
      </c>
      <c r="D271" t="n">
        <v>2.506920086</v>
      </c>
      <c r="E271" t="n">
        <v>0.797298394</v>
      </c>
      <c r="F271" t="n">
        <v>1.612887217</v>
      </c>
      <c r="G271" t="n">
        <v>-0.541265439</v>
      </c>
      <c r="H271" t="n">
        <v>3.119733603</v>
      </c>
      <c r="I271" t="n">
        <v>2.137222768</v>
      </c>
      <c r="J271" t="n">
        <v>0.994743703</v>
      </c>
      <c r="K271" t="n">
        <v>7.2</v>
      </c>
      <c r="L271" t="n">
        <v>2.802009825</v>
      </c>
      <c r="M271" t="n">
        <v>1.78074231</v>
      </c>
      <c r="N271" t="n">
        <v>2.062368885</v>
      </c>
      <c r="O271" t="n">
        <v>1.397966634</v>
      </c>
      <c r="P271" t="n">
        <v>1.749570915</v>
      </c>
      <c r="Q271" t="n">
        <v>3.372776843</v>
      </c>
      <c r="R271" t="n">
        <v>1.636255176</v>
      </c>
      <c r="T271" t="n">
        <v>-0.406204538</v>
      </c>
      <c r="U271" t="n">
        <v>1.326569078</v>
      </c>
      <c r="V271" t="n">
        <v>1.907311105</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3.617610254</v>
      </c>
      <c r="AN271" t="n">
        <v>2.15422389</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7" t="n">
        <v>42005</v>
      </c>
      <c r="C272" t="n">
        <v>-2.381333678</v>
      </c>
      <c r="D272" t="n">
        <v>2.065463406</v>
      </c>
      <c r="E272" t="n">
        <v>0.502243825</v>
      </c>
      <c r="F272" t="n">
        <v>1.921343752</v>
      </c>
      <c r="G272" t="n">
        <v>-0.172481863</v>
      </c>
      <c r="H272" t="n">
        <v>2.75380714</v>
      </c>
      <c r="I272" t="n">
        <v>2.591825937</v>
      </c>
      <c r="J272" t="n">
        <v>1.735324884</v>
      </c>
      <c r="K272" t="n">
        <v>7.3</v>
      </c>
      <c r="L272" t="n">
        <v>2.739837061</v>
      </c>
      <c r="M272" t="n">
        <v>2.31007945</v>
      </c>
      <c r="N272" t="n">
        <v>2.222885506</v>
      </c>
      <c r="O272" t="n">
        <v>1.466699199</v>
      </c>
      <c r="P272" t="n">
        <v>2.453532759</v>
      </c>
      <c r="Q272" t="n">
        <v>4.973341022</v>
      </c>
      <c r="R272" t="n">
        <v>1.706504652</v>
      </c>
      <c r="T272" t="n">
        <v>-0.465609267</v>
      </c>
      <c r="U272" t="n">
        <v>0.635393841</v>
      </c>
      <c r="V272" t="n">
        <v>1.843147591</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4.991114304</v>
      </c>
      <c r="AN272" t="n">
        <v>2.201746583</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7" t="n">
        <v>42095</v>
      </c>
      <c r="C273" t="n">
        <v>0.5619012880000001</v>
      </c>
      <c r="D273" t="n">
        <v>2.221226772</v>
      </c>
      <c r="E273" t="n">
        <v>0.89559388</v>
      </c>
      <c r="F273" t="n">
        <v>2.012721266</v>
      </c>
      <c r="G273" t="n">
        <v>-1.815205323</v>
      </c>
      <c r="H273" t="n">
        <v>2.022401696</v>
      </c>
      <c r="I273" t="n">
        <v>1.876438385</v>
      </c>
      <c r="J273" t="n">
        <v>2.119557697</v>
      </c>
      <c r="K273" t="n">
        <v>7.1</v>
      </c>
      <c r="L273" t="n">
        <v>5.262568084</v>
      </c>
      <c r="M273" t="n">
        <v>0.804188883</v>
      </c>
      <c r="N273" t="n">
        <v>2.662785995</v>
      </c>
      <c r="O273" t="n">
        <v>1.692578891</v>
      </c>
      <c r="P273" t="n">
        <v>3.249942639</v>
      </c>
      <c r="Q273" t="n">
        <v>1.835317435</v>
      </c>
      <c r="R273" t="n">
        <v>1.990321239</v>
      </c>
      <c r="T273" t="n">
        <v>-0.471140274</v>
      </c>
      <c r="U273" t="n">
        <v>1.155810869</v>
      </c>
      <c r="V273" t="n">
        <v>2.34920844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3.687021906</v>
      </c>
      <c r="AN273" t="n">
        <v>2.647265313</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7" t="n">
        <v>42186</v>
      </c>
      <c r="C274" t="n">
        <v>3.464113644</v>
      </c>
      <c r="D274" t="n">
        <v>1.823724228</v>
      </c>
      <c r="E274" t="n">
        <v>0.540500976</v>
      </c>
      <c r="F274" t="n">
        <v>2.426382359</v>
      </c>
      <c r="G274" t="n">
        <v>-2.688475649</v>
      </c>
      <c r="H274" t="n">
        <v>0.823871439</v>
      </c>
      <c r="I274" t="n">
        <v>1.524492462</v>
      </c>
      <c r="J274" t="n">
        <v>2.266670469</v>
      </c>
      <c r="K274" t="n">
        <v>7.1</v>
      </c>
      <c r="L274" t="n">
        <v>5.703998414</v>
      </c>
      <c r="M274" t="n">
        <v>1.547263222</v>
      </c>
      <c r="N274" t="n">
        <v>3.217787663</v>
      </c>
      <c r="O274" t="n">
        <v>1.962232386</v>
      </c>
      <c r="P274" t="n">
        <v>3.87451375</v>
      </c>
      <c r="Q274" t="n">
        <v>3.421863063</v>
      </c>
      <c r="R274" t="n">
        <v>2.213394676</v>
      </c>
      <c r="T274" t="n">
        <v>0.8798156579999999</v>
      </c>
      <c r="U274" t="n">
        <v>1.174795394</v>
      </c>
      <c r="V274" t="n">
        <v>2.328321743</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4.085036977</v>
      </c>
      <c r="AN274" t="n">
        <v>2.712790499</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7" t="n">
        <v>42278</v>
      </c>
      <c r="C275" t="n">
        <v>4.343792164</v>
      </c>
      <c r="D275" t="n">
        <v>2.420028425</v>
      </c>
      <c r="E275" t="n">
        <v>1.219138349</v>
      </c>
      <c r="F275" t="n">
        <v>1.918418379</v>
      </c>
      <c r="G275" t="n">
        <v>-4.20235773</v>
      </c>
      <c r="H275" t="n">
        <v>0.219332497</v>
      </c>
      <c r="I275" t="n">
        <v>1.558626935</v>
      </c>
      <c r="J275" t="n">
        <v>2.293838329</v>
      </c>
      <c r="K275" t="n">
        <v>7</v>
      </c>
      <c r="L275" t="n">
        <v>5.726485961</v>
      </c>
      <c r="M275" t="n">
        <v>1.48879327</v>
      </c>
      <c r="N275" t="n">
        <v>1.824728012</v>
      </c>
      <c r="O275" t="n">
        <v>1.884009814</v>
      </c>
      <c r="P275" t="n">
        <v>4.051457818</v>
      </c>
      <c r="Q275" t="n">
        <v>2.813975679</v>
      </c>
      <c r="R275" t="n">
        <v>2.169135482</v>
      </c>
      <c r="T275" t="n">
        <v>0.48184543</v>
      </c>
      <c r="U275" t="n">
        <v>0.827218143</v>
      </c>
      <c r="V275" t="n">
        <v>1.82770389</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3.758462946</v>
      </c>
      <c r="AN275" t="n">
        <v>2.436190399</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7" t="n">
        <v>42370</v>
      </c>
      <c r="C276" t="n">
        <v>2.581345195</v>
      </c>
      <c r="D276" t="n">
        <v>2.662132843</v>
      </c>
      <c r="E276" t="n">
        <v>1.230415159</v>
      </c>
      <c r="F276" t="n">
        <v>1.811273819</v>
      </c>
      <c r="G276" t="n">
        <v>-5.460067312</v>
      </c>
      <c r="H276" t="n">
        <v>-0.394869166</v>
      </c>
      <c r="I276" t="n">
        <v>1.377938543</v>
      </c>
      <c r="J276" t="n">
        <v>1.894852086</v>
      </c>
      <c r="K276" t="n">
        <v>6.9</v>
      </c>
      <c r="L276" t="n">
        <v>5.148503135</v>
      </c>
      <c r="M276" t="n">
        <v>1.115160562</v>
      </c>
      <c r="N276" t="n">
        <v>1.686875018</v>
      </c>
      <c r="O276" t="n">
        <v>1.991873435</v>
      </c>
      <c r="P276" t="n">
        <v>4.168952485</v>
      </c>
      <c r="Q276" t="n">
        <v>1.109251985</v>
      </c>
      <c r="R276" t="n">
        <v>2.246308009</v>
      </c>
      <c r="T276" t="n">
        <v>1.287365939</v>
      </c>
      <c r="U276" t="n">
        <v>1.064506144</v>
      </c>
      <c r="V276" t="n">
        <v>1.597342768</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3.14401988</v>
      </c>
      <c r="AN276" t="n">
        <v>2.188951628</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7" t="n">
        <v>42461</v>
      </c>
      <c r="C277" t="n">
        <v>0.204093102</v>
      </c>
      <c r="D277" t="n">
        <v>2.638163022</v>
      </c>
      <c r="E277" t="n">
        <v>1.743473551</v>
      </c>
      <c r="F277" t="n">
        <v>1.34272954</v>
      </c>
      <c r="G277" t="n">
        <v>-6.107129094</v>
      </c>
      <c r="H277" t="n">
        <v>0.704858556</v>
      </c>
      <c r="I277" t="n">
        <v>1.958376731</v>
      </c>
      <c r="J277" t="n">
        <v>2.495275924</v>
      </c>
      <c r="K277" t="n">
        <v>6.9</v>
      </c>
      <c r="L277" t="n">
        <v>3.356089114</v>
      </c>
      <c r="M277" t="n">
        <v>2.489167636</v>
      </c>
      <c r="N277" t="n">
        <v>2.158906178</v>
      </c>
      <c r="O277" t="n">
        <v>1.908907942</v>
      </c>
      <c r="P277" t="n">
        <v>3.687758945</v>
      </c>
      <c r="Q277" t="n">
        <v>4.206504234</v>
      </c>
      <c r="R277" t="n">
        <v>2.014855198</v>
      </c>
      <c r="T277" t="n">
        <v>3.340424309</v>
      </c>
      <c r="U277" t="n">
        <v>1.171013854</v>
      </c>
      <c r="V277" t="n">
        <v>1.569647065</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4.020822115</v>
      </c>
      <c r="AN277" t="n">
        <v>1.929100107</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7" t="n">
        <v>42552</v>
      </c>
      <c r="C278" t="n">
        <v>-3.654867965</v>
      </c>
      <c r="D278" t="n">
        <v>3.197120155</v>
      </c>
      <c r="E278" t="n">
        <v>1.950893611</v>
      </c>
      <c r="F278" t="n">
        <v>1.219500485</v>
      </c>
      <c r="G278" t="n">
        <v>-3.506849278</v>
      </c>
      <c r="H278" t="n">
        <v>0.483168091</v>
      </c>
      <c r="I278" t="n">
        <v>2.169186677</v>
      </c>
      <c r="J278" t="n">
        <v>0.982180634</v>
      </c>
      <c r="K278" t="n">
        <v>6.8</v>
      </c>
      <c r="L278" t="n">
        <v>2.309209407</v>
      </c>
      <c r="M278" t="n">
        <v>2.190305049</v>
      </c>
      <c r="N278" t="n">
        <v>3.058665445</v>
      </c>
      <c r="O278" t="n">
        <v>1.678781897</v>
      </c>
      <c r="P278" t="n">
        <v>3.006353288</v>
      </c>
      <c r="Q278" t="n">
        <v>2.00856784</v>
      </c>
      <c r="R278" t="n">
        <v>1.841971553</v>
      </c>
      <c r="T278" t="n">
        <v>1.950050025</v>
      </c>
      <c r="U278" t="n">
        <v>0.739842157</v>
      </c>
      <c r="V278" t="n">
        <v>1.30241266</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4.26304824</v>
      </c>
      <c r="AN278" t="n">
        <v>1.745727128</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7" t="n">
        <v>42644</v>
      </c>
      <c r="C279" t="n">
        <v>-3.244736386</v>
      </c>
      <c r="D279" t="n">
        <v>2.24478991</v>
      </c>
      <c r="E279" t="n">
        <v>1.738146371</v>
      </c>
      <c r="F279" t="n">
        <v>1.203756948</v>
      </c>
      <c r="G279" t="n">
        <v>-2.422539723</v>
      </c>
      <c r="H279" t="n">
        <v>1.161554002</v>
      </c>
      <c r="I279" t="n">
        <v>2.266452981</v>
      </c>
      <c r="J279" t="n">
        <v>2.01387755</v>
      </c>
      <c r="K279" t="n">
        <v>6.8</v>
      </c>
      <c r="L279" t="n">
        <v>1.99187093</v>
      </c>
      <c r="M279" t="n">
        <v>1.990878004</v>
      </c>
      <c r="N279" t="n">
        <v>3.620422425</v>
      </c>
      <c r="O279" t="n">
        <v>1.739589664</v>
      </c>
      <c r="P279" t="n">
        <v>2.956099795</v>
      </c>
      <c r="Q279" t="n">
        <v>2.353005035</v>
      </c>
      <c r="R279" t="n">
        <v>1.802918072</v>
      </c>
      <c r="T279" t="n">
        <v>3.111312491</v>
      </c>
      <c r="U279" t="n">
        <v>0.809571681</v>
      </c>
      <c r="V279" t="n">
        <v>1.492932732</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4.163727427</v>
      </c>
      <c r="AN279" t="n">
        <v>1.634681226</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7" t="n">
        <v>42736</v>
      </c>
      <c r="C280" t="n">
        <v>-1.56944643</v>
      </c>
      <c r="D280" t="n">
        <v>2.692615359</v>
      </c>
      <c r="E280" t="n">
        <v>2.51609216</v>
      </c>
      <c r="F280" t="n">
        <v>1.300882844</v>
      </c>
      <c r="G280" t="n">
        <v>-1.865708509</v>
      </c>
      <c r="H280" t="n">
        <v>1.653443587</v>
      </c>
      <c r="I280" t="n">
        <v>1.936379492</v>
      </c>
      <c r="J280" t="n">
        <v>1.125147762</v>
      </c>
      <c r="K280" t="n">
        <v>6.9</v>
      </c>
      <c r="L280" t="n">
        <v>2.172213369</v>
      </c>
      <c r="M280" t="n">
        <v>1.91264489</v>
      </c>
      <c r="N280" t="n">
        <v>4.134965567</v>
      </c>
      <c r="O280" t="n">
        <v>2.038364412</v>
      </c>
      <c r="P280" t="n">
        <v>2.518368437</v>
      </c>
      <c r="Q280" t="n">
        <v>3.782516586</v>
      </c>
      <c r="R280" t="n">
        <v>2.137432131</v>
      </c>
      <c r="T280" t="n">
        <v>2.851778842</v>
      </c>
      <c r="U280" t="n">
        <v>1.206400094</v>
      </c>
      <c r="V280" t="n">
        <v>1.738787507</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3.479399441</v>
      </c>
      <c r="AN280" t="n">
        <v>2.139985425</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7" t="n">
        <v>42826</v>
      </c>
      <c r="C281" t="n">
        <v>0.209160095</v>
      </c>
      <c r="D281" t="n">
        <v>2.1120599</v>
      </c>
      <c r="E281" t="n">
        <v>2.064662686</v>
      </c>
      <c r="F281" t="n">
        <v>1.902990414</v>
      </c>
      <c r="G281" t="n">
        <v>0.714550817</v>
      </c>
      <c r="H281" t="n">
        <v>2.197779092</v>
      </c>
      <c r="I281" t="n">
        <v>1.670798519</v>
      </c>
      <c r="J281" t="n">
        <v>-0.532400779</v>
      </c>
      <c r="K281" t="n">
        <v>7</v>
      </c>
      <c r="L281" t="n">
        <v>3.695055354</v>
      </c>
      <c r="M281" t="n">
        <v>2.281000431</v>
      </c>
      <c r="N281" t="n">
        <v>3.622621239</v>
      </c>
      <c r="O281" t="n">
        <v>2.167362125</v>
      </c>
      <c r="P281" t="n">
        <v>2.625222038</v>
      </c>
      <c r="Q281" t="n">
        <v>4.23947334</v>
      </c>
      <c r="R281" t="n">
        <v>2.403571617</v>
      </c>
      <c r="T281" t="n">
        <v>2.635288009</v>
      </c>
      <c r="U281" t="n">
        <v>1.313825066</v>
      </c>
      <c r="V281" t="n">
        <v>1.77984769</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3.349439172</v>
      </c>
      <c r="AN281" t="n">
        <v>2.232043778</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7" t="n">
        <v>42917</v>
      </c>
      <c r="C282" t="n">
        <v>2.972490239</v>
      </c>
      <c r="D282" t="n">
        <v>2.083355105</v>
      </c>
      <c r="E282" t="n">
        <v>2.434327482</v>
      </c>
      <c r="F282" t="n">
        <v>1.590915559</v>
      </c>
      <c r="G282" t="n">
        <v>1.169695631</v>
      </c>
      <c r="H282" t="n">
        <v>3.75347556</v>
      </c>
      <c r="I282" t="n">
        <v>1.16320183</v>
      </c>
      <c r="J282" t="n">
        <v>1.12683617</v>
      </c>
      <c r="K282" t="n">
        <v>7</v>
      </c>
      <c r="L282" t="n">
        <v>5.915502996</v>
      </c>
      <c r="M282" t="n">
        <v>2.692704845</v>
      </c>
      <c r="N282" t="n">
        <v>3.382501008</v>
      </c>
      <c r="O282" t="n">
        <v>2.732983562</v>
      </c>
      <c r="P282" t="n">
        <v>3.248165016</v>
      </c>
      <c r="Q282" t="n">
        <v>6.261131199</v>
      </c>
      <c r="R282" t="n">
        <v>2.943980782</v>
      </c>
      <c r="T282" t="n">
        <v>3.781061364</v>
      </c>
      <c r="U282" t="n">
        <v>2.440679949</v>
      </c>
      <c r="V282" t="n">
        <v>2.159363183</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3.340677358</v>
      </c>
      <c r="AN282" t="n">
        <v>2.575165872</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7" t="n">
        <v>43009</v>
      </c>
      <c r="C283" t="n">
        <v>3.853957585</v>
      </c>
      <c r="D283" t="n">
        <v>2.96346253</v>
      </c>
      <c r="E283" t="n">
        <v>2.562453434</v>
      </c>
      <c r="F283" t="n">
        <v>1.347588924</v>
      </c>
      <c r="G283" t="n">
        <v>1.980380414</v>
      </c>
      <c r="H283" t="n">
        <v>3.12771636</v>
      </c>
      <c r="I283" t="n">
        <v>0.996853737</v>
      </c>
      <c r="J283" t="n">
        <v>2.4301959</v>
      </c>
      <c r="K283" t="n">
        <v>6.9</v>
      </c>
      <c r="L283" t="n">
        <v>5.85167887</v>
      </c>
      <c r="M283" t="n">
        <v>3.184849767</v>
      </c>
      <c r="N283" t="n">
        <v>2.136810628</v>
      </c>
      <c r="O283" t="n">
        <v>3.03887004</v>
      </c>
      <c r="P283" t="n">
        <v>3.015771106</v>
      </c>
      <c r="Q283" t="n">
        <v>5.49032155</v>
      </c>
      <c r="R283" t="n">
        <v>3.25805251</v>
      </c>
      <c r="T283" t="n">
        <v>3.004614033</v>
      </c>
      <c r="U283" t="n">
        <v>3.009699801</v>
      </c>
      <c r="V283" t="n">
        <v>2.43253878</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3.313298908</v>
      </c>
      <c r="AN283" t="n">
        <v>2.982513611</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7" t="n">
        <v>43101</v>
      </c>
      <c r="C284" t="n">
        <v>4.264196137</v>
      </c>
      <c r="D284" t="n">
        <v>2.377582498</v>
      </c>
      <c r="E284" t="n">
        <v>2.250229048</v>
      </c>
      <c r="F284" t="n">
        <v>1.638432983</v>
      </c>
      <c r="G284" t="n">
        <v>2.625900835</v>
      </c>
      <c r="H284" t="n">
        <v>3.083114067</v>
      </c>
      <c r="I284" t="n">
        <v>1.888450628</v>
      </c>
      <c r="J284" t="n">
        <v>3.298353924</v>
      </c>
      <c r="K284" t="n">
        <v>6.8</v>
      </c>
      <c r="L284" t="n">
        <v>5.895675336</v>
      </c>
      <c r="M284" t="n">
        <v>3.748530941</v>
      </c>
      <c r="N284" t="n">
        <v>2.171760752</v>
      </c>
      <c r="O284" t="n">
        <v>3.092051401</v>
      </c>
      <c r="P284" t="n">
        <v>3.01123371</v>
      </c>
      <c r="Q284" t="n">
        <v>5.820500952</v>
      </c>
      <c r="R284" t="n">
        <v>3.254144172</v>
      </c>
      <c r="T284" t="n">
        <v>3.353168808</v>
      </c>
      <c r="U284" t="n">
        <v>3.026603975</v>
      </c>
      <c r="V284" t="n">
        <v>2.759231733</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3.836485415</v>
      </c>
      <c r="AN284" t="n">
        <v>2.991266461</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7" t="n">
        <v>43191</v>
      </c>
      <c r="C285" t="n">
        <v>2.99541929</v>
      </c>
      <c r="D285" t="n">
        <v>3.019966962</v>
      </c>
      <c r="E285" t="n">
        <v>2.684632519</v>
      </c>
      <c r="F285" t="n">
        <v>1.356360573</v>
      </c>
      <c r="G285" t="n">
        <v>2.188607929</v>
      </c>
      <c r="H285" t="n">
        <v>2.867253653</v>
      </c>
      <c r="I285" t="n">
        <v>2.894077334</v>
      </c>
      <c r="J285" t="n">
        <v>5.067363092</v>
      </c>
      <c r="K285" t="n">
        <v>6.9</v>
      </c>
      <c r="L285" t="n">
        <v>4.740865159</v>
      </c>
      <c r="M285" t="n">
        <v>1.919385872</v>
      </c>
      <c r="N285" t="n">
        <v>2.027279546</v>
      </c>
      <c r="O285" t="n">
        <v>2.389202095</v>
      </c>
      <c r="P285" t="n">
        <v>2.645141195</v>
      </c>
      <c r="Q285" t="n">
        <v>4.38608683</v>
      </c>
      <c r="R285" t="n">
        <v>2.61924442</v>
      </c>
      <c r="T285" t="n">
        <v>2.60737582</v>
      </c>
      <c r="U285" t="n">
        <v>2.337670887</v>
      </c>
      <c r="V285" t="n">
        <v>2.444559221</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3.591524603</v>
      </c>
      <c r="AN285" t="n">
        <v>2.885389615</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7" t="n">
        <v>43282</v>
      </c>
      <c r="C286" t="n">
        <v>-2.716154449</v>
      </c>
      <c r="D286" t="n">
        <v>3.16915322</v>
      </c>
      <c r="E286" t="n">
        <v>2.259862217</v>
      </c>
      <c r="F286" t="n">
        <v>1.569737039</v>
      </c>
      <c r="G286" t="n">
        <v>1.324712919</v>
      </c>
      <c r="H286" t="n">
        <v>2.624971128</v>
      </c>
      <c r="I286" t="n">
        <v>3.728808525</v>
      </c>
      <c r="J286" t="n">
        <v>5.1122196</v>
      </c>
      <c r="K286" t="n">
        <v>6.9</v>
      </c>
      <c r="L286" t="n">
        <v>2.821316363</v>
      </c>
      <c r="M286" t="n">
        <v>1.779096704</v>
      </c>
      <c r="N286" t="n">
        <v>1.406567485</v>
      </c>
      <c r="O286" t="n">
        <v>2.13580166</v>
      </c>
      <c r="P286" t="n">
        <v>2.199627206</v>
      </c>
      <c r="Q286" t="n">
        <v>3.475385757</v>
      </c>
      <c r="R286" t="n">
        <v>2.384939012</v>
      </c>
      <c r="T286" t="n">
        <v>1.220382529</v>
      </c>
      <c r="U286" t="n">
        <v>1.977452802</v>
      </c>
      <c r="V286" t="n">
        <v>2.451539049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3.88384815</v>
      </c>
      <c r="AN286" t="n">
        <v>2.775898389</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7" t="n">
        <v>43374</v>
      </c>
      <c r="C287" t="n">
        <v>-4.157483519</v>
      </c>
      <c r="D287" t="n">
        <v>2.660374833</v>
      </c>
      <c r="E287" t="n">
        <v>2.02292095</v>
      </c>
      <c r="F287" t="n">
        <v>2.032349396</v>
      </c>
      <c r="G287" t="n">
        <v>2.03356534</v>
      </c>
      <c r="H287" t="n">
        <v>2.899105586</v>
      </c>
      <c r="I287" t="n">
        <v>2.830090066</v>
      </c>
      <c r="J287" t="n">
        <v>2.776095549</v>
      </c>
      <c r="K287" t="n">
        <v>6.7</v>
      </c>
      <c r="L287" t="n">
        <v>2.695851198</v>
      </c>
      <c r="M287" t="n">
        <v>0.239433443</v>
      </c>
      <c r="N287" t="n">
        <v>2.392719949</v>
      </c>
      <c r="O287" t="n">
        <v>1.358073462</v>
      </c>
      <c r="P287" t="n">
        <v>2.088722846</v>
      </c>
      <c r="Q287" t="n">
        <v>4.002555442</v>
      </c>
      <c r="R287" t="n">
        <v>1.677324304</v>
      </c>
      <c r="T287" t="n">
        <v>0.723465524</v>
      </c>
      <c r="U287" t="n">
        <v>1.505083863</v>
      </c>
      <c r="V287" t="n">
        <v>2.005027328</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3.166071253</v>
      </c>
      <c r="AN287" t="n">
        <v>2.253684316</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7" t="n">
        <v>43466</v>
      </c>
      <c r="C288" t="n">
        <v>-6.428036177</v>
      </c>
      <c r="D288" t="n">
        <v>2.412782601</v>
      </c>
      <c r="E288" t="n">
        <v>2.697689827</v>
      </c>
      <c r="F288" t="n">
        <v>2.209924266</v>
      </c>
      <c r="G288" t="n">
        <v>1.21231752</v>
      </c>
      <c r="H288" t="n">
        <v>2.717788724</v>
      </c>
      <c r="I288" t="n">
        <v>2.011960579</v>
      </c>
      <c r="J288" t="n">
        <v>3.21720384</v>
      </c>
      <c r="K288" t="n">
        <v>6.5</v>
      </c>
      <c r="L288" t="n">
        <v>2.619965863</v>
      </c>
      <c r="M288" t="n">
        <v>0.124539175</v>
      </c>
      <c r="N288" t="n">
        <v>2.132945885</v>
      </c>
      <c r="O288" t="n">
        <v>1.194680347</v>
      </c>
      <c r="P288" t="n">
        <v>2.210501527</v>
      </c>
      <c r="Q288" t="n">
        <v>3.574116728</v>
      </c>
      <c r="R288" t="n">
        <v>1.548496098</v>
      </c>
      <c r="T288" t="n">
        <v>0.035322583</v>
      </c>
      <c r="U288" t="n">
        <v>1.488897863</v>
      </c>
      <c r="V288" t="n">
        <v>1.493653104</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3.606999529</v>
      </c>
      <c r="AN288" t="n">
        <v>1.645582721</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7" t="n">
        <v>43556</v>
      </c>
      <c r="C289" t="n">
        <v>-6.059166462</v>
      </c>
      <c r="D289" t="n">
        <v>1.972553003</v>
      </c>
      <c r="E289" t="n">
        <v>2.350102103</v>
      </c>
      <c r="F289" t="n">
        <v>2.092741898</v>
      </c>
      <c r="G289" t="n">
        <v>0.85771383</v>
      </c>
      <c r="H289" t="n">
        <v>1.898614382</v>
      </c>
      <c r="I289" t="n">
        <v>1.042073712</v>
      </c>
      <c r="J289" t="n">
        <v>1.735458487</v>
      </c>
      <c r="K289" t="n">
        <v>6.3</v>
      </c>
      <c r="L289" t="n">
        <v>2.997899456</v>
      </c>
      <c r="M289" t="n">
        <v>1.429591262</v>
      </c>
      <c r="N289" t="n">
        <v>1.39096194</v>
      </c>
      <c r="O289" t="n">
        <v>1.834233288</v>
      </c>
      <c r="P289" t="n">
        <v>2.395591587</v>
      </c>
      <c r="Q289" t="n">
        <v>4.436882036</v>
      </c>
      <c r="R289" t="n">
        <v>2.082075568</v>
      </c>
      <c r="T289" t="n">
        <v>0.5124502520000001</v>
      </c>
      <c r="U289" t="n">
        <v>2.091543472</v>
      </c>
      <c r="V289" t="n">
        <v>1.649133897</v>
      </c>
      <c r="X289" t="n">
        <v>1.91132407</v>
      </c>
      <c r="Y289" t="n">
        <v>1.714678002</v>
      </c>
      <c r="Z289" t="n">
        <v>5.490154339</v>
      </c>
      <c r="AA289" t="n">
        <v>5.29839</v>
      </c>
      <c r="AB289" t="n">
        <v>5.197563481</v>
      </c>
      <c r="AC289" t="n">
        <v>3.396715746</v>
      </c>
      <c r="AD289" t="n">
        <v>3.656471869</v>
      </c>
      <c r="AE289" t="n">
        <v>0.652593665</v>
      </c>
      <c r="AF289" t="n">
        <v>-0.112858318</v>
      </c>
      <c r="AG289" t="n">
        <v>1.879306135</v>
      </c>
      <c r="AH289" t="n">
        <v>0.954244314</v>
      </c>
      <c r="AI289" t="n">
        <v>4.045774771</v>
      </c>
      <c r="AJ289" t="n">
        <v>0.206026875</v>
      </c>
      <c r="AK289" t="n">
        <v>2.011820305</v>
      </c>
      <c r="AL289" t="n">
        <v>0.519304557</v>
      </c>
      <c r="AM289" t="n">
        <v>3.431546372</v>
      </c>
      <c r="AN289" t="n">
        <v>1.658052277</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7" t="n">
        <v>43647</v>
      </c>
      <c r="C290" t="n">
        <v>-0.7973364080000001</v>
      </c>
      <c r="D290" t="n">
        <v>1.652689192</v>
      </c>
      <c r="E290" t="n">
        <v>1.76467006</v>
      </c>
      <c r="F290" t="n">
        <v>2.187204075</v>
      </c>
      <c r="G290" t="n">
        <v>1.574675295</v>
      </c>
      <c r="H290" t="n">
        <v>2.103862034</v>
      </c>
      <c r="I290" t="n">
        <v>0.502914781</v>
      </c>
      <c r="J290" t="n">
        <v>1.628144268</v>
      </c>
      <c r="K290" t="n">
        <v>6</v>
      </c>
      <c r="L290" t="n">
        <v>3.071200908</v>
      </c>
      <c r="M290" t="n">
        <v>0.546687404</v>
      </c>
      <c r="N290" t="n">
        <v>1.897967683</v>
      </c>
      <c r="O290" t="n">
        <v>1.605564718</v>
      </c>
      <c r="P290" t="n">
        <v>2.151599301</v>
      </c>
      <c r="Q290" t="n">
        <v>3.709119369</v>
      </c>
      <c r="R290" t="n">
        <v>1.841996761</v>
      </c>
      <c r="T290" t="n">
        <v>1.422477614</v>
      </c>
      <c r="U290" t="n">
        <v>2.351799794</v>
      </c>
      <c r="V290" t="n">
        <v>1.555802604</v>
      </c>
      <c r="X290" t="n">
        <v>1.561445046</v>
      </c>
      <c r="Y290" t="n">
        <v>2.412144493</v>
      </c>
      <c r="Z290" t="n">
        <v>4.892874553</v>
      </c>
      <c r="AA290" t="n">
        <v>5.28383</v>
      </c>
      <c r="AB290" t="n">
        <v>4.642714061</v>
      </c>
      <c r="AC290" t="n">
        <v>1.744585779</v>
      </c>
      <c r="AD290" t="n">
        <v>3.865965707</v>
      </c>
      <c r="AE290" t="n">
        <v>0.837387235</v>
      </c>
      <c r="AF290" t="n">
        <v>-0.099802533</v>
      </c>
      <c r="AG290" t="n">
        <v>2.3078418</v>
      </c>
      <c r="AH290" t="n">
        <v>3.369595177</v>
      </c>
      <c r="AI290" t="n">
        <v>2.977543679</v>
      </c>
      <c r="AJ290" t="n">
        <v>-0.143511149</v>
      </c>
      <c r="AK290" t="n">
        <v>1.78601818</v>
      </c>
      <c r="AL290" t="n">
        <v>1.079638776</v>
      </c>
      <c r="AM290" t="n">
        <v>2.714097077</v>
      </c>
      <c r="AN290" t="n">
        <v>1.620665194</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7" t="n">
        <v>43739</v>
      </c>
      <c r="C291" t="n">
        <v>-0.40495433</v>
      </c>
      <c r="D291" t="n">
        <v>1.924364685</v>
      </c>
      <c r="E291" t="n">
        <v>1.800260739</v>
      </c>
      <c r="F291" t="n">
        <v>2.530358811</v>
      </c>
      <c r="G291" t="n">
        <v>0.742640067</v>
      </c>
      <c r="H291" t="n">
        <v>1.783327917</v>
      </c>
      <c r="I291" t="n">
        <v>1.391260503</v>
      </c>
      <c r="J291" t="n">
        <v>2.347948107</v>
      </c>
      <c r="K291" t="n">
        <v>5.9</v>
      </c>
      <c r="L291" t="n">
        <v>3.029280961</v>
      </c>
      <c r="M291" t="n">
        <v>1.459185005</v>
      </c>
      <c r="N291" t="n">
        <v>1.751288661</v>
      </c>
      <c r="O291" t="n">
        <v>1.807202875</v>
      </c>
      <c r="P291" t="n">
        <v>1.922525988</v>
      </c>
      <c r="Q291" t="n">
        <v>3.124939365</v>
      </c>
      <c r="R291" t="n">
        <v>2.00898204</v>
      </c>
      <c r="T291" t="n">
        <v>1.591839616</v>
      </c>
      <c r="U291" t="n">
        <v>1.981985123</v>
      </c>
      <c r="V291" t="n">
        <v>1.797755983</v>
      </c>
      <c r="X291" t="n">
        <v>1.617062864</v>
      </c>
      <c r="Y291" t="n">
        <v>2.115752319</v>
      </c>
      <c r="Z291" t="n">
        <v>4.802030986</v>
      </c>
      <c r="AA291" t="n">
        <v>4.2964</v>
      </c>
      <c r="AB291" t="n">
        <v>6.162006565</v>
      </c>
      <c r="AC291" t="n">
        <v>1.123744942</v>
      </c>
      <c r="AD291" t="n">
        <v>4.157418555</v>
      </c>
      <c r="AE291" t="n">
        <v>0.78327792</v>
      </c>
      <c r="AF291" t="n">
        <v>0.619048436</v>
      </c>
      <c r="AG291" t="n">
        <v>2.101246854</v>
      </c>
      <c r="AH291" t="n">
        <v>2.411530114</v>
      </c>
      <c r="AI291" t="n">
        <v>1.890468</v>
      </c>
      <c r="AJ291" t="n">
        <v>-0.182186088</v>
      </c>
      <c r="AK291" t="n">
        <v>1.93860827</v>
      </c>
      <c r="AL291" t="n">
        <v>1.017557564</v>
      </c>
      <c r="AM291" t="n">
        <v>3.505734346</v>
      </c>
      <c r="AN291" t="n">
        <v>1.870645442</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7" t="n">
        <v>43831</v>
      </c>
      <c r="C292" t="n">
        <v>-0.519924843</v>
      </c>
      <c r="D292" t="n">
        <v>2.22626867</v>
      </c>
      <c r="E292" t="n">
        <v>0.033919674</v>
      </c>
      <c r="F292" t="n">
        <v>2.151259285</v>
      </c>
      <c r="G292" t="n">
        <v>1.693658712</v>
      </c>
      <c r="H292" t="n">
        <v>1.769125483</v>
      </c>
      <c r="I292" t="n">
        <v>1.718427591</v>
      </c>
      <c r="J292" t="n">
        <v>-2.840253457</v>
      </c>
      <c r="K292" t="n">
        <v>5.8</v>
      </c>
      <c r="L292" t="n">
        <v>2.768091424</v>
      </c>
      <c r="M292" t="n">
        <v>0.922106651</v>
      </c>
      <c r="N292" t="n">
        <v>0.93778172</v>
      </c>
      <c r="O292" t="n">
        <v>1.168723028</v>
      </c>
      <c r="P292" t="n">
        <v>1.474888274</v>
      </c>
      <c r="Q292" t="n">
        <v>3.173819895</v>
      </c>
      <c r="R292" t="n">
        <v>1.376140827</v>
      </c>
      <c r="T292" t="n">
        <v>1.370032309</v>
      </c>
      <c r="U292" t="n">
        <v>1.117462316</v>
      </c>
      <c r="V292" t="n">
        <v>1.377357926</v>
      </c>
      <c r="X292" t="n">
        <v>1.330948109</v>
      </c>
      <c r="Y292" t="n">
        <v>1.180658802</v>
      </c>
      <c r="Z292" t="n">
        <v>4.259334955</v>
      </c>
      <c r="AA292" t="n">
        <v>3.25624</v>
      </c>
      <c r="AB292" t="n">
        <v>6.483642945</v>
      </c>
      <c r="AC292" t="n">
        <v>3.402305395</v>
      </c>
      <c r="AD292" t="n">
        <v>4.194471695</v>
      </c>
      <c r="AE292" t="n">
        <v>-0.346837237</v>
      </c>
      <c r="AF292" t="n">
        <v>-1.990518757</v>
      </c>
      <c r="AG292" t="n">
        <v>2.679990632</v>
      </c>
      <c r="AH292" t="n">
        <v>2.578955447</v>
      </c>
      <c r="AI292" t="n">
        <v>1.231400464</v>
      </c>
      <c r="AJ292" t="n">
        <v>-0.629260574</v>
      </c>
      <c r="AK292" t="n">
        <v>1.921374168</v>
      </c>
      <c r="AL292" t="n">
        <v>1.820659175</v>
      </c>
      <c r="AM292" t="n">
        <v>2.647137234</v>
      </c>
      <c r="AN292" t="n">
        <v>1.679766563</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7" t="n">
        <v>43922</v>
      </c>
      <c r="C293" t="n">
        <v>-4.838527923</v>
      </c>
      <c r="D293" t="n">
        <v>1.480697214</v>
      </c>
      <c r="E293" t="n">
        <v>-2.835935301</v>
      </c>
      <c r="F293" t="n">
        <v>-1.037586503</v>
      </c>
      <c r="G293" t="n">
        <v>-0.850304278</v>
      </c>
      <c r="H293" t="n">
        <v>-0.467293746</v>
      </c>
      <c r="I293" t="n">
        <v>0.036836603</v>
      </c>
      <c r="J293" t="n">
        <v>-0.594454617</v>
      </c>
      <c r="K293" t="n">
        <v>-6.9</v>
      </c>
      <c r="L293" t="n">
        <v>-1.462892348</v>
      </c>
      <c r="M293" t="n">
        <v>-1.220669794</v>
      </c>
      <c r="N293" t="n">
        <v>0.8932598859999999</v>
      </c>
      <c r="O293" t="n">
        <v>-2.846829626</v>
      </c>
      <c r="P293" t="n">
        <v>-4.673702928</v>
      </c>
      <c r="Q293" t="n">
        <v>2.350497228</v>
      </c>
      <c r="R293" t="n">
        <v>-2.245808226</v>
      </c>
      <c r="T293" t="n">
        <v>0.402964416</v>
      </c>
      <c r="U293" t="n">
        <v>-5.156613049</v>
      </c>
      <c r="V293" t="n">
        <v>-0.9447258630000001</v>
      </c>
      <c r="X293" t="n">
        <v>-1.963017842</v>
      </c>
      <c r="Y293" t="n">
        <v>-1.586117466</v>
      </c>
      <c r="Z293" t="n">
        <v>1.739872264</v>
      </c>
      <c r="AA293" t="n">
        <v>2.18188</v>
      </c>
      <c r="AB293" t="n">
        <v>7.558521847</v>
      </c>
      <c r="AC293" t="n">
        <v>-4.080151968</v>
      </c>
      <c r="AD293" t="n">
        <v>1.189477725</v>
      </c>
      <c r="AE293" t="n">
        <v>-6.359977464</v>
      </c>
      <c r="AF293" t="n">
        <v>-1.793129343</v>
      </c>
      <c r="AG293" t="n">
        <v>1.508265648</v>
      </c>
      <c r="AH293" t="n">
        <v>1.004813519</v>
      </c>
      <c r="AI293" t="n">
        <v>0.474105815</v>
      </c>
      <c r="AJ293" t="n">
        <v>-1.658315208</v>
      </c>
      <c r="AK293" t="n">
        <v>-0.284046313</v>
      </c>
      <c r="AL293" t="n">
        <v>0.952966952</v>
      </c>
      <c r="AM293" t="n">
        <v>0.92721011</v>
      </c>
      <c r="AN293" t="n">
        <v>-0.5265820450000001</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7" t="n">
        <v>44013</v>
      </c>
      <c r="C294" t="n">
        <v>-19.718734014</v>
      </c>
      <c r="D294" t="n">
        <v>-5.784075247</v>
      </c>
      <c r="E294" t="n">
        <v>-13.595329308</v>
      </c>
      <c r="F294" t="n">
        <v>-12.792852773</v>
      </c>
      <c r="G294" t="n">
        <v>-10.08049096</v>
      </c>
      <c r="H294" t="n">
        <v>-12.211942682</v>
      </c>
      <c r="I294" t="n">
        <v>-7.423057587</v>
      </c>
      <c r="J294" t="n">
        <v>-14.222786731</v>
      </c>
      <c r="K294" t="n">
        <v>3.1</v>
      </c>
      <c r="L294" t="n">
        <v>-10.782890147</v>
      </c>
      <c r="M294" t="n">
        <v>-10.435831326</v>
      </c>
      <c r="N294" t="n">
        <v>-6.422662548</v>
      </c>
      <c r="O294" t="n">
        <v>-14.240517854</v>
      </c>
      <c r="P294" t="n">
        <v>-21.937066645</v>
      </c>
      <c r="Q294" t="n">
        <v>-4.723515764</v>
      </c>
      <c r="R294" t="n">
        <v>-13.401307404</v>
      </c>
      <c r="T294" t="n">
        <v>-6.618119884</v>
      </c>
      <c r="U294" t="n">
        <v>-18.564945705</v>
      </c>
      <c r="V294" t="n">
        <v>-11.466554987</v>
      </c>
      <c r="X294" t="n">
        <v>-22.627407624</v>
      </c>
      <c r="Y294" t="n">
        <v>-15.603636497</v>
      </c>
      <c r="Z294" t="n">
        <v>-13.193439875</v>
      </c>
      <c r="AA294" t="n">
        <v>-22.4126</v>
      </c>
      <c r="AB294" t="n">
        <v>-0.093123172</v>
      </c>
      <c r="AC294" t="n">
        <v>-10.2405166</v>
      </c>
      <c r="AD294" t="n">
        <v>-8.08072271</v>
      </c>
      <c r="AE294" t="n">
        <v>-17.890432115</v>
      </c>
      <c r="AF294" t="n">
        <v>-9.870362642</v>
      </c>
      <c r="AG294" t="n">
        <v>-2.596707233</v>
      </c>
      <c r="AH294" t="n">
        <v>-6.261168037</v>
      </c>
      <c r="AI294" t="n">
        <v>-7.133380754</v>
      </c>
      <c r="AJ294" t="n">
        <v>-18.785313702</v>
      </c>
      <c r="AK294" t="n">
        <v>-8.549512747</v>
      </c>
      <c r="AL294" t="n">
        <v>-5.327422084</v>
      </c>
      <c r="AM294" t="n">
        <v>-9.853941111999999</v>
      </c>
      <c r="AN294" t="n">
        <v>-11.290449193</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7" t="n">
        <v>44105</v>
      </c>
      <c r="C295" t="n">
        <v>-10.316963002</v>
      </c>
      <c r="D295" t="n">
        <v>-2.863638037</v>
      </c>
      <c r="E295" t="n">
        <v>-4.229994307</v>
      </c>
      <c r="F295" t="n">
        <v>-3.266432648</v>
      </c>
      <c r="G295" t="n">
        <v>-2.985259853</v>
      </c>
      <c r="H295" t="n">
        <v>-4.651911857</v>
      </c>
      <c r="I295" t="n">
        <v>-1.198821566</v>
      </c>
      <c r="J295" t="n">
        <v>-9.848601889999999</v>
      </c>
      <c r="K295" t="n">
        <v>4.8</v>
      </c>
      <c r="L295" t="n">
        <v>-5.216009106</v>
      </c>
      <c r="M295" t="n">
        <v>-2.480089589</v>
      </c>
      <c r="N295" t="n">
        <v>-1.392167965</v>
      </c>
      <c r="O295" t="n">
        <v>-3.847463508</v>
      </c>
      <c r="P295" t="n">
        <v>-9.216818083</v>
      </c>
      <c r="Q295" t="n">
        <v>-0.463489686</v>
      </c>
      <c r="R295" t="n">
        <v>-3.694721933</v>
      </c>
      <c r="T295" t="n">
        <v>-2.037661119</v>
      </c>
      <c r="U295" t="n">
        <v>-3.622507378</v>
      </c>
      <c r="V295" t="n">
        <v>-3.595006896</v>
      </c>
      <c r="X295" t="n">
        <v>-10.324677638</v>
      </c>
      <c r="Y295" t="n">
        <v>-10.744605912</v>
      </c>
      <c r="Z295" t="n">
        <v>-4.196770823</v>
      </c>
      <c r="AA295" t="n">
        <v>-6.20413</v>
      </c>
      <c r="AB295" t="n">
        <v>10.790588268</v>
      </c>
      <c r="AC295" t="n">
        <v>-7.425153694</v>
      </c>
      <c r="AD295" t="n">
        <v>-0.918556809</v>
      </c>
      <c r="AE295" t="n">
        <v>-6.085895786</v>
      </c>
      <c r="AF295" t="n">
        <v>-5.048020248</v>
      </c>
      <c r="AG295" t="n">
        <v>-0.832931497</v>
      </c>
      <c r="AH295" t="n">
        <v>1.51990586</v>
      </c>
      <c r="AI295" t="n">
        <v>-1.672447711</v>
      </c>
      <c r="AJ295" t="n">
        <v>-8.327676740999999</v>
      </c>
      <c r="AK295" t="n">
        <v>-3.138452549</v>
      </c>
      <c r="AL295" t="n">
        <v>-1.687727832</v>
      </c>
      <c r="AM295" t="n">
        <v>1.952087905</v>
      </c>
      <c r="AN295" t="n">
        <v>-3.411929435</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7" t="n">
        <v>44197</v>
      </c>
      <c r="C296" t="n">
        <v>-4.787733179</v>
      </c>
      <c r="D296" t="n">
        <v>-0.111231489</v>
      </c>
      <c r="E296" t="n">
        <v>-5.62174885</v>
      </c>
      <c r="F296" t="n">
        <v>-4.353963758</v>
      </c>
      <c r="G296" t="n">
        <v>-0.403645168</v>
      </c>
      <c r="H296" t="n">
        <v>-2.937785714</v>
      </c>
      <c r="I296" t="n">
        <v>-1.485206995</v>
      </c>
      <c r="J296" t="n">
        <v>0.106392351</v>
      </c>
      <c r="K296" t="n">
        <v>6.4</v>
      </c>
      <c r="L296" t="n">
        <v>-4.596123382</v>
      </c>
      <c r="M296" t="n">
        <v>-2.129545468</v>
      </c>
      <c r="N296" t="n">
        <v>-1.032280171</v>
      </c>
      <c r="O296" t="n">
        <v>-4.114584666</v>
      </c>
      <c r="P296" t="n">
        <v>-9.466967619</v>
      </c>
      <c r="Q296" t="n">
        <v>1.023060889</v>
      </c>
      <c r="R296" t="n">
        <v>-3.861850857</v>
      </c>
      <c r="T296" t="n">
        <v>-1.095494366</v>
      </c>
      <c r="U296" t="n">
        <v>-4.247133564</v>
      </c>
      <c r="V296" t="n">
        <v>-2.619995541</v>
      </c>
      <c r="X296" t="n">
        <v>-9.213327419000001</v>
      </c>
      <c r="Y296" t="n">
        <v>-6.822731859</v>
      </c>
      <c r="Z296" t="n">
        <v>-3.321541825</v>
      </c>
      <c r="AA296" t="n">
        <v>0.65518</v>
      </c>
      <c r="AB296" t="n">
        <v>4.315199098</v>
      </c>
      <c r="AC296" t="n">
        <v>-5.66230831</v>
      </c>
      <c r="AD296" t="n">
        <v>0.32811642</v>
      </c>
      <c r="AE296" t="n">
        <v>-6.042345478</v>
      </c>
      <c r="AF296" t="n">
        <v>-0.515985289</v>
      </c>
      <c r="AG296" t="n">
        <v>-0.889112426</v>
      </c>
      <c r="AH296" t="n">
        <v>0.635934321</v>
      </c>
      <c r="AI296" t="n">
        <v>-0.332913375</v>
      </c>
      <c r="AJ296" t="n">
        <v>-3.980786782</v>
      </c>
      <c r="AK296" t="n">
        <v>-3.535889387</v>
      </c>
      <c r="AL296" t="n">
        <v>-1.356174643</v>
      </c>
      <c r="AM296" t="n">
        <v>0.930410205</v>
      </c>
      <c r="AN296" t="n">
        <v>-2.452162857</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7" t="n">
        <v>44287</v>
      </c>
      <c r="C297" t="n">
        <v>2.888793203</v>
      </c>
      <c r="D297" t="n">
        <v>2.171056953</v>
      </c>
      <c r="E297" t="n">
        <v>-4.172795572</v>
      </c>
      <c r="F297" t="n">
        <v>-0.181904605</v>
      </c>
      <c r="G297" t="n">
        <v>2.917765281</v>
      </c>
      <c r="H297" t="n">
        <v>0.471026779</v>
      </c>
      <c r="I297" t="n">
        <v>-0.11507554</v>
      </c>
      <c r="J297" t="n">
        <v>1.498502315</v>
      </c>
      <c r="K297" t="n">
        <v>18.3</v>
      </c>
      <c r="L297" t="n">
        <v>-1.887117389</v>
      </c>
      <c r="M297" t="n">
        <v>-2.174503908</v>
      </c>
      <c r="N297" t="n">
        <v>0.252766287</v>
      </c>
      <c r="O297" t="n">
        <v>-0.835570154</v>
      </c>
      <c r="P297" t="n">
        <v>-4.429802869</v>
      </c>
      <c r="Q297" t="n">
        <v>2.927260351</v>
      </c>
      <c r="R297" t="n">
        <v>-0.759938637</v>
      </c>
      <c r="T297" t="n">
        <v>-1.045247526</v>
      </c>
      <c r="U297" t="n">
        <v>1.483556077</v>
      </c>
      <c r="V297" t="n">
        <v>-0.235604689</v>
      </c>
      <c r="X297" t="n">
        <v>-7.732633139</v>
      </c>
      <c r="Y297" t="n">
        <v>-2.069254319</v>
      </c>
      <c r="Z297" t="n">
        <v>-1.713340477</v>
      </c>
      <c r="AA297" t="n">
        <v>1.44542</v>
      </c>
      <c r="AB297" t="n">
        <v>10.727248471</v>
      </c>
      <c r="AC297" t="n">
        <v>-2.85092848</v>
      </c>
      <c r="AD297" t="n">
        <v>1.33092331</v>
      </c>
      <c r="AE297" t="n">
        <v>0.069407913</v>
      </c>
      <c r="AF297" t="n">
        <v>-1.08869409</v>
      </c>
      <c r="AG297" t="n">
        <v>2.186322733</v>
      </c>
      <c r="AH297" t="n">
        <v>3.953112943</v>
      </c>
      <c r="AI297" t="n">
        <v>-0.654017205</v>
      </c>
      <c r="AJ297" t="n">
        <v>-2.581556649</v>
      </c>
      <c r="AK297" t="n">
        <v>-2.083055006</v>
      </c>
      <c r="AL297" t="n">
        <v>-0.586706707</v>
      </c>
      <c r="AM297" t="n">
        <v>4.130253528</v>
      </c>
      <c r="AN297" t="n">
        <v>0.004984751</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7" t="n">
        <v>44378</v>
      </c>
      <c r="C298" t="n">
        <v>20.058099075</v>
      </c>
      <c r="D298" t="n">
        <v>10.282093468</v>
      </c>
      <c r="E298" t="n">
        <v>12.502721513</v>
      </c>
      <c r="F298" t="n">
        <v>14.604504328</v>
      </c>
      <c r="G298" t="n">
        <v>12.438108504</v>
      </c>
      <c r="H298" t="n">
        <v>12.133964192</v>
      </c>
      <c r="I298" t="n">
        <v>9.621621335</v>
      </c>
      <c r="J298" t="n">
        <v>18.173168444</v>
      </c>
      <c r="K298" t="n">
        <v>7.9</v>
      </c>
      <c r="L298" t="n">
        <v>9.133409697999999</v>
      </c>
      <c r="M298" t="n">
        <v>10.156264055</v>
      </c>
      <c r="N298" t="n">
        <v>8.999099877000001</v>
      </c>
      <c r="O298" t="n">
        <v>14.211623479</v>
      </c>
      <c r="P298" t="n">
        <v>17.875245592</v>
      </c>
      <c r="Q298" t="n">
        <v>13.533463627</v>
      </c>
      <c r="R298" t="n">
        <v>13.757737537</v>
      </c>
      <c r="T298" t="n">
        <v>7.152295695</v>
      </c>
      <c r="U298" t="n">
        <v>18.648106348</v>
      </c>
      <c r="V298" t="n">
        <v>13.099389106</v>
      </c>
      <c r="X298" t="n">
        <v>24.405387754</v>
      </c>
      <c r="Y298" t="n">
        <v>14.519934745</v>
      </c>
      <c r="Z298" t="n">
        <v>17.477604592</v>
      </c>
      <c r="AA298" t="n">
        <v>20.44378</v>
      </c>
      <c r="AB298" t="n">
        <v>19.541338439</v>
      </c>
      <c r="AC298" t="n">
        <v>8.911880201000001</v>
      </c>
      <c r="AD298" t="n">
        <v>15.349358839</v>
      </c>
      <c r="AE298" t="n">
        <v>16.674243594</v>
      </c>
      <c r="AF298" t="n">
        <v>7.805681114</v>
      </c>
      <c r="AG298" t="n">
        <v>6.254134737</v>
      </c>
      <c r="AH298" t="n">
        <v>10.712697904</v>
      </c>
      <c r="AI298" t="n">
        <v>9.317725632</v>
      </c>
      <c r="AJ298" t="n">
        <v>19.312004702</v>
      </c>
      <c r="AK298" t="n">
        <v>10.276097966</v>
      </c>
      <c r="AL298" t="n">
        <v>6.481646536</v>
      </c>
      <c r="AM298" t="n">
        <v>18.623391351</v>
      </c>
      <c r="AN298" t="n">
        <v>13.429382383</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7" t="n">
        <v>44470</v>
      </c>
      <c r="C299" t="n">
        <v>11.440945783</v>
      </c>
      <c r="D299" t="n">
        <v>4.134586033</v>
      </c>
      <c r="E299" t="n">
        <v>5.440121804</v>
      </c>
      <c r="F299" t="n">
        <v>4.954755309</v>
      </c>
      <c r="G299" t="n">
        <v>4.480691317</v>
      </c>
      <c r="H299" t="n">
        <v>4.330050305</v>
      </c>
      <c r="I299" t="n">
        <v>3.979440455</v>
      </c>
      <c r="J299" t="n">
        <v>17.232039261</v>
      </c>
      <c r="K299" t="n">
        <v>4.9</v>
      </c>
      <c r="L299" t="n">
        <v>3.770834769</v>
      </c>
      <c r="M299" t="n">
        <v>1.849972384</v>
      </c>
      <c r="N299" t="n">
        <v>3.897586509</v>
      </c>
      <c r="O299" t="n">
        <v>3.942862163</v>
      </c>
      <c r="P299" t="n">
        <v>4.201974928</v>
      </c>
      <c r="Q299" t="n">
        <v>9.12466079</v>
      </c>
      <c r="R299" t="n">
        <v>4.237598406</v>
      </c>
      <c r="T299" t="n">
        <v>3.073076446</v>
      </c>
      <c r="U299" t="n">
        <v>3.550423056</v>
      </c>
      <c r="V299" t="n">
        <v>4.313381891</v>
      </c>
      <c r="X299" t="n">
        <v>8.535696482000001</v>
      </c>
      <c r="Y299" t="n">
        <v>12.616570761</v>
      </c>
      <c r="Z299" t="n">
        <v>6.736881425</v>
      </c>
      <c r="AA299" t="n">
        <v>7.83307</v>
      </c>
      <c r="AB299" t="n">
        <v>9.908720176999999</v>
      </c>
      <c r="AC299" t="n">
        <v>7.013160416</v>
      </c>
      <c r="AD299" t="n">
        <v>8.198790152999999</v>
      </c>
      <c r="AE299" t="n">
        <v>4.779187807</v>
      </c>
      <c r="AF299" t="n">
        <v>1.652269284</v>
      </c>
      <c r="AG299" t="n">
        <v>4.038118083</v>
      </c>
      <c r="AH299" t="n">
        <v>2.038467821</v>
      </c>
      <c r="AI299" t="n">
        <v>4.574228171</v>
      </c>
      <c r="AJ299" t="n">
        <v>4.333121646</v>
      </c>
      <c r="AK299" t="n">
        <v>5.550838638</v>
      </c>
      <c r="AL299" t="n">
        <v>5.473606514</v>
      </c>
      <c r="AM299" t="n">
        <v>-0.111390423</v>
      </c>
      <c r="AN299" t="n">
        <v>4.871600921</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7" t="n">
        <v>44562</v>
      </c>
      <c r="C300" t="n">
        <v>8.693205945000001</v>
      </c>
      <c r="D300" t="n">
        <v>4.57560488</v>
      </c>
      <c r="E300" t="n">
        <v>6.051120287</v>
      </c>
      <c r="F300" t="n">
        <v>6.112560221</v>
      </c>
      <c r="G300" t="n">
        <v>2.102598984</v>
      </c>
      <c r="H300" t="n">
        <v>3.861233437</v>
      </c>
      <c r="I300" t="n">
        <v>3.801326648</v>
      </c>
      <c r="J300" t="n">
        <v>11.766218502</v>
      </c>
      <c r="K300" t="n">
        <v>4</v>
      </c>
      <c r="L300" t="n">
        <v>3.472666594</v>
      </c>
      <c r="M300" t="n">
        <v>1.192414352</v>
      </c>
      <c r="N300" t="n">
        <v>6.540191309</v>
      </c>
      <c r="O300" t="n">
        <v>4.774726619</v>
      </c>
      <c r="P300" t="n">
        <v>6.625335158</v>
      </c>
      <c r="Q300" t="n">
        <v>7.172958763</v>
      </c>
      <c r="R300" t="n">
        <v>5.069328564</v>
      </c>
      <c r="T300" t="n">
        <v>2.984785518</v>
      </c>
      <c r="U300" t="n">
        <v>5.098716684</v>
      </c>
      <c r="V300" t="n">
        <v>4.766523593</v>
      </c>
      <c r="X300" t="n">
        <v>8.869336232</v>
      </c>
      <c r="Y300" t="n">
        <v>8.793923586</v>
      </c>
      <c r="Z300" t="n">
        <v>7.437935818</v>
      </c>
      <c r="AA300" t="n">
        <v>5.03338</v>
      </c>
      <c r="AB300" t="n">
        <v>13.989575426</v>
      </c>
      <c r="AC300" t="n">
        <v>4.930989605</v>
      </c>
      <c r="AD300" t="n">
        <v>10.534505128</v>
      </c>
      <c r="AE300" t="n">
        <v>6.563898509</v>
      </c>
      <c r="AF300" t="n">
        <v>0.9320371</v>
      </c>
      <c r="AG300" t="n">
        <v>4.165612121</v>
      </c>
      <c r="AH300" t="n">
        <v>4.088696685</v>
      </c>
      <c r="AI300" t="n">
        <v>2.471467613</v>
      </c>
      <c r="AJ300" t="n">
        <v>1.105147288</v>
      </c>
      <c r="AK300" t="n">
        <v>6.207995005</v>
      </c>
      <c r="AL300" t="n">
        <v>4.642125111</v>
      </c>
      <c r="AM300" t="n">
        <v>3.316480988</v>
      </c>
      <c r="AN300" t="n">
        <v>5.218642753</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7" t="n">
        <v>44652</v>
      </c>
      <c r="C301" t="n">
        <v>6.157925594</v>
      </c>
      <c r="D301" t="n">
        <v>2.91649884</v>
      </c>
      <c r="E301" t="n">
        <v>8.449717125999999</v>
      </c>
      <c r="F301" t="n">
        <v>5.278436616</v>
      </c>
      <c r="G301" t="n">
        <v>2.401212438</v>
      </c>
      <c r="H301" t="n">
        <v>3.21863325</v>
      </c>
      <c r="I301" t="n">
        <v>4.262869318</v>
      </c>
      <c r="J301" t="n">
        <v>7.07641726</v>
      </c>
      <c r="K301" t="n">
        <v>4.8</v>
      </c>
      <c r="L301" t="n">
        <v>4.627025563</v>
      </c>
      <c r="M301" t="n">
        <v>3.522221233</v>
      </c>
      <c r="N301" t="n">
        <v>4.936932016</v>
      </c>
      <c r="O301" t="n">
        <v>5.505045272</v>
      </c>
      <c r="P301" t="n">
        <v>6.857138632</v>
      </c>
      <c r="Q301" t="n">
        <v>4.456160561</v>
      </c>
      <c r="R301" t="n">
        <v>5.64877068</v>
      </c>
      <c r="T301" t="n">
        <v>3.126542992</v>
      </c>
      <c r="U301" t="n">
        <v>4.767911796</v>
      </c>
      <c r="V301" t="n">
        <v>4.0282354</v>
      </c>
      <c r="X301" t="n">
        <v>10.7082726</v>
      </c>
      <c r="Y301" t="n">
        <v>7.862329364</v>
      </c>
      <c r="Z301" t="n">
        <v>7.931896692</v>
      </c>
      <c r="AA301" t="n">
        <v>4.16116</v>
      </c>
      <c r="AB301" t="n">
        <v>11.927251912</v>
      </c>
      <c r="AC301" t="n">
        <v>8.013190162000001</v>
      </c>
      <c r="AD301" t="n">
        <v>9.860422104</v>
      </c>
      <c r="AE301" t="n">
        <v>6.418211027</v>
      </c>
      <c r="AF301" t="n">
        <v>0.6205267880000001</v>
      </c>
      <c r="AG301" t="n">
        <v>3.04934859</v>
      </c>
      <c r="AH301" t="n">
        <v>2.787081752</v>
      </c>
      <c r="AI301" t="n">
        <v>5.031992861</v>
      </c>
      <c r="AJ301" t="n">
        <v>1.885268055</v>
      </c>
      <c r="AK301" t="n">
        <v>6.542702216</v>
      </c>
      <c r="AL301" t="n">
        <v>4.431540938</v>
      </c>
      <c r="AM301" t="n">
        <v>0.762147655</v>
      </c>
      <c r="AN301" t="n">
        <v>4.580073899</v>
      </c>
      <c r="AO301" t="n">
        <v>10.524154473</v>
      </c>
      <c r="AP301" t="n">
        <v>11.988107639</v>
      </c>
      <c r="AR301" t="n">
        <v>2.917545771</v>
      </c>
      <c r="AS301" t="n">
        <v>9.289464855</v>
      </c>
      <c r="AT301" t="n">
        <v>4.091261818</v>
      </c>
      <c r="AU301" t="n">
        <v>7.041508466</v>
      </c>
      <c r="AV301" t="n">
        <v>3.683678958</v>
      </c>
      <c r="AW301" t="n">
        <v>2.683866857</v>
      </c>
    </row>
    <row r="302">
      <c r="A302" t="inlineStr">
        <is>
          <t>2022-Q2</t>
        </is>
      </c>
      <c r="B302" s="87" t="n">
        <v>44743</v>
      </c>
      <c r="C302" t="n">
        <v>8.077299054999999</v>
      </c>
      <c r="D302" t="n">
        <v>3.150341583</v>
      </c>
      <c r="E302" t="n">
        <v>6.185637644</v>
      </c>
      <c r="F302" t="n">
        <v>4.053652608</v>
      </c>
      <c r="G302" t="n">
        <v>3.678993672</v>
      </c>
      <c r="H302" t="n">
        <v>4.65516984</v>
      </c>
      <c r="I302" t="n">
        <v>2.309760034</v>
      </c>
      <c r="J302" t="n">
        <v>5.797623742</v>
      </c>
      <c r="K302" t="n">
        <v>0.4</v>
      </c>
      <c r="L302" t="n">
        <v>3.505068682</v>
      </c>
      <c r="M302" t="n">
        <v>1.6674938</v>
      </c>
      <c r="N302" t="n">
        <v>3.86737434</v>
      </c>
      <c r="O302" t="n">
        <v>4.330324724</v>
      </c>
      <c r="P302" t="n">
        <v>7.796366607</v>
      </c>
      <c r="Q302" t="n">
        <v>0.195426794</v>
      </c>
      <c r="R302" t="n">
        <v>4.384350363</v>
      </c>
      <c r="T302" t="n">
        <v>2.593184424</v>
      </c>
      <c r="U302" t="n">
        <v>4.162690373</v>
      </c>
      <c r="V302" t="n">
        <v>2.402307184</v>
      </c>
      <c r="X302" t="n">
        <v>3.988458137</v>
      </c>
      <c r="Y302" t="n">
        <v>7.079271833</v>
      </c>
      <c r="Z302" t="n">
        <v>6.291953749</v>
      </c>
      <c r="AA302" t="n">
        <v>14.00472</v>
      </c>
      <c r="AB302" t="n">
        <v>12.182862764</v>
      </c>
      <c r="AC302" t="n">
        <v>6.886935752</v>
      </c>
      <c r="AD302" t="n">
        <v>7.603473214</v>
      </c>
      <c r="AE302" t="n">
        <v>5.046327299</v>
      </c>
      <c r="AF302" t="n">
        <v>1.400727604</v>
      </c>
      <c r="AG302" t="n">
        <v>2.953199809</v>
      </c>
      <c r="AH302" t="n">
        <v>1.684453759</v>
      </c>
      <c r="AI302" t="n">
        <v>2.734576984</v>
      </c>
      <c r="AJ302" t="n">
        <v>2.306522605</v>
      </c>
      <c r="AK302" t="n">
        <v>5.189934256</v>
      </c>
      <c r="AL302" t="n">
        <v>4.38971751</v>
      </c>
      <c r="AM302" t="n">
        <v>0.283893395</v>
      </c>
      <c r="AN302" t="n">
        <v>3.30463937</v>
      </c>
      <c r="AO302" t="n">
        <v>5.646409893</v>
      </c>
      <c r="AP302" t="n">
        <v>7.384706352</v>
      </c>
      <c r="AR302" t="n">
        <v>1.339880744</v>
      </c>
      <c r="AS302" t="n">
        <v>7.945396548</v>
      </c>
      <c r="AT302" t="n">
        <v>4.034069247</v>
      </c>
      <c r="AU302" t="n">
        <v>6.914896003</v>
      </c>
      <c r="AV302" t="n">
        <v>1.796042498</v>
      </c>
      <c r="AW302" t="n">
        <v>0.530092608</v>
      </c>
    </row>
    <row r="303">
      <c r="A303" t="inlineStr">
        <is>
          <t>2022-Q3</t>
        </is>
      </c>
      <c r="B303" s="87" t="n">
        <v>44835</v>
      </c>
      <c r="C303" t="n">
        <v>5.827570943</v>
      </c>
      <c r="D303" t="n">
        <v>5.865300977</v>
      </c>
      <c r="E303" t="n">
        <v>2.011532955</v>
      </c>
      <c r="F303" t="n">
        <v>1.905583024</v>
      </c>
      <c r="G303" t="n">
        <v>3.628345384</v>
      </c>
      <c r="H303" t="n">
        <v>3.930093064</v>
      </c>
      <c r="I303" t="n">
        <v>0.7461770049999999</v>
      </c>
      <c r="J303" t="n">
        <v>-0.059864623</v>
      </c>
      <c r="K303" t="n">
        <v>3.9</v>
      </c>
      <c r="L303" t="n">
        <v>1.524456574</v>
      </c>
      <c r="M303" t="n">
        <v>1.354131644</v>
      </c>
      <c r="N303" t="n">
        <v>3.214662974</v>
      </c>
      <c r="O303" t="n">
        <v>2.343852507</v>
      </c>
      <c r="P303" t="n">
        <v>4.771118602</v>
      </c>
      <c r="Q303" t="n">
        <v>-2.284929096</v>
      </c>
      <c r="R303" t="n">
        <v>2.516635582</v>
      </c>
      <c r="T303" t="n">
        <v>1.372879606</v>
      </c>
      <c r="U303" t="n">
        <v>0.991106522</v>
      </c>
      <c r="V303" t="n">
        <v>1.897845294</v>
      </c>
      <c r="X303" t="n">
        <v>1.897391887</v>
      </c>
      <c r="Y303" t="n">
        <v>2.815397881</v>
      </c>
      <c r="Z303" t="n">
        <v>4.05708969</v>
      </c>
      <c r="AA303" t="n">
        <v>5.68464</v>
      </c>
      <c r="AB303" t="n">
        <v>10.58223998</v>
      </c>
      <c r="AC303" t="n">
        <v>5.368677265</v>
      </c>
      <c r="AD303" t="n">
        <v>5.697668285</v>
      </c>
      <c r="AE303" t="n">
        <v>2.713187926</v>
      </c>
      <c r="AF303" t="n">
        <v>1.650360237</v>
      </c>
      <c r="AG303" t="n">
        <v>3.065786539</v>
      </c>
      <c r="AH303" t="n">
        <v>3.013429088</v>
      </c>
      <c r="AI303" t="n">
        <v>-0.35955082</v>
      </c>
      <c r="AJ303" t="n">
        <v>4.317241728</v>
      </c>
      <c r="AK303" t="n">
        <v>3.131629523</v>
      </c>
      <c r="AL303" t="n">
        <v>2.464107246</v>
      </c>
      <c r="AM303" t="n">
        <v>6.437710032</v>
      </c>
      <c r="AN303" t="n">
        <v>2.549432501</v>
      </c>
      <c r="AO303" t="n">
        <v>4.477267251</v>
      </c>
      <c r="AP303" t="n">
        <v>4.860079684</v>
      </c>
      <c r="AR303" t="n">
        <v>1.366373364</v>
      </c>
      <c r="AS303" t="n">
        <v>3.918913068</v>
      </c>
      <c r="AT303" t="n">
        <v>2.589137317</v>
      </c>
      <c r="AU303" t="n">
        <v>3.95960902</v>
      </c>
      <c r="AV303" t="n">
        <v>1.942138388</v>
      </c>
      <c r="AW303" t="n">
        <v>4.033822704</v>
      </c>
    </row>
    <row r="304">
      <c r="A304" t="inlineStr">
        <is>
          <t>2022-Q4</t>
        </is>
      </c>
      <c r="B304" s="87" t="n">
        <v>44927</v>
      </c>
      <c r="E304" t="n">
        <v>2.705177316</v>
      </c>
      <c r="F304" t="n">
        <v>1.429396224</v>
      </c>
      <c r="H304" t="n">
        <v>2.630278675</v>
      </c>
      <c r="K304" t="n">
        <v>2.9</v>
      </c>
      <c r="L304" t="n">
        <v>0.363633886</v>
      </c>
      <c r="M304" t="n">
        <v>1.138543414</v>
      </c>
      <c r="O304" t="n">
        <v>1.918940216</v>
      </c>
      <c r="P304" t="n">
        <v>2.680341053</v>
      </c>
      <c r="R304" t="n">
        <v>1.820888836</v>
      </c>
      <c r="U304" t="n">
        <v>0.545459036</v>
      </c>
      <c r="AB304" t="n">
        <v>15.730093499</v>
      </c>
      <c r="AE304" t="n">
        <v>1.673811546</v>
      </c>
      <c r="AG304" t="n">
        <v>1.32489664</v>
      </c>
      <c r="AI304" t="n">
        <v>0.368600129</v>
      </c>
      <c r="AJ304" t="n">
        <v>3.708559333</v>
      </c>
      <c r="AP304" t="n">
        <v>3.070482097</v>
      </c>
      <c r="AT304" t="n">
        <v>0.648908088</v>
      </c>
      <c r="AV304" t="n">
        <v>0.959253543</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pane ySplit="1" topLeftCell="A166" activePane="bottomLeft" state="frozen"/>
      <selection pane="bottomLeft" activeCell="T15" sqref="T1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15</v>
      </c>
      <c r="F2" t="n">
        <v/>
      </c>
      <c r="G2" t="n">
        <v>-0.207</v>
      </c>
      <c r="H2" t="n">
        <v>-4.5</v>
      </c>
      <c r="I2" t="n">
        <v>9.1</v>
      </c>
      <c r="J2" t="n">
        <v>0.0156</v>
      </c>
      <c r="K2" t="n">
        <v>14.94</v>
      </c>
      <c r="L2" t="n">
        <v>0.15</v>
      </c>
      <c r="M2" t="n">
        <v>13.3</v>
      </c>
      <c r="N2" t="n">
        <v>0.112</v>
      </c>
      <c r="O2" t="n">
        <v>33.6</v>
      </c>
    </row>
    <row r="3">
      <c r="A3" t="inlineStr">
        <is>
          <t>Albania</t>
        </is>
      </c>
      <c r="B3" t="n">
        <v>107.3</v>
      </c>
      <c r="C3" t="n">
        <v>-7.7</v>
      </c>
      <c r="D3" t="n">
        <v>78.09999999999999</v>
      </c>
      <c r="E3" t="n">
        <v>18</v>
      </c>
      <c r="F3" t="n">
        <v>0.023</v>
      </c>
      <c r="G3" t="n">
        <v>0.04019999999999999</v>
      </c>
      <c r="H3" t="n">
        <v>-4.8</v>
      </c>
      <c r="I3" t="n">
        <v>7.4</v>
      </c>
      <c r="J3" t="n">
        <v>0.031</v>
      </c>
      <c r="K3" t="n">
        <v>2.75</v>
      </c>
      <c r="L3" t="n">
        <v>0.005</v>
      </c>
      <c r="M3" t="n">
        <v>10.8</v>
      </c>
      <c r="N3" t="n">
        <v>0.116</v>
      </c>
      <c r="O3" t="n">
        <v>2.83</v>
      </c>
    </row>
    <row r="4">
      <c r="A4" t="inlineStr">
        <is>
          <t>Algeria</t>
        </is>
      </c>
      <c r="B4" t="n">
        <v>134.37</v>
      </c>
      <c r="C4" t="n">
        <v>-2.8</v>
      </c>
      <c r="D4" t="n">
        <v>62.5</v>
      </c>
      <c r="E4" t="n">
        <v>163</v>
      </c>
      <c r="F4" t="n">
        <v>0.008</v>
      </c>
      <c r="G4" t="n">
        <v>0.016</v>
      </c>
      <c r="H4" t="n">
        <v>-7.2</v>
      </c>
      <c r="I4" t="n">
        <v>8.199999999999999</v>
      </c>
      <c r="J4" t="n">
        <v>0.0412</v>
      </c>
      <c r="K4" t="n">
        <v>3</v>
      </c>
      <c r="L4" t="n">
        <v>0.03</v>
      </c>
      <c r="M4" t="n">
        <v>12.7</v>
      </c>
      <c r="N4" t="n">
        <v>0.114</v>
      </c>
      <c r="O4" t="n">
        <v>44.7</v>
      </c>
    </row>
    <row r="5">
      <c r="A5" t="inlineStr">
        <is>
          <t>Angola</t>
        </is>
      </c>
      <c r="B5" t="n">
        <v>456.04</v>
      </c>
      <c r="C5" t="n">
        <v>12.4</v>
      </c>
      <c r="D5" t="n">
        <v>85</v>
      </c>
      <c r="E5" t="n">
        <v>67</v>
      </c>
      <c r="F5" t="n">
        <v>0.008</v>
      </c>
      <c r="G5" t="n">
        <v>0.039</v>
      </c>
      <c r="H5" t="n">
        <v>2.7</v>
      </c>
      <c r="I5" t="n">
        <v>13.86</v>
      </c>
      <c r="J5" t="n">
        <v>0.2698</v>
      </c>
      <c r="K5" t="n">
        <v>18</v>
      </c>
      <c r="L5" t="n">
        <v>0.2</v>
      </c>
      <c r="M5" t="n">
        <v>30.2</v>
      </c>
      <c r="N5" t="n">
        <v>0.341</v>
      </c>
      <c r="O5" t="n">
        <v>33</v>
      </c>
    </row>
    <row r="6">
      <c r="A6" t="inlineStr">
        <is>
          <t>Argentina</t>
        </is>
      </c>
      <c r="B6" t="n">
        <v>96.12</v>
      </c>
      <c r="C6" t="n">
        <v>1</v>
      </c>
      <c r="D6" t="n">
        <v>80.5</v>
      </c>
      <c r="E6" t="n">
        <v>487</v>
      </c>
      <c r="F6" t="n">
        <v>0.017</v>
      </c>
      <c r="G6" t="n">
        <v>0.059</v>
      </c>
      <c r="H6" t="n">
        <v>-4.5</v>
      </c>
      <c r="I6" t="n">
        <v>94.8</v>
      </c>
      <c r="J6" t="n">
        <v>0.512</v>
      </c>
      <c r="K6" t="n">
        <v>75</v>
      </c>
      <c r="L6" t="n">
        <v>0.38</v>
      </c>
      <c r="M6" t="n">
        <v>7.1</v>
      </c>
      <c r="N6" t="n">
        <v>0.08199999999999999</v>
      </c>
      <c r="O6" t="n">
        <v>45.81</v>
      </c>
    </row>
    <row r="7">
      <c r="A7" t="inlineStr">
        <is>
          <t>Armenia</t>
        </is>
      </c>
      <c r="B7" t="n">
        <v>495.16</v>
      </c>
      <c r="C7" t="n">
        <v>-2.5</v>
      </c>
      <c r="D7" t="n">
        <v>60.25</v>
      </c>
      <c r="E7" t="n">
        <v>14</v>
      </c>
      <c r="F7" t="n">
        <v/>
      </c>
      <c r="G7" t="n">
        <v>0.148</v>
      </c>
      <c r="H7" t="n">
        <v>-4.6</v>
      </c>
      <c r="I7" t="n">
        <v>8.300000000000001</v>
      </c>
      <c r="J7" t="n">
        <v>0.096</v>
      </c>
      <c r="K7" t="n">
        <v>10.75</v>
      </c>
      <c r="L7" t="n">
        <v>0.0775</v>
      </c>
      <c r="M7" t="n">
        <v>11.6</v>
      </c>
      <c r="N7" t="n">
        <v>0.15</v>
      </c>
      <c r="O7" t="n">
        <v>2.96</v>
      </c>
    </row>
    <row r="8">
      <c r="A8" t="inlineStr">
        <is>
          <t>Australia</t>
        </is>
      </c>
      <c r="B8" t="n">
        <v>0.68</v>
      </c>
      <c r="C8" t="n">
        <v>-0.4</v>
      </c>
      <c r="D8" t="n">
        <v>36.1</v>
      </c>
      <c r="E8" t="n">
        <v>1553</v>
      </c>
      <c r="F8" t="n">
        <v>0.006</v>
      </c>
      <c r="G8" t="n">
        <v>0.059</v>
      </c>
      <c r="H8" t="n">
        <v>-1.5</v>
      </c>
      <c r="I8" t="n">
        <v>7.8</v>
      </c>
      <c r="J8" t="n">
        <v>0.03</v>
      </c>
      <c r="K8" t="n">
        <v>3.1</v>
      </c>
      <c r="L8" t="n">
        <v>0.001</v>
      </c>
      <c r="M8" t="n">
        <v>3.5</v>
      </c>
      <c r="N8" t="n">
        <v>0.046</v>
      </c>
      <c r="O8" t="n">
        <v>25.77</v>
      </c>
    </row>
    <row r="9">
      <c r="A9" t="inlineStr">
        <is>
          <t>Austria</t>
        </is>
      </c>
      <c r="B9" t="n">
        <v>1.11</v>
      </c>
      <c r="C9" t="n">
        <v>-0.5</v>
      </c>
      <c r="D9" t="n">
        <v>82.8</v>
      </c>
      <c r="E9" t="n">
        <v>480</v>
      </c>
      <c r="F9" t="n">
        <v>-0.006999999999999999</v>
      </c>
      <c r="G9" t="n">
        <v>0.027</v>
      </c>
      <c r="H9" t="n">
        <v>-5.9</v>
      </c>
      <c r="I9" t="n">
        <v>11.1</v>
      </c>
      <c r="J9" t="n">
        <v>0.043</v>
      </c>
      <c r="K9" t="n">
        <v>2.5</v>
      </c>
      <c r="L9" t="n">
        <v>0</v>
      </c>
      <c r="M9" t="n">
        <v>7.6</v>
      </c>
      <c r="N9" t="n">
        <v>0.07000000000000001</v>
      </c>
      <c r="O9" t="n">
        <v>8.93</v>
      </c>
    </row>
    <row r="10">
      <c r="A10" t="inlineStr">
        <is>
          <t>Azerbaijan</t>
        </is>
      </c>
      <c r="B10" t="n">
        <v>1.7</v>
      </c>
      <c r="C10" t="n">
        <v>15.2</v>
      </c>
      <c r="D10" t="n">
        <v>18.2</v>
      </c>
      <c r="E10" t="n">
        <v>55</v>
      </c>
      <c r="F10" t="n">
        <v/>
      </c>
      <c r="G10" t="n">
        <v>0.057</v>
      </c>
      <c r="H10" t="n">
        <v>-1</v>
      </c>
      <c r="I10" t="n">
        <v>13.9</v>
      </c>
      <c r="J10" t="n">
        <v>0.062</v>
      </c>
      <c r="K10" t="n">
        <v>8.5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119.5</v>
      </c>
      <c r="E12" t="n">
        <v>39</v>
      </c>
      <c r="F12" t="n">
        <v>-0.0262</v>
      </c>
      <c r="G12" t="n">
        <v>0.042</v>
      </c>
      <c r="H12" t="n">
        <v>-35</v>
      </c>
      <c r="I12" t="n">
        <v>3.6</v>
      </c>
      <c r="J12" t="n">
        <v>0.006999999999999999</v>
      </c>
      <c r="K12" t="n">
        <v>5.5</v>
      </c>
      <c r="L12" t="n">
        <v>0.01</v>
      </c>
      <c r="M12" t="n">
        <v>6.6</v>
      </c>
      <c r="N12" t="n">
        <v>0.049</v>
      </c>
      <c r="O12" t="n">
        <v>1.49</v>
      </c>
    </row>
    <row r="13">
      <c r="A13" t="inlineStr">
        <is>
          <t>Bangladesh</t>
        </is>
      </c>
      <c r="B13" t="n">
        <v>84.8</v>
      </c>
      <c r="C13" t="n">
        <v>-1.1</v>
      </c>
      <c r="D13" t="n">
        <v>33.9</v>
      </c>
      <c r="E13" t="n">
        <v>416</v>
      </c>
      <c r="F13" t="n">
        <v>0.0547</v>
      </c>
      <c r="G13" t="n">
        <v>0.0547</v>
      </c>
      <c r="H13" t="n">
        <v>-6.23</v>
      </c>
      <c r="I13" t="n">
        <v>8.710000000000001</v>
      </c>
      <c r="J13" t="n">
        <v>0.057</v>
      </c>
      <c r="K13" t="n">
        <v>6</v>
      </c>
      <c r="L13" t="n">
        <v>0.0475</v>
      </c>
      <c r="M13" t="n">
        <v>5.2</v>
      </c>
      <c r="N13" t="n">
        <v>0.053</v>
      </c>
      <c r="O13" t="n">
        <v>166.3</v>
      </c>
    </row>
    <row r="14">
      <c r="A14" t="inlineStr">
        <is>
          <t>Belarus</t>
        </is>
      </c>
      <c r="B14" t="n">
        <v>2.57</v>
      </c>
      <c r="C14" t="n">
        <v>-2.7</v>
      </c>
      <c r="D14" t="n">
        <v>33.5</v>
      </c>
      <c r="E14" t="n">
        <v>68</v>
      </c>
      <c r="F14" t="n">
        <v/>
      </c>
      <c r="G14" t="n">
        <v>-0.078</v>
      </c>
      <c r="H14" t="n">
        <v>-0.3</v>
      </c>
      <c r="I14" t="n">
        <v>12.8</v>
      </c>
      <c r="J14" t="n">
        <v>0.103</v>
      </c>
      <c r="K14" t="n">
        <v>11.5</v>
      </c>
      <c r="L14" t="n">
        <v>0.0925</v>
      </c>
      <c r="M14" t="n">
        <v>3.9</v>
      </c>
      <c r="N14" t="n">
        <v>0.002</v>
      </c>
      <c r="O14" t="n">
        <v>9.25</v>
      </c>
    </row>
    <row r="15">
      <c r="A15" t="inlineStr">
        <is>
          <t>Belgium</t>
        </is>
      </c>
      <c r="B15" t="n">
        <v>1.11</v>
      </c>
      <c r="C15" t="n">
        <v>-0.4</v>
      </c>
      <c r="D15" t="n">
        <v>108.2</v>
      </c>
      <c r="E15" t="n">
        <v>594</v>
      </c>
      <c r="F15" t="n">
        <v>0.001</v>
      </c>
      <c r="G15" t="n">
        <v>0.014</v>
      </c>
      <c r="H15" t="n">
        <v>-5.5</v>
      </c>
      <c r="I15" t="n">
        <v>8.050000000000001</v>
      </c>
      <c r="J15" t="n">
        <v>0.0564</v>
      </c>
      <c r="K15" t="n">
        <v>2.5</v>
      </c>
      <c r="L15" t="n">
        <v>0</v>
      </c>
      <c r="M15" t="n">
        <v>5.5</v>
      </c>
      <c r="N15" t="n">
        <v>0.063</v>
      </c>
      <c r="O15" t="n">
        <v>11.55</v>
      </c>
    </row>
    <row r="16">
      <c r="A16" t="inlineStr">
        <is>
          <t>Benin</t>
        </is>
      </c>
      <c r="B16" t="n">
        <v>588.96</v>
      </c>
      <c r="C16" t="n">
        <v>-4.5</v>
      </c>
      <c r="D16" t="n">
        <v>47.2</v>
      </c>
      <c r="E16" t="n">
        <v>17</v>
      </c>
      <c r="F16" t="n">
        <v/>
      </c>
      <c r="G16" t="n">
        <v>0.061</v>
      </c>
      <c r="H16" t="n">
        <v>-6.1</v>
      </c>
      <c r="I16" t="n">
        <v>2.8</v>
      </c>
      <c r="J16" t="n">
        <v>0.025</v>
      </c>
      <c r="K16" t="n">
        <v>4.75</v>
      </c>
      <c r="L16" t="n">
        <v>0.04</v>
      </c>
      <c r="M16" t="n">
        <v>1.6</v>
      </c>
      <c r="N16" t="n">
        <v>0.025</v>
      </c>
      <c r="O16" t="n">
        <v>12.45</v>
      </c>
    </row>
    <row r="17">
      <c r="A17" t="inlineStr">
        <is>
          <t>Bhutan</t>
        </is>
      </c>
      <c r="B17" t="n">
        <v>71.01000000000001</v>
      </c>
      <c r="C17" t="n">
        <v>-33.8</v>
      </c>
      <c r="D17" t="n">
        <v>134.94</v>
      </c>
      <c r="E17" t="n">
        <v>3</v>
      </c>
      <c r="F17" t="n">
        <v/>
      </c>
      <c r="G17" t="n">
        <v>0.04099999999999999</v>
      </c>
      <c r="H17" t="n">
        <v>-7.8</v>
      </c>
      <c r="I17" t="n">
        <v>4.59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3.12</v>
      </c>
      <c r="J18" t="n">
        <v>0.009599999999999999</v>
      </c>
      <c r="K18" t="n">
        <v>4.41</v>
      </c>
      <c r="L18" t="n">
        <v>0.0385</v>
      </c>
      <c r="M18" t="n">
        <v>6.9</v>
      </c>
      <c r="N18" t="n">
        <v>0.05599999999999999</v>
      </c>
      <c r="O18" t="n">
        <v>11.83</v>
      </c>
    </row>
    <row r="19">
      <c r="A19" t="inlineStr">
        <is>
          <t>Bosniaand Herzegovina</t>
        </is>
      </c>
      <c r="B19" t="n">
        <v>1.77</v>
      </c>
      <c r="C19" t="n">
        <v>-2.1</v>
      </c>
      <c r="D19" t="n">
        <v>24.8</v>
      </c>
      <c r="E19" t="n">
        <v>23</v>
      </c>
      <c r="F19" t="n">
        <v>0.014</v>
      </c>
      <c r="G19" t="n">
        <v>0.026</v>
      </c>
      <c r="H19" t="n">
        <v>-0.3</v>
      </c>
      <c r="I19" t="n">
        <v>14.8</v>
      </c>
      <c r="J19" t="n">
        <v>0.043</v>
      </c>
      <c r="K19" t="n">
        <v>3.66</v>
      </c>
      <c r="L19" t="n">
        <v>0.0344</v>
      </c>
      <c r="M19" t="n">
        <v>31.12</v>
      </c>
      <c r="N19" t="n">
        <v>0.3173</v>
      </c>
      <c r="O19" t="n">
        <v>3.46</v>
      </c>
    </row>
    <row r="20">
      <c r="A20" t="inlineStr">
        <is>
          <t>Botswana</t>
        </is>
      </c>
      <c r="B20" t="n">
        <v>11.03</v>
      </c>
      <c r="C20" t="n">
        <v>-0.5</v>
      </c>
      <c r="D20" t="n">
        <v>24.2</v>
      </c>
      <c r="E20" t="n">
        <v>18</v>
      </c>
      <c r="F20" t="n">
        <v>0.04</v>
      </c>
      <c r="G20" t="n">
        <v>0.063</v>
      </c>
      <c r="H20" t="n">
        <v>-5.1</v>
      </c>
      <c r="I20" t="n">
        <v>12.4</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5.79</v>
      </c>
      <c r="J21" t="n">
        <v>0.1074</v>
      </c>
      <c r="K21" t="n">
        <v>13.75</v>
      </c>
      <c r="L21" t="n">
        <v>0.0925</v>
      </c>
      <c r="M21" t="n">
        <v>8.1</v>
      </c>
      <c r="N21" t="n">
        <v>0.126</v>
      </c>
      <c r="O21" t="n">
        <v>213.32</v>
      </c>
    </row>
    <row r="22">
      <c r="A22" t="inlineStr">
        <is>
          <t>Brunei</t>
        </is>
      </c>
      <c r="B22" t="n">
        <v>1.35</v>
      </c>
      <c r="C22" t="n">
        <v>4.6</v>
      </c>
      <c r="D22" t="n">
        <v>1.9</v>
      </c>
      <c r="E22" t="n">
        <v>14</v>
      </c>
      <c r="F22" t="n">
        <v/>
      </c>
      <c r="G22" t="n">
        <v>0.009000000000000001</v>
      </c>
      <c r="H22" t="n">
        <v>-19.3</v>
      </c>
      <c r="I22" t="n">
        <v>3.1</v>
      </c>
      <c r="J22" t="n">
        <v>0.022</v>
      </c>
      <c r="K22" t="n">
        <v>5.5</v>
      </c>
      <c r="L22" t="n">
        <v>0.055</v>
      </c>
      <c r="M22" t="n">
        <v>4.9</v>
      </c>
      <c r="N22" t="n">
        <v>0.08400000000000001</v>
      </c>
      <c r="O22" t="n">
        <v>0.43</v>
      </c>
    </row>
    <row r="23">
      <c r="A23" t="inlineStr">
        <is>
          <t>Bulgaria</t>
        </is>
      </c>
      <c r="B23" t="n">
        <v>1.66</v>
      </c>
      <c r="C23" t="n">
        <v>-0.4</v>
      </c>
      <c r="D23" t="n">
        <v>22.4</v>
      </c>
      <c r="E23" t="n">
        <v>84</v>
      </c>
      <c r="F23" t="n">
        <v>0.0064</v>
      </c>
      <c r="G23" t="n">
        <v>0.0332</v>
      </c>
      <c r="H23" t="n">
        <v>-3.9</v>
      </c>
      <c r="I23" t="n">
        <v>16.9</v>
      </c>
      <c r="J23" t="n">
        <v>0.073</v>
      </c>
      <c r="K23" t="n">
        <v>1.3</v>
      </c>
      <c r="L23" t="n">
        <v>0</v>
      </c>
      <c r="M23" t="n">
        <v>4.4</v>
      </c>
      <c r="N23" t="n">
        <v>0.047</v>
      </c>
      <c r="O23" t="n">
        <v>6.52</v>
      </c>
    </row>
    <row r="24">
      <c r="A24" t="inlineStr">
        <is>
          <t>Burkina Faso</t>
        </is>
      </c>
      <c r="B24" t="n">
        <v>588.96</v>
      </c>
      <c r="C24" t="n">
        <v>5.2</v>
      </c>
      <c r="D24" t="n">
        <v>59.6</v>
      </c>
      <c r="E24" t="n">
        <v>20</v>
      </c>
      <c r="F24" t="n">
        <v/>
      </c>
      <c r="G24" t="n">
        <v>-0.05</v>
      </c>
      <c r="H24" t="n">
        <v>-5.6</v>
      </c>
      <c r="I24" t="n">
        <v>9.6</v>
      </c>
      <c r="J24" t="n">
        <v>0.039</v>
      </c>
      <c r="K24" t="n">
        <v>4.75</v>
      </c>
      <c r="L24" t="n">
        <v>0.04</v>
      </c>
      <c r="M24" t="n">
        <v>4.8</v>
      </c>
      <c r="N24" t="n">
        <v>0.05</v>
      </c>
      <c r="O24" t="n">
        <v>21.51</v>
      </c>
    </row>
    <row r="25">
      <c r="A25" t="inlineStr">
        <is>
          <t>Burundi</t>
        </is>
      </c>
      <c r="B25" t="n">
        <v>1877.75</v>
      </c>
      <c r="C25" t="n">
        <v>-15</v>
      </c>
      <c r="D25" t="n">
        <v>17</v>
      </c>
      <c r="E25" t="n">
        <v>3</v>
      </c>
      <c r="F25" t="n">
        <v/>
      </c>
      <c r="G25" t="n">
        <v>0.022</v>
      </c>
      <c r="H25" t="n">
        <v>-4.5</v>
      </c>
      <c r="I25" t="n">
        <v>26.64</v>
      </c>
      <c r="J25" t="n">
        <v>0.0987</v>
      </c>
      <c r="K25" t="n">
        <v>5.93</v>
      </c>
      <c r="L25" t="n">
        <v>0.0706</v>
      </c>
      <c r="M25" t="n">
        <v>1.8</v>
      </c>
      <c r="N25" t="n">
        <v>0.008</v>
      </c>
      <c r="O25" t="n">
        <v>12.26</v>
      </c>
    </row>
    <row r="26">
      <c r="A26" t="inlineStr">
        <is>
          <t>Cambodia</t>
        </is>
      </c>
      <c r="B26" t="n">
        <v>4061</v>
      </c>
      <c r="C26" t="n">
        <v>-48</v>
      </c>
      <c r="D26" t="n">
        <v>36.8</v>
      </c>
      <c r="E26" t="n">
        <v>27</v>
      </c>
      <c r="F26" t="n">
        <v/>
      </c>
      <c r="G26" t="n">
        <v>0.051</v>
      </c>
      <c r="H26" t="n">
        <v>-2.6</v>
      </c>
      <c r="I26" t="n">
        <v>3.2</v>
      </c>
      <c r="J26" t="n">
        <v>0.0296</v>
      </c>
      <c r="K26" t="n">
        <v>0.8100000000000001</v>
      </c>
      <c r="L26" t="n">
        <v>0.0089</v>
      </c>
      <c r="M26" t="n">
        <v>0.61</v>
      </c>
      <c r="N26" t="n">
        <v>0.0031</v>
      </c>
      <c r="O26" t="n">
        <v>16.9</v>
      </c>
    </row>
    <row r="27">
      <c r="A27" t="inlineStr">
        <is>
          <t>Cameroon</t>
        </is>
      </c>
      <c r="B27" t="n">
        <v>551.3200000000001</v>
      </c>
      <c r="C27" t="n">
        <v>-4.1</v>
      </c>
      <c r="D27" t="n">
        <v>46.8</v>
      </c>
      <c r="E27" t="n">
        <v>45</v>
      </c>
      <c r="F27" t="n">
        <v>0.027</v>
      </c>
      <c r="G27" t="n">
        <v>0.04</v>
      </c>
      <c r="H27" t="n">
        <v>-3.1</v>
      </c>
      <c r="I27" t="n">
        <v>7.69</v>
      </c>
      <c r="J27" t="n">
        <v>0.0239</v>
      </c>
      <c r="K27" t="n">
        <v>4.5</v>
      </c>
      <c r="L27" t="n">
        <v>0.0325</v>
      </c>
      <c r="M27" t="n">
        <v>3.9</v>
      </c>
      <c r="N27" t="n">
        <v>0.036</v>
      </c>
      <c r="O27" t="n">
        <v>27.22</v>
      </c>
    </row>
    <row r="28">
      <c r="A28" t="inlineStr">
        <is>
          <t>Canada</t>
        </is>
      </c>
      <c r="B28" t="n">
        <v>1.33</v>
      </c>
      <c r="C28" t="n">
        <v>0.1</v>
      </c>
      <c r="D28" t="n">
        <v>112.8</v>
      </c>
      <c r="E28" t="n">
        <v>1988</v>
      </c>
      <c r="F28" t="n">
        <v>0.006999999999999999</v>
      </c>
      <c r="G28" t="n">
        <v>0.039</v>
      </c>
      <c r="H28" t="n">
        <v>-4.7</v>
      </c>
      <c r="I28" t="n">
        <v>6.3</v>
      </c>
      <c r="J28" t="n">
        <v>0.047</v>
      </c>
      <c r="K28" t="n">
        <v>4.5</v>
      </c>
      <c r="L28" t="n">
        <v>0.0025</v>
      </c>
      <c r="M28" t="n">
        <v>5</v>
      </c>
      <c r="N28" t="n">
        <v>0.06</v>
      </c>
      <c r="O28" t="n">
        <v>38.44</v>
      </c>
    </row>
    <row r="29">
      <c r="A29" t="inlineStr">
        <is>
          <t>Cape Verde</t>
        </is>
      </c>
      <c r="B29" t="n">
        <v>99.94</v>
      </c>
      <c r="C29" t="n">
        <v>-11</v>
      </c>
      <c r="D29" t="n">
        <v>157</v>
      </c>
      <c r="E29" t="n">
        <v>2</v>
      </c>
      <c r="F29" t="n">
        <v>0.021</v>
      </c>
      <c r="G29" t="n">
        <v>0.171</v>
      </c>
      <c r="H29" t="n">
        <v>-7.6</v>
      </c>
      <c r="I29" t="n">
        <v>7.6</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9.199999999999999</v>
      </c>
      <c r="J30" t="n">
        <v>-0.01</v>
      </c>
      <c r="K30" t="n">
        <v/>
      </c>
      <c r="L30" t="n">
        <v/>
      </c>
      <c r="M30" t="n">
        <v>5.7</v>
      </c>
      <c r="N30" t="n">
        <v>0.052</v>
      </c>
      <c r="O30" t="n">
        <v>0.07000000000000001</v>
      </c>
    </row>
    <row r="31">
      <c r="A31" t="inlineStr">
        <is>
          <t>Central African Republic</t>
        </is>
      </c>
      <c r="B31" t="n">
        <v>551.3200000000001</v>
      </c>
      <c r="C31" t="n">
        <v>-9.6</v>
      </c>
      <c r="D31" t="n">
        <v>52.1</v>
      </c>
      <c r="E31" t="n">
        <v>3</v>
      </c>
      <c r="F31" t="n">
        <v/>
      </c>
      <c r="G31" t="n">
        <v>0.009000000000000001</v>
      </c>
      <c r="H31" t="n">
        <v>-5.7</v>
      </c>
      <c r="I31" t="n">
        <v>7.7</v>
      </c>
      <c r="J31" t="n">
        <v>0.0478</v>
      </c>
      <c r="K31" t="n">
        <v>4.5</v>
      </c>
      <c r="L31" t="n">
        <v>0.0325</v>
      </c>
      <c r="M31" t="n">
        <v>6.6</v>
      </c>
      <c r="N31" t="n">
        <v>0.043</v>
      </c>
      <c r="O31" t="n">
        <v>4.92</v>
      </c>
    </row>
    <row r="32">
      <c r="A32" t="inlineStr">
        <is>
          <t>Chad</t>
        </is>
      </c>
      <c r="B32" t="n">
        <v>551.3200000000001</v>
      </c>
      <c r="C32" t="n">
        <v>-3.9</v>
      </c>
      <c r="D32" t="n">
        <v>44.7</v>
      </c>
      <c r="E32" t="n">
        <v>12</v>
      </c>
      <c r="F32" t="n">
        <v/>
      </c>
      <c r="G32" t="n">
        <v>-0.012</v>
      </c>
      <c r="H32" t="n">
        <v>-0.2</v>
      </c>
      <c r="I32" t="n">
        <v>10</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12.8</v>
      </c>
      <c r="J33" t="n">
        <v>0.067</v>
      </c>
      <c r="K33" t="n">
        <v>11.25</v>
      </c>
      <c r="L33" t="n">
        <v>0.04</v>
      </c>
      <c r="M33" t="n">
        <v>7.9</v>
      </c>
      <c r="N33" t="n">
        <v>0.081</v>
      </c>
      <c r="O33" t="n">
        <v>19.69</v>
      </c>
    </row>
    <row r="34">
      <c r="A34" t="inlineStr">
        <is>
          <t>China</t>
        </is>
      </c>
      <c r="B34" t="n">
        <v>6.37</v>
      </c>
      <c r="C34" t="n">
        <v>1.8</v>
      </c>
      <c r="D34" t="n">
        <v>76.90000000000001</v>
      </c>
      <c r="E34" t="n">
        <v>17734</v>
      </c>
      <c r="F34" t="n">
        <v>0</v>
      </c>
      <c r="G34" t="n">
        <v>0.029</v>
      </c>
      <c r="H34" t="n">
        <v>-3.1</v>
      </c>
      <c r="I34" t="n">
        <v>1.8</v>
      </c>
      <c r="J34" t="n">
        <v>0.023</v>
      </c>
      <c r="K34" t="n">
        <v>3.65</v>
      </c>
      <c r="L34" t="n">
        <v>0.038</v>
      </c>
      <c r="M34" t="n">
        <v>5.5</v>
      </c>
      <c r="N34" t="n">
        <v>0.05</v>
      </c>
      <c r="O34" t="n">
        <v>1411.75</v>
      </c>
    </row>
    <row r="35">
      <c r="A35" t="inlineStr">
        <is>
          <t>Colombia</t>
        </is>
      </c>
      <c r="B35" t="n">
        <v>3354</v>
      </c>
      <c r="C35" t="n">
        <v>-5.7</v>
      </c>
      <c r="D35" t="n">
        <v>61.1</v>
      </c>
      <c r="E35" t="n">
        <v>314</v>
      </c>
      <c r="F35" t="n">
        <v>0.016</v>
      </c>
      <c r="G35" t="n">
        <v>0.07000000000000001</v>
      </c>
      <c r="H35" t="n">
        <v>-7.1</v>
      </c>
      <c r="I35" t="n">
        <v>13.12</v>
      </c>
      <c r="J35" t="n">
        <v>0.0526</v>
      </c>
      <c r="K35" t="n">
        <v>12.75</v>
      </c>
      <c r="L35" t="n">
        <v>0.03</v>
      </c>
      <c r="M35" t="n">
        <v>10.3</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14.7</v>
      </c>
      <c r="E37" t="n">
        <v>54</v>
      </c>
      <c r="F37" t="n">
        <v/>
      </c>
      <c r="G37" t="n">
        <v>0.066</v>
      </c>
      <c r="H37" t="n">
        <v>-1.6</v>
      </c>
      <c r="I37" t="n">
        <v>12.88</v>
      </c>
      <c r="J37" t="n">
        <v>0.0492</v>
      </c>
      <c r="K37" t="n">
        <v>7.5</v>
      </c>
      <c r="L37" t="n">
        <v>0.08500000000000001</v>
      </c>
      <c r="M37" t="n">
        <v>46.1</v>
      </c>
      <c r="N37" t="n">
        <v>0.461</v>
      </c>
      <c r="O37" t="n">
        <v>95.01000000000001</v>
      </c>
    </row>
    <row r="38">
      <c r="A38" t="inlineStr">
        <is>
          <t>Costa Rica</t>
        </is>
      </c>
      <c r="B38" t="n">
        <v>566.5700000000001</v>
      </c>
      <c r="C38" t="n">
        <v>-3.3</v>
      </c>
      <c r="D38" t="n">
        <v>78.64</v>
      </c>
      <c r="E38" t="n">
        <v>64</v>
      </c>
      <c r="F38" t="n">
        <v>-0.002</v>
      </c>
      <c r="G38" t="n">
        <v>0.033</v>
      </c>
      <c r="H38" t="n">
        <v>-5</v>
      </c>
      <c r="I38" t="n">
        <v>7.88</v>
      </c>
      <c r="J38" t="n">
        <v>0.0335</v>
      </c>
      <c r="K38" t="n">
        <v>9</v>
      </c>
      <c r="L38" t="n">
        <v>0.0075</v>
      </c>
      <c r="M38" t="n">
        <v>12</v>
      </c>
      <c r="N38" t="n">
        <v>0.153</v>
      </c>
      <c r="O38" t="n">
        <v>5.21</v>
      </c>
    </row>
    <row r="39">
      <c r="A39" t="inlineStr">
        <is>
          <t>Croatia</t>
        </is>
      </c>
      <c r="B39" t="n">
        <v>6.68</v>
      </c>
      <c r="C39" t="n">
        <v>3.1</v>
      </c>
      <c r="D39" t="n">
        <v>79.8</v>
      </c>
      <c r="E39" t="n">
        <v>69</v>
      </c>
      <c r="F39" t="n">
        <v>-0.004</v>
      </c>
      <c r="G39" t="n">
        <v>0.052</v>
      </c>
      <c r="H39" t="n">
        <v>-2.6</v>
      </c>
      <c r="I39" t="n">
        <v>13.1</v>
      </c>
      <c r="J39" t="n">
        <v>0.048</v>
      </c>
      <c r="K39" t="n">
        <v>2.5</v>
      </c>
      <c r="L39" t="n">
        <v>0.025</v>
      </c>
      <c r="M39" t="n">
        <v>6.8</v>
      </c>
      <c r="N39" t="n">
        <v>0.07400000000000001</v>
      </c>
      <c r="O39" t="n">
        <v>4.04</v>
      </c>
    </row>
    <row r="40">
      <c r="A40" t="inlineStr">
        <is>
          <t>Cuba</t>
        </is>
      </c>
      <c r="B40" t="n">
        <v>1</v>
      </c>
      <c r="C40" t="n">
        <v>0.9</v>
      </c>
      <c r="D40" t="n">
        <v>117</v>
      </c>
      <c r="E40" t="n">
        <v>107</v>
      </c>
      <c r="F40" t="n">
        <v/>
      </c>
      <c r="G40" t="n">
        <v>0.017</v>
      </c>
      <c r="H40" t="n">
        <v>-11.7</v>
      </c>
      <c r="I40" t="n">
        <v>40.26</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7.9</v>
      </c>
      <c r="J41" t="n">
        <v>0.0434</v>
      </c>
      <c r="K41" t="n">
        <v>2.5</v>
      </c>
      <c r="L41" t="n">
        <v>0</v>
      </c>
      <c r="M41" t="n">
        <v>7.7</v>
      </c>
      <c r="N41" t="n">
        <v>0.066</v>
      </c>
      <c r="O41" t="n">
        <v>0.9</v>
      </c>
    </row>
    <row r="42">
      <c r="A42" t="inlineStr">
        <is>
          <t>Czech Republic</t>
        </is>
      </c>
      <c r="B42" t="n">
        <v>21.77</v>
      </c>
      <c r="C42" t="n">
        <v>-0.8</v>
      </c>
      <c r="D42" t="n">
        <v>41.9</v>
      </c>
      <c r="E42" t="n">
        <v>282</v>
      </c>
      <c r="F42" t="n">
        <v>-0.003</v>
      </c>
      <c r="G42" t="n">
        <v>0.004</v>
      </c>
      <c r="H42" t="n">
        <v>-5.1</v>
      </c>
      <c r="I42" t="n">
        <v>15.8</v>
      </c>
      <c r="J42" t="n">
        <v>0.06</v>
      </c>
      <c r="K42" t="n">
        <v>7</v>
      </c>
      <c r="L42" t="n">
        <v>0.0375</v>
      </c>
      <c r="M42" t="n">
        <v>3.7</v>
      </c>
      <c r="N42" t="n">
        <v>0.033</v>
      </c>
      <c r="O42" t="n">
        <v>10.5</v>
      </c>
    </row>
    <row r="43">
      <c r="A43" t="inlineStr">
        <is>
          <t>Denmark</t>
        </is>
      </c>
      <c r="B43" t="n">
        <v>6.31</v>
      </c>
      <c r="C43" t="n">
        <v>8.800000000000001</v>
      </c>
      <c r="D43" t="n">
        <v>36.7</v>
      </c>
      <c r="E43" t="n">
        <v>398</v>
      </c>
      <c r="F43" t="n">
        <v>0.003</v>
      </c>
      <c r="G43" t="n">
        <v>0.032</v>
      </c>
      <c r="H43" t="n">
        <v>3.6</v>
      </c>
      <c r="I43" t="n">
        <v>8.699999999999999</v>
      </c>
      <c r="J43" t="n">
        <v>0.034</v>
      </c>
      <c r="K43" t="n">
        <v>1.75</v>
      </c>
      <c r="L43" t="n">
        <v>-0.006</v>
      </c>
      <c r="M43" t="n">
        <v>2.4</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-0.0118</v>
      </c>
      <c r="G45" t="n">
        <v>0.05400000000000001</v>
      </c>
      <c r="H45" t="n">
        <v>-2.8</v>
      </c>
      <c r="I45" t="n">
        <v>7.83</v>
      </c>
      <c r="J45" t="n">
        <v>0.0823</v>
      </c>
      <c r="K45" t="n">
        <v>8.5</v>
      </c>
      <c r="L45" t="n">
        <v>0.03</v>
      </c>
      <c r="M45" t="n">
        <v>4.8</v>
      </c>
      <c r="N45" t="n">
        <v>0.076</v>
      </c>
      <c r="O45" t="n">
        <v>11.03</v>
      </c>
    </row>
    <row r="46">
      <c r="A46" t="inlineStr">
        <is>
          <t>East Timor</t>
        </is>
      </c>
      <c r="B46" t="n">
        <v/>
      </c>
      <c r="C46" t="n">
        <v>1.8</v>
      </c>
      <c r="D46" t="n">
        <v/>
      </c>
      <c r="E46" t="n">
        <v>2</v>
      </c>
      <c r="F46" t="n">
        <v/>
      </c>
      <c r="G46" t="n">
        <v>0.029</v>
      </c>
      <c r="H46" t="n">
        <v>-4</v>
      </c>
      <c r="I46" t="n">
        <v>6.7</v>
      </c>
      <c r="J46" t="n">
        <v>0.053</v>
      </c>
      <c r="K46" t="n">
        <v/>
      </c>
      <c r="L46" t="n">
        <v/>
      </c>
      <c r="M46" t="n">
        <v>5.1</v>
      </c>
      <c r="N46" t="n">
        <v>0.0506</v>
      </c>
      <c r="O46" t="n">
        <v>1.34</v>
      </c>
    </row>
    <row r="47">
      <c r="A47" t="inlineStr">
        <is>
          <t>Ecuador</t>
        </is>
      </c>
      <c r="B47" t="n">
        <v>98.56</v>
      </c>
      <c r="C47" t="n">
        <v>2.9</v>
      </c>
      <c r="D47" t="n">
        <v>59</v>
      </c>
      <c r="E47" t="n">
        <v>106</v>
      </c>
      <c r="F47" t="n">
        <v>0.0167</v>
      </c>
      <c r="G47" t="n">
        <v>0.032</v>
      </c>
      <c r="H47" t="n">
        <v>-8.9</v>
      </c>
      <c r="I47" t="n">
        <v>3.74</v>
      </c>
      <c r="J47" t="n">
        <v>0.0184</v>
      </c>
      <c r="K47" t="n">
        <v>8.539999999999999</v>
      </c>
      <c r="L47" t="n">
        <v>0.09329999999999999</v>
      </c>
      <c r="M47" t="n">
        <v>4.7</v>
      </c>
      <c r="N47" t="n">
        <v>0.066</v>
      </c>
      <c r="O47" t="n">
        <v>17.73</v>
      </c>
    </row>
    <row r="48">
      <c r="A48" t="inlineStr">
        <is>
          <t>Egypt</t>
        </is>
      </c>
      <c r="B48" t="n">
        <v>15.64</v>
      </c>
      <c r="C48" t="n">
        <v>-4.6</v>
      </c>
      <c r="D48" t="n">
        <v>87.2</v>
      </c>
      <c r="E48" t="n">
        <v>404</v>
      </c>
      <c r="F48" t="n">
        <v>0.098</v>
      </c>
      <c r="G48" t="n">
        <v>0.032</v>
      </c>
      <c r="H48" t="n">
        <v>-6.1</v>
      </c>
      <c r="I48" t="n">
        <v>21.3</v>
      </c>
      <c r="J48" t="n">
        <v>0.05599999999999999</v>
      </c>
      <c r="K48" t="n">
        <v>16.25</v>
      </c>
      <c r="L48" t="n">
        <v>0.0825</v>
      </c>
      <c r="M48" t="n">
        <v>7.4</v>
      </c>
      <c r="N48" t="n">
        <v>0.075</v>
      </c>
      <c r="O48" t="n">
        <v>104.26</v>
      </c>
    </row>
    <row r="49">
      <c r="A49" t="inlineStr">
        <is>
          <t>El Salvador</t>
        </is>
      </c>
      <c r="B49" t="n">
        <v>98.56</v>
      </c>
      <c r="C49" t="n">
        <v>-5.1</v>
      </c>
      <c r="D49" t="n">
        <v>84.75</v>
      </c>
      <c r="E49" t="n">
        <v>29</v>
      </c>
      <c r="F49" t="n">
        <v>0.005</v>
      </c>
      <c r="G49" t="n">
        <v>0.021</v>
      </c>
      <c r="H49" t="n">
        <v>-9.199999999999999</v>
      </c>
      <c r="I49" t="n">
        <v>7.34</v>
      </c>
      <c r="J49" t="n">
        <v>0.062</v>
      </c>
      <c r="K49" t="n">
        <v>4.73</v>
      </c>
      <c r="L49" t="n">
        <v>0.0401</v>
      </c>
      <c r="M49" t="n">
        <v>7.2</v>
      </c>
      <c r="N49" t="n">
        <v>0.06900000000000001</v>
      </c>
      <c r="O49" t="n">
        <v>6.52</v>
      </c>
    </row>
    <row r="50">
      <c r="A50" t="inlineStr">
        <is>
          <t>Equatorial Guinea</t>
        </is>
      </c>
      <c r="B50" t="n">
        <v>551.3200000000001</v>
      </c>
      <c r="C50" t="n">
        <v>-3.4</v>
      </c>
      <c r="D50" t="n">
        <v>27.1</v>
      </c>
      <c r="E50" t="n">
        <v>12</v>
      </c>
      <c r="F50" t="n">
        <v/>
      </c>
      <c r="G50" t="n">
        <v>-0.032</v>
      </c>
      <c r="H50" t="n">
        <v>-1</v>
      </c>
      <c r="I50" t="n">
        <v>2.9</v>
      </c>
      <c r="J50" t="n">
        <v>0.03</v>
      </c>
      <c r="K50" t="n">
        <v>4.5</v>
      </c>
      <c r="L50" t="n">
        <v>0.0325</v>
      </c>
      <c r="M50" t="n">
        <v>9.199999999999999</v>
      </c>
      <c r="N50" t="n">
        <v>0.092</v>
      </c>
      <c r="O50" t="n">
        <v>1.45</v>
      </c>
    </row>
    <row r="51">
      <c r="A51" t="inlineStr">
        <is>
          <t>Eritrea</t>
        </is>
      </c>
      <c r="B51" t="n">
        <v>15</v>
      </c>
      <c r="C51" t="n">
        <v>13.5</v>
      </c>
      <c r="D51" t="n">
        <v>164.7</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37</v>
      </c>
      <c r="F52" t="n">
        <v>-0.018</v>
      </c>
      <c r="G52" t="n">
        <v>-0.024</v>
      </c>
      <c r="H52" t="n">
        <v>-2.4</v>
      </c>
      <c r="I52" t="n">
        <v>17.6</v>
      </c>
      <c r="J52" t="n">
        <v>0.08800000000000001</v>
      </c>
      <c r="K52" t="n">
        <v>2.5</v>
      </c>
      <c r="L52" t="n">
        <v>0</v>
      </c>
      <c r="M52" t="n">
        <v>5.6</v>
      </c>
      <c r="N52" t="n">
        <v>0.057</v>
      </c>
      <c r="O52" t="n">
        <v>1.33</v>
      </c>
    </row>
    <row r="53">
      <c r="A53" t="inlineStr">
        <is>
          <t>Ethiopia</t>
        </is>
      </c>
      <c r="B53" t="n">
        <v>31.69</v>
      </c>
      <c r="C53" t="n">
        <v>-3.2</v>
      </c>
      <c r="D53" t="n">
        <v>57</v>
      </c>
      <c r="E53" t="n">
        <v>111</v>
      </c>
      <c r="F53" t="n">
        <v/>
      </c>
      <c r="G53" t="n">
        <v>0.08699999999999999</v>
      </c>
      <c r="H53" t="n">
        <v>-2.7</v>
      </c>
      <c r="I53" t="n">
        <v>33.8</v>
      </c>
      <c r="J53" t="n">
        <v>0.33</v>
      </c>
      <c r="K53" t="n">
        <v>7</v>
      </c>
      <c r="L53" t="n">
        <v>0.07000000000000001</v>
      </c>
      <c r="M53" t="n">
        <v>19.1</v>
      </c>
      <c r="N53" t="n">
        <v>0.191</v>
      </c>
      <c r="O53" t="n">
        <v>117.88</v>
      </c>
    </row>
    <row r="54">
      <c r="A54" t="inlineStr">
        <is>
          <t>Euro Area</t>
        </is>
      </c>
      <c r="B54" t="n">
        <v>1.11</v>
      </c>
      <c r="C54" t="n">
        <v>2.5</v>
      </c>
      <c r="D54" t="n">
        <v>95.59999999999999</v>
      </c>
      <c r="E54" t="n">
        <v>14563</v>
      </c>
      <c r="F54" t="n">
        <v>0.001</v>
      </c>
      <c r="G54" t="n">
        <v>0.019</v>
      </c>
      <c r="H54" t="n">
        <v>-5.1</v>
      </c>
      <c r="I54" t="n">
        <v>8.5</v>
      </c>
      <c r="J54" t="n">
        <v>0.049</v>
      </c>
      <c r="K54" t="n">
        <v>2.5</v>
      </c>
      <c r="L54" t="n">
        <v>0</v>
      </c>
      <c r="M54" t="n">
        <v>6.6</v>
      </c>
      <c r="N54" t="n">
        <v>0.073</v>
      </c>
      <c r="O54" t="n">
        <v>342.56</v>
      </c>
    </row>
    <row r="55">
      <c r="A55" t="inlineStr">
        <is>
          <t>Fiji</t>
        </is>
      </c>
      <c r="B55" t="n">
        <v>2.17</v>
      </c>
      <c r="C55" t="n">
        <v>-13.2</v>
      </c>
      <c r="D55" t="n">
        <v>79.8</v>
      </c>
      <c r="E55" t="n">
        <v>4</v>
      </c>
      <c r="F55" t="n">
        <v/>
      </c>
      <c r="G55" t="n">
        <v>-0.04099999999999999</v>
      </c>
      <c r="H55" t="n">
        <v>-11.5</v>
      </c>
      <c r="I55" t="n">
        <v>3.6</v>
      </c>
      <c r="J55" t="n">
        <v>0.008</v>
      </c>
      <c r="K55" t="n">
        <v>0.25</v>
      </c>
      <c r="L55" t="n">
        <v>0.0025</v>
      </c>
      <c r="M55" t="n">
        <v>5.2</v>
      </c>
      <c r="N55" t="n">
        <v>0.048</v>
      </c>
      <c r="O55" t="n">
        <v>0.9</v>
      </c>
    </row>
    <row r="56">
      <c r="A56" t="inlineStr">
        <is>
          <t>Finland</t>
        </is>
      </c>
      <c r="B56" t="n">
        <v>1.11</v>
      </c>
      <c r="C56" t="n">
        <v>0.9</v>
      </c>
      <c r="D56" t="n">
        <v>72.40000000000001</v>
      </c>
      <c r="E56" t="n">
        <v>297</v>
      </c>
      <c r="F56" t="n">
        <v>-0.003</v>
      </c>
      <c r="G56" t="n">
        <v>0.01</v>
      </c>
      <c r="H56" t="n">
        <v>-2.7</v>
      </c>
      <c r="I56" t="n">
        <v>9.1</v>
      </c>
      <c r="J56" t="n">
        <v>0.03700000000000001</v>
      </c>
      <c r="K56" t="n">
        <v>2.5</v>
      </c>
      <c r="L56" t="n">
        <v>0</v>
      </c>
      <c r="M56" t="n">
        <v>6.7</v>
      </c>
      <c r="N56" t="n">
        <v>0.06</v>
      </c>
      <c r="O56" t="n">
        <v>5.55</v>
      </c>
    </row>
    <row r="57">
      <c r="A57" t="inlineStr">
        <is>
          <t>France</t>
        </is>
      </c>
      <c r="B57" t="n">
        <v>1.11</v>
      </c>
      <c r="C57" t="n">
        <v>0.4</v>
      </c>
      <c r="D57" t="n">
        <v>112.9</v>
      </c>
      <c r="E57" t="n">
        <v>2958</v>
      </c>
      <c r="F57" t="n">
        <v>0.001</v>
      </c>
      <c r="G57" t="n">
        <v>0.005</v>
      </c>
      <c r="H57" t="n">
        <v>-6.5</v>
      </c>
      <c r="I57" t="n">
        <v>6</v>
      </c>
      <c r="J57" t="n">
        <v>0.028</v>
      </c>
      <c r="K57" t="n">
        <v>2.5</v>
      </c>
      <c r="L57" t="n">
        <v>0</v>
      </c>
      <c r="M57" t="n">
        <v>7.3</v>
      </c>
      <c r="N57" t="n">
        <v>0.081</v>
      </c>
      <c r="O57" t="n">
        <v>67.63</v>
      </c>
    </row>
    <row r="58">
      <c r="A58" t="inlineStr">
        <is>
          <t>Gabon</t>
        </is>
      </c>
      <c r="B58" t="n">
        <v>551.3200000000001</v>
      </c>
      <c r="C58" t="n">
        <v>-5.7</v>
      </c>
      <c r="D58" t="n">
        <v>54</v>
      </c>
      <c r="E58" t="n">
        <v>20</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13.74</v>
      </c>
      <c r="J59" t="n">
        <v>0.07339999999999999</v>
      </c>
      <c r="K59" t="n">
        <v>13</v>
      </c>
      <c r="L59" t="n">
        <v>0.1</v>
      </c>
      <c r="M59" t="n">
        <v>11.2</v>
      </c>
      <c r="N59" t="n">
        <v>0.096</v>
      </c>
      <c r="O59" t="n">
        <v>2.35</v>
      </c>
    </row>
    <row r="60">
      <c r="A60" t="inlineStr">
        <is>
          <t>Georgia</t>
        </is>
      </c>
      <c r="B60" t="n">
        <v>2.89</v>
      </c>
      <c r="C60" t="n">
        <v>-9.800000000000001</v>
      </c>
      <c r="D60" t="n">
        <v>57.1</v>
      </c>
      <c r="E60" t="n">
        <v>19</v>
      </c>
      <c r="F60" t="n">
        <v/>
      </c>
      <c r="G60" t="n">
        <v>0.098</v>
      </c>
      <c r="H60" t="n">
        <v>-6</v>
      </c>
      <c r="I60" t="n">
        <v>9.800000000000001</v>
      </c>
      <c r="J60" t="n">
        <v>0.125</v>
      </c>
      <c r="K60" t="n">
        <v>11</v>
      </c>
      <c r="L60" t="n">
        <v>0.105</v>
      </c>
      <c r="M60" t="n">
        <v>15.6</v>
      </c>
      <c r="N60" t="n">
        <v>0.185</v>
      </c>
      <c r="O60" t="n">
        <v>3.69</v>
      </c>
    </row>
    <row r="61" ht="16" customHeight="1" thickBot="1">
      <c r="A61" t="inlineStr">
        <is>
          <t>Germany</t>
        </is>
      </c>
      <c r="B61" t="n">
        <v>1.11</v>
      </c>
      <c r="C61" t="n">
        <v>7.4</v>
      </c>
      <c r="D61" t="n">
        <v>69.3</v>
      </c>
      <c r="E61" t="n">
        <v>4260</v>
      </c>
      <c r="F61" t="n">
        <v>-0.002</v>
      </c>
      <c r="G61" t="n">
        <v>0.011</v>
      </c>
      <c r="H61" t="n">
        <v>-2.6</v>
      </c>
      <c r="I61" t="n">
        <v>8.6</v>
      </c>
      <c r="J61" t="n">
        <v>0.052</v>
      </c>
      <c r="K61" t="n">
        <v>2.5</v>
      </c>
      <c r="L61" t="n">
        <v>0</v>
      </c>
      <c r="M61" t="n">
        <v>5.5</v>
      </c>
      <c r="N61" t="n">
        <v>0.053</v>
      </c>
      <c r="O61" t="n">
        <v>83.16</v>
      </c>
    </row>
    <row r="62">
      <c r="A62" t="inlineStr">
        <is>
          <t>Ghana</t>
        </is>
      </c>
      <c r="B62" t="n">
        <v>5.88</v>
      </c>
      <c r="C62" t="n">
        <v>-2.1</v>
      </c>
      <c r="D62" t="n">
        <v>81.8</v>
      </c>
      <c r="E62" t="n">
        <v>78</v>
      </c>
      <c r="F62" t="n">
        <v>0.006999999999999999</v>
      </c>
      <c r="G62" t="n">
        <v>0.029</v>
      </c>
      <c r="H62" t="n">
        <v>-12.1</v>
      </c>
      <c r="I62" t="n">
        <v>54.1</v>
      </c>
      <c r="J62" t="n">
        <v>0.122</v>
      </c>
      <c r="K62" t="n">
        <v>28</v>
      </c>
      <c r="L62" t="n">
        <v>0.145</v>
      </c>
      <c r="M62" t="n">
        <v>4.7</v>
      </c>
      <c r="N62" t="n">
        <v>0.045</v>
      </c>
      <c r="O62" t="n">
        <v>30.96</v>
      </c>
    </row>
    <row r="63" ht="16" customHeight="1" thickBot="1">
      <c r="A63" t="inlineStr">
        <is>
          <t>Greece</t>
        </is>
      </c>
      <c r="B63" t="n">
        <v>1.11</v>
      </c>
      <c r="C63" t="n">
        <v>-5.9</v>
      </c>
      <c r="D63" t="n">
        <v>193.3</v>
      </c>
      <c r="E63" t="n">
        <v>215</v>
      </c>
      <c r="F63" t="n">
        <v>-0.005</v>
      </c>
      <c r="G63" t="n">
        <v>0.028</v>
      </c>
      <c r="H63" t="n">
        <v>-7.4</v>
      </c>
      <c r="I63" t="n">
        <v>7.2</v>
      </c>
      <c r="J63" t="n">
        <v>0.048</v>
      </c>
      <c r="K63" t="n">
        <v>2.5</v>
      </c>
      <c r="L63" t="n">
        <v>0</v>
      </c>
      <c r="M63" t="n">
        <v>11.6</v>
      </c>
      <c r="N63" t="n">
        <v>0.133</v>
      </c>
      <c r="O63" t="n">
        <v>10.68</v>
      </c>
    </row>
    <row r="64">
      <c r="A64" t="inlineStr">
        <is>
          <t>Guatemala</t>
        </is>
      </c>
      <c r="B64" t="n">
        <v>7.7</v>
      </c>
      <c r="C64" t="n">
        <v>2.5</v>
      </c>
      <c r="D64" t="n">
        <v>29.98</v>
      </c>
      <c r="E64" t="n">
        <v>86</v>
      </c>
      <c r="F64" t="n">
        <v/>
      </c>
      <c r="G64" t="n">
        <v>0.038</v>
      </c>
      <c r="H64" t="n">
        <v>-4.9</v>
      </c>
      <c r="I64" t="n">
        <v>9.24</v>
      </c>
      <c r="J64" t="n">
        <v>0.0289</v>
      </c>
      <c r="K64" t="n">
        <v>3.75</v>
      </c>
      <c r="L64" t="n">
        <v>0.0175</v>
      </c>
      <c r="M64" t="n">
        <v>2.2</v>
      </c>
      <c r="N64" t="n">
        <v>0.02</v>
      </c>
      <c r="O64" t="n">
        <v>18.38</v>
      </c>
    </row>
    <row r="65" ht="16" customHeight="1" thickBot="1">
      <c r="A65" t="inlineStr">
        <is>
          <t>Guinea</t>
        </is>
      </c>
      <c r="B65" t="n">
        <v>9537</v>
      </c>
      <c r="C65" t="n">
        <v>29.3</v>
      </c>
      <c r="D65" t="n">
        <v>43.3</v>
      </c>
      <c r="E65" t="n">
        <v>16</v>
      </c>
      <c r="F65" t="n">
        <v/>
      </c>
      <c r="G65" t="n">
        <v>0.049</v>
      </c>
      <c r="H65" t="n">
        <v>-2.3</v>
      </c>
      <c r="I65" t="n">
        <v>8.6</v>
      </c>
      <c r="J65" t="n">
        <v>0.127</v>
      </c>
      <c r="K65" t="n">
        <v>11.5</v>
      </c>
      <c r="L65" t="n">
        <v>0.115</v>
      </c>
      <c r="M65" t="n">
        <v>6.3</v>
      </c>
      <c r="N65" t="n">
        <v>0.044</v>
      </c>
      <c r="O65" t="n">
        <v>12.91</v>
      </c>
    </row>
    <row r="66" ht="16" customHeight="1" thickBot="1">
      <c r="A66" t="inlineStr">
        <is>
          <t>Guinea Bissau</t>
        </is>
      </c>
      <c r="B66" t="n">
        <v/>
      </c>
      <c r="C66" t="n">
        <v>-6.9</v>
      </c>
      <c r="D66" t="n">
        <v>41</v>
      </c>
      <c r="E66" t="n">
        <v>2</v>
      </c>
      <c r="F66" t="n">
        <v/>
      </c>
      <c r="G66" t="n">
        <v>0.048</v>
      </c>
      <c r="H66" t="n">
        <v>-5.6</v>
      </c>
      <c r="I66" t="n">
        <v>9.4</v>
      </c>
      <c r="J66" t="n">
        <v>0.043</v>
      </c>
      <c r="K66" t="n">
        <v>4.75</v>
      </c>
      <c r="L66" t="n">
        <v>0.04</v>
      </c>
      <c r="M66" t="n">
        <v>6.8</v>
      </c>
      <c r="N66" t="n">
        <v>0.032</v>
      </c>
      <c r="O66" t="n">
        <v>2.02</v>
      </c>
    </row>
    <row r="67">
      <c r="A67" t="inlineStr">
        <is>
          <t>Guyana</t>
        </is>
      </c>
      <c r="B67" t="n">
        <v>209.34</v>
      </c>
      <c r="C67" t="n">
        <v>-25.5</v>
      </c>
      <c r="D67" t="n">
        <v>43.7</v>
      </c>
      <c r="E67" t="n">
        <v>8</v>
      </c>
      <c r="F67" t="n">
        <v/>
      </c>
      <c r="G67" t="n">
        <v>0.201</v>
      </c>
      <c r="H67" t="n">
        <v>-5.3</v>
      </c>
      <c r="I67" t="n">
        <v>6.93</v>
      </c>
      <c r="J67" t="n">
        <v>0.0599</v>
      </c>
      <c r="K67" t="n">
        <v>5</v>
      </c>
      <c r="L67" t="n">
        <v>0.05</v>
      </c>
      <c r="M67" t="n">
        <v>14.5</v>
      </c>
      <c r="N67" t="n">
        <v>0.158</v>
      </c>
      <c r="O67" t="n">
        <v>0.79</v>
      </c>
    </row>
    <row r="68">
      <c r="A68" t="inlineStr">
        <is>
          <t>Haiti</t>
        </is>
      </c>
      <c r="B68" t="n">
        <v>88.70999999999999</v>
      </c>
      <c r="C68" t="n">
        <v>0.5</v>
      </c>
      <c r="D68" t="n">
        <v>23.1</v>
      </c>
      <c r="E68" t="n">
        <v>21</v>
      </c>
      <c r="F68" t="n">
        <v/>
      </c>
      <c r="G68" t="n">
        <v>0.012</v>
      </c>
      <c r="H68" t="n">
        <v>-2.5</v>
      </c>
      <c r="I68" t="n">
        <v>47.2</v>
      </c>
      <c r="J68" t="n">
        <v>0.1091</v>
      </c>
      <c r="K68" t="n">
        <v>17</v>
      </c>
      <c r="L68" t="n">
        <v>0.17</v>
      </c>
      <c r="M68" t="n">
        <v>15.7</v>
      </c>
      <c r="N68" t="n">
        <v>0.145</v>
      </c>
      <c r="O68" t="n">
        <v>11.54</v>
      </c>
    </row>
    <row r="69">
      <c r="A69" t="inlineStr">
        <is>
          <t>Honduras</t>
        </is>
      </c>
      <c r="B69" t="n">
        <v>24.6</v>
      </c>
      <c r="C69" t="n">
        <v>-4.3</v>
      </c>
      <c r="D69" t="n">
        <v>51.46</v>
      </c>
      <c r="E69" t="n">
        <v>28</v>
      </c>
      <c r="F69" t="n">
        <v>0.009000000000000001</v>
      </c>
      <c r="G69" t="n">
        <v>0.026</v>
      </c>
      <c r="H69" t="n">
        <v>-6.9</v>
      </c>
      <c r="I69" t="n">
        <v>9.800000000000001</v>
      </c>
      <c r="J69" t="n">
        <v>0.0495</v>
      </c>
      <c r="K69" t="n">
        <v>3</v>
      </c>
      <c r="L69" t="n">
        <v>0.03</v>
      </c>
      <c r="M69" t="n">
        <v>8.6</v>
      </c>
      <c r="N69" t="n">
        <v>0.109</v>
      </c>
      <c r="O69" t="n">
        <v>9.43</v>
      </c>
    </row>
    <row r="70" ht="16" customHeight="1" thickBot="1">
      <c r="A70" t="inlineStr">
        <is>
          <t>Hong Kong</t>
        </is>
      </c>
      <c r="B70" t="n">
        <v>7.83</v>
      </c>
      <c r="C70" t="n">
        <v>11.2</v>
      </c>
      <c r="D70" t="n">
        <v>38.4</v>
      </c>
      <c r="E70" t="n">
        <v>368</v>
      </c>
      <c r="F70" t="n">
        <v>0</v>
      </c>
      <c r="G70" t="n">
        <v>-0.042</v>
      </c>
      <c r="H70" t="n">
        <v>-3.6</v>
      </c>
      <c r="I70" t="n">
        <v>2</v>
      </c>
      <c r="J70" t="n">
        <v>0.018</v>
      </c>
      <c r="K70" t="n">
        <v>4.75</v>
      </c>
      <c r="L70" t="n">
        <v>0.0086</v>
      </c>
      <c r="M70" t="n">
        <v>3.5</v>
      </c>
      <c r="N70" t="n">
        <v>0.04099999999999999</v>
      </c>
      <c r="O70" t="n">
        <v>7.41</v>
      </c>
    </row>
    <row r="71">
      <c r="A71" t="inlineStr">
        <is>
          <t>Hungary</t>
        </is>
      </c>
      <c r="B71" t="n">
        <v>302.98</v>
      </c>
      <c r="C71" t="n">
        <v>-2.9</v>
      </c>
      <c r="D71" t="n">
        <v>73.5</v>
      </c>
      <c r="E71" t="n">
        <v>182</v>
      </c>
      <c r="F71" t="n">
        <v>-0.004</v>
      </c>
      <c r="G71" t="n">
        <v>0.04</v>
      </c>
      <c r="H71" t="n">
        <v>-6.1</v>
      </c>
      <c r="I71" t="n">
        <v>24.5</v>
      </c>
      <c r="J71" t="n">
        <v>0.07400000000000001</v>
      </c>
      <c r="K71" t="n">
        <v>13</v>
      </c>
      <c r="L71" t="n">
        <v>0.024</v>
      </c>
      <c r="M71" t="n">
        <v>3.9</v>
      </c>
      <c r="N71" t="n">
        <v>0.038</v>
      </c>
      <c r="O71" t="n">
        <v>9.73</v>
      </c>
    </row>
    <row r="72" ht="16" customHeight="1" thickBot="1">
      <c r="A72" t="inlineStr">
        <is>
          <t>Iceland</t>
        </is>
      </c>
      <c r="B72" t="n">
        <v>124.24</v>
      </c>
      <c r="C72" t="n">
        <v>-2.7</v>
      </c>
      <c r="D72" t="n">
        <v>75</v>
      </c>
      <c r="E72" t="n">
        <v>26</v>
      </c>
      <c r="F72" t="n">
        <v>-0.005</v>
      </c>
      <c r="G72" t="n">
        <v>0.073</v>
      </c>
      <c r="H72" t="n">
        <v>-8.9</v>
      </c>
      <c r="I72" t="n">
        <v>9.9</v>
      </c>
      <c r="J72" t="n">
        <v>0.051</v>
      </c>
      <c r="K72" t="n">
        <v>6</v>
      </c>
      <c r="L72" t="n">
        <v>0.02</v>
      </c>
      <c r="M72" t="n">
        <v>3.3</v>
      </c>
      <c r="N72" t="n">
        <v>0.042</v>
      </c>
      <c r="O72" t="n">
        <v>0.37</v>
      </c>
    </row>
    <row r="73" ht="16" customHeight="1" thickBot="1">
      <c r="A73" t="inlineStr">
        <is>
          <t>India</t>
        </is>
      </c>
      <c r="B73" t="n">
        <v>71.01000000000001</v>
      </c>
      <c r="C73" t="n">
        <v>-1.2</v>
      </c>
      <c r="D73" t="n">
        <v>89.26000000000001</v>
      </c>
      <c r="E73" t="n">
        <v>3176</v>
      </c>
      <c r="F73" t="n">
        <v>0.008</v>
      </c>
      <c r="G73" t="n">
        <v>0.063</v>
      </c>
      <c r="H73" t="n">
        <v>-6.9</v>
      </c>
      <c r="I73" t="n">
        <v>5.72</v>
      </c>
      <c r="J73" t="n">
        <v>0.0491</v>
      </c>
      <c r="K73" t="n">
        <v>6.25</v>
      </c>
      <c r="L73" t="n">
        <v>0.04</v>
      </c>
      <c r="M73" t="n">
        <v>7.1</v>
      </c>
      <c r="N73" t="n">
        <v>0.06900000000000001</v>
      </c>
      <c r="O73" t="n">
        <v>1380</v>
      </c>
    </row>
    <row r="74">
      <c r="A74" t="inlineStr">
        <is>
          <t>Indonesia</t>
        </is>
      </c>
      <c r="B74" t="n">
        <v>14462</v>
      </c>
      <c r="C74" t="n">
        <v>0.3</v>
      </c>
      <c r="D74" t="n">
        <v>40.9</v>
      </c>
      <c r="E74" t="n">
        <v>1186</v>
      </c>
      <c r="F74" t="n">
        <v>0.0181</v>
      </c>
      <c r="G74" t="n">
        <v>0.0572</v>
      </c>
      <c r="H74" t="n">
        <v>-2.38</v>
      </c>
      <c r="I74" t="n">
        <v>5.28</v>
      </c>
      <c r="J74" t="n">
        <v>0.0175</v>
      </c>
      <c r="K74" t="n">
        <v>5.75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36.7</v>
      </c>
      <c r="E76" t="n">
        <v>208</v>
      </c>
      <c r="F76" t="n">
        <v/>
      </c>
      <c r="G76" t="n">
        <v>0.059</v>
      </c>
      <c r="H76" t="n">
        <v>-0.8</v>
      </c>
      <c r="I76" t="n">
        <v>4.2</v>
      </c>
      <c r="J76" t="n">
        <v>0.068</v>
      </c>
      <c r="K76" t="n">
        <v>4</v>
      </c>
      <c r="L76" t="n">
        <v>0.04</v>
      </c>
      <c r="M76" t="n">
        <v>14.2</v>
      </c>
      <c r="N76" t="n">
        <v>0.1374</v>
      </c>
      <c r="O76" t="n">
        <v>41.2</v>
      </c>
    </row>
    <row r="77" ht="16" customHeight="1" thickBot="1">
      <c r="A77" t="inlineStr">
        <is>
          <t>Ireland</t>
        </is>
      </c>
      <c r="B77" t="n">
        <v>1.11</v>
      </c>
      <c r="C77" t="n">
        <v>13.9</v>
      </c>
      <c r="D77" t="n">
        <v>56</v>
      </c>
      <c r="E77" t="n">
        <v>504</v>
      </c>
      <c r="F77" t="n">
        <v>0.035</v>
      </c>
      <c r="G77" t="n">
        <v>0.135</v>
      </c>
      <c r="H77" t="n">
        <v>-1.7</v>
      </c>
      <c r="I77" t="n">
        <v>8.199999999999999</v>
      </c>
      <c r="J77" t="n">
        <v>0.053</v>
      </c>
      <c r="K77" t="n">
        <v>2.5</v>
      </c>
      <c r="L77" t="n">
        <v>0</v>
      </c>
      <c r="M77" t="n">
        <v>4.4</v>
      </c>
      <c r="N77" t="n">
        <v>0.052</v>
      </c>
      <c r="O77" t="n">
        <v>5.01</v>
      </c>
    </row>
    <row r="78">
      <c r="A78" t="inlineStr">
        <is>
          <t>Israel</t>
        </is>
      </c>
      <c r="B78" t="n">
        <v>3.28</v>
      </c>
      <c r="C78" t="n">
        <v>4.7</v>
      </c>
      <c r="D78" t="n">
        <v>60.9</v>
      </c>
      <c r="E78" t="n">
        <v>489</v>
      </c>
      <c r="F78" t="n">
        <v>0.005</v>
      </c>
      <c r="G78" t="n">
        <v>0.0583</v>
      </c>
      <c r="H78" t="n">
        <v>0.6</v>
      </c>
      <c r="I78" t="n">
        <v>5.3</v>
      </c>
      <c r="J78" t="n">
        <v>0.024</v>
      </c>
      <c r="K78" t="n">
        <v>3.75</v>
      </c>
      <c r="L78" t="n">
        <v>0.001</v>
      </c>
      <c r="M78" t="n">
        <v>4.3</v>
      </c>
      <c r="N78" t="n">
        <v>0.05</v>
      </c>
      <c r="O78" t="n">
        <v>9.449999999999999</v>
      </c>
    </row>
    <row r="79">
      <c r="A79" t="inlineStr">
        <is>
          <t>Italy</t>
        </is>
      </c>
      <c r="B79" t="n">
        <v>1.11</v>
      </c>
      <c r="C79" t="n">
        <v>2.5</v>
      </c>
      <c r="D79" t="n">
        <v>150.8</v>
      </c>
      <c r="E79" t="n">
        <v>2108</v>
      </c>
      <c r="F79" t="n">
        <v>-0.001</v>
      </c>
      <c r="G79" t="n">
        <v>0.017</v>
      </c>
      <c r="H79" t="n">
        <v>-7.2</v>
      </c>
      <c r="I79" t="n">
        <v>10.1</v>
      </c>
      <c r="J79" t="n">
        <v>0.03700000000000001</v>
      </c>
      <c r="K79" t="n">
        <v>2.5</v>
      </c>
      <c r="L79" t="n">
        <v>0</v>
      </c>
      <c r="M79" t="n">
        <v>7.8</v>
      </c>
      <c r="N79" t="n">
        <v>0.094</v>
      </c>
      <c r="O79" t="n">
        <v>59.24</v>
      </c>
    </row>
    <row r="80" ht="16" customHeight="1" thickBot="1">
      <c r="A80" t="inlineStr">
        <is>
          <t>Ivory Coast</t>
        </is>
      </c>
      <c r="B80" t="n">
        <v>588.96</v>
      </c>
      <c r="C80" t="n">
        <v>-3.8</v>
      </c>
      <c r="D80" t="n">
        <v>51.4</v>
      </c>
      <c r="E80" t="n">
        <v>70</v>
      </c>
      <c r="F80" t="n">
        <v/>
      </c>
      <c r="G80" t="n">
        <v>0.064</v>
      </c>
      <c r="H80" t="n">
        <v>-5</v>
      </c>
      <c r="I80" t="n">
        <v>5.1</v>
      </c>
      <c r="J80" t="n">
        <v>0.045</v>
      </c>
      <c r="K80" t="n">
        <v>4.75</v>
      </c>
      <c r="L80" t="n">
        <v>0.04</v>
      </c>
      <c r="M80" t="n">
        <v>3.5</v>
      </c>
      <c r="N80" t="n">
        <v>0.035</v>
      </c>
      <c r="O80" t="n">
        <v>29.39</v>
      </c>
    </row>
    <row r="81" ht="16" customHeight="1" thickBot="1">
      <c r="A81" t="inlineStr">
        <is>
          <t>Jamaica</t>
        </is>
      </c>
      <c r="B81" t="n">
        <v>133.91</v>
      </c>
      <c r="C81" t="n">
        <v>0.7</v>
      </c>
      <c r="D81" t="n">
        <v>91.5</v>
      </c>
      <c r="E81" t="n">
        <v>15</v>
      </c>
      <c r="F81" t="n">
        <v>0.021</v>
      </c>
      <c r="G81" t="n">
        <v>0.059</v>
      </c>
      <c r="H81" t="n">
        <v>0.9</v>
      </c>
      <c r="I81" t="n">
        <v>9.300000000000001</v>
      </c>
      <c r="J81" t="n">
        <v>0.08500000000000001</v>
      </c>
      <c r="K81" t="n">
        <v>7</v>
      </c>
      <c r="L81" t="n">
        <v>0.025</v>
      </c>
      <c r="M81" t="n">
        <v>6.6</v>
      </c>
      <c r="N81" t="n">
        <v>0.08500000000000001</v>
      </c>
      <c r="O81" t="n">
        <v>2.98</v>
      </c>
    </row>
    <row r="82" ht="16" customHeight="1" thickBot="1">
      <c r="A82" t="inlineStr">
        <is>
          <t>Japan</t>
        </is>
      </c>
      <c r="B82" t="n">
        <v>108.19</v>
      </c>
      <c r="C82" t="n">
        <v>4</v>
      </c>
      <c r="D82" t="n">
        <v>262.5</v>
      </c>
      <c r="E82" t="n">
        <v>4941</v>
      </c>
      <c r="F82" t="n">
        <v>-0.002</v>
      </c>
      <c r="G82" t="n">
        <v>0.015</v>
      </c>
      <c r="H82" t="n">
        <v>-5.9</v>
      </c>
      <c r="I82" t="n">
        <v>4</v>
      </c>
      <c r="J82" t="n">
        <v>0.001</v>
      </c>
      <c r="K82" t="n">
        <v>-0.1</v>
      </c>
      <c r="L82" t="n">
        <v>-0.001</v>
      </c>
      <c r="M82" t="n">
        <v>2.5</v>
      </c>
      <c r="N82" t="n">
        <v>0.027</v>
      </c>
      <c r="O82" t="n">
        <v>125.31</v>
      </c>
    </row>
    <row r="83">
      <c r="A83" t="inlineStr">
        <is>
          <t>Jordan</t>
        </is>
      </c>
      <c r="B83" t="n">
        <v>0.71</v>
      </c>
      <c r="C83" t="n">
        <v>-8.800000000000001</v>
      </c>
      <c r="D83" t="n">
        <v>89.40000000000001</v>
      </c>
      <c r="E83" t="n">
        <v>46</v>
      </c>
      <c r="F83" t="n">
        <v/>
      </c>
      <c r="G83" t="n">
        <v>0.026</v>
      </c>
      <c r="H83" t="n">
        <v>-5.4</v>
      </c>
      <c r="I83" t="n">
        <v>4.35</v>
      </c>
      <c r="J83" t="n">
        <v>0.017</v>
      </c>
      <c r="K83" t="n">
        <v>6.5</v>
      </c>
      <c r="L83" t="n">
        <v>0.025</v>
      </c>
      <c r="M83" t="n">
        <v>23.1</v>
      </c>
      <c r="N83" t="n">
        <v>0.232</v>
      </c>
      <c r="O83" t="n">
        <v>11.07</v>
      </c>
    </row>
    <row r="84">
      <c r="A84" t="inlineStr">
        <is>
          <t>Kazakhstan</t>
        </is>
      </c>
      <c r="B84" t="n">
        <v>427.38</v>
      </c>
      <c r="C84" t="n">
        <v>-3</v>
      </c>
      <c r="D84" t="n">
        <v>27.4</v>
      </c>
      <c r="E84" t="n">
        <v>197</v>
      </c>
      <c r="F84" t="n">
        <v>0.0126</v>
      </c>
      <c r="G84" t="n">
        <v>0.028</v>
      </c>
      <c r="H84" t="n">
        <v>-4</v>
      </c>
      <c r="I84" t="n">
        <v>20.7</v>
      </c>
      <c r="J84" t="n">
        <v>0.08699999999999999</v>
      </c>
      <c r="K84" t="n">
        <v>16.75</v>
      </c>
      <c r="L84" t="n">
        <v>0.0975</v>
      </c>
      <c r="M84" t="n">
        <v>4.9</v>
      </c>
      <c r="N84" t="n">
        <v>0.049</v>
      </c>
      <c r="O84" t="n">
        <v>19.12</v>
      </c>
    </row>
    <row r="85">
      <c r="A85" t="inlineStr">
        <is>
          <t>Kenya</t>
        </is>
      </c>
      <c r="B85" t="n">
        <v>107.9</v>
      </c>
      <c r="C85" t="n">
        <v>-5.4</v>
      </c>
      <c r="D85" t="n">
        <v>68.40000000000001</v>
      </c>
      <c r="E85" t="n">
        <v>110</v>
      </c>
      <c r="F85" t="n">
        <v>0.009399999999999999</v>
      </c>
      <c r="G85" t="n">
        <v>0.047</v>
      </c>
      <c r="H85" t="n">
        <v>-5.8</v>
      </c>
      <c r="I85" t="n">
        <v>9</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12.1</v>
      </c>
      <c r="J86" t="n">
        <v>0.06900000000000001</v>
      </c>
      <c r="K86" t="n">
        <v/>
      </c>
      <c r="L86" t="n">
        <v/>
      </c>
      <c r="M86" t="n">
        <v>20.7</v>
      </c>
      <c r="N86" t="n">
        <v>0.258</v>
      </c>
      <c r="O86" t="n">
        <v>1.77</v>
      </c>
    </row>
    <row r="87">
      <c r="A87" t="inlineStr">
        <is>
          <t>Kuwait</t>
        </is>
      </c>
      <c r="B87" t="n">
        <v>0.3</v>
      </c>
      <c r="C87" t="n">
        <v>16.1</v>
      </c>
      <c r="D87" t="n">
        <v>7.1</v>
      </c>
      <c r="E87" t="n">
        <v>106</v>
      </c>
      <c r="F87" t="n">
        <v>0.047</v>
      </c>
      <c r="G87" t="n">
        <v>0.013</v>
      </c>
      <c r="H87" t="n">
        <v>-0.5</v>
      </c>
      <c r="I87" t="n">
        <v>3.15</v>
      </c>
      <c r="J87" t="n">
        <v>0.0336</v>
      </c>
      <c r="K87" t="n">
        <v>4</v>
      </c>
      <c r="L87" t="n">
        <v>0.015</v>
      </c>
      <c r="M87" t="n">
        <v>3.7</v>
      </c>
      <c r="N87" t="n">
        <v>0.023</v>
      </c>
      <c r="O87" t="n">
        <v>4.33</v>
      </c>
    </row>
    <row r="88">
      <c r="A88" t="inlineStr">
        <is>
          <t>Kyrgyzstan</t>
        </is>
      </c>
      <c r="B88" t="n">
        <v>69.98999999999999</v>
      </c>
      <c r="C88" t="n">
        <v>-8.5</v>
      </c>
      <c r="D88" t="n">
        <v>60.3</v>
      </c>
      <c r="E88" t="n">
        <v>9</v>
      </c>
      <c r="F88" t="n">
        <v/>
      </c>
      <c r="G88" t="n">
        <v>0.0722</v>
      </c>
      <c r="H88" t="n">
        <v>-0.2</v>
      </c>
      <c r="I88" t="n">
        <v>14.7</v>
      </c>
      <c r="J88" t="n">
        <v>0.123</v>
      </c>
      <c r="K88" t="n">
        <v>13</v>
      </c>
      <c r="L88" t="n">
        <v>0.08</v>
      </c>
      <c r="M88" t="n">
        <v>2.9</v>
      </c>
      <c r="N88" t="n">
        <v>0.031</v>
      </c>
      <c r="O88" t="n">
        <v>6.7</v>
      </c>
    </row>
    <row r="89" ht="16" customHeight="1" thickBot="1">
      <c r="A89" t="inlineStr">
        <is>
          <t>Laos</t>
        </is>
      </c>
      <c r="B89" t="n">
        <v>9485</v>
      </c>
      <c r="C89" t="n">
        <v>2.35</v>
      </c>
      <c r="D89" t="n">
        <v>53.81</v>
      </c>
      <c r="E89" t="n">
        <v>19</v>
      </c>
      <c r="F89" t="n">
        <v/>
      </c>
      <c r="G89" t="n">
        <v>0.035</v>
      </c>
      <c r="H89" t="n">
        <v>-1.3</v>
      </c>
      <c r="I89" t="n">
        <v>39.27</v>
      </c>
      <c r="J89" t="n">
        <v>0.0472</v>
      </c>
      <c r="K89" t="n">
        <v>6.5</v>
      </c>
      <c r="L89" t="n">
        <v>0.03</v>
      </c>
      <c r="M89" t="n">
        <v>1.3</v>
      </c>
      <c r="N89" t="n">
        <v>0.01</v>
      </c>
      <c r="O89" t="n">
        <v>7.3</v>
      </c>
    </row>
    <row r="90">
      <c r="A90" t="inlineStr">
        <is>
          <t>Latvia</t>
        </is>
      </c>
      <c r="B90" t="n">
        <v>1.11</v>
      </c>
      <c r="C90" t="n">
        <v>-2.9</v>
      </c>
      <c r="D90" t="n">
        <v>44.8</v>
      </c>
      <c r="E90" t="n">
        <v>40</v>
      </c>
      <c r="F90" t="n">
        <v>0.003</v>
      </c>
      <c r="G90" t="n">
        <v>0</v>
      </c>
      <c r="H90" t="n">
        <v>-7</v>
      </c>
      <c r="I90" t="n">
        <v>20.8</v>
      </c>
      <c r="J90" t="n">
        <v>0.075</v>
      </c>
      <c r="K90" t="n">
        <v>2.5</v>
      </c>
      <c r="L90" t="n">
        <v>0</v>
      </c>
      <c r="M90" t="n">
        <v>6.9</v>
      </c>
      <c r="N90" t="n">
        <v>0.07200000000000001</v>
      </c>
      <c r="O90" t="n">
        <v>1.89</v>
      </c>
    </row>
    <row r="91">
      <c r="A91" t="inlineStr">
        <is>
          <t>Lebanon</t>
        </is>
      </c>
      <c r="B91" t="n">
        <v>1512</v>
      </c>
      <c r="C91" t="n">
        <v>-12.9</v>
      </c>
      <c r="D91" t="n">
        <v>171.7</v>
      </c>
      <c r="E91" t="n">
        <v>23</v>
      </c>
      <c r="F91" t="n">
        <v/>
      </c>
      <c r="G91" t="n">
        <v>-0.07000000000000001</v>
      </c>
      <c r="H91" t="n">
        <v>-3.5</v>
      </c>
      <c r="I91" t="n">
        <v>121.99</v>
      </c>
      <c r="J91" t="n">
        <v>2.0107</v>
      </c>
      <c r="K91" t="n">
        <v>7.75</v>
      </c>
      <c r="L91" t="n">
        <v>0.1</v>
      </c>
      <c r="M91" t="n">
        <v>14.5</v>
      </c>
      <c r="N91" t="n">
        <v>0.066</v>
      </c>
      <c r="O91" t="n">
        <v>6.77</v>
      </c>
    </row>
    <row r="92" ht="16" customHeight="1" thickBot="1">
      <c r="A92" t="inlineStr">
        <is>
          <t>Lesotho</t>
        </is>
      </c>
      <c r="B92" t="n">
        <v>14.36</v>
      </c>
      <c r="C92" t="n">
        <v>-3.8</v>
      </c>
      <c r="D92" t="n">
        <v>54.7</v>
      </c>
      <c r="E92" t="n">
        <v>3</v>
      </c>
      <c r="F92" t="n">
        <v>0.021</v>
      </c>
      <c r="G92" t="n">
        <v>0.04559999999999999</v>
      </c>
      <c r="H92" t="n">
        <v>-5.8</v>
      </c>
      <c r="I92" t="n">
        <v>8</v>
      </c>
      <c r="J92" t="n">
        <v>0.05400000000000001</v>
      </c>
      <c r="K92" t="n">
        <v>7</v>
      </c>
      <c r="L92" t="n">
        <v>0.035</v>
      </c>
      <c r="M92" t="n">
        <v>24.6</v>
      </c>
      <c r="N92" t="n">
        <v>0.247</v>
      </c>
      <c r="O92" t="n">
        <v>2.16</v>
      </c>
    </row>
    <row r="93" ht="16" customHeight="1" thickBot="1">
      <c r="A93" t="inlineStr">
        <is>
          <t>Liberia</t>
        </is>
      </c>
      <c r="B93" t="n">
        <v>186.3</v>
      </c>
      <c r="C93" t="n">
        <v>-17.4</v>
      </c>
      <c r="D93" t="n">
        <v>55</v>
      </c>
      <c r="E93" t="n">
        <v>4</v>
      </c>
      <c r="F93" t="n">
        <v/>
      </c>
      <c r="G93" t="n">
        <v>0.04</v>
      </c>
      <c r="H93" t="n">
        <v>-3.3</v>
      </c>
      <c r="I93" t="n">
        <v>7.23</v>
      </c>
      <c r="J93" t="n">
        <v>0.07000000000000001</v>
      </c>
      <c r="K93" t="n">
        <v>15</v>
      </c>
      <c r="L93" t="n">
        <v>0.2</v>
      </c>
      <c r="M93" t="n">
        <v>4.1</v>
      </c>
      <c r="N93" t="n">
        <v>0.027</v>
      </c>
      <c r="O93" t="n">
        <v>5.18</v>
      </c>
    </row>
    <row r="94">
      <c r="A94" t="inlineStr">
        <is>
          <t>Libya</t>
        </is>
      </c>
      <c r="B94" t="n">
        <v>1.39</v>
      </c>
      <c r="C94" t="n">
        <v>21.6</v>
      </c>
      <c r="D94" t="n">
        <v>155</v>
      </c>
      <c r="E94" t="n">
        <v>43</v>
      </c>
      <c r="F94" t="n">
        <v/>
      </c>
      <c r="G94" t="n">
        <v>1.77</v>
      </c>
      <c r="H94" t="n">
        <v>11.3</v>
      </c>
      <c r="I94" t="n">
        <v>3.8</v>
      </c>
      <c r="J94" t="n">
        <v>0.0208</v>
      </c>
      <c r="K94" t="n">
        <v>3</v>
      </c>
      <c r="L94" t="n">
        <v>0.03</v>
      </c>
      <c r="M94" t="n">
        <v>19.6</v>
      </c>
      <c r="N94" t="n">
        <v>0.1863</v>
      </c>
      <c r="O94" t="n">
        <v>6.96</v>
      </c>
    </row>
    <row r="95" ht="16" customHeight="1" thickBot="1">
      <c r="A95" t="inlineStr">
        <is>
          <t>Liechtenstein</t>
        </is>
      </c>
      <c r="B95" t="n">
        <v>0.92</v>
      </c>
      <c r="C95" t="n">
        <v/>
      </c>
      <c r="D95" t="n">
        <v/>
      </c>
      <c r="E95" t="n">
        <v>6</v>
      </c>
      <c r="F95" t="n">
        <v/>
      </c>
      <c r="G95" t="n">
        <v>-0.101</v>
      </c>
      <c r="H95" t="n">
        <v/>
      </c>
      <c r="I95" t="n">
        <v>2.8</v>
      </c>
      <c r="J95" t="n">
        <v>0.009000000000000001</v>
      </c>
      <c r="K95" t="n">
        <v/>
      </c>
      <c r="L95" t="n">
        <v/>
      </c>
      <c r="M95" t="n">
        <v>1.6</v>
      </c>
      <c r="N95" t="n">
        <v>0.019</v>
      </c>
      <c r="O95" t="n">
        <v>0.04</v>
      </c>
    </row>
    <row r="96">
      <c r="A96" t="inlineStr">
        <is>
          <t>Lithuania</t>
        </is>
      </c>
      <c r="B96" t="n">
        <v>1.11</v>
      </c>
      <c r="C96" t="n">
        <v>1.4</v>
      </c>
      <c r="D96" t="n">
        <v>44.3</v>
      </c>
      <c r="E96" t="n">
        <v>66</v>
      </c>
      <c r="F96" t="n">
        <v>-0.017</v>
      </c>
      <c r="G96" t="n">
        <v>-0.004</v>
      </c>
      <c r="H96" t="n">
        <v>-1</v>
      </c>
      <c r="I96" t="n">
        <v>21.7</v>
      </c>
      <c r="J96" t="n">
        <v>0.092</v>
      </c>
      <c r="K96" t="n">
        <v>2.5</v>
      </c>
      <c r="L96" t="n">
        <v>0</v>
      </c>
      <c r="M96" t="n">
        <v>8.9</v>
      </c>
      <c r="N96" t="n">
        <v>0.109</v>
      </c>
      <c r="O96" t="n">
        <v>2.8</v>
      </c>
    </row>
    <row r="97">
      <c r="A97" t="inlineStr">
        <is>
          <t>Luxembourg</t>
        </is>
      </c>
      <c r="B97" t="n">
        <v>1.11</v>
      </c>
      <c r="C97" t="n">
        <v>4.8</v>
      </c>
      <c r="D97" t="n">
        <v>24.5</v>
      </c>
      <c r="E97" t="n">
        <v>86</v>
      </c>
      <c r="F97" t="n">
        <v>0.011</v>
      </c>
      <c r="G97" t="n">
        <v>0.03</v>
      </c>
      <c r="H97" t="n">
        <v>0.8</v>
      </c>
      <c r="I97" t="n">
        <v>5.4</v>
      </c>
      <c r="J97" t="n">
        <v>0.045</v>
      </c>
      <c r="K97" t="n">
        <v>2.5</v>
      </c>
      <c r="L97" t="n">
        <v>0</v>
      </c>
      <c r="M97" t="n">
        <v>4.8</v>
      </c>
      <c r="N97" t="n">
        <v>0.053</v>
      </c>
      <c r="O97" t="n">
        <v>0.63</v>
      </c>
    </row>
    <row r="98">
      <c r="A98" t="inlineStr">
        <is>
          <t>Macau</t>
        </is>
      </c>
      <c r="B98" t="n">
        <v>8.029999999999999</v>
      </c>
      <c r="C98" t="n">
        <v>13.8</v>
      </c>
      <c r="D98" t="n">
        <v/>
      </c>
      <c r="E98" t="n">
        <v>30</v>
      </c>
      <c r="F98" t="n">
        <v/>
      </c>
      <c r="G98" t="n">
        <v>-0.334</v>
      </c>
      <c r="H98" t="n">
        <v/>
      </c>
      <c r="I98" t="n">
        <v>0.77</v>
      </c>
      <c r="J98" t="n">
        <v>0.0121</v>
      </c>
      <c r="K98" t="n">
        <v>4.75</v>
      </c>
      <c r="L98" t="n">
        <v>0.005</v>
      </c>
      <c r="M98" t="n">
        <v>3.5</v>
      </c>
      <c r="N98" t="n">
        <v>0.028</v>
      </c>
      <c r="O98" t="n">
        <v>0.68</v>
      </c>
    </row>
    <row r="99">
      <c r="A99" t="inlineStr">
        <is>
          <t>Macedonia</t>
        </is>
      </c>
      <c r="B99" t="n">
        <v>51.93</v>
      </c>
      <c r="C99" t="n">
        <v>-3.5</v>
      </c>
      <c r="D99" t="n">
        <v>51.8</v>
      </c>
      <c r="E99" t="n">
        <v>14</v>
      </c>
      <c r="F99" t="n">
        <v>0.039</v>
      </c>
      <c r="G99" t="n">
        <v>0.02</v>
      </c>
      <c r="H99" t="n">
        <v>-5.4</v>
      </c>
      <c r="I99" t="n">
        <v>14.2</v>
      </c>
      <c r="J99" t="n">
        <v>0.048</v>
      </c>
      <c r="K99" t="n">
        <v>4.75</v>
      </c>
      <c r="L99" t="n">
        <v>0.0125</v>
      </c>
      <c r="M99" t="n">
        <v>14.3</v>
      </c>
      <c r="N99" t="n">
        <v>0.157</v>
      </c>
      <c r="O99" t="n">
        <v>2.07</v>
      </c>
    </row>
    <row r="100">
      <c r="A100" t="inlineStr">
        <is>
          <t>Madagascar</t>
        </is>
      </c>
      <c r="B100" t="n">
        <v>3680.5</v>
      </c>
      <c r="C100" t="n">
        <v>-5.5</v>
      </c>
      <c r="D100" t="n">
        <v>44.8</v>
      </c>
      <c r="E100" t="n">
        <v>14</v>
      </c>
      <c r="F100" t="n">
        <v/>
      </c>
      <c r="G100" t="n">
        <v>0.044</v>
      </c>
      <c r="H100" t="n">
        <v>-5.4</v>
      </c>
      <c r="I100" t="n">
        <v>10.83</v>
      </c>
      <c r="J100" t="n">
        <v>0.0629</v>
      </c>
      <c r="K100" t="n">
        <v>9.5</v>
      </c>
      <c r="L100" t="n">
        <v>0.095</v>
      </c>
      <c r="M100" t="n">
        <v>2.6</v>
      </c>
      <c r="N100" t="n">
        <v>0.019</v>
      </c>
      <c r="O100" t="n">
        <v>28.43</v>
      </c>
    </row>
    <row r="101" ht="16" customHeight="1" thickBot="1">
      <c r="A101" t="inlineStr">
        <is>
          <t>Malawi</t>
        </is>
      </c>
      <c r="B101" t="n">
        <v>734.11</v>
      </c>
      <c r="C101" t="n">
        <v>-13.1</v>
      </c>
      <c r="D101" t="n">
        <v>58.8</v>
      </c>
      <c r="E101" t="n">
        <v>13</v>
      </c>
      <c r="F101" t="n">
        <v/>
      </c>
      <c r="G101" t="n">
        <v>0.038</v>
      </c>
      <c r="H101" t="n">
        <v>-8.300000000000001</v>
      </c>
      <c r="I101" t="n">
        <v>25.4</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-6.4</v>
      </c>
      <c r="I102" t="n">
        <v>3.8</v>
      </c>
      <c r="J102" t="n">
        <v>0.033</v>
      </c>
      <c r="K102" t="n">
        <v>2.75</v>
      </c>
      <c r="L102" t="n">
        <v>0.0175</v>
      </c>
      <c r="M102" t="n">
        <v>3.6</v>
      </c>
      <c r="N102" t="n">
        <v>0.043</v>
      </c>
      <c r="O102" t="n">
        <v>32.6</v>
      </c>
    </row>
    <row r="103" ht="16" customHeight="1" thickBot="1">
      <c r="A103" t="inlineStr">
        <is>
          <t>Maldives</t>
        </is>
      </c>
      <c r="B103" t="n">
        <v>15.46</v>
      </c>
      <c r="C103" t="n">
        <v>-9</v>
      </c>
      <c r="D103" t="n">
        <v>66.59999999999999</v>
      </c>
      <c r="E103" t="n">
        <v>5</v>
      </c>
      <c r="F103" t="n">
        <v/>
      </c>
      <c r="G103" t="n">
        <v>0.105</v>
      </c>
      <c r="H103" t="n">
        <v>-16.6</v>
      </c>
      <c r="I103" t="n">
        <v>2.84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0.038</v>
      </c>
      <c r="H104" t="n">
        <v>-4.7</v>
      </c>
      <c r="I104" t="n">
        <v>8</v>
      </c>
      <c r="J104" t="n">
        <v>0.029</v>
      </c>
      <c r="K104" t="n">
        <v>4.75</v>
      </c>
      <c r="L104" t="n">
        <v>0.04</v>
      </c>
      <c r="M104" t="n">
        <v>7.7</v>
      </c>
      <c r="N104" t="n">
        <v>0.075</v>
      </c>
      <c r="O104" t="n">
        <v>20.86</v>
      </c>
    </row>
    <row r="105">
      <c r="A105" t="inlineStr">
        <is>
          <t>Malta</t>
        </is>
      </c>
      <c r="B105" t="n">
        <v>1.11</v>
      </c>
      <c r="C105" t="n">
        <v>-4.9</v>
      </c>
      <c r="D105" t="n">
        <v>57</v>
      </c>
      <c r="E105" t="n">
        <v>17</v>
      </c>
      <c r="F105" t="n">
        <v>0.013</v>
      </c>
      <c r="G105" t="n">
        <v>0.052</v>
      </c>
      <c r="H105" t="n">
        <v>-7.8</v>
      </c>
      <c r="I105" t="n">
        <v>7.3</v>
      </c>
      <c r="J105" t="n">
        <v>0.024</v>
      </c>
      <c r="K105" t="n">
        <v>2.5</v>
      </c>
      <c r="L105" t="n">
        <v>0</v>
      </c>
      <c r="M105" t="n">
        <v>2.9</v>
      </c>
      <c r="N105" t="n">
        <v>0.036</v>
      </c>
      <c r="O105" t="n">
        <v>0.52</v>
      </c>
    </row>
    <row r="106">
      <c r="A106" t="inlineStr">
        <is>
          <t>Mauritania</t>
        </is>
      </c>
      <c r="B106" t="n">
        <v>357.3</v>
      </c>
      <c r="C106" t="n">
        <v>-7.6</v>
      </c>
      <c r="D106" t="n">
        <v>44.2</v>
      </c>
      <c r="E106" t="n">
        <v>10</v>
      </c>
      <c r="F106" t="n">
        <v/>
      </c>
      <c r="G106" t="n">
        <v>0.039</v>
      </c>
      <c r="H106" t="n">
        <v>-0.4</v>
      </c>
      <c r="I106" t="n">
        <v>11</v>
      </c>
      <c r="J106" t="n">
        <v>0.047</v>
      </c>
      <c r="K106" t="n">
        <v>7</v>
      </c>
      <c r="L106" t="n">
        <v>0.05</v>
      </c>
      <c r="M106" t="n">
        <v>11.5</v>
      </c>
      <c r="N106" t="n">
        <v>0.107</v>
      </c>
      <c r="O106" t="n">
        <v>4.78</v>
      </c>
    </row>
    <row r="107">
      <c r="A107" t="inlineStr">
        <is>
          <t>Mauritius</t>
        </is>
      </c>
      <c r="B107" t="n">
        <v>42.9</v>
      </c>
      <c r="C107" t="n">
        <v>-13.6</v>
      </c>
      <c r="D107" t="n">
        <v>89</v>
      </c>
      <c r="E107" t="n">
        <v>12</v>
      </c>
      <c r="F107" t="n">
        <v>0.004</v>
      </c>
      <c r="G107" t="n">
        <v>0.07400000000000001</v>
      </c>
      <c r="H107" t="n">
        <v>-5</v>
      </c>
      <c r="I107" t="n">
        <v>12.2</v>
      </c>
      <c r="J107" t="n">
        <v>0.064</v>
      </c>
      <c r="K107" t="n">
        <v>4.5</v>
      </c>
      <c r="L107" t="n">
        <v>0.0185</v>
      </c>
      <c r="M107" t="n">
        <v>7.5</v>
      </c>
      <c r="N107" t="n">
        <v>0.105</v>
      </c>
      <c r="O107" t="n">
        <v>1.27</v>
      </c>
    </row>
    <row r="108" ht="16" customHeight="1" thickBot="1">
      <c r="A108" t="inlineStr">
        <is>
          <t>Mexico</t>
        </is>
      </c>
      <c r="B108" t="n">
        <v>19.36</v>
      </c>
      <c r="C108" t="n">
        <v>-0.4</v>
      </c>
      <c r="D108" t="n">
        <v>49.6</v>
      </c>
      <c r="E108" t="n">
        <v>1273</v>
      </c>
      <c r="F108" t="n">
        <v>0.004</v>
      </c>
      <c r="G108" t="n">
        <v>0.035</v>
      </c>
      <c r="H108" t="n">
        <v>-3.8</v>
      </c>
      <c r="I108" t="n">
        <v>7.82</v>
      </c>
      <c r="J108" t="n">
        <v>0.0737</v>
      </c>
      <c r="K108" t="n">
        <v>10.5</v>
      </c>
      <c r="L108" t="n">
        <v>0.055</v>
      </c>
      <c r="M108" t="n">
        <v>2.8</v>
      </c>
      <c r="N108" t="n">
        <v>0.039</v>
      </c>
      <c r="O108" t="n">
        <v>126.25</v>
      </c>
    </row>
    <row r="109">
      <c r="A109" t="inlineStr">
        <is>
          <t>Moldova</t>
        </is>
      </c>
      <c r="B109" t="n">
        <v>17.97</v>
      </c>
      <c r="C109" t="n">
        <v>-11.6</v>
      </c>
      <c r="D109" t="n">
        <v>32.1</v>
      </c>
      <c r="E109" t="n">
        <v>14</v>
      </c>
      <c r="F109" t="n">
        <v>-0.08400000000000001</v>
      </c>
      <c r="G109" t="n">
        <v>-0.103</v>
      </c>
      <c r="H109" t="n">
        <v>-1.9</v>
      </c>
      <c r="I109" t="n">
        <v>30.24</v>
      </c>
      <c r="J109" t="n">
        <v>0.1244</v>
      </c>
      <c r="K109" t="n">
        <v>20</v>
      </c>
      <c r="L109" t="n">
        <v>0.065</v>
      </c>
      <c r="M109" t="n">
        <v>2.5</v>
      </c>
      <c r="N109" t="n">
        <v>0.025</v>
      </c>
      <c r="O109" t="n">
        <v>2.6</v>
      </c>
    </row>
    <row r="110" ht="16" customHeight="1" thickBot="1">
      <c r="A110" t="inlineStr">
        <is>
          <t>Monaco</t>
        </is>
      </c>
      <c r="B110" t="n">
        <v>1.11</v>
      </c>
      <c r="C110" t="n">
        <v/>
      </c>
      <c r="D110" t="n">
        <v/>
      </c>
      <c r="E110" t="n">
        <v>9</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13.2</v>
      </c>
      <c r="J111" t="n">
        <v>0.105</v>
      </c>
      <c r="K111" t="n">
        <v>13</v>
      </c>
      <c r="L111" t="n">
        <v>0.06</v>
      </c>
      <c r="M111" t="n">
        <v>5.4</v>
      </c>
      <c r="N111" t="n">
        <v>0.08400000000000001</v>
      </c>
      <c r="O111" t="n">
        <v>3.45</v>
      </c>
    </row>
    <row r="112">
      <c r="A112" t="inlineStr">
        <is>
          <t>Montenegro</t>
        </is>
      </c>
      <c r="B112" t="n">
        <v>1.11</v>
      </c>
      <c r="C112" t="n">
        <v>-9.300000000000001</v>
      </c>
      <c r="D112" t="n">
        <v>83.27</v>
      </c>
      <c r="E112" t="n">
        <v>6</v>
      </c>
      <c r="F112" t="n">
        <v/>
      </c>
      <c r="G112" t="n">
        <v>0.032</v>
      </c>
      <c r="H112" t="n">
        <v>-2.03</v>
      </c>
      <c r="I112" t="n">
        <v>17.2</v>
      </c>
      <c r="J112" t="n">
        <v>0.044</v>
      </c>
      <c r="K112" t="n">
        <v/>
      </c>
      <c r="L112" t="n">
        <v/>
      </c>
      <c r="M112" t="n">
        <v>20.08</v>
      </c>
      <c r="N112" t="n">
        <v>0.2381</v>
      </c>
      <c r="O112" t="n">
        <v>0.62</v>
      </c>
    </row>
    <row r="113" ht="16" customHeight="1" thickBot="1">
      <c r="A113" t="inlineStr">
        <is>
          <t>Morocco</t>
        </is>
      </c>
      <c r="B113" t="n">
        <v>8.960000000000001</v>
      </c>
      <c r="C113" t="n">
        <v>-2.3</v>
      </c>
      <c r="D113" t="n">
        <v>77.90000000000001</v>
      </c>
      <c r="E113" t="n">
        <v>143</v>
      </c>
      <c r="F113" t="n">
        <v>0.011</v>
      </c>
      <c r="G113" t="n">
        <v>0.016</v>
      </c>
      <c r="H113" t="n">
        <v>-6.7</v>
      </c>
      <c r="I113" t="n">
        <v>8.300000000000001</v>
      </c>
      <c r="J113" t="n">
        <v>0.026</v>
      </c>
      <c r="K113" t="n">
        <v>2.5</v>
      </c>
      <c r="L113" t="n">
        <v>0.015</v>
      </c>
      <c r="M113" t="n">
        <v>11.4</v>
      </c>
      <c r="N113" t="n">
        <v>0.118</v>
      </c>
      <c r="O113" t="n">
        <v>36.31</v>
      </c>
    </row>
    <row r="114" ht="16" customHeight="1" thickBot="1">
      <c r="A114" t="inlineStr">
        <is>
          <t>Mozambique</t>
        </is>
      </c>
      <c r="B114" t="n">
        <v>63</v>
      </c>
      <c r="C114" t="n">
        <v>-23.8</v>
      </c>
      <c r="D114" t="n">
        <v>101</v>
      </c>
      <c r="E114" t="n">
        <v>16</v>
      </c>
      <c r="F114" t="n">
        <v>0.02</v>
      </c>
      <c r="G114" t="n">
        <v>0.036</v>
      </c>
      <c r="H114" t="n">
        <v>-4.8</v>
      </c>
      <c r="I114" t="n">
        <v>10.91</v>
      </c>
      <c r="J114" t="n">
        <v>0.0677</v>
      </c>
      <c r="K114" t="n">
        <v>17.25</v>
      </c>
      <c r="L114" t="n">
        <v>0.1325</v>
      </c>
      <c r="M114" t="n">
        <v>25.04</v>
      </c>
      <c r="N114" t="n">
        <v>0.2504</v>
      </c>
      <c r="O114" t="n">
        <v>30.06</v>
      </c>
    </row>
    <row r="115">
      <c r="A115" t="inlineStr">
        <is>
          <t>Myanmar</t>
        </is>
      </c>
      <c r="B115" t="n">
        <v>1500</v>
      </c>
      <c r="C115" t="n">
        <v>-1.1</v>
      </c>
      <c r="D115" t="n">
        <v>62.5</v>
      </c>
      <c r="E115" t="n">
        <v>65</v>
      </c>
      <c r="F115" t="n">
        <v/>
      </c>
      <c r="G115" t="n">
        <v>-0.18</v>
      </c>
      <c r="H115" t="n">
        <v>-7.8</v>
      </c>
      <c r="I115" t="n">
        <v>19.55</v>
      </c>
      <c r="J115" t="n">
        <v>0.06509999999999999</v>
      </c>
      <c r="K115" t="n">
        <v>7</v>
      </c>
      <c r="L115" t="n">
        <v>0.07000000000000001</v>
      </c>
      <c r="M115" t="n">
        <v>2.2</v>
      </c>
      <c r="N115" t="n">
        <v>0.0179</v>
      </c>
      <c r="O115" t="n">
        <v>54.81</v>
      </c>
    </row>
    <row r="116" ht="16" customHeight="1" thickBot="1">
      <c r="A116" t="inlineStr">
        <is>
          <t>Namibia</t>
        </is>
      </c>
      <c r="B116" t="n">
        <v>14.72</v>
      </c>
      <c r="C116" t="n">
        <v>-9.1</v>
      </c>
      <c r="D116" t="n">
        <v>76</v>
      </c>
      <c r="E116" t="n">
        <v>12</v>
      </c>
      <c r="F116" t="n">
        <v>-0.0145</v>
      </c>
      <c r="G116" t="n">
        <v>0.043</v>
      </c>
      <c r="H116" t="n">
        <v>-8.699999999999999</v>
      </c>
      <c r="I116" t="n">
        <v>6.9</v>
      </c>
      <c r="J116" t="n">
        <v>0.04099999999999999</v>
      </c>
      <c r="K116" t="n">
        <v>6.75</v>
      </c>
      <c r="L116" t="n">
        <v>0.0375</v>
      </c>
      <c r="M116" t="n">
        <v>21.7</v>
      </c>
      <c r="N116" t="n">
        <v>0.334</v>
      </c>
      <c r="O116" t="n">
        <v>2.55</v>
      </c>
    </row>
    <row r="117" ht="16" customHeight="1" thickBot="1">
      <c r="A117" t="inlineStr">
        <is>
          <t>Nepal</t>
        </is>
      </c>
      <c r="B117" t="n">
        <v>113.59</v>
      </c>
      <c r="C117" t="n">
        <v>-7.8</v>
      </c>
      <c r="D117" t="n">
        <v>40.5</v>
      </c>
      <c r="E117" t="n">
        <v>36</v>
      </c>
      <c r="F117" t="n">
        <v/>
      </c>
      <c r="G117" t="n">
        <v>0.058</v>
      </c>
      <c r="H117" t="n">
        <v>-6.3</v>
      </c>
      <c r="I117" t="n">
        <v>7.38</v>
      </c>
      <c r="J117" t="n">
        <v>0.0532</v>
      </c>
      <c r="K117" t="n">
        <v>8.5</v>
      </c>
      <c r="L117" t="n">
        <v>0.05</v>
      </c>
      <c r="M117" t="n">
        <v>5.1</v>
      </c>
      <c r="N117" t="n">
        <v>0.0444</v>
      </c>
      <c r="O117" t="n">
        <v>29.67</v>
      </c>
    </row>
    <row r="118" ht="16" customHeight="1" thickBot="1">
      <c r="A118" t="inlineStr">
        <is>
          <t>Netherlands</t>
        </is>
      </c>
      <c r="B118" t="n">
        <v>1.11</v>
      </c>
      <c r="C118" t="n">
        <v>9</v>
      </c>
      <c r="D118" t="n">
        <v>52.4</v>
      </c>
      <c r="E118" t="n">
        <v>1013</v>
      </c>
      <c r="F118" t="n">
        <v>-0.002</v>
      </c>
      <c r="G118" t="n">
        <v>0.031</v>
      </c>
      <c r="H118" t="n">
        <v>-2.6</v>
      </c>
      <c r="I118" t="n">
        <v>7.6</v>
      </c>
      <c r="J118" t="n">
        <v>0.052</v>
      </c>
      <c r="K118" t="n">
        <v>2.5</v>
      </c>
      <c r="L118" t="n">
        <v>0</v>
      </c>
      <c r="M118" t="n">
        <v>3.5</v>
      </c>
      <c r="N118" t="n">
        <v>0.027</v>
      </c>
      <c r="O118" t="n">
        <v>17.48</v>
      </c>
    </row>
    <row r="119" ht="16" customHeight="1" thickBot="1">
      <c r="A119" t="inlineStr">
        <is>
          <t>New Caledonia</t>
        </is>
      </c>
      <c r="B119" t="n">
        <v>107</v>
      </c>
      <c r="C119" t="n">
        <v/>
      </c>
      <c r="D119" t="n">
        <v/>
      </c>
      <c r="E119" t="n">
        <v>9</v>
      </c>
      <c r="F119" t="n">
        <v/>
      </c>
      <c r="G119" t="n">
        <v>-0.03</v>
      </c>
      <c r="H119" t="n">
        <v/>
      </c>
      <c r="I119" t="n">
        <v>4.9</v>
      </c>
      <c r="J119" t="n">
        <v>0.0063</v>
      </c>
      <c r="K119" t="n">
        <v>2.75</v>
      </c>
      <c r="L119" t="n">
        <v>0.0025</v>
      </c>
      <c r="M119" t="n">
        <v>16.6</v>
      </c>
      <c r="N119" t="n">
        <v>0.165</v>
      </c>
      <c r="O119" t="n">
        <v>0.27</v>
      </c>
    </row>
    <row r="120" ht="16" customHeight="1" thickBot="1">
      <c r="A120" t="inlineStr">
        <is>
          <t>New Zealand</t>
        </is>
      </c>
      <c r="B120" t="n">
        <v>0.63</v>
      </c>
      <c r="C120" t="n">
        <v>-6.5</v>
      </c>
      <c r="D120" t="n">
        <v>30.1</v>
      </c>
      <c r="E120" t="n">
        <v>250</v>
      </c>
      <c r="F120" t="n">
        <v>0.02</v>
      </c>
      <c r="G120" t="n">
        <v>0.064</v>
      </c>
      <c r="H120" t="n">
        <v>-2.7</v>
      </c>
      <c r="I120" t="n">
        <v>7.2</v>
      </c>
      <c r="J120" t="n">
        <v>0.049</v>
      </c>
      <c r="K120" t="n">
        <v>4.25</v>
      </c>
      <c r="L120" t="n">
        <v>0.0075</v>
      </c>
      <c r="M120" t="n">
        <v>3.4</v>
      </c>
      <c r="N120" t="n">
        <v>0.034</v>
      </c>
      <c r="O120" t="n">
        <v>5.12</v>
      </c>
    </row>
    <row r="121" ht="16" customHeight="1" thickBot="1">
      <c r="A121" t="inlineStr">
        <is>
          <t>Nicaragua</t>
        </is>
      </c>
      <c r="B121" t="n">
        <v>33.47</v>
      </c>
      <c r="C121" t="n">
        <v>-2.9</v>
      </c>
      <c r="D121" t="n">
        <v>64.8</v>
      </c>
      <c r="E121" t="n">
        <v>14</v>
      </c>
      <c r="F121" t="n">
        <v/>
      </c>
      <c r="G121" t="n">
        <v>0.043</v>
      </c>
      <c r="H121" t="n">
        <v>1.6</v>
      </c>
      <c r="I121" t="n">
        <v>11.59</v>
      </c>
      <c r="J121" t="n">
        <v>0.0641</v>
      </c>
      <c r="K121" t="n">
        <v>8.869999999999999</v>
      </c>
      <c r="L121" t="n">
        <v>0.0862</v>
      </c>
      <c r="M121" t="n">
        <v>3.1</v>
      </c>
      <c r="N121" t="n">
        <v>0.049</v>
      </c>
      <c r="O121" t="n">
        <v>6.75</v>
      </c>
    </row>
    <row r="122" ht="16" customHeight="1" thickBot="1">
      <c r="A122" t="inlineStr">
        <is>
          <t>Niger</t>
        </is>
      </c>
      <c r="B122" t="n">
        <v>588.96</v>
      </c>
      <c r="C122" t="n">
        <v>-13.6</v>
      </c>
      <c r="D122" t="n">
        <v>50.9</v>
      </c>
      <c r="E122" t="n">
        <v>15</v>
      </c>
      <c r="F122" t="n">
        <v/>
      </c>
      <c r="G122" t="n">
        <v>0.057</v>
      </c>
      <c r="H122" t="n">
        <v>-5.2</v>
      </c>
      <c r="I122" t="n">
        <v>3.1</v>
      </c>
      <c r="J122" t="n">
        <v>0.0361</v>
      </c>
      <c r="K122" t="n">
        <v>4.75</v>
      </c>
      <c r="L122" t="n">
        <v>0.04</v>
      </c>
      <c r="M122" t="n">
        <v>0.8</v>
      </c>
      <c r="N122" t="n">
        <v>0.006999999999999999</v>
      </c>
      <c r="O122" t="n">
        <v>25.13</v>
      </c>
    </row>
    <row r="123">
      <c r="A123" t="inlineStr">
        <is>
          <t>Nigeria</t>
        </is>
      </c>
      <c r="B123" t="n">
        <v>411</v>
      </c>
      <c r="C123" t="n">
        <v>-0.5</v>
      </c>
      <c r="D123" t="n">
        <v>37</v>
      </c>
      <c r="E123" t="n">
        <v>441</v>
      </c>
      <c r="F123" t="n">
        <v>0.0968</v>
      </c>
      <c r="G123" t="n">
        <v>0.0225</v>
      </c>
      <c r="H123" t="n">
        <v>-4.7</v>
      </c>
      <c r="I123" t="n">
        <v>21.34</v>
      </c>
      <c r="J123" t="n">
        <v>0.154</v>
      </c>
      <c r="K123" t="n">
        <v>17.5</v>
      </c>
      <c r="L123" t="n">
        <v>0.115</v>
      </c>
      <c r="M123" t="n">
        <v>33.3</v>
      </c>
      <c r="N123" t="n">
        <v>0.333</v>
      </c>
      <c r="O123" t="n">
        <v>211.4</v>
      </c>
    </row>
    <row r="124" ht="16" customHeight="1" thickBot="1">
      <c r="A124" t="inlineStr">
        <is>
          <t>Norway</t>
        </is>
      </c>
      <c r="B124" t="n">
        <v>8.93</v>
      </c>
      <c r="C124" t="n">
        <v>15</v>
      </c>
      <c r="D124" t="n">
        <v>43.2</v>
      </c>
      <c r="E124" t="n">
        <v>482</v>
      </c>
      <c r="F124" t="n">
        <v>0.015</v>
      </c>
      <c r="G124" t="n">
        <v>0.025</v>
      </c>
      <c r="H124" t="n">
        <v>9.1</v>
      </c>
      <c r="I124" t="n">
        <v>5.9</v>
      </c>
      <c r="J124" t="n">
        <v>0.051</v>
      </c>
      <c r="K124" t="n">
        <v>2.75</v>
      </c>
      <c r="L124" t="n">
        <v>0.005</v>
      </c>
      <c r="M124" t="n">
        <v>3.1</v>
      </c>
      <c r="N124" t="n">
        <v>0.042</v>
      </c>
      <c r="O124" t="n">
        <v>5.43</v>
      </c>
    </row>
    <row r="125" ht="16" customHeight="1" thickBot="1">
      <c r="A125" t="inlineStr">
        <is>
          <t>Oman</t>
        </is>
      </c>
      <c r="B125" t="n">
        <v>0.38</v>
      </c>
      <c r="C125" t="n">
        <v>-5</v>
      </c>
      <c r="D125" t="n">
        <v>67.7</v>
      </c>
      <c r="E125" t="n">
        <v>88</v>
      </c>
      <c r="F125" t="n">
        <v/>
      </c>
      <c r="G125" t="n">
        <v>0.021</v>
      </c>
      <c r="H125" t="n">
        <v>-2.6</v>
      </c>
      <c r="I125" t="n">
        <v>1.98</v>
      </c>
      <c r="J125" t="n">
        <v>0.0356</v>
      </c>
      <c r="K125" t="n">
        <v>4.5</v>
      </c>
      <c r="L125" t="n">
        <v>0.005</v>
      </c>
      <c r="M125" t="n">
        <v>3.1</v>
      </c>
      <c r="N125" t="n">
        <v>0.05</v>
      </c>
      <c r="O125" t="n">
        <v>4.53</v>
      </c>
    </row>
    <row r="126" ht="16" customHeight="1" thickBot="1">
      <c r="A126" t="inlineStr">
        <is>
          <t>Pakistan</t>
        </is>
      </c>
      <c r="B126" t="n">
        <v>159</v>
      </c>
      <c r="C126" t="n">
        <v>-4.6</v>
      </c>
      <c r="D126" t="n">
        <v>84</v>
      </c>
      <c r="E126" t="n">
        <v>348</v>
      </c>
      <c r="F126" t="n">
        <v>0.0579</v>
      </c>
      <c r="G126" t="n">
        <v>0.0394</v>
      </c>
      <c r="H126" t="n">
        <v>-7.1</v>
      </c>
      <c r="I126" t="n">
        <v>27.6</v>
      </c>
      <c r="J126" t="n">
        <v>0.115</v>
      </c>
      <c r="K126" t="n">
        <v>17</v>
      </c>
      <c r="L126" t="n">
        <v>0.0975</v>
      </c>
      <c r="M126" t="n">
        <v>6.5</v>
      </c>
      <c r="N126" t="n">
        <v>0.044</v>
      </c>
      <c r="O126" t="n">
        <v>225.2</v>
      </c>
    </row>
    <row r="127">
      <c r="A127" t="inlineStr">
        <is>
          <t>Palestine</t>
        </is>
      </c>
      <c r="B127" t="n">
        <v/>
      </c>
      <c r="C127" t="n">
        <v>-8.199999999999999</v>
      </c>
      <c r="D127" t="n">
        <v>21.3</v>
      </c>
      <c r="E127" t="n">
        <v>18</v>
      </c>
      <c r="F127" t="n">
        <v/>
      </c>
      <c r="G127" t="n">
        <v>0.05</v>
      </c>
      <c r="H127" t="n">
        <v>1.9</v>
      </c>
      <c r="I127" t="n">
        <v>4.09</v>
      </c>
      <c r="J127" t="n">
        <v>0.0138</v>
      </c>
      <c r="K127" t="n">
        <v/>
      </c>
      <c r="L127" t="n">
        <v/>
      </c>
      <c r="M127" t="n">
        <v>25</v>
      </c>
      <c r="N127" t="n">
        <v>0.27</v>
      </c>
      <c r="O127" t="n">
        <v>5.3</v>
      </c>
    </row>
    <row r="128" ht="16" customHeight="1" thickBot="1">
      <c r="A128" t="inlineStr">
        <is>
          <t>Panama</t>
        </is>
      </c>
      <c r="B128" t="n">
        <v>1</v>
      </c>
      <c r="C128" t="n">
        <v>-2.2</v>
      </c>
      <c r="D128" t="n">
        <v>63.66</v>
      </c>
      <c r="E128" t="n">
        <v>64</v>
      </c>
      <c r="F128" t="n">
        <v/>
      </c>
      <c r="G128" t="n">
        <v>0.095</v>
      </c>
      <c r="H128" t="n">
        <v>-7.12</v>
      </c>
      <c r="I128" t="n">
        <v>2.07</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6.25</v>
      </c>
      <c r="J129" t="n">
        <v>0.0331</v>
      </c>
      <c r="K129" t="n">
        <v>3.25</v>
      </c>
      <c r="L129" t="n">
        <v>0.03</v>
      </c>
      <c r="M129" t="n">
        <v>2.8</v>
      </c>
      <c r="N129" t="n">
        <v>0.027</v>
      </c>
      <c r="O129" t="n">
        <v>9.119999999999999</v>
      </c>
    </row>
    <row r="130">
      <c r="A130" t="inlineStr">
        <is>
          <t>Paraguay</t>
        </is>
      </c>
      <c r="B130" t="n">
        <v>6838.31</v>
      </c>
      <c r="C130" t="n">
        <v>0.8</v>
      </c>
      <c r="D130" t="n">
        <v>34.6</v>
      </c>
      <c r="E130" t="n">
        <v>40</v>
      </c>
      <c r="F130" t="n">
        <v>0.018</v>
      </c>
      <c r="G130" t="n">
        <v>0.028</v>
      </c>
      <c r="H130" t="n">
        <v>-5.5</v>
      </c>
      <c r="I130" t="n">
        <v>8.1</v>
      </c>
      <c r="J130" t="n">
        <v>0.07400000000000001</v>
      </c>
      <c r="K130" t="n">
        <v>8.5</v>
      </c>
      <c r="L130" t="n">
        <v>0.0525</v>
      </c>
      <c r="M130" t="n">
        <v>6.7</v>
      </c>
      <c r="N130" t="n">
        <v>0.08599999999999999</v>
      </c>
      <c r="O130" t="n">
        <v>7.35</v>
      </c>
    </row>
    <row r="131" ht="16" customHeight="1" thickBot="1">
      <c r="A131" t="inlineStr">
        <is>
          <t>Peru</t>
        </is>
      </c>
      <c r="B131" t="n">
        <v>3.96</v>
      </c>
      <c r="C131" t="n">
        <v>-2.9</v>
      </c>
      <c r="D131" t="n">
        <v>36</v>
      </c>
      <c r="E131" t="n">
        <v>223</v>
      </c>
      <c r="F131" t="n">
        <v>0.035</v>
      </c>
      <c r="G131" t="n">
        <v>0.017</v>
      </c>
      <c r="H131" t="n">
        <v>-2.6</v>
      </c>
      <c r="I131" t="n">
        <v>8.66</v>
      </c>
      <c r="J131" t="n">
        <v>0.0566</v>
      </c>
      <c r="K131" t="n">
        <v>7.75</v>
      </c>
      <c r="L131" t="n">
        <v>0.025</v>
      </c>
      <c r="M131" t="n">
        <v>7.1</v>
      </c>
      <c r="N131" t="n">
        <v>0.091</v>
      </c>
      <c r="O131" t="n">
        <v>32.78</v>
      </c>
    </row>
    <row r="132">
      <c r="A132" t="inlineStr">
        <is>
          <t>Philippines</t>
        </is>
      </c>
      <c r="B132" t="n">
        <v>50.07</v>
      </c>
      <c r="C132" t="n">
        <v>-1.8</v>
      </c>
      <c r="D132" t="n">
        <v>60.4</v>
      </c>
      <c r="E132" t="n">
        <v>394</v>
      </c>
      <c r="F132" t="n">
        <v>0.024</v>
      </c>
      <c r="G132" t="n">
        <v>0.07200000000000001</v>
      </c>
      <c r="H132" t="n">
        <v>-8.6</v>
      </c>
      <c r="I132" t="n">
        <v>8.1</v>
      </c>
      <c r="J132" t="n">
        <v>0.042</v>
      </c>
      <c r="K132" t="n">
        <v>5.5</v>
      </c>
      <c r="L132" t="n">
        <v>0.02</v>
      </c>
      <c r="M132" t="n">
        <v>4.2</v>
      </c>
      <c r="N132" t="n">
        <v>0.07400000000000001</v>
      </c>
      <c r="O132" t="n">
        <v>110.2</v>
      </c>
    </row>
    <row r="133">
      <c r="A133" t="inlineStr">
        <is>
          <t>Poland</t>
        </is>
      </c>
      <c r="B133" t="n">
        <v>3.89</v>
      </c>
      <c r="C133" t="n">
        <v>-0.7</v>
      </c>
      <c r="D133" t="n">
        <v>53.8</v>
      </c>
      <c r="E133" t="n">
        <v>679</v>
      </c>
      <c r="F133" t="n">
        <v>0.01</v>
      </c>
      <c r="G133" t="n">
        <v>0.036</v>
      </c>
      <c r="H133" t="n">
        <v>-1.8</v>
      </c>
      <c r="I133" t="n">
        <v>16.6</v>
      </c>
      <c r="J133" t="n">
        <v>0.078</v>
      </c>
      <c r="K133" t="n">
        <v>6.75</v>
      </c>
      <c r="L133" t="n">
        <v>0.0175</v>
      </c>
      <c r="M133" t="n">
        <v>5.2</v>
      </c>
      <c r="N133" t="n">
        <v>0.055</v>
      </c>
      <c r="O133" t="n">
        <v>37.84</v>
      </c>
    </row>
    <row r="134">
      <c r="A134" t="inlineStr">
        <is>
          <t>Portugal</t>
        </is>
      </c>
      <c r="B134" t="n">
        <v>1.11</v>
      </c>
      <c r="C134" t="n">
        <v>-1.1</v>
      </c>
      <c r="D134" t="n">
        <v>127.4</v>
      </c>
      <c r="E134" t="n">
        <v>254</v>
      </c>
      <c r="F134" t="n">
        <v>0.002</v>
      </c>
      <c r="G134" t="n">
        <v>0.031</v>
      </c>
      <c r="H134" t="n">
        <v>-2.9</v>
      </c>
      <c r="I134" t="n">
        <v>8.300000000000001</v>
      </c>
      <c r="J134" t="n">
        <v>0.026</v>
      </c>
      <c r="K134" t="n">
        <v>2.5</v>
      </c>
      <c r="L134" t="n">
        <v>0</v>
      </c>
      <c r="M134" t="n">
        <v>5.8</v>
      </c>
      <c r="N134" t="n">
        <v>0.061</v>
      </c>
      <c r="O134" t="n">
        <v>10.3</v>
      </c>
    </row>
    <row r="135">
      <c r="A135" t="inlineStr">
        <is>
          <t>Puerto Rico</t>
        </is>
      </c>
      <c r="B135" t="n">
        <v>98.56</v>
      </c>
      <c r="C135" t="n">
        <v/>
      </c>
      <c r="D135" t="n">
        <v/>
      </c>
      <c r="E135" t="n">
        <v>107</v>
      </c>
      <c r="F135" t="n">
        <v/>
      </c>
      <c r="G135" t="n">
        <v>0.011</v>
      </c>
      <c r="H135" t="n">
        <v/>
      </c>
      <c r="I135" t="n">
        <v>6.3</v>
      </c>
      <c r="J135" t="n">
        <v>0.035</v>
      </c>
      <c r="K135" t="n">
        <v/>
      </c>
      <c r="L135" t="n">
        <v/>
      </c>
      <c r="M135" t="n">
        <v>6</v>
      </c>
      <c r="N135" t="n">
        <v>0.07200000000000001</v>
      </c>
      <c r="O135" t="n">
        <v>3.21</v>
      </c>
    </row>
    <row r="136" ht="16" customHeight="1" thickBot="1">
      <c r="A136" t="inlineStr">
        <is>
          <t>Qatar</t>
        </is>
      </c>
      <c r="B136" t="n">
        <v>3.7</v>
      </c>
      <c r="C136" t="n">
        <v>14.7</v>
      </c>
      <c r="D136" t="n">
        <v>46.9</v>
      </c>
      <c r="E136" t="n">
        <v>180</v>
      </c>
      <c r="F136" t="n">
        <v>0.036</v>
      </c>
      <c r="G136" t="n">
        <v>0.043</v>
      </c>
      <c r="H136" t="n">
        <v>0.24</v>
      </c>
      <c r="I136" t="n">
        <v>5.93</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thickBot="1">
      <c r="A138" t="inlineStr">
        <is>
          <t>Romania</t>
        </is>
      </c>
      <c r="B138" t="n">
        <v>4.18</v>
      </c>
      <c r="C138" t="n">
        <v>-7</v>
      </c>
      <c r="D138" t="n">
        <v>48.8</v>
      </c>
      <c r="E138" t="n">
        <v>284</v>
      </c>
      <c r="F138" t="n">
        <v>0.012</v>
      </c>
      <c r="G138" t="n">
        <v>0.038</v>
      </c>
      <c r="H138" t="n">
        <v>-7.1</v>
      </c>
      <c r="I138" t="n">
        <v>16.37</v>
      </c>
      <c r="J138" t="n">
        <v>0.078</v>
      </c>
      <c r="K138" t="n">
        <v>7</v>
      </c>
      <c r="L138" t="n">
        <v>0.0175</v>
      </c>
      <c r="M138" t="n">
        <v>5.6</v>
      </c>
      <c r="N138" t="n">
        <v>0.053</v>
      </c>
      <c r="O138" t="n">
        <v>19.2</v>
      </c>
    </row>
    <row r="139" ht="16" customHeight="1" thickBot="1">
      <c r="A139" t="inlineStr">
        <is>
          <t>Russia</t>
        </is>
      </c>
      <c r="B139" t="n">
        <v>64.34999999999999</v>
      </c>
      <c r="C139" t="n">
        <v>6.8</v>
      </c>
      <c r="D139" t="n">
        <v>18.2</v>
      </c>
      <c r="E139" t="n">
        <v>1776</v>
      </c>
      <c r="F139" t="n">
        <v>-0.008</v>
      </c>
      <c r="G139" t="n">
        <v>-0.03700000000000001</v>
      </c>
      <c r="H139" t="n">
        <v>-2.3</v>
      </c>
      <c r="I139" t="n">
        <v>11.9</v>
      </c>
      <c r="J139" t="n">
        <v>0.08400000000000001</v>
      </c>
      <c r="K139" t="n">
        <v>7.5</v>
      </c>
      <c r="L139" t="n">
        <v>0.08500000000000001</v>
      </c>
      <c r="M139" t="n">
        <v>3.7</v>
      </c>
      <c r="N139" t="n">
        <v>0.043</v>
      </c>
      <c r="O139" t="n">
        <v>145.55</v>
      </c>
    </row>
    <row r="140">
      <c r="A140" t="inlineStr">
        <is>
          <t>Rwanda</t>
        </is>
      </c>
      <c r="B140" t="n">
        <v>934.59</v>
      </c>
      <c r="C140" t="n">
        <v>-10.9</v>
      </c>
      <c r="D140" t="n">
        <v>66.7</v>
      </c>
      <c r="E140" t="n">
        <v>11</v>
      </c>
      <c r="F140" t="n">
        <v>0.036</v>
      </c>
      <c r="G140" t="n">
        <v>0.1</v>
      </c>
      <c r="H140" t="n">
        <v>-8.5</v>
      </c>
      <c r="I140" t="n">
        <v>31.7</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24.6</v>
      </c>
      <c r="J141" t="n">
        <v>0.08400000000000001</v>
      </c>
      <c r="K141" t="n">
        <v>10</v>
      </c>
      <c r="L141" t="n">
        <v>0.09</v>
      </c>
      <c r="M141" t="n">
        <v>15.9</v>
      </c>
      <c r="N141" t="n">
        <v>0.139</v>
      </c>
      <c r="O141" t="n">
        <v>0.22</v>
      </c>
    </row>
    <row r="142">
      <c r="A142" t="inlineStr">
        <is>
          <t>Saudi Arabia</t>
        </is>
      </c>
      <c r="B142" t="n">
        <v>3.75</v>
      </c>
      <c r="C142" t="n">
        <v>6.6</v>
      </c>
      <c r="D142" t="n">
        <v>30</v>
      </c>
      <c r="E142" t="n">
        <v>834</v>
      </c>
      <c r="F142" t="n">
        <v>0.015</v>
      </c>
      <c r="G142" t="n">
        <v>0.05400000000000001</v>
      </c>
      <c r="H142" t="n">
        <v>-2.3</v>
      </c>
      <c r="I142" t="n">
        <v>3.3</v>
      </c>
      <c r="J142" t="n">
        <v>0.011</v>
      </c>
      <c r="K142" t="n">
        <v>5.25</v>
      </c>
      <c r="L142" t="n">
        <v>0.01</v>
      </c>
      <c r="M142" t="n">
        <v>5.8</v>
      </c>
      <c r="N142" t="n">
        <v>0.066</v>
      </c>
      <c r="O142" t="n">
        <v>34.11</v>
      </c>
    </row>
    <row r="143">
      <c r="A143" t="inlineStr">
        <is>
          <t>Senegal</t>
        </is>
      </c>
      <c r="B143" t="n">
        <v>588.96</v>
      </c>
      <c r="C143" t="n">
        <v>-10.4</v>
      </c>
      <c r="D143" t="n">
        <v>73</v>
      </c>
      <c r="E143" t="n">
        <v>28</v>
      </c>
      <c r="F143" t="n">
        <v>0.009000000000000001</v>
      </c>
      <c r="G143" t="n">
        <v>0.034</v>
      </c>
      <c r="H143" t="n">
        <v>-5.9</v>
      </c>
      <c r="I143" t="n">
        <v>12.8</v>
      </c>
      <c r="J143" t="n">
        <v>0.03</v>
      </c>
      <c r="K143" t="n">
        <v>4.75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15.1</v>
      </c>
      <c r="J144" t="n">
        <v>0.075</v>
      </c>
      <c r="K144" t="n">
        <v>5.25</v>
      </c>
      <c r="L144" t="n">
        <v>0.01</v>
      </c>
      <c r="M144" t="n">
        <v>8.9</v>
      </c>
      <c r="N144" t="n">
        <v>0.105</v>
      </c>
      <c r="O144" t="n">
        <v>6.87</v>
      </c>
    </row>
    <row r="145" ht="16" customHeight="1" thickBot="1">
      <c r="A145" t="inlineStr">
        <is>
          <t>Seychelles</t>
        </is>
      </c>
      <c r="B145" t="n">
        <v>13.7</v>
      </c>
      <c r="C145" t="n">
        <v>-20</v>
      </c>
      <c r="D145" t="n">
        <v>74</v>
      </c>
      <c r="E145" t="n">
        <v>1</v>
      </c>
      <c r="F145" t="n">
        <v/>
      </c>
      <c r="G145" t="n">
        <v>0.14</v>
      </c>
      <c r="H145" t="n">
        <v>-3</v>
      </c>
      <c r="I145" t="n">
        <v>2.53</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v>
      </c>
      <c r="H146" t="n">
        <v>-7.1</v>
      </c>
      <c r="I146" t="n">
        <v>37.09</v>
      </c>
      <c r="J146" t="n">
        <v>0.1455</v>
      </c>
      <c r="K146" t="n">
        <v>18.25</v>
      </c>
      <c r="L146" t="n">
        <v>0.14</v>
      </c>
      <c r="M146" t="n">
        <v>5.6</v>
      </c>
      <c r="N146" t="n">
        <v>0.046</v>
      </c>
      <c r="O146" t="n">
        <v>8.140000000000001</v>
      </c>
    </row>
    <row r="147" ht="16" customHeight="1" thickBot="1">
      <c r="A147" t="inlineStr">
        <is>
          <t>Singapore</t>
        </is>
      </c>
      <c r="B147" t="n">
        <v>1.37</v>
      </c>
      <c r="C147" t="n">
        <v>18.1</v>
      </c>
      <c r="D147" t="n">
        <v>160</v>
      </c>
      <c r="E147" t="n">
        <v>397</v>
      </c>
      <c r="F147" t="n">
        <v>0.002</v>
      </c>
      <c r="G147" t="n">
        <v>0.022</v>
      </c>
      <c r="H147" t="n">
        <v>-0.9</v>
      </c>
      <c r="I147" t="n">
        <v>6.5</v>
      </c>
      <c r="J147" t="n">
        <v>0.032</v>
      </c>
      <c r="K147" t="n">
        <v>3.56</v>
      </c>
      <c r="L147" t="n">
        <v>0.0022</v>
      </c>
      <c r="M147" t="n">
        <v>2</v>
      </c>
      <c r="N147" t="n">
        <v>0.026</v>
      </c>
      <c r="O147" t="n">
        <v>5.45</v>
      </c>
    </row>
    <row r="148" ht="16" customHeight="1" thickBot="1">
      <c r="A148" t="inlineStr">
        <is>
          <t>Slovakia</t>
        </is>
      </c>
      <c r="B148" t="n">
        <v>1.11</v>
      </c>
      <c r="C148" t="n">
        <v>-2</v>
      </c>
      <c r="D148" t="n">
        <v>63.1</v>
      </c>
      <c r="E148" t="n">
        <v>115</v>
      </c>
      <c r="F148" t="n">
        <v>0.004</v>
      </c>
      <c r="G148" t="n">
        <v>0.014</v>
      </c>
      <c r="H148" t="n">
        <v>-5.5</v>
      </c>
      <c r="I148" t="n">
        <v>15.4</v>
      </c>
      <c r="J148" t="n">
        <v>0.05599999999999999</v>
      </c>
      <c r="K148" t="n">
        <v>2.5</v>
      </c>
      <c r="L148" t="n">
        <v>0</v>
      </c>
      <c r="M148" t="n">
        <v>5.9</v>
      </c>
      <c r="N148" t="n">
        <v>0.066</v>
      </c>
      <c r="O148" t="n">
        <v>5.46</v>
      </c>
    </row>
    <row r="149">
      <c r="A149" t="inlineStr">
        <is>
          <t>Slovenia</t>
        </is>
      </c>
      <c r="B149" t="n">
        <v>1.11</v>
      </c>
      <c r="C149" t="n">
        <v>3.3</v>
      </c>
      <c r="D149" t="n">
        <v>74.7</v>
      </c>
      <c r="E149" t="n">
        <v>62</v>
      </c>
      <c r="F149" t="n">
        <v>-0.014</v>
      </c>
      <c r="G149" t="n">
        <v>0.034</v>
      </c>
      <c r="H149" t="n">
        <v>-4.7</v>
      </c>
      <c r="I149" t="n">
        <v>10.3</v>
      </c>
      <c r="J149" t="n">
        <v>0.046</v>
      </c>
      <c r="K149" t="n">
        <v>2.5</v>
      </c>
      <c r="L149" t="n">
        <v>0</v>
      </c>
      <c r="M149" t="n">
        <v>5.3</v>
      </c>
      <c r="N149" t="n">
        <v>0.068</v>
      </c>
      <c r="O149" t="n">
        <v>2.11</v>
      </c>
    </row>
    <row r="150" ht="16" customHeight="1" thickBot="1">
      <c r="A150" t="inlineStr">
        <is>
          <t>Somalia</t>
        </is>
      </c>
      <c r="B150" t="n">
        <v>578.5</v>
      </c>
      <c r="C150" t="n">
        <v/>
      </c>
      <c r="D150" t="n">
        <v/>
      </c>
      <c r="E150" t="n">
        <v>8</v>
      </c>
      <c r="F150" t="n">
        <v/>
      </c>
      <c r="G150" t="n">
        <v>0.029</v>
      </c>
      <c r="H150" t="n">
        <v/>
      </c>
      <c r="I150" t="n">
        <v>6.1</v>
      </c>
      <c r="J150" t="n">
        <v>0.0503</v>
      </c>
      <c r="K150" t="n">
        <v/>
      </c>
      <c r="L150" t="n">
        <v/>
      </c>
      <c r="M150" t="n">
        <v/>
      </c>
      <c r="N150" t="n">
        <v/>
      </c>
      <c r="O150" t="n">
        <v>16.36</v>
      </c>
    </row>
    <row r="151" ht="16" customHeight="1" thickBot="1">
      <c r="A151" t="inlineStr">
        <is>
          <t>South Africa</t>
        </is>
      </c>
      <c r="B151" t="n">
        <v>14.73</v>
      </c>
      <c r="C151" t="n">
        <v>3.7</v>
      </c>
      <c r="D151" t="n">
        <v>69.90000000000001</v>
      </c>
      <c r="E151" t="n">
        <v>419</v>
      </c>
      <c r="F151" t="n">
        <v>0.016</v>
      </c>
      <c r="G151" t="n">
        <v>0.04099999999999999</v>
      </c>
      <c r="H151" t="n">
        <v>-5.7</v>
      </c>
      <c r="I151" t="n">
        <v>7.2</v>
      </c>
      <c r="J151" t="n">
        <v>0.055</v>
      </c>
      <c r="K151" t="n">
        <v>7.25</v>
      </c>
      <c r="L151" t="n">
        <v>0.0375</v>
      </c>
      <c r="M151" t="n">
        <v>32.9</v>
      </c>
      <c r="N151" t="n">
        <v>0.349</v>
      </c>
      <c r="O151" t="n">
        <v>60.14</v>
      </c>
    </row>
    <row r="152" ht="16" customHeight="1" thickBot="1">
      <c r="A152" t="inlineStr">
        <is>
          <t>South Korea</t>
        </is>
      </c>
      <c r="B152" t="n">
        <v>1145.85</v>
      </c>
      <c r="C152" t="n">
        <v>4.9</v>
      </c>
      <c r="D152" t="n">
        <v>46.9</v>
      </c>
      <c r="E152" t="n">
        <v>1799</v>
      </c>
      <c r="F152" t="n">
        <v>-0.004</v>
      </c>
      <c r="G152" t="n">
        <v>0.014</v>
      </c>
      <c r="H152" t="n">
        <v>-5.6</v>
      </c>
      <c r="I152" t="n">
        <v>5.2</v>
      </c>
      <c r="J152" t="n">
        <v>0.03700000000000001</v>
      </c>
      <c r="K152" t="n">
        <v>3.5</v>
      </c>
      <c r="L152" t="n">
        <v>0.01</v>
      </c>
      <c r="M152" t="n">
        <v>3.3</v>
      </c>
      <c r="N152" t="n">
        <v>0.031</v>
      </c>
      <c r="O152" t="n">
        <v>51.74</v>
      </c>
    </row>
    <row r="153" ht="16" customHeight="1" thickBot="1">
      <c r="A153" t="inlineStr">
        <is>
          <t>South Sudan</t>
        </is>
      </c>
      <c r="B153" t="n">
        <v>175.31</v>
      </c>
      <c r="C153" t="n">
        <v/>
      </c>
      <c r="D153" t="n">
        <v/>
      </c>
      <c r="E153" t="n">
        <v>1</v>
      </c>
      <c r="F153" t="n">
        <v/>
      </c>
      <c r="G153" t="n">
        <v>-0.06</v>
      </c>
      <c r="H153" t="n">
        <v/>
      </c>
      <c r="I153" t="n">
        <v>-11.57</v>
      </c>
      <c r="J153" t="n">
        <v>0.0581</v>
      </c>
      <c r="K153" t="n">
        <v>12</v>
      </c>
      <c r="L153" t="n">
        <v>0.15</v>
      </c>
      <c r="M153" t="n">
        <v>13.9</v>
      </c>
      <c r="N153" t="n">
        <v>0.127</v>
      </c>
      <c r="O153" t="n">
        <v>11.4</v>
      </c>
    </row>
    <row r="154" ht="16" customHeight="1" thickBot="1">
      <c r="A154" t="inlineStr">
        <is>
          <t>Spain</t>
        </is>
      </c>
      <c r="B154" t="n">
        <v>1.11</v>
      </c>
      <c r="C154" t="n">
        <v>0.9</v>
      </c>
      <c r="D154" t="n">
        <v>118.4</v>
      </c>
      <c r="E154" t="n">
        <v>1427</v>
      </c>
      <c r="F154" t="n">
        <v>0.002</v>
      </c>
      <c r="G154" t="n">
        <v>0.027</v>
      </c>
      <c r="H154" t="n">
        <v>-6.9</v>
      </c>
      <c r="I154" t="n">
        <v>5.8</v>
      </c>
      <c r="J154" t="n">
        <v>0.055</v>
      </c>
      <c r="K154" t="n">
        <v>2.5</v>
      </c>
      <c r="L154" t="n">
        <v>0</v>
      </c>
      <c r="M154" t="n">
        <v>12.87</v>
      </c>
      <c r="N154" t="n">
        <v>0.1457</v>
      </c>
      <c r="O154" t="n">
        <v>47.4</v>
      </c>
    </row>
    <row r="155" ht="16" customHeight="1" thickBot="1">
      <c r="A155" t="inlineStr">
        <is>
          <t>Sri Lanka</t>
        </is>
      </c>
      <c r="B155" t="n">
        <v>199</v>
      </c>
      <c r="C155" t="n">
        <v>-4</v>
      </c>
      <c r="D155" t="n">
        <v>104.6</v>
      </c>
      <c r="E155" t="n">
        <v>89</v>
      </c>
      <c r="F155" t="n">
        <v>0.014</v>
      </c>
      <c r="G155" t="n">
        <v>-0.118</v>
      </c>
      <c r="H155" t="n">
        <v>-12.2</v>
      </c>
      <c r="I155" t="n">
        <v>54.2</v>
      </c>
      <c r="J155" t="n">
        <v>0.099</v>
      </c>
      <c r="K155" t="n">
        <v>14.5</v>
      </c>
      <c r="L155" t="n">
        <v>0.05</v>
      </c>
      <c r="M155" t="n">
        <v>5</v>
      </c>
      <c r="N155" t="n">
        <v>0.051</v>
      </c>
      <c r="O155" t="n">
        <v>22.16</v>
      </c>
    </row>
    <row r="156" ht="16" customHeight="1" thickBot="1">
      <c r="A156" t="inlineStr">
        <is>
          <t>Sudan</t>
        </is>
      </c>
      <c r="B156" t="n">
        <v>45.11</v>
      </c>
      <c r="C156" t="n">
        <v>-10</v>
      </c>
      <c r="D156" t="n">
        <v>182</v>
      </c>
      <c r="E156" t="n">
        <v>34</v>
      </c>
      <c r="F156" t="n">
        <v/>
      </c>
      <c r="G156" t="n">
        <v>0.005</v>
      </c>
      <c r="H156" t="n">
        <v>-4.5</v>
      </c>
      <c r="I156" t="n">
        <v>87.3</v>
      </c>
      <c r="J156" t="n">
        <v>3.396</v>
      </c>
      <c r="K156" t="n">
        <v>27.22</v>
      </c>
      <c r="L156" t="n">
        <v>0.171</v>
      </c>
      <c r="M156" t="n">
        <v>19.81</v>
      </c>
      <c r="N156" t="n">
        <v>0.177</v>
      </c>
      <c r="O156" t="n">
        <v>44.91</v>
      </c>
    </row>
    <row r="157" ht="16" customHeight="1" thickBot="1">
      <c r="A157" t="inlineStr">
        <is>
          <t>Suriname</t>
        </is>
      </c>
      <c r="B157" t="n">
        <v>7.46</v>
      </c>
      <c r="C157" t="n">
        <v>5.2</v>
      </c>
      <c r="D157" t="n">
        <v>123.8</v>
      </c>
      <c r="E157" t="n">
        <v>3</v>
      </c>
      <c r="F157" t="n">
        <v/>
      </c>
      <c r="G157" t="n">
        <v>-0.033</v>
      </c>
      <c r="H157" t="n">
        <v>2.5</v>
      </c>
      <c r="I157" t="n">
        <v>54.56</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5.5</v>
      </c>
      <c r="J158" t="n">
        <v>0.033</v>
      </c>
      <c r="K158" t="n">
        <v>6.5</v>
      </c>
      <c r="L158" t="n">
        <v>0.0375</v>
      </c>
      <c r="M158" t="n">
        <v>25.8</v>
      </c>
      <c r="N158" t="n">
        <v>0.234</v>
      </c>
      <c r="O158" t="n">
        <v>1.17</v>
      </c>
    </row>
    <row r="159" ht="16" customHeight="1" thickBot="1">
      <c r="A159" t="inlineStr">
        <is>
          <t>Sweden</t>
        </is>
      </c>
      <c r="B159" t="n">
        <v>8.65</v>
      </c>
      <c r="C159" t="n">
        <v>5.3</v>
      </c>
      <c r="D159" t="n">
        <v>36.7</v>
      </c>
      <c r="E159" t="n">
        <v>636</v>
      </c>
      <c r="F159" t="n">
        <v>-0.006</v>
      </c>
      <c r="G159" t="n">
        <v>-0.006</v>
      </c>
      <c r="H159" t="n">
        <v>-0.1</v>
      </c>
      <c r="I159" t="n">
        <v>12.3</v>
      </c>
      <c r="J159" t="n">
        <v>0.033</v>
      </c>
      <c r="K159" t="n">
        <v>2.5</v>
      </c>
      <c r="L159" t="n">
        <v>0</v>
      </c>
      <c r="M159" t="n">
        <v>6.9</v>
      </c>
      <c r="N159" t="n">
        <v>0.075</v>
      </c>
      <c r="O159" t="n">
        <v>10.38</v>
      </c>
    </row>
    <row r="160" ht="16" customHeight="1" thickBot="1">
      <c r="A160" t="inlineStr">
        <is>
          <t>Switzerland</t>
        </is>
      </c>
      <c r="B160" t="n">
        <v>0.92</v>
      </c>
      <c r="C160" t="n">
        <v>9.300000000000001</v>
      </c>
      <c r="D160" t="n">
        <v>41.4</v>
      </c>
      <c r="E160" t="n">
        <v>801</v>
      </c>
      <c r="F160" t="n">
        <v>0.002</v>
      </c>
      <c r="G160" t="n">
        <v>0.005</v>
      </c>
      <c r="H160" t="n">
        <v>-0.7</v>
      </c>
      <c r="I160" t="n">
        <v>2.8</v>
      </c>
      <c r="J160" t="n">
        <v>0.015</v>
      </c>
      <c r="K160" t="n">
        <v>1</v>
      </c>
      <c r="L160" t="n">
        <v>-0.0075</v>
      </c>
      <c r="M160" t="n">
        <v>2.1</v>
      </c>
      <c r="N160" t="n">
        <v>0.025</v>
      </c>
      <c r="O160" t="n">
        <v>8.67</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-0.0108</v>
      </c>
      <c r="G162" t="n">
        <v>-0.0086</v>
      </c>
      <c r="H162" t="n">
        <v>-0.5</v>
      </c>
      <c r="I162" t="n">
        <v>2.71</v>
      </c>
      <c r="J162" t="n">
        <v>0.0284</v>
      </c>
      <c r="K162" t="n">
        <v>1.75</v>
      </c>
      <c r="L162" t="n">
        <v>0.0113</v>
      </c>
      <c r="M162" t="n">
        <v>3.61</v>
      </c>
      <c r="N162" t="n">
        <v>0.0371</v>
      </c>
      <c r="O162" t="n">
        <v>23.38</v>
      </c>
    </row>
    <row r="163" ht="16" customHeight="1" thickBot="1">
      <c r="A163" t="inlineStr">
        <is>
          <t>Tajikistan</t>
        </is>
      </c>
      <c r="B163" t="n">
        <v>9.68</v>
      </c>
      <c r="C163" t="n">
        <v>8.4</v>
      </c>
      <c r="D163" t="n">
        <v>53.67</v>
      </c>
      <c r="E163" t="n">
        <v>9</v>
      </c>
      <c r="F163" t="n">
        <v/>
      </c>
      <c r="G163" t="n">
        <v>0.078</v>
      </c>
      <c r="H163" t="n">
        <v>0.2</v>
      </c>
      <c r="I163" t="n">
        <v>4.5</v>
      </c>
      <c r="J163" t="n">
        <v>0.08699999999999999</v>
      </c>
      <c r="K163" t="n">
        <v>13</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0.052</v>
      </c>
      <c r="H164" t="n">
        <v>-4</v>
      </c>
      <c r="I164" t="n">
        <v>4.8</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0.012</v>
      </c>
      <c r="G165" t="n">
        <v>0.045</v>
      </c>
      <c r="H165" t="n">
        <v>-4.9</v>
      </c>
      <c r="I165" t="n">
        <v>5.89</v>
      </c>
      <c r="J165" t="n">
        <v>0.0271</v>
      </c>
      <c r="K165" t="n">
        <v>1.5</v>
      </c>
      <c r="L165" t="n">
        <v>0.005</v>
      </c>
      <c r="M165" t="n">
        <v>1.23</v>
      </c>
      <c r="N165" t="n">
        <v>0.0225</v>
      </c>
      <c r="O165" t="n">
        <v>66.17</v>
      </c>
    </row>
    <row r="166" ht="16" customHeight="1" thickBot="1">
      <c r="A166" t="inlineStr">
        <is>
          <t>Togo</t>
        </is>
      </c>
      <c r="B166" t="n">
        <v>588.96</v>
      </c>
      <c r="C166" t="n">
        <v>-5</v>
      </c>
      <c r="D166" t="n">
        <v>61</v>
      </c>
      <c r="E166" t="n">
        <v>8</v>
      </c>
      <c r="F166" t="n">
        <v/>
      </c>
      <c r="G166" t="n">
        <v>0.058</v>
      </c>
      <c r="H166" t="n">
        <v>-6</v>
      </c>
      <c r="I166" t="n">
        <v>7.7</v>
      </c>
      <c r="J166" t="n">
        <v>0.059</v>
      </c>
      <c r="K166" t="n">
        <v>4.75</v>
      </c>
      <c r="L166" t="n">
        <v>0.04</v>
      </c>
      <c r="M166" t="n">
        <v>4</v>
      </c>
      <c r="N166" t="n">
        <v>0.04099999999999999</v>
      </c>
      <c r="O166" t="n">
        <v>8.5</v>
      </c>
    </row>
    <row r="167" ht="16" customHeight="1" thickBot="1">
      <c r="A167" t="inlineStr">
        <is>
          <t>Trinidadand Tobago</t>
        </is>
      </c>
      <c r="B167" t="n">
        <v>6.74</v>
      </c>
      <c r="C167" t="n">
        <v>4.5</v>
      </c>
      <c r="D167" t="n">
        <v>83.3</v>
      </c>
      <c r="E167" t="n">
        <v>24</v>
      </c>
      <c r="F167" t="n">
        <v>0.014</v>
      </c>
      <c r="G167" t="n">
        <v>0.063</v>
      </c>
      <c r="H167" t="n">
        <v>-11</v>
      </c>
      <c r="I167" t="n">
        <v>6.2</v>
      </c>
      <c r="J167" t="n">
        <v>0.022</v>
      </c>
      <c r="K167" t="n">
        <v>3.5</v>
      </c>
      <c r="L167" t="n">
        <v>0.035</v>
      </c>
      <c r="M167" t="n">
        <v>5.4</v>
      </c>
      <c r="N167" t="n">
        <v>0.051</v>
      </c>
      <c r="O167" t="n">
        <v>1.38</v>
      </c>
    </row>
    <row r="168" ht="16" customHeight="1" thickBot="1">
      <c r="A168" t="inlineStr">
        <is>
          <t>Tunisia</t>
        </is>
      </c>
      <c r="B168" t="n">
        <v>2.8</v>
      </c>
      <c r="C168" t="n">
        <v>-8.6</v>
      </c>
      <c r="D168" t="n">
        <v>80</v>
      </c>
      <c r="E168" t="n">
        <v>47</v>
      </c>
      <c r="F168" t="n">
        <v>0.004</v>
      </c>
      <c r="G168" t="n">
        <v>0.029</v>
      </c>
      <c r="H168" t="n">
        <v>-7.6</v>
      </c>
      <c r="I168" t="n">
        <v>10.1</v>
      </c>
      <c r="J168" t="n">
        <v>0.064</v>
      </c>
      <c r="K168" t="n">
        <v>8</v>
      </c>
      <c r="L168" t="n">
        <v>0.0625</v>
      </c>
      <c r="M168" t="n">
        <v>15.3</v>
      </c>
      <c r="N168" t="n">
        <v>0.178</v>
      </c>
      <c r="O168" t="n">
        <v>11.94</v>
      </c>
    </row>
    <row r="169" ht="16" customHeight="1" thickBot="1">
      <c r="A169" t="inlineStr">
        <is>
          <t>Turkey</t>
        </is>
      </c>
      <c r="B169" t="n">
        <v>8.619999999999999</v>
      </c>
      <c r="C169" t="n">
        <v>-1.7</v>
      </c>
      <c r="D169" t="n">
        <v>42</v>
      </c>
      <c r="E169" t="n">
        <v>819</v>
      </c>
      <c r="F169" t="n">
        <v>-0.001</v>
      </c>
      <c r="G169" t="n">
        <v>0.039</v>
      </c>
      <c r="H169" t="n">
        <v>-2.7</v>
      </c>
      <c r="I169" t="n">
        <v>64.27</v>
      </c>
      <c r="J169" t="n">
        <v>0.2131</v>
      </c>
      <c r="K169" t="n">
        <v>9</v>
      </c>
      <c r="L169" t="n">
        <v>0.14</v>
      </c>
      <c r="M169" t="n">
        <v>10.2</v>
      </c>
      <c r="N169" t="n">
        <v>0.112</v>
      </c>
      <c r="O169" t="n">
        <v>84.68000000000001</v>
      </c>
    </row>
    <row r="170" ht="16" customHeight="1" thickBot="1">
      <c r="A170" t="inlineStr">
        <is>
          <t>Turkmenistan</t>
        </is>
      </c>
      <c r="B170" t="n">
        <v>3.5</v>
      </c>
      <c r="C170" t="n">
        <v>0.6</v>
      </c>
      <c r="D170" t="n">
        <v>8</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41</v>
      </c>
      <c r="F171" t="n">
        <v>-0.001</v>
      </c>
      <c r="G171" t="n">
        <v>0.075</v>
      </c>
      <c r="H171" t="n">
        <v>-7.3</v>
      </c>
      <c r="I171" t="n">
        <v>10.4</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0.09</v>
      </c>
      <c r="G172" t="n">
        <v>-0.308</v>
      </c>
      <c r="H172" t="n">
        <v>-3.4</v>
      </c>
      <c r="I172" t="n">
        <v>26.6</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415</v>
      </c>
      <c r="F173" t="n">
        <v>0.02</v>
      </c>
      <c r="G173" t="n">
        <v>0.039</v>
      </c>
      <c r="H173" t="n">
        <v>0.8</v>
      </c>
      <c r="I173" t="n">
        <v>6.77</v>
      </c>
      <c r="J173" t="n">
        <v>0.012</v>
      </c>
      <c r="K173" t="n">
        <v>4.65</v>
      </c>
      <c r="L173" t="n">
        <v>0.015</v>
      </c>
      <c r="M173" t="n">
        <v>3.9</v>
      </c>
      <c r="N173" t="n">
        <v>0.05</v>
      </c>
      <c r="O173" t="n">
        <v>9.99</v>
      </c>
    </row>
    <row r="174" ht="16" customHeight="1" thickBot="1">
      <c r="A174" t="inlineStr">
        <is>
          <t>United Kingdom</t>
        </is>
      </c>
      <c r="B174" t="n">
        <v>1.25</v>
      </c>
      <c r="C174" t="n">
        <v>-2</v>
      </c>
      <c r="D174" t="n">
        <v>97.40000000000001</v>
      </c>
      <c r="E174" t="n">
        <v>3131</v>
      </c>
      <c r="F174" t="n">
        <v>-0.003</v>
      </c>
      <c r="G174" t="n">
        <v>0.019</v>
      </c>
      <c r="H174" t="n">
        <v>-5.7</v>
      </c>
      <c r="I174" t="n">
        <v>10.5</v>
      </c>
      <c r="J174" t="n">
        <v>0.051</v>
      </c>
      <c r="K174" t="n">
        <v>3.5</v>
      </c>
      <c r="L174" t="n">
        <v>0.0025</v>
      </c>
      <c r="M174" t="n">
        <v>3.7</v>
      </c>
      <c r="N174" t="n">
        <v>0.042</v>
      </c>
      <c r="O174" t="n">
        <v>67.53</v>
      </c>
    </row>
    <row r="175" ht="16" customHeight="1" thickBot="1">
      <c r="A175" t="inlineStr">
        <is>
          <t>United States</t>
        </is>
      </c>
      <c r="B175" t="n">
        <v>98.56</v>
      </c>
      <c r="C175" t="n">
        <v>-3.6</v>
      </c>
      <c r="D175" t="n">
        <v>129</v>
      </c>
      <c r="E175" t="n">
        <v>23315</v>
      </c>
      <c r="F175" t="n">
        <v>0.029</v>
      </c>
      <c r="G175" t="n">
        <v>0.01</v>
      </c>
      <c r="H175" t="n">
        <v>-16.7</v>
      </c>
      <c r="I175" t="n">
        <v>6.5</v>
      </c>
      <c r="J175" t="n">
        <v>0.068</v>
      </c>
      <c r="K175" t="n">
        <v>4.75</v>
      </c>
      <c r="L175" t="n">
        <v>0.0025</v>
      </c>
      <c r="M175" t="n">
        <v>3.5</v>
      </c>
      <c r="N175" t="n">
        <v>0.042</v>
      </c>
      <c r="O175" t="n">
        <v>334.23</v>
      </c>
    </row>
    <row r="176" ht="16" customHeight="1" thickBot="1">
      <c r="A176" t="inlineStr">
        <is>
          <t>Uruguay</t>
        </is>
      </c>
      <c r="B176" t="n">
        <v>37.81</v>
      </c>
      <c r="C176" t="n">
        <v>-1.8</v>
      </c>
      <c r="D176" t="n">
        <v>71.5</v>
      </c>
      <c r="E176" t="n">
        <v>59</v>
      </c>
      <c r="F176" t="n">
        <v>0.006</v>
      </c>
      <c r="G176" t="n">
        <v>0.03700000000000001</v>
      </c>
      <c r="H176" t="n">
        <v>-3.8</v>
      </c>
      <c r="I176" t="n">
        <v>8.289999999999999</v>
      </c>
      <c r="J176" t="n">
        <v>0.08070000000000001</v>
      </c>
      <c r="K176" t="n">
        <v>11.5</v>
      </c>
      <c r="L176" t="n">
        <v>0.0525</v>
      </c>
      <c r="M176" t="n">
        <v>7.9</v>
      </c>
      <c r="N176" t="n">
        <v>0.08</v>
      </c>
      <c r="O176" t="n">
        <v>3.54</v>
      </c>
    </row>
    <row r="177" ht="16" customHeight="1"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thickBot="1">
      <c r="A178" t="inlineStr">
        <is>
          <t>Venezuela</t>
        </is>
      </c>
      <c r="B178" t="n">
        <v>971748.8</v>
      </c>
      <c r="C178" t="n">
        <v>-2.1</v>
      </c>
      <c r="D178" t="n">
        <v>241</v>
      </c>
      <c r="E178" t="n">
        <v>106</v>
      </c>
      <c r="F178" t="n">
        <v>-0.237</v>
      </c>
      <c r="G178" t="n">
        <v>-0.015</v>
      </c>
      <c r="H178" t="n">
        <v>-4.5</v>
      </c>
      <c r="I178" t="n">
        <v>155.8</v>
      </c>
      <c r="J178" t="n">
        <v>11.975</v>
      </c>
      <c r="K178" t="n">
        <v>57.97</v>
      </c>
      <c r="L178" t="n">
        <v>0.5686</v>
      </c>
      <c r="M178" t="n">
        <v>6.4</v>
      </c>
      <c r="N178" t="n">
        <v>0.064</v>
      </c>
      <c r="O178" t="n">
        <v>32.98</v>
      </c>
    </row>
    <row r="179">
      <c r="A179" t="inlineStr">
        <is>
          <t>Vietnam</t>
        </is>
      </c>
      <c r="B179" t="n">
        <v>23170</v>
      </c>
      <c r="C179" t="n">
        <v>-0.5</v>
      </c>
      <c r="D179" t="n">
        <v>39.6</v>
      </c>
      <c r="E179" t="n">
        <v>366</v>
      </c>
      <c r="F179" t="n">
        <v>0.0688</v>
      </c>
      <c r="G179" t="n">
        <v>0.0592</v>
      </c>
      <c r="H179" t="n">
        <v>-3.41</v>
      </c>
      <c r="I179" t="n">
        <v>4.89</v>
      </c>
      <c r="J179" t="n">
        <v>0.021</v>
      </c>
      <c r="K179" t="n">
        <v>6</v>
      </c>
      <c r="L179" t="n">
        <v>0.04</v>
      </c>
      <c r="M179" t="n">
        <v>2.32</v>
      </c>
      <c r="N179" t="n">
        <v>0.0372</v>
      </c>
      <c r="O179" t="n">
        <v>98.51000000000001</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22</v>
      </c>
      <c r="F181" t="n">
        <v/>
      </c>
      <c r="G181" t="n">
        <v>0.053</v>
      </c>
      <c r="H181" t="n">
        <v>-9</v>
      </c>
      <c r="I181" t="n">
        <v>9.4</v>
      </c>
      <c r="J181" t="n">
        <v>0.193</v>
      </c>
      <c r="K181" t="n">
        <v>9</v>
      </c>
      <c r="L181" t="n">
        <v>0.09</v>
      </c>
      <c r="M181" t="n">
        <v>13</v>
      </c>
      <c r="N181" t="n">
        <v>0.122</v>
      </c>
      <c r="O181" t="n">
        <v>18.92</v>
      </c>
    </row>
    <row r="182">
      <c r="A182" t="inlineStr">
        <is>
          <t>Zimbabwe</t>
        </is>
      </c>
      <c r="B182" t="n">
        <v>16.36</v>
      </c>
      <c r="C182" t="n">
        <v>-1.89</v>
      </c>
      <c r="D182" t="n">
        <v>77.2</v>
      </c>
      <c r="E182" t="n">
        <v>28</v>
      </c>
      <c r="F182" t="n">
        <v/>
      </c>
      <c r="G182" t="n">
        <v>0.058</v>
      </c>
      <c r="H182" t="n">
        <v>-1.5</v>
      </c>
      <c r="I182" t="n">
        <v>229.8</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zoomScale="124" zoomScaleNormal="130" workbookViewId="0">
      <pane xSplit="2" ySplit="9" topLeftCell="C84" activePane="bottomRight" state="frozen"/>
      <selection activeCell="T15" sqref="T15"/>
      <selection pane="topRight" activeCell="T15" sqref="T15"/>
      <selection pane="bottomLeft" activeCell="T15" sqref="T15"/>
      <selection pane="bottomRight" activeCell="J110" sqref="J110"/>
    </sheetView>
  </sheetViews>
  <sheetFormatPr baseColWidth="8" defaultColWidth="8.81640625" defaultRowHeight="14.5"/>
  <cols>
    <col width="9.1796875" customWidth="1" style="75" min="1" max="1"/>
    <col width="13" bestFit="1" customWidth="1" min="2" max="2"/>
    <col width="9" bestFit="1" customWidth="1" min="3" max="26"/>
    <col width="9" customWidth="1" min="27" max="27"/>
    <col width="6.1796875" customWidth="1" min="28" max="28"/>
    <col width="8" bestFit="1" customWidth="1" style="75" min="29" max="29"/>
    <col width="16.36328125" bestFit="1" customWidth="1" style="75" min="30" max="30"/>
    <col width="8" bestFit="1" customWidth="1" style="75" min="31" max="31"/>
    <col width="5.36328125" bestFit="1" customWidth="1" style="75" min="32" max="32"/>
    <col width="37" bestFit="1" customWidth="1" style="75" min="33" max="33"/>
    <col width="41" bestFit="1" customWidth="1" style="75" min="34" max="34"/>
    <col width="9.179687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5">
      <c r="AD2" s="75" t="inlineStr">
        <is>
          <t>Last quarter</t>
        </is>
      </c>
      <c r="AE2" s="63" t="inlineStr">
        <is>
          <t>2022-Q3</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5"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5"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5" t="n"/>
      <c r="AC6" s="18" t="n"/>
      <c r="AD6" s="75" t="inlineStr">
        <is>
          <t>Country 1</t>
        </is>
      </c>
      <c r="AE6" s="17" t="inlineStr">
        <is>
          <t>GBR</t>
        </is>
      </c>
      <c r="AG6" s="75">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5"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5"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5"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5"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5"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5"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5"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5"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5"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5"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5"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5"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5">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5">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5">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5">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5">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5">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5">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5">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5">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5">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5">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5">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5">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5">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5">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5">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5">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82" activePane="bottomLeft" state="frozen"/>
      <selection activeCell="F175" sqref="F175"/>
      <selection pane="bottomLeft" activeCell="W102" sqref="W102"/>
    </sheetView>
  </sheetViews>
  <sheetFormatPr baseColWidth="8" defaultColWidth="8.81640625" defaultRowHeight="14.5"/>
  <cols>
    <col width="9.1796875" customWidth="1" style="75" min="1" max="1"/>
    <col width="13.6328125" customWidth="1" min="2" max="2"/>
    <col width="6.1796875" customWidth="1" min="3" max="27"/>
    <col width="6.1796875" customWidth="1" style="75" min="28" max="28"/>
    <col width="15.36328125" customWidth="1" style="75" min="29" max="30"/>
    <col width="10.6328125" bestFit="1" customWidth="1" style="75" min="31" max="31"/>
    <col width="9.179687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5"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5">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5">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5">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5">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5">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5">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5">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5">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5">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5">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5">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5">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5">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5">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5">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5">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5">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5"/>
    <row r="102" customFormat="1" s="75"/>
    <row r="103" customFormat="1" s="75"/>
    <row r="104" customFormat="1" s="75">
      <c r="C104" s="27" t="n"/>
    </row>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78" activePane="bottomLeft" state="frozen"/>
      <selection activeCell="L191" sqref="L191"/>
      <selection pane="bottomLeft" activeCell="F104" sqref="F104"/>
    </sheetView>
  </sheetViews>
  <sheetFormatPr baseColWidth="8" defaultColWidth="8.81640625" defaultRowHeight="14.5"/>
  <cols>
    <col width="10.453125" customWidth="1" style="75"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5" min="28" max="28"/>
    <col width="8" bestFit="1" customWidth="1" style="75" min="29" max="29"/>
    <col width="15" bestFit="1" customWidth="1" style="75" min="30" max="30"/>
    <col width="8" bestFit="1" customWidth="1" style="75" min="31" max="31"/>
    <col width="9.1796875" customWidth="1" style="75" min="32" max="33"/>
    <col width="18.1796875" bestFit="1" customWidth="1" style="75" min="34" max="34"/>
    <col width="9.179687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5"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5">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5">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5">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5">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5">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5">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5">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5">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5">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5">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5">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5">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5">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5">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5">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5">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5">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5">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70" zoomScaleNormal="170" workbookViewId="0">
      <selection activeCell="T15" sqref="T15"/>
    </sheetView>
  </sheetViews>
  <sheetFormatPr baseColWidth="8" defaultColWidth="9.1796875" defaultRowHeight="14.5"/>
  <cols>
    <col width="9.1796875" customWidth="1" style="75" min="1" max="1"/>
    <col width="31.81640625" customWidth="1" style="75" min="2" max="2"/>
    <col width="13.81640625" customWidth="1" style="75" min="3" max="3"/>
    <col width="12.36328125" customWidth="1" style="75" min="4" max="4"/>
    <col width="19.7265625" customWidth="1" style="75" min="5" max="5"/>
    <col width="9.1796875" customWidth="1" style="75" min="6" max="36"/>
    <col width="9.1796875" customWidth="1" style="75" min="37" max="16384"/>
  </cols>
  <sheetData>
    <row r="1" ht="16" customHeight="1" thickBot="1"/>
    <row r="2" ht="17" customHeight="1" thickBot="1">
      <c r="B2" s="69" t="inlineStr">
        <is>
          <t>Country Name</t>
        </is>
      </c>
      <c r="C2" s="60" t="inlineStr">
        <is>
          <t>% World GDP</t>
        </is>
      </c>
      <c r="D2" s="61" t="inlineStr">
        <is>
          <t xml:space="preserve">GDP y/y </t>
        </is>
      </c>
      <c r="E2" s="61" t="inlineStr">
        <is>
          <t>GDP q/q Annualized</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5"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5"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5" t="inlineStr">
        <is>
          <t>Total GDP</t>
        </is>
      </c>
      <c r="C31" s="75">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J435"/>
  <sheetViews>
    <sheetView zoomScale="110" zoomScaleNormal="110" workbookViewId="0">
      <pane ySplit="1" topLeftCell="A2" activePane="bottomLeft" state="frozen"/>
      <selection activeCell="F175" sqref="F175"/>
      <selection pane="bottomLeft" activeCell="R298" sqref="R298"/>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5" min="5" max="48"/>
  </cols>
  <sheetData>
    <row r="1" ht="32" customHeight="1">
      <c r="A1" s="39" t="inlineStr">
        <is>
          <t>Data</t>
        </is>
      </c>
      <c r="B1" s="45" t="inlineStr">
        <is>
          <t>JPN</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8" t="inlineStr">
        <is>
          <t>ARG</t>
        </is>
      </c>
      <c r="G2" s="46" t="n"/>
      <c r="H2" s="46" t="n"/>
      <c r="J2" s="75">
        <f>B1&amp;" "&amp;C1</f>
        <v/>
      </c>
    </row>
    <row r="3">
      <c r="A3" s="42" t="n">
        <v>17441</v>
      </c>
      <c r="B3" s="43">
        <f>VLOOKUP(A3,'Data yoy'!$B:$AW,MATCH($B$1,'Data yoy'!$B$1:$AW$1,0),FALSE)</f>
        <v/>
      </c>
      <c r="C3" s="43">
        <f>Table13456789101112131415161734[[#This Row],[JPN]]-B2</f>
        <v/>
      </c>
      <c r="D3" s="46" t="n"/>
      <c r="E3" s="46" t="n"/>
      <c r="F3" s="48" t="inlineStr">
        <is>
          <t>AUS</t>
        </is>
      </c>
      <c r="G3" s="46" t="n"/>
      <c r="H3" s="46" t="n"/>
      <c r="J3" s="75">
        <f>J2&amp;" 2000-"</f>
        <v/>
      </c>
    </row>
    <row r="4">
      <c r="A4" s="42" t="n">
        <v>17533</v>
      </c>
      <c r="B4" s="43">
        <f>VLOOKUP(A4,'Data yoy'!$B:$AW,MATCH($B$1,'Data yoy'!$B$1:$AW$1,0),FALSE)</f>
        <v/>
      </c>
      <c r="C4" s="43">
        <f>Table13456789101112131415161734[[#This Row],[JPN]]-B3</f>
        <v/>
      </c>
      <c r="D4" s="46" t="n"/>
      <c r="E4" s="46" t="n"/>
      <c r="F4" s="48" t="inlineStr">
        <is>
          <t>AUT</t>
        </is>
      </c>
      <c r="G4" s="46" t="n"/>
      <c r="H4" s="46" t="n"/>
    </row>
    <row r="5">
      <c r="A5" s="42" t="n">
        <v>17624</v>
      </c>
      <c r="B5" s="43">
        <f>VLOOKUP(A5,'Data yoy'!$B:$AW,MATCH($B$1,'Data yoy'!$B$1:$AW$1,0),FALSE)</f>
        <v/>
      </c>
      <c r="C5" s="43">
        <f>Table13456789101112131415161734[[#This Row],[JPN]]-B4</f>
        <v/>
      </c>
      <c r="D5" s="46" t="n"/>
      <c r="E5" s="46" t="n"/>
      <c r="F5" s="48" t="inlineStr">
        <is>
          <t>BEL</t>
        </is>
      </c>
      <c r="G5" s="46" t="n"/>
      <c r="H5" s="46" t="n"/>
    </row>
    <row r="6">
      <c r="A6" s="42" t="n">
        <v>17715</v>
      </c>
      <c r="B6" s="43">
        <f>VLOOKUP(A6,'Data yoy'!$B:$AW,MATCH($B$1,'Data yoy'!$B$1:$AW$1,0),FALSE)</f>
        <v/>
      </c>
      <c r="C6" s="43">
        <f>Table13456789101112131415161734[[#This Row],[JPN]]-B5</f>
        <v/>
      </c>
      <c r="D6" s="46" t="n"/>
      <c r="E6" s="46" t="n"/>
      <c r="F6" s="48" t="inlineStr">
        <is>
          <t>BRA</t>
        </is>
      </c>
      <c r="G6" s="46" t="n"/>
      <c r="H6" s="46" t="n"/>
    </row>
    <row r="7">
      <c r="A7" s="42" t="n">
        <v>17807</v>
      </c>
      <c r="B7" s="43">
        <f>VLOOKUP(A7,'Data yoy'!$B:$AW,MATCH($B$1,'Data yoy'!$B$1:$AW$1,0),FALSE)</f>
        <v/>
      </c>
      <c r="C7" s="43">
        <f>Table13456789101112131415161734[[#This Row],[JPN]]-B6</f>
        <v/>
      </c>
      <c r="D7" s="46" t="n"/>
      <c r="E7" s="46" t="n"/>
      <c r="F7" s="48" t="inlineStr">
        <is>
          <t>CAN</t>
        </is>
      </c>
      <c r="G7" s="46" t="n"/>
      <c r="H7" s="46" t="n"/>
    </row>
    <row r="8">
      <c r="A8" s="42" t="n">
        <v>17899</v>
      </c>
      <c r="B8" s="43">
        <f>VLOOKUP(A8,'Data yoy'!$B:$AW,MATCH($B$1,'Data yoy'!$B$1:$AW$1,0),FALSE)</f>
        <v/>
      </c>
      <c r="C8" s="43">
        <f>Table13456789101112131415161734[[#This Row],[JPN]]-B7</f>
        <v/>
      </c>
      <c r="D8" s="46" t="n"/>
      <c r="E8" s="46" t="n"/>
      <c r="F8" s="48" t="inlineStr">
        <is>
          <t>CHE</t>
        </is>
      </c>
      <c r="G8" s="46" t="n"/>
      <c r="H8" s="46" t="n"/>
    </row>
    <row r="9">
      <c r="A9" s="42" t="n">
        <v>17989</v>
      </c>
      <c r="B9" s="43">
        <f>VLOOKUP(A9,'Data yoy'!$B:$AW,MATCH($B$1,'Data yoy'!$B$1:$AW$1,0),FALSE)</f>
        <v/>
      </c>
      <c r="C9" s="43">
        <f>Table13456789101112131415161734[[#This Row],[JPN]]-B8</f>
        <v/>
      </c>
      <c r="D9" s="46" t="n"/>
      <c r="E9" s="46" t="n"/>
      <c r="F9" s="48" t="inlineStr">
        <is>
          <t>CHL</t>
        </is>
      </c>
      <c r="G9" s="46" t="n"/>
      <c r="H9" s="46" t="n"/>
    </row>
    <row r="10">
      <c r="A10" s="42" t="n">
        <v>18080</v>
      </c>
      <c r="B10" s="43">
        <f>VLOOKUP(A10,'Data yoy'!$B:$AW,MATCH($B$1,'Data yoy'!$B$1:$AW$1,0),FALSE)</f>
        <v/>
      </c>
      <c r="C10" s="43">
        <f>Table13456789101112131415161734[[#This Row],[JPN]]-B9</f>
        <v/>
      </c>
      <c r="D10" s="46" t="n"/>
      <c r="E10" s="46" t="n"/>
      <c r="F10" s="48" t="inlineStr">
        <is>
          <t>CHN</t>
        </is>
      </c>
      <c r="G10" s="46" t="n"/>
      <c r="H10" s="46" t="n"/>
    </row>
    <row r="11">
      <c r="A11" s="42" t="n">
        <v>18172</v>
      </c>
      <c r="B11" s="43">
        <f>VLOOKUP(A11,'Data yoy'!$B:$AW,MATCH($B$1,'Data yoy'!$B$1:$AW$1,0),FALSE)</f>
        <v/>
      </c>
      <c r="C11" s="43">
        <f>Table13456789101112131415161734[[#This Row],[JPN]]-B10</f>
        <v/>
      </c>
      <c r="D11" s="46" t="n"/>
      <c r="E11" s="46" t="n"/>
      <c r="F11" s="48" t="inlineStr">
        <is>
          <t>CZE</t>
        </is>
      </c>
      <c r="G11" s="46" t="n"/>
      <c r="H11" s="46" t="n"/>
    </row>
    <row r="12">
      <c r="A12" s="42" t="n">
        <v>18264</v>
      </c>
      <c r="B12" s="43">
        <f>VLOOKUP(A12,'Data yoy'!$B:$AW,MATCH($B$1,'Data yoy'!$B$1:$AW$1,0),FALSE)</f>
        <v/>
      </c>
      <c r="C12" s="43">
        <f>Table13456789101112131415161734[[#This Row],[JPN]]-B11</f>
        <v/>
      </c>
      <c r="D12" s="27" t="n"/>
      <c r="F12" s="75" t="inlineStr">
        <is>
          <t>DEU</t>
        </is>
      </c>
    </row>
    <row r="13">
      <c r="A13" s="42" t="n">
        <v>18354</v>
      </c>
      <c r="B13" s="43">
        <f>VLOOKUP(A13,'Data yoy'!$B:$AW,MATCH($B$1,'Data yoy'!$B$1:$AW$1,0),FALSE)</f>
        <v/>
      </c>
      <c r="C13" s="43">
        <f>Table13456789101112131415161734[[#This Row],[JPN]]-B12</f>
        <v/>
      </c>
      <c r="D13" s="27" t="n"/>
      <c r="F13" s="75" t="inlineStr">
        <is>
          <t>DNK</t>
        </is>
      </c>
    </row>
    <row r="14">
      <c r="A14" s="42" t="n">
        <v>18445</v>
      </c>
      <c r="B14" s="43">
        <f>VLOOKUP(A14,'Data yoy'!$B:$AW,MATCH($B$1,'Data yoy'!$B$1:$AW$1,0),FALSE)</f>
        <v/>
      </c>
      <c r="C14" s="43">
        <f>Table13456789101112131415161734[[#This Row],[JPN]]-B13</f>
        <v/>
      </c>
      <c r="D14" s="27" t="n"/>
      <c r="F14" s="75" t="inlineStr">
        <is>
          <t>EA19</t>
        </is>
      </c>
    </row>
    <row r="15">
      <c r="A15" s="42" t="n">
        <v>18537</v>
      </c>
      <c r="B15" s="43">
        <f>VLOOKUP(A15,'Data yoy'!$B:$AW,MATCH($B$1,'Data yoy'!$B$1:$AW$1,0),FALSE)</f>
        <v/>
      </c>
      <c r="C15" s="43">
        <f>Table13456789101112131415161734[[#This Row],[JPN]]-B14</f>
        <v/>
      </c>
      <c r="D15" s="27" t="n"/>
      <c r="F15" s="75" t="inlineStr">
        <is>
          <t>ESP</t>
        </is>
      </c>
    </row>
    <row r="16">
      <c r="A16" s="42" t="n">
        <v>18629</v>
      </c>
      <c r="B16" s="43">
        <f>VLOOKUP(A16,'Data yoy'!$B:$AW,MATCH($B$1,'Data yoy'!$B$1:$AW$1,0),FALSE)</f>
        <v/>
      </c>
      <c r="C16" s="43">
        <f>Table13456789101112131415161734[[#This Row],[JPN]]-B15</f>
        <v/>
      </c>
      <c r="D16" s="27" t="n"/>
      <c r="F16" s="75" t="inlineStr">
        <is>
          <t>EST</t>
        </is>
      </c>
    </row>
    <row r="17">
      <c r="A17" s="42" t="n">
        <v>18719</v>
      </c>
      <c r="B17" s="43">
        <f>VLOOKUP(A17,'Data yoy'!$B:$AW,MATCH($B$1,'Data yoy'!$B$1:$AW$1,0),FALSE)</f>
        <v/>
      </c>
      <c r="C17" s="43">
        <f>Table13456789101112131415161734[[#This Row],[JPN]]-B16</f>
        <v/>
      </c>
      <c r="D17" s="27" t="n"/>
      <c r="F17" s="75" t="inlineStr">
        <is>
          <t>EU27_2020</t>
        </is>
      </c>
    </row>
    <row r="18">
      <c r="A18" s="42" t="n">
        <v>18810</v>
      </c>
      <c r="B18" s="43">
        <f>VLOOKUP(A18,'Data yoy'!$B:$AW,MATCH($B$1,'Data yoy'!$B$1:$AW$1,0),FALSE)</f>
        <v/>
      </c>
      <c r="C18" s="43">
        <f>Table13456789101112131415161734[[#This Row],[JPN]]-B17</f>
        <v/>
      </c>
      <c r="D18" s="27" t="n"/>
      <c r="F18" s="75" t="inlineStr">
        <is>
          <t>EU28</t>
        </is>
      </c>
    </row>
    <row r="19">
      <c r="A19" s="42" t="n">
        <v>18902</v>
      </c>
      <c r="B19" s="43">
        <f>VLOOKUP(A19,'Data yoy'!$B:$AW,MATCH($B$1,'Data yoy'!$B$1:$AW$1,0),FALSE)</f>
        <v/>
      </c>
      <c r="C19" s="43">
        <f>Table13456789101112131415161734[[#This Row],[JPN]]-B18</f>
        <v/>
      </c>
      <c r="D19" s="27" t="n"/>
      <c r="F19" s="75" t="inlineStr">
        <is>
          <t>FIN</t>
        </is>
      </c>
    </row>
    <row r="20">
      <c r="A20" s="42" t="n">
        <v>18994</v>
      </c>
      <c r="B20" s="43">
        <f>VLOOKUP(A20,'Data yoy'!$B:$AW,MATCH($B$1,'Data yoy'!$B$1:$AW$1,0),FALSE)</f>
        <v/>
      </c>
      <c r="C20" s="43">
        <f>Table13456789101112131415161734[[#This Row],[JPN]]-B19</f>
        <v/>
      </c>
      <c r="D20" s="27" t="n"/>
      <c r="F20" s="75" t="inlineStr">
        <is>
          <t>FRA</t>
        </is>
      </c>
    </row>
    <row r="21">
      <c r="A21" s="42" t="n">
        <v>19085</v>
      </c>
      <c r="B21" s="43">
        <f>VLOOKUP(A21,'Data yoy'!$B:$AW,MATCH($B$1,'Data yoy'!$B$1:$AW$1,0),FALSE)</f>
        <v/>
      </c>
      <c r="C21" s="43">
        <f>Table13456789101112131415161734[[#This Row],[JPN]]-B20</f>
        <v/>
      </c>
      <c r="D21" s="27" t="n"/>
      <c r="F21" s="75" t="inlineStr">
        <is>
          <t>G-7</t>
        </is>
      </c>
    </row>
    <row r="22">
      <c r="A22" s="42" t="n">
        <v>19176</v>
      </c>
      <c r="B22" s="43">
        <f>VLOOKUP(A22,'Data yoy'!$B:$AW,MATCH($B$1,'Data yoy'!$B$1:$AW$1,0),FALSE)</f>
        <v/>
      </c>
      <c r="C22" s="43">
        <f>Table13456789101112131415161734[[#This Row],[JPN]]-B21</f>
        <v/>
      </c>
      <c r="D22" s="27" t="n"/>
      <c r="F22" s="75" t="inlineStr">
        <is>
          <t>G7</t>
        </is>
      </c>
    </row>
    <row r="23">
      <c r="A23" s="42" t="n">
        <v>19268</v>
      </c>
      <c r="B23" s="43">
        <f>VLOOKUP(A23,'Data yoy'!$B:$AW,MATCH($B$1,'Data yoy'!$B$1:$AW$1,0),FALSE)</f>
        <v/>
      </c>
      <c r="C23" s="43">
        <f>Table13456789101112131415161734[[#This Row],[JPN]]-B22</f>
        <v/>
      </c>
      <c r="D23" s="27" t="n"/>
      <c r="F23" s="75" t="inlineStr">
        <is>
          <t>GBR</t>
        </is>
      </c>
    </row>
    <row r="24">
      <c r="A24" s="42" t="n">
        <v>19360</v>
      </c>
      <c r="B24" s="43">
        <f>VLOOKUP(A24,'Data yoy'!$B:$AW,MATCH($B$1,'Data yoy'!$B$1:$AW$1,0),FALSE)</f>
        <v/>
      </c>
      <c r="C24" s="43">
        <f>Table13456789101112131415161734[[#This Row],[JPN]]-B23</f>
        <v/>
      </c>
      <c r="D24" s="27" t="n"/>
      <c r="F24" s="75" t="inlineStr">
        <is>
          <t>GRC</t>
        </is>
      </c>
    </row>
    <row r="25">
      <c r="A25" s="42" t="n">
        <v>19450</v>
      </c>
      <c r="B25" s="43">
        <f>VLOOKUP(A25,'Data yoy'!$B:$AW,MATCH($B$1,'Data yoy'!$B$1:$AW$1,0),FALSE)</f>
        <v/>
      </c>
      <c r="C25" s="43">
        <f>Table13456789101112131415161734[[#This Row],[JPN]]-B24</f>
        <v/>
      </c>
      <c r="D25" s="27" t="n"/>
      <c r="F25" s="75" t="inlineStr">
        <is>
          <t>HUN</t>
        </is>
      </c>
    </row>
    <row r="26">
      <c r="A26" s="42" t="n">
        <v>19541</v>
      </c>
      <c r="B26" s="43">
        <f>VLOOKUP(A26,'Data yoy'!$B:$AW,MATCH($B$1,'Data yoy'!$B$1:$AW$1,0),FALSE)</f>
        <v/>
      </c>
      <c r="C26" s="43">
        <f>Table13456789101112131415161734[[#This Row],[JPN]]-B25</f>
        <v/>
      </c>
      <c r="D26" s="27" t="n"/>
      <c r="F26" s="75" t="inlineStr">
        <is>
          <t>IND</t>
        </is>
      </c>
    </row>
    <row r="27">
      <c r="A27" s="42" t="n">
        <v>19633</v>
      </c>
      <c r="B27" s="43">
        <f>VLOOKUP(A27,'Data yoy'!$B:$AW,MATCH($B$1,'Data yoy'!$B$1:$AW$1,0),FALSE)</f>
        <v/>
      </c>
      <c r="C27" s="43">
        <f>Table13456789101112131415161734[[#This Row],[JPN]]-B26</f>
        <v/>
      </c>
      <c r="D27" s="27" t="n"/>
      <c r="F27" s="75" t="inlineStr">
        <is>
          <t>IRL</t>
        </is>
      </c>
    </row>
    <row r="28">
      <c r="A28" s="42" t="n">
        <v>19725</v>
      </c>
      <c r="B28" s="43">
        <f>VLOOKUP(A28,'Data yoy'!$B:$AW,MATCH($B$1,'Data yoy'!$B$1:$AW$1,0),FALSE)</f>
        <v/>
      </c>
      <c r="C28" s="43">
        <f>Table13456789101112131415161734[[#This Row],[JPN]]-B27</f>
        <v/>
      </c>
      <c r="D28" s="27" t="n"/>
      <c r="F28" s="75" t="inlineStr">
        <is>
          <t>ISL</t>
        </is>
      </c>
    </row>
    <row r="29">
      <c r="A29" s="42" t="n">
        <v>19815</v>
      </c>
      <c r="B29" s="43">
        <f>VLOOKUP(A29,'Data yoy'!$B:$AW,MATCH($B$1,'Data yoy'!$B$1:$AW$1,0),FALSE)</f>
        <v/>
      </c>
      <c r="C29" s="43">
        <f>Table13456789101112131415161734[[#This Row],[JPN]]-B28</f>
        <v/>
      </c>
      <c r="D29" s="27" t="n"/>
      <c r="F29" s="75" t="inlineStr">
        <is>
          <t>ISR</t>
        </is>
      </c>
    </row>
    <row r="30">
      <c r="A30" s="42" t="n">
        <v>19906</v>
      </c>
      <c r="B30" s="43">
        <f>VLOOKUP(A30,'Data yoy'!$B:$AW,MATCH($B$1,'Data yoy'!$B$1:$AW$1,0),FALSE)</f>
        <v/>
      </c>
      <c r="C30" s="43">
        <f>Table13456789101112131415161734[[#This Row],[JPN]]-B29</f>
        <v/>
      </c>
      <c r="D30" s="27" t="n"/>
      <c r="F30" s="75" t="inlineStr">
        <is>
          <t>ITA</t>
        </is>
      </c>
    </row>
    <row r="31">
      <c r="A31" s="42" t="n">
        <v>19998</v>
      </c>
      <c r="B31" s="43">
        <f>VLOOKUP(A31,'Data yoy'!$B:$AW,MATCH($B$1,'Data yoy'!$B$1:$AW$1,0),FALSE)</f>
        <v/>
      </c>
      <c r="C31" s="43">
        <f>Table13456789101112131415161734[[#This Row],[JPN]]-B30</f>
        <v/>
      </c>
      <c r="D31" s="27" t="n"/>
      <c r="F31" s="75" t="inlineStr">
        <is>
          <t>JPN</t>
        </is>
      </c>
    </row>
    <row r="32">
      <c r="A32" s="42" t="n">
        <v>20090</v>
      </c>
      <c r="B32" s="43">
        <f>VLOOKUP(A32,'Data yoy'!$B:$AW,MATCH($B$1,'Data yoy'!$B$1:$AW$1,0),FALSE)</f>
        <v/>
      </c>
      <c r="C32" s="43">
        <f>Table13456789101112131415161734[[#This Row],[JPN]]-B31</f>
        <v/>
      </c>
      <c r="D32" s="27" t="n"/>
      <c r="F32" s="75" t="inlineStr">
        <is>
          <t>KOR</t>
        </is>
      </c>
    </row>
    <row r="33">
      <c r="A33" s="42" t="n">
        <v>20180</v>
      </c>
      <c r="B33" s="43">
        <f>VLOOKUP(A33,'Data yoy'!$B:$AW,MATCH($B$1,'Data yoy'!$B$1:$AW$1,0),FALSE)</f>
        <v/>
      </c>
      <c r="C33" s="43">
        <f>Table13456789101112131415161734[[#This Row],[JPN]]-B32</f>
        <v/>
      </c>
      <c r="D33" s="27" t="n"/>
      <c r="F33" s="75" t="inlineStr">
        <is>
          <t>LUX</t>
        </is>
      </c>
    </row>
    <row r="34">
      <c r="A34" s="42" t="n">
        <v>20271</v>
      </c>
      <c r="B34" s="43">
        <f>VLOOKUP(A34,'Data yoy'!$B:$AW,MATCH($B$1,'Data yoy'!$B$1:$AW$1,0),FALSE)</f>
        <v/>
      </c>
      <c r="C34" s="43">
        <f>Table13456789101112131415161734[[#This Row],[JPN]]-B33</f>
        <v/>
      </c>
      <c r="D34" s="27" t="n"/>
      <c r="F34" s="75" t="inlineStr">
        <is>
          <t>LVA</t>
        </is>
      </c>
    </row>
    <row r="35">
      <c r="A35" s="42" t="n">
        <v>20363</v>
      </c>
      <c r="B35" s="43">
        <f>VLOOKUP(A35,'Data yoy'!$B:$AW,MATCH($B$1,'Data yoy'!$B$1:$AW$1,0),FALSE)</f>
        <v/>
      </c>
      <c r="C35" s="43">
        <f>Table13456789101112131415161734[[#This Row],[JPN]]-B34</f>
        <v/>
      </c>
      <c r="D35" s="27" t="n"/>
      <c r="F35" s="75" t="inlineStr">
        <is>
          <t>MEX</t>
        </is>
      </c>
    </row>
    <row r="36">
      <c r="A36" s="42" t="n">
        <v>20455</v>
      </c>
      <c r="B36" s="43">
        <f>VLOOKUP(A36,'Data yoy'!$B:$AW,MATCH($B$1,'Data yoy'!$B$1:$AW$1,0),FALSE)</f>
        <v/>
      </c>
      <c r="C36" s="43">
        <f>Table13456789101112131415161734[[#This Row],[JPN]]-B35</f>
        <v/>
      </c>
      <c r="D36" s="27" t="n"/>
      <c r="F36" s="75" t="inlineStr">
        <is>
          <t>NLD</t>
        </is>
      </c>
    </row>
    <row r="37">
      <c r="A37" s="42" t="n">
        <v>20546</v>
      </c>
      <c r="B37" s="43">
        <f>VLOOKUP(A37,'Data yoy'!$B:$AW,MATCH($B$1,'Data yoy'!$B$1:$AW$1,0),FALSE)</f>
        <v/>
      </c>
      <c r="C37" s="43">
        <f>Table13456789101112131415161734[[#This Row],[JPN]]-B36</f>
        <v/>
      </c>
      <c r="D37" s="27" t="n"/>
      <c r="F37" s="75" t="inlineStr">
        <is>
          <t>NOR</t>
        </is>
      </c>
    </row>
    <row r="38">
      <c r="A38" s="42" t="n">
        <v>20637</v>
      </c>
      <c r="B38" s="43">
        <f>VLOOKUP(A38,'Data yoy'!$B:$AW,MATCH($B$1,'Data yoy'!$B$1:$AW$1,0),FALSE)</f>
        <v/>
      </c>
      <c r="C38" s="43">
        <f>Table13456789101112131415161734[[#This Row],[JPN]]-B37</f>
        <v/>
      </c>
      <c r="D38" s="27" t="n"/>
      <c r="F38" s="75" t="inlineStr">
        <is>
          <t>NZL</t>
        </is>
      </c>
    </row>
    <row r="39">
      <c r="A39" s="42" t="n">
        <v>20729</v>
      </c>
      <c r="B39" s="43">
        <f>VLOOKUP(A39,'Data yoy'!$B:$AW,MATCH($B$1,'Data yoy'!$B$1:$AW$1,0),FALSE)</f>
        <v/>
      </c>
      <c r="C39" s="43">
        <f>Table13456789101112131415161734[[#This Row],[JPN]]-B38</f>
        <v/>
      </c>
      <c r="D39" s="27" t="n"/>
      <c r="F39" s="75" t="inlineStr">
        <is>
          <t>OECD</t>
        </is>
      </c>
    </row>
    <row r="40">
      <c r="A40" s="42" t="n">
        <v>20821</v>
      </c>
      <c r="B40" s="43">
        <f>VLOOKUP(A40,'Data yoy'!$B:$AW,MATCH($B$1,'Data yoy'!$B$1:$AW$1,0),FALSE)</f>
        <v/>
      </c>
      <c r="C40" s="43">
        <f>Table13456789101112131415161734[[#This Row],[JPN]]-B39</f>
        <v/>
      </c>
      <c r="D40" s="27" t="n"/>
      <c r="F40" s="75" t="inlineStr">
        <is>
          <t>POL</t>
        </is>
      </c>
    </row>
    <row r="41">
      <c r="A41" s="42" t="n">
        <v>20911</v>
      </c>
      <c r="B41" s="43">
        <f>VLOOKUP(A41,'Data yoy'!$B:$AW,MATCH($B$1,'Data yoy'!$B$1:$AW$1,0),FALSE)</f>
        <v/>
      </c>
      <c r="C41" s="43">
        <f>Table13456789101112131415161734[[#This Row],[JPN]]-B40</f>
        <v/>
      </c>
      <c r="D41" s="27" t="n"/>
      <c r="F41" s="75" t="inlineStr">
        <is>
          <t>PRT</t>
        </is>
      </c>
    </row>
    <row r="42">
      <c r="A42" s="42" t="n">
        <v>21002</v>
      </c>
      <c r="B42" s="43">
        <f>VLOOKUP(A42,'Data yoy'!$B:$AW,MATCH($B$1,'Data yoy'!$B$1:$AW$1,0),FALSE)</f>
        <v/>
      </c>
      <c r="C42" s="43">
        <f>Table13456789101112131415161734[[#This Row],[JPN]]-B41</f>
        <v/>
      </c>
      <c r="D42" s="27" t="n"/>
      <c r="F42" s="75" t="inlineStr">
        <is>
          <t>RUS</t>
        </is>
      </c>
    </row>
    <row r="43">
      <c r="A43" s="42" t="n">
        <v>21094</v>
      </c>
      <c r="B43" s="43">
        <f>VLOOKUP(A43,'Data yoy'!$B:$AW,MATCH($B$1,'Data yoy'!$B$1:$AW$1,0),FALSE)</f>
        <v/>
      </c>
      <c r="C43" s="43">
        <f>Table13456789101112131415161734[[#This Row],[JPN]]-B42</f>
        <v/>
      </c>
      <c r="D43" s="27" t="n"/>
      <c r="F43" s="75" t="inlineStr">
        <is>
          <t>SVK</t>
        </is>
      </c>
    </row>
    <row r="44">
      <c r="A44" s="42" t="n">
        <v>21186</v>
      </c>
      <c r="B44" s="43">
        <f>VLOOKUP(A44,'Data yoy'!$B:$AW,MATCH($B$1,'Data yoy'!$B$1:$AW$1,0),FALSE)</f>
        <v/>
      </c>
      <c r="C44" s="43">
        <f>Table13456789101112131415161734[[#This Row],[JPN]]-B43</f>
        <v/>
      </c>
      <c r="D44" s="27" t="n"/>
      <c r="F44" s="75" t="inlineStr">
        <is>
          <t>SVN</t>
        </is>
      </c>
    </row>
    <row r="45">
      <c r="A45" s="42" t="n">
        <v>21276</v>
      </c>
      <c r="B45" s="43">
        <f>VLOOKUP(A45,'Data yoy'!$B:$AW,MATCH($B$1,'Data yoy'!$B$1:$AW$1,0),FALSE)</f>
        <v/>
      </c>
      <c r="C45" s="43">
        <f>Table13456789101112131415161734[[#This Row],[JPN]]-B44</f>
        <v/>
      </c>
      <c r="D45" s="27" t="n"/>
      <c r="F45" s="75" t="inlineStr">
        <is>
          <t>SWE</t>
        </is>
      </c>
    </row>
    <row r="46">
      <c r="A46" s="42" t="n">
        <v>21367</v>
      </c>
      <c r="B46" s="43">
        <f>VLOOKUP(A46,'Data yoy'!$B:$AW,MATCH($B$1,'Data yoy'!$B$1:$AW$1,0),FALSE)</f>
        <v/>
      </c>
      <c r="C46" s="43">
        <f>Table13456789101112131415161734[[#This Row],[JPN]]-B45</f>
        <v/>
      </c>
      <c r="D46" s="27" t="n"/>
      <c r="F46" s="75" t="inlineStr">
        <is>
          <t>TUR</t>
        </is>
      </c>
    </row>
    <row r="47">
      <c r="A47" s="42" t="n">
        <v>21459</v>
      </c>
      <c r="B47" s="43">
        <f>VLOOKUP(A47,'Data yoy'!$B:$AW,MATCH($B$1,'Data yoy'!$B$1:$AW$1,0),FALSE)</f>
        <v/>
      </c>
      <c r="C47" s="43">
        <f>Table13456789101112131415161734[[#This Row],[JPN]]-B46</f>
        <v/>
      </c>
      <c r="D47" s="27" t="n"/>
      <c r="F47" s="75" t="inlineStr">
        <is>
          <t>USA</t>
        </is>
      </c>
    </row>
    <row r="48">
      <c r="A48" s="42" t="n">
        <v>21551</v>
      </c>
      <c r="B48" s="43">
        <f>VLOOKUP(A48,'Data yoy'!$B:$AW,MATCH($B$1,'Data yoy'!$B$1:$AW$1,0),FALSE)</f>
        <v/>
      </c>
      <c r="C48" s="43">
        <f>Table13456789101112131415161734[[#This Row],[JPN]]-B47</f>
        <v/>
      </c>
      <c r="D48" s="27" t="n"/>
      <c r="F48" s="75" t="inlineStr">
        <is>
          <t>ZAF</t>
        </is>
      </c>
    </row>
    <row r="49">
      <c r="A49" s="42" t="n">
        <v>21641</v>
      </c>
      <c r="B49" s="43">
        <f>VLOOKUP(A49,'Data yoy'!$B:$AW,MATCH($B$1,'Data yoy'!$B$1:$AW$1,0),FALSE)</f>
        <v/>
      </c>
      <c r="C49" s="43">
        <f>Table13456789101112131415161734[[#This Row],[JPN]]-B48</f>
        <v/>
      </c>
      <c r="D49" s="27" t="n"/>
    </row>
    <row r="50">
      <c r="A50" s="42" t="n">
        <v>21732</v>
      </c>
      <c r="B50" s="43">
        <f>VLOOKUP(A50,'Data yoy'!$B:$AW,MATCH($B$1,'Data yoy'!$B$1:$AW$1,0),FALSE)</f>
        <v/>
      </c>
      <c r="C50" s="43">
        <f>Table13456789101112131415161734[[#This Row],[JPN]]-B49</f>
        <v/>
      </c>
      <c r="D50" s="27" t="n"/>
    </row>
    <row r="51">
      <c r="A51" s="42" t="n">
        <v>21824</v>
      </c>
      <c r="B51" s="43">
        <f>VLOOKUP(A51,'Data yoy'!$B:$AW,MATCH($B$1,'Data yoy'!$B$1:$AW$1,0),FALSE)</f>
        <v/>
      </c>
      <c r="C51" s="43">
        <f>Table13456789101112131415161734[[#This Row],[JPN]]-B50</f>
        <v/>
      </c>
      <c r="D51" s="27" t="n"/>
    </row>
    <row r="52">
      <c r="A52" s="42" t="n">
        <v>21916</v>
      </c>
      <c r="B52" s="43">
        <f>VLOOKUP(A52,'Data yoy'!$B:$AW,MATCH($B$1,'Data yoy'!$B$1:$AW$1,0),FALSE)</f>
        <v/>
      </c>
      <c r="C52" s="43">
        <f>Table13456789101112131415161734[[#This Row],[JPN]]-B51</f>
        <v/>
      </c>
      <c r="D52" s="27" t="n"/>
    </row>
    <row r="53">
      <c r="A53" s="42" t="n">
        <v>22007</v>
      </c>
      <c r="B53" s="43">
        <f>VLOOKUP(A53,'Data yoy'!$B:$AW,MATCH($B$1,'Data yoy'!$B$1:$AW$1,0),FALSE)</f>
        <v/>
      </c>
      <c r="C53" s="43">
        <f>Table13456789101112131415161734[[#This Row],[JPN]]-B52</f>
        <v/>
      </c>
      <c r="D53" s="27" t="n"/>
    </row>
    <row r="54">
      <c r="A54" s="42" t="n">
        <v>22098</v>
      </c>
      <c r="B54" s="43">
        <f>VLOOKUP(A54,'Data yoy'!$B:$AW,MATCH($B$1,'Data yoy'!$B$1:$AW$1,0),FALSE)</f>
        <v/>
      </c>
      <c r="C54" s="43">
        <f>Table13456789101112131415161734[[#This Row],[JPN]]-B53</f>
        <v/>
      </c>
      <c r="D54" s="27" t="n"/>
    </row>
    <row r="55">
      <c r="A55" s="42" t="n">
        <v>22190</v>
      </c>
      <c r="B55" s="43">
        <f>VLOOKUP(A55,'Data yoy'!$B:$AW,MATCH($B$1,'Data yoy'!$B$1:$AW$1,0),FALSE)</f>
        <v/>
      </c>
      <c r="C55" s="43">
        <f>Table13456789101112131415161734[[#This Row],[JPN]]-B54</f>
        <v/>
      </c>
      <c r="D55" s="27" t="n"/>
    </row>
    <row r="56">
      <c r="A56" s="42" t="n">
        <v>22282</v>
      </c>
      <c r="B56" s="43">
        <f>VLOOKUP(A56,'Data yoy'!$B:$AW,MATCH($B$1,'Data yoy'!$B$1:$AW$1,0),FALSE)</f>
        <v/>
      </c>
      <c r="C56" s="43">
        <f>Table13456789101112131415161734[[#This Row],[JPN]]-B55</f>
        <v/>
      </c>
      <c r="D56" s="27" t="n"/>
    </row>
    <row r="57">
      <c r="A57" s="42" t="n">
        <v>22372</v>
      </c>
      <c r="B57" s="43">
        <f>VLOOKUP(A57,'Data yoy'!$B:$AW,MATCH($B$1,'Data yoy'!$B$1:$AW$1,0),FALSE)</f>
        <v/>
      </c>
      <c r="C57" s="43">
        <f>Table13456789101112131415161734[[#This Row],[JPN]]-B56</f>
        <v/>
      </c>
      <c r="D57" s="27" t="n"/>
    </row>
    <row r="58">
      <c r="A58" s="42" t="n">
        <v>22463</v>
      </c>
      <c r="B58" s="43">
        <f>VLOOKUP(A58,'Data yoy'!$B:$AW,MATCH($B$1,'Data yoy'!$B$1:$AW$1,0),FALSE)</f>
        <v/>
      </c>
      <c r="C58" s="43">
        <f>Table13456789101112131415161734[[#This Row],[JPN]]-B57</f>
        <v/>
      </c>
      <c r="D58" s="27" t="n"/>
    </row>
    <row r="59">
      <c r="A59" s="42" t="n">
        <v>22555</v>
      </c>
      <c r="B59" s="43">
        <f>VLOOKUP(A59,'Data yoy'!$B:$AW,MATCH($B$1,'Data yoy'!$B$1:$AW$1,0),FALSE)</f>
        <v/>
      </c>
      <c r="C59" s="43">
        <f>Table13456789101112131415161734[[#This Row],[JPN]]-B58</f>
        <v/>
      </c>
      <c r="D59" s="27" t="n"/>
    </row>
    <row r="60">
      <c r="A60" s="42" t="n">
        <v>22647</v>
      </c>
      <c r="B60" s="43">
        <f>VLOOKUP(A60,'Data yoy'!$B:$AW,MATCH($B$1,'Data yoy'!$B$1:$AW$1,0),FALSE)</f>
        <v/>
      </c>
      <c r="C60" s="43">
        <f>Table13456789101112131415161734[[#This Row],[JPN]]-B59</f>
        <v/>
      </c>
      <c r="D60" s="27" t="n"/>
    </row>
    <row r="61">
      <c r="A61" s="42" t="n">
        <v>22737</v>
      </c>
      <c r="B61" s="43">
        <f>VLOOKUP(A61,'Data yoy'!$B:$AW,MATCH($B$1,'Data yoy'!$B$1:$AW$1,0),FALSE)</f>
        <v/>
      </c>
      <c r="C61" s="43">
        <f>Table13456789101112131415161734[[#This Row],[JPN]]-B60</f>
        <v/>
      </c>
      <c r="D61" s="27" t="n"/>
    </row>
    <row r="62">
      <c r="A62" s="42" t="n">
        <v>22828</v>
      </c>
      <c r="B62" s="43">
        <f>VLOOKUP(A62,'Data yoy'!$B:$AW,MATCH($B$1,'Data yoy'!$B$1:$AW$1,0),FALSE)</f>
        <v/>
      </c>
      <c r="C62" s="43">
        <f>Table13456789101112131415161734[[#This Row],[JPN]]-B61</f>
        <v/>
      </c>
      <c r="D62" s="27" t="n"/>
    </row>
    <row r="63">
      <c r="A63" s="42" t="n">
        <v>22920</v>
      </c>
      <c r="B63" s="43">
        <f>VLOOKUP(A63,'Data yoy'!$B:$AW,MATCH($B$1,'Data yoy'!$B$1:$AW$1,0),FALSE)</f>
        <v/>
      </c>
      <c r="C63" s="43">
        <f>Table13456789101112131415161734[[#This Row],[JPN]]-B62</f>
        <v/>
      </c>
      <c r="D63" s="27" t="n"/>
    </row>
    <row r="64">
      <c r="A64" s="42" t="n">
        <v>23012</v>
      </c>
      <c r="B64" s="43">
        <f>VLOOKUP(A64,'Data yoy'!$B:$AW,MATCH($B$1,'Data yoy'!$B$1:$AW$1,0),FALSE)</f>
        <v/>
      </c>
      <c r="C64" s="43">
        <f>Table13456789101112131415161734[[#This Row],[JPN]]-B63</f>
        <v/>
      </c>
      <c r="D64" s="27" t="n"/>
    </row>
    <row r="65">
      <c r="A65" s="42" t="n">
        <v>23102</v>
      </c>
      <c r="B65" s="43">
        <f>VLOOKUP(A65,'Data yoy'!$B:$AW,MATCH($B$1,'Data yoy'!$B$1:$AW$1,0),FALSE)</f>
        <v/>
      </c>
      <c r="C65" s="43">
        <f>Table13456789101112131415161734[[#This Row],[JPN]]-B64</f>
        <v/>
      </c>
      <c r="D65" s="27" t="n"/>
    </row>
    <row r="66">
      <c r="A66" s="42" t="n">
        <v>23193</v>
      </c>
      <c r="B66" s="43">
        <f>VLOOKUP(A66,'Data yoy'!$B:$AW,MATCH($B$1,'Data yoy'!$B$1:$AW$1,0),FALSE)</f>
        <v/>
      </c>
      <c r="C66" s="43">
        <f>Table13456789101112131415161734[[#This Row],[JPN]]-B65</f>
        <v/>
      </c>
      <c r="D66" s="27" t="n"/>
    </row>
    <row r="67">
      <c r="A67" s="42" t="n">
        <v>23285</v>
      </c>
      <c r="B67" s="43">
        <f>VLOOKUP(A67,'Data yoy'!$B:$AW,MATCH($B$1,'Data yoy'!$B$1:$AW$1,0),FALSE)</f>
        <v/>
      </c>
      <c r="C67" s="43">
        <f>Table13456789101112131415161734[[#This Row],[JPN]]-B66</f>
        <v/>
      </c>
      <c r="D67" s="27" t="n"/>
    </row>
    <row r="68">
      <c r="A68" s="42" t="n">
        <v>23377</v>
      </c>
      <c r="B68" s="43">
        <f>VLOOKUP(A68,'Data yoy'!$B:$AW,MATCH($B$1,'Data yoy'!$B$1:$AW$1,0),FALSE)</f>
        <v/>
      </c>
      <c r="C68" s="43">
        <f>Table13456789101112131415161734[[#This Row],[JPN]]-B67</f>
        <v/>
      </c>
      <c r="D68" s="27" t="n"/>
    </row>
    <row r="69">
      <c r="A69" s="42" t="n">
        <v>23468</v>
      </c>
      <c r="B69" s="43">
        <f>VLOOKUP(A69,'Data yoy'!$B:$AW,MATCH($B$1,'Data yoy'!$B$1:$AW$1,0),FALSE)</f>
        <v/>
      </c>
      <c r="C69" s="43">
        <f>Table13456789101112131415161734[[#This Row],[JPN]]-B68</f>
        <v/>
      </c>
      <c r="D69" s="27" t="n"/>
    </row>
    <row r="70">
      <c r="A70" s="42" t="n">
        <v>23559</v>
      </c>
      <c r="B70" s="43">
        <f>VLOOKUP(A70,'Data yoy'!$B:$AW,MATCH($B$1,'Data yoy'!$B$1:$AW$1,0),FALSE)</f>
        <v/>
      </c>
      <c r="C70" s="43">
        <f>Table13456789101112131415161734[[#This Row],[JPN]]-B69</f>
        <v/>
      </c>
      <c r="D70" s="27" t="n"/>
    </row>
    <row r="71">
      <c r="A71" s="42" t="n">
        <v>23651</v>
      </c>
      <c r="B71" s="43">
        <f>VLOOKUP(A71,'Data yoy'!$B:$AW,MATCH($B$1,'Data yoy'!$B$1:$AW$1,0),FALSE)</f>
        <v/>
      </c>
      <c r="C71" s="43">
        <f>Table13456789101112131415161734[[#This Row],[JPN]]-B70</f>
        <v/>
      </c>
      <c r="D71" s="27" t="n"/>
    </row>
    <row r="72">
      <c r="A72" s="42" t="n">
        <v>23743</v>
      </c>
      <c r="B72" s="43">
        <f>VLOOKUP(A72,'Data yoy'!$B:$AW,MATCH($B$1,'Data yoy'!$B$1:$AW$1,0),FALSE)</f>
        <v/>
      </c>
      <c r="C72" s="43">
        <f>Table13456789101112131415161734[[#This Row],[JPN]]-B71</f>
        <v/>
      </c>
      <c r="D72" s="27" t="n"/>
    </row>
    <row r="73">
      <c r="A73" s="42" t="n">
        <v>23833</v>
      </c>
      <c r="B73" s="43">
        <f>VLOOKUP(A73,'Data yoy'!$B:$AW,MATCH($B$1,'Data yoy'!$B$1:$AW$1,0),FALSE)</f>
        <v/>
      </c>
      <c r="C73" s="43">
        <f>Table13456789101112131415161734[[#This Row],[JPN]]-B72</f>
        <v/>
      </c>
      <c r="D73" s="27" t="n"/>
    </row>
    <row r="74">
      <c r="A74" s="42" t="n">
        <v>23924</v>
      </c>
      <c r="B74" s="43">
        <f>VLOOKUP(A74,'Data yoy'!$B:$AW,MATCH($B$1,'Data yoy'!$B$1:$AW$1,0),FALSE)</f>
        <v/>
      </c>
      <c r="C74" s="43">
        <f>Table13456789101112131415161734[[#This Row],[JPN]]-B73</f>
        <v/>
      </c>
      <c r="D74" s="27" t="n"/>
    </row>
    <row r="75">
      <c r="A75" s="42" t="n">
        <v>24016</v>
      </c>
      <c r="B75" s="43">
        <f>VLOOKUP(A75,'Data yoy'!$B:$AW,MATCH($B$1,'Data yoy'!$B$1:$AW$1,0),FALSE)</f>
        <v/>
      </c>
      <c r="C75" s="43">
        <f>Table13456789101112131415161734[[#This Row],[JPN]]-B74</f>
        <v/>
      </c>
      <c r="D75" s="27" t="n"/>
    </row>
    <row r="76">
      <c r="A76" s="42" t="n">
        <v>24108</v>
      </c>
      <c r="B76" s="43">
        <f>VLOOKUP(A76,'Data yoy'!$B:$AW,MATCH($B$1,'Data yoy'!$B$1:$AW$1,0),FALSE)</f>
        <v/>
      </c>
      <c r="C76" s="43">
        <f>Table13456789101112131415161734[[#This Row],[JPN]]-B75</f>
        <v/>
      </c>
      <c r="D76" s="27" t="n"/>
    </row>
    <row r="77">
      <c r="A77" s="42" t="n">
        <v>24198</v>
      </c>
      <c r="B77" s="43">
        <f>VLOOKUP(A77,'Data yoy'!$B:$AW,MATCH($B$1,'Data yoy'!$B$1:$AW$1,0),FALSE)</f>
        <v/>
      </c>
      <c r="C77" s="43">
        <f>Table13456789101112131415161734[[#This Row],[JPN]]-B76</f>
        <v/>
      </c>
      <c r="D77" s="27" t="n"/>
    </row>
    <row r="78">
      <c r="A78" s="42" t="n">
        <v>24289</v>
      </c>
      <c r="B78" s="43">
        <f>VLOOKUP(A78,'Data yoy'!$B:$AW,MATCH($B$1,'Data yoy'!$B$1:$AW$1,0),FALSE)</f>
        <v/>
      </c>
      <c r="C78" s="43">
        <f>Table13456789101112131415161734[[#This Row],[JPN]]-B77</f>
        <v/>
      </c>
      <c r="D78" s="27" t="n"/>
    </row>
    <row r="79">
      <c r="A79" s="42" t="n">
        <v>24381</v>
      </c>
      <c r="B79" s="43">
        <f>VLOOKUP(A79,'Data yoy'!$B:$AW,MATCH($B$1,'Data yoy'!$B$1:$AW$1,0),FALSE)</f>
        <v/>
      </c>
      <c r="C79" s="43">
        <f>Table13456789101112131415161734[[#This Row],[JPN]]-B78</f>
        <v/>
      </c>
      <c r="D79" s="27" t="n"/>
    </row>
    <row r="80">
      <c r="A80" s="42" t="n">
        <v>24473</v>
      </c>
      <c r="B80" s="43">
        <f>VLOOKUP(A80,'Data yoy'!$B:$AW,MATCH($B$1,'Data yoy'!$B$1:$AW$1,0),FALSE)</f>
        <v/>
      </c>
      <c r="C80" s="43">
        <f>Table13456789101112131415161734[[#This Row],[JPN]]-B79</f>
        <v/>
      </c>
      <c r="D80" s="27" t="n"/>
    </row>
    <row r="81">
      <c r="A81" s="42" t="n">
        <v>24563</v>
      </c>
      <c r="B81" s="43">
        <f>VLOOKUP(A81,'Data yoy'!$B:$AW,MATCH($B$1,'Data yoy'!$B$1:$AW$1,0),FALSE)</f>
        <v/>
      </c>
      <c r="C81" s="43">
        <f>Table13456789101112131415161734[[#This Row],[JPN]]-B80</f>
        <v/>
      </c>
      <c r="D81" s="27" t="n"/>
    </row>
    <row r="82">
      <c r="A82" s="42" t="n">
        <v>24654</v>
      </c>
      <c r="B82" s="43">
        <f>VLOOKUP(A82,'Data yoy'!$B:$AW,MATCH($B$1,'Data yoy'!$B$1:$AW$1,0),FALSE)</f>
        <v/>
      </c>
      <c r="C82" s="43">
        <f>Table13456789101112131415161734[[#This Row],[JPN]]-B81</f>
        <v/>
      </c>
      <c r="D82" s="27" t="n"/>
    </row>
    <row r="83">
      <c r="A83" s="42" t="n">
        <v>24746</v>
      </c>
      <c r="B83" s="43">
        <f>VLOOKUP(A83,'Data yoy'!$B:$AW,MATCH($B$1,'Data yoy'!$B$1:$AW$1,0),FALSE)</f>
        <v/>
      </c>
      <c r="C83" s="43">
        <f>Table13456789101112131415161734[[#This Row],[JPN]]-B82</f>
        <v/>
      </c>
      <c r="D83" s="27" t="n"/>
    </row>
    <row r="84">
      <c r="A84" s="42" t="n">
        <v>24838</v>
      </c>
      <c r="B84" s="43">
        <f>VLOOKUP(A84,'Data yoy'!$B:$AW,MATCH($B$1,'Data yoy'!$B$1:$AW$1,0),FALSE)</f>
        <v/>
      </c>
      <c r="C84" s="43">
        <f>Table13456789101112131415161734[[#This Row],[JPN]]-B83</f>
        <v/>
      </c>
      <c r="D84" s="27" t="n"/>
    </row>
    <row r="85">
      <c r="A85" s="42" t="n">
        <v>24929</v>
      </c>
      <c r="B85" s="43">
        <f>VLOOKUP(A85,'Data yoy'!$B:$AW,MATCH($B$1,'Data yoy'!$B$1:$AW$1,0),FALSE)</f>
        <v/>
      </c>
      <c r="C85" s="43">
        <f>Table13456789101112131415161734[[#This Row],[JPN]]-B84</f>
        <v/>
      </c>
      <c r="D85" s="27" t="n"/>
    </row>
    <row r="86">
      <c r="A86" s="42" t="n">
        <v>25020</v>
      </c>
      <c r="B86" s="43">
        <f>VLOOKUP(A86,'Data yoy'!$B:$AW,MATCH($B$1,'Data yoy'!$B$1:$AW$1,0),FALSE)</f>
        <v/>
      </c>
      <c r="C86" s="43">
        <f>Table13456789101112131415161734[[#This Row],[JPN]]-B85</f>
        <v/>
      </c>
      <c r="D86" s="27" t="n"/>
    </row>
    <row r="87">
      <c r="A87" s="42" t="n">
        <v>25112</v>
      </c>
      <c r="B87" s="43">
        <f>VLOOKUP(A87,'Data yoy'!$B:$AW,MATCH($B$1,'Data yoy'!$B$1:$AW$1,0),FALSE)</f>
        <v/>
      </c>
      <c r="C87" s="43">
        <f>Table13456789101112131415161734[[#This Row],[JPN]]-B86</f>
        <v/>
      </c>
      <c r="D87" s="27" t="n"/>
    </row>
    <row r="88">
      <c r="A88" s="42" t="n">
        <v>25204</v>
      </c>
      <c r="B88" s="43">
        <f>VLOOKUP(A88,'Data yoy'!$B:$AW,MATCH($B$1,'Data yoy'!$B$1:$AW$1,0),FALSE)</f>
        <v/>
      </c>
      <c r="C88" s="43">
        <f>Table13456789101112131415161734[[#This Row],[JPN]]-B87</f>
        <v/>
      </c>
      <c r="D88" s="27" t="n"/>
    </row>
    <row r="89">
      <c r="A89" s="42" t="n">
        <v>25294</v>
      </c>
      <c r="B89" s="43">
        <f>VLOOKUP(A89,'Data yoy'!$B:$AW,MATCH($B$1,'Data yoy'!$B$1:$AW$1,0),FALSE)</f>
        <v/>
      </c>
      <c r="C89" s="43">
        <f>Table13456789101112131415161734[[#This Row],[JPN]]-B88</f>
        <v/>
      </c>
      <c r="D89" s="27" t="n"/>
    </row>
    <row r="90">
      <c r="A90" s="42" t="n">
        <v>25385</v>
      </c>
      <c r="B90" s="43">
        <f>VLOOKUP(A90,'Data yoy'!$B:$AW,MATCH($B$1,'Data yoy'!$B$1:$AW$1,0),FALSE)</f>
        <v/>
      </c>
      <c r="C90" s="43">
        <f>Table13456789101112131415161734[[#This Row],[JPN]]-B89</f>
        <v/>
      </c>
      <c r="D90" s="27" t="n"/>
    </row>
    <row r="91">
      <c r="A91" s="42" t="n">
        <v>25477</v>
      </c>
      <c r="B91" s="43">
        <f>VLOOKUP(A91,'Data yoy'!$B:$AW,MATCH($B$1,'Data yoy'!$B$1:$AW$1,0),FALSE)</f>
        <v/>
      </c>
      <c r="C91" s="43">
        <f>Table13456789101112131415161734[[#This Row],[JPN]]-B90</f>
        <v/>
      </c>
      <c r="D91" s="27" t="n"/>
    </row>
    <row r="92">
      <c r="A92" s="42" t="n">
        <v>25569</v>
      </c>
      <c r="B92" s="43">
        <f>VLOOKUP(A92,'Data yoy'!$B:$AW,MATCH($B$1,'Data yoy'!$B$1:$AW$1,0),FALSE)</f>
        <v/>
      </c>
      <c r="C92" s="43">
        <f>Table13456789101112131415161734[[#This Row],[JPN]]-B91</f>
        <v/>
      </c>
      <c r="D92" s="27" t="n"/>
    </row>
    <row r="93">
      <c r="A93" s="42" t="n">
        <v>25659</v>
      </c>
      <c r="B93" s="43">
        <f>VLOOKUP(A93,'Data yoy'!$B:$AW,MATCH($B$1,'Data yoy'!$B$1:$AW$1,0),FALSE)</f>
        <v/>
      </c>
      <c r="C93" s="43">
        <f>Table13456789101112131415161734[[#This Row],[JPN]]-B92</f>
        <v/>
      </c>
      <c r="D93" s="27" t="n"/>
    </row>
    <row r="94">
      <c r="A94" s="42" t="n">
        <v>25750</v>
      </c>
      <c r="B94" s="43">
        <f>VLOOKUP(A94,'Data yoy'!$B:$AW,MATCH($B$1,'Data yoy'!$B$1:$AW$1,0),FALSE)</f>
        <v/>
      </c>
      <c r="C94" s="43">
        <f>Table13456789101112131415161734[[#This Row],[JPN]]-B93</f>
        <v/>
      </c>
      <c r="D94" s="27" t="n"/>
    </row>
    <row r="95">
      <c r="A95" s="42" t="n">
        <v>25842</v>
      </c>
      <c r="B95" s="43">
        <f>VLOOKUP(A95,'Data yoy'!$B:$AW,MATCH($B$1,'Data yoy'!$B$1:$AW$1,0),FALSE)</f>
        <v/>
      </c>
      <c r="C95" s="43">
        <f>Table13456789101112131415161734[[#This Row],[JPN]]-B94</f>
        <v/>
      </c>
      <c r="D95" s="27" t="n"/>
    </row>
    <row r="96">
      <c r="A96" s="42" t="n">
        <v>25934</v>
      </c>
      <c r="B96" s="43">
        <f>VLOOKUP(A96,'Data yoy'!$B:$AW,MATCH($B$1,'Data yoy'!$B$1:$AW$1,0),FALSE)</f>
        <v/>
      </c>
      <c r="C96" s="43">
        <f>Table13456789101112131415161734[[#This Row],[JPN]]-B95</f>
        <v/>
      </c>
      <c r="D96" s="27" t="n"/>
    </row>
    <row r="97">
      <c r="A97" s="42" t="n">
        <v>26024</v>
      </c>
      <c r="B97" s="43">
        <f>VLOOKUP(A97,'Data yoy'!$B:$AW,MATCH($B$1,'Data yoy'!$B$1:$AW$1,0),FALSE)</f>
        <v/>
      </c>
      <c r="C97" s="43">
        <f>Table13456789101112131415161734[[#This Row],[JPN]]-B96</f>
        <v/>
      </c>
      <c r="D97" s="27" t="n"/>
    </row>
    <row r="98">
      <c r="A98" s="42" t="n">
        <v>26115</v>
      </c>
      <c r="B98" s="43">
        <f>VLOOKUP(A98,'Data yoy'!$B:$AW,MATCH($B$1,'Data yoy'!$B$1:$AW$1,0),FALSE)</f>
        <v/>
      </c>
      <c r="C98" s="43">
        <f>Table13456789101112131415161734[[#This Row],[JPN]]-B97</f>
        <v/>
      </c>
      <c r="D98" s="27" t="n"/>
    </row>
    <row r="99">
      <c r="A99" s="42" t="n">
        <v>26207</v>
      </c>
      <c r="B99" s="43">
        <f>VLOOKUP(A99,'Data yoy'!$B:$AW,MATCH($B$1,'Data yoy'!$B$1:$AW$1,0),FALSE)</f>
        <v/>
      </c>
      <c r="C99" s="43">
        <f>Table13456789101112131415161734[[#This Row],[JPN]]-B98</f>
        <v/>
      </c>
      <c r="D99" s="27" t="n"/>
    </row>
    <row r="100">
      <c r="A100" s="42" t="n">
        <v>26299</v>
      </c>
      <c r="B100" s="43">
        <f>VLOOKUP(A100,'Data yoy'!$B:$AW,MATCH($B$1,'Data yoy'!$B$1:$AW$1,0),FALSE)</f>
        <v/>
      </c>
      <c r="C100" s="43">
        <f>Table13456789101112131415161734[[#This Row],[JPN]]-B99</f>
        <v/>
      </c>
      <c r="D100" s="27" t="n"/>
    </row>
    <row r="101">
      <c r="A101" s="42" t="n">
        <v>26390</v>
      </c>
      <c r="B101" s="43">
        <f>VLOOKUP(A101,'Data yoy'!$B:$AW,MATCH($B$1,'Data yoy'!$B$1:$AW$1,0),FALSE)</f>
        <v/>
      </c>
      <c r="C101" s="43">
        <f>Table13456789101112131415161734[[#This Row],[JPN]]-B100</f>
        <v/>
      </c>
      <c r="D101" s="27" t="n"/>
    </row>
    <row r="102">
      <c r="A102" s="42" t="n">
        <v>26481</v>
      </c>
      <c r="B102" s="43">
        <f>VLOOKUP(A102,'Data yoy'!$B:$AW,MATCH($B$1,'Data yoy'!$B$1:$AW$1,0),FALSE)</f>
        <v/>
      </c>
      <c r="C102" s="43">
        <f>Table13456789101112131415161734[[#This Row],[JPN]]-B101</f>
        <v/>
      </c>
      <c r="D102" s="27" t="n"/>
    </row>
    <row r="103">
      <c r="A103" s="42" t="n">
        <v>26573</v>
      </c>
      <c r="B103" s="43">
        <f>VLOOKUP(A103,'Data yoy'!$B:$AW,MATCH($B$1,'Data yoy'!$B$1:$AW$1,0),FALSE)</f>
        <v/>
      </c>
      <c r="C103" s="43">
        <f>Table13456789101112131415161734[[#This Row],[JPN]]-B102</f>
        <v/>
      </c>
      <c r="D103" s="27" t="n"/>
    </row>
    <row r="104">
      <c r="A104" s="42" t="n">
        <v>26665</v>
      </c>
      <c r="B104" s="43">
        <f>VLOOKUP(A104,'Data yoy'!$B:$AW,MATCH($B$1,'Data yoy'!$B$1:$AW$1,0),FALSE)</f>
        <v/>
      </c>
      <c r="C104" s="43">
        <f>Table13456789101112131415161734[[#This Row],[JPN]]-B103</f>
        <v/>
      </c>
      <c r="D104" s="27" t="n"/>
    </row>
    <row r="105">
      <c r="A105" s="42" t="n">
        <v>26755</v>
      </c>
      <c r="B105" s="43">
        <f>VLOOKUP(A105,'Data yoy'!$B:$AW,MATCH($B$1,'Data yoy'!$B$1:$AW$1,0),FALSE)</f>
        <v/>
      </c>
      <c r="C105" s="43">
        <f>Table13456789101112131415161734[[#This Row],[JPN]]-B104</f>
        <v/>
      </c>
      <c r="D105" s="27" t="n"/>
    </row>
    <row r="106">
      <c r="A106" s="42" t="n">
        <v>26846</v>
      </c>
      <c r="B106" s="43">
        <f>VLOOKUP(A106,'Data yoy'!$B:$AW,MATCH($B$1,'Data yoy'!$B$1:$AW$1,0),FALSE)</f>
        <v/>
      </c>
      <c r="C106" s="43">
        <f>Table13456789101112131415161734[[#This Row],[JPN]]-B105</f>
        <v/>
      </c>
      <c r="D106" s="27" t="n"/>
    </row>
    <row r="107">
      <c r="A107" s="42" t="n">
        <v>26938</v>
      </c>
      <c r="B107" s="43">
        <f>VLOOKUP(A107,'Data yoy'!$B:$AW,MATCH($B$1,'Data yoy'!$B$1:$AW$1,0),FALSE)</f>
        <v/>
      </c>
      <c r="C107" s="43">
        <f>Table13456789101112131415161734[[#This Row],[JPN]]-B106</f>
        <v/>
      </c>
      <c r="D107" s="27" t="n"/>
    </row>
    <row r="108">
      <c r="A108" s="42" t="n">
        <v>27030</v>
      </c>
      <c r="B108" s="43">
        <f>VLOOKUP(A108,'Data yoy'!$B:$AW,MATCH($B$1,'Data yoy'!$B$1:$AW$1,0),FALSE)</f>
        <v/>
      </c>
      <c r="C108" s="43">
        <f>Table13456789101112131415161734[[#This Row],[JPN]]-B107</f>
        <v/>
      </c>
      <c r="D108" s="27" t="n"/>
    </row>
    <row r="109">
      <c r="A109" s="42" t="n">
        <v>27120</v>
      </c>
      <c r="B109" s="43">
        <f>VLOOKUP(A109,'Data yoy'!$B:$AW,MATCH($B$1,'Data yoy'!$B$1:$AW$1,0),FALSE)</f>
        <v/>
      </c>
      <c r="C109" s="43">
        <f>Table13456789101112131415161734[[#This Row],[JPN]]-B108</f>
        <v/>
      </c>
      <c r="D109" s="27" t="n"/>
    </row>
    <row r="110">
      <c r="A110" s="42" t="n">
        <v>27211</v>
      </c>
      <c r="B110" s="43">
        <f>VLOOKUP(A110,'Data yoy'!$B:$AW,MATCH($B$1,'Data yoy'!$B$1:$AW$1,0),FALSE)</f>
        <v/>
      </c>
      <c r="C110" s="43">
        <f>Table13456789101112131415161734[[#This Row],[JPN]]-B109</f>
        <v/>
      </c>
      <c r="D110" s="27" t="n"/>
    </row>
    <row r="111">
      <c r="A111" s="42" t="n">
        <v>27303</v>
      </c>
      <c r="B111" s="43">
        <f>VLOOKUP(A111,'Data yoy'!$B:$AW,MATCH($B$1,'Data yoy'!$B$1:$AW$1,0),FALSE)</f>
        <v/>
      </c>
      <c r="C111" s="43">
        <f>Table13456789101112131415161734[[#This Row],[JPN]]-B110</f>
        <v/>
      </c>
      <c r="D111" s="27" t="n"/>
    </row>
    <row r="112">
      <c r="A112" s="42" t="n">
        <v>27395</v>
      </c>
      <c r="B112" s="43">
        <f>VLOOKUP(A112,'Data yoy'!$B:$AW,MATCH($B$1,'Data yoy'!$B$1:$AW$1,0),FALSE)</f>
        <v/>
      </c>
      <c r="C112" s="43">
        <f>Table13456789101112131415161734[[#This Row],[JPN]]-B111</f>
        <v/>
      </c>
      <c r="D112" s="27" t="n"/>
    </row>
    <row r="113">
      <c r="A113" s="42" t="n">
        <v>27485</v>
      </c>
      <c r="B113" s="43">
        <f>VLOOKUP(A113,'Data yoy'!$B:$AW,MATCH($B$1,'Data yoy'!$B$1:$AW$1,0),FALSE)</f>
        <v/>
      </c>
      <c r="C113" s="43">
        <f>Table13456789101112131415161734[[#This Row],[JPN]]-B112</f>
        <v/>
      </c>
      <c r="D113" s="27" t="n"/>
    </row>
    <row r="114">
      <c r="A114" s="42" t="n">
        <v>27576</v>
      </c>
      <c r="B114" s="43">
        <f>VLOOKUP(A114,'Data yoy'!$B:$AW,MATCH($B$1,'Data yoy'!$B$1:$AW$1,0),FALSE)</f>
        <v/>
      </c>
      <c r="C114" s="43">
        <f>Table13456789101112131415161734[[#This Row],[JPN]]-B113</f>
        <v/>
      </c>
      <c r="D114" s="27" t="n"/>
    </row>
    <row r="115">
      <c r="A115" s="42" t="n">
        <v>27668</v>
      </c>
      <c r="B115" s="43">
        <f>VLOOKUP(A115,'Data yoy'!$B:$AW,MATCH($B$1,'Data yoy'!$B$1:$AW$1,0),FALSE)</f>
        <v/>
      </c>
      <c r="C115" s="43">
        <f>Table13456789101112131415161734[[#This Row],[JPN]]-B114</f>
        <v/>
      </c>
      <c r="D115" s="27" t="n"/>
    </row>
    <row r="116">
      <c r="A116" s="42" t="n">
        <v>27760</v>
      </c>
      <c r="B116" s="43">
        <f>VLOOKUP(A116,'Data yoy'!$B:$AW,MATCH($B$1,'Data yoy'!$B$1:$AW$1,0),FALSE)</f>
        <v/>
      </c>
      <c r="C116" s="43">
        <f>Table13456789101112131415161734[[#This Row],[JPN]]-B115</f>
        <v/>
      </c>
      <c r="D116" s="27" t="n"/>
    </row>
    <row r="117">
      <c r="A117" s="42" t="n">
        <v>27851</v>
      </c>
      <c r="B117" s="43">
        <f>VLOOKUP(A117,'Data yoy'!$B:$AW,MATCH($B$1,'Data yoy'!$B$1:$AW$1,0),FALSE)</f>
        <v/>
      </c>
      <c r="C117" s="43">
        <f>Table13456789101112131415161734[[#This Row],[JPN]]-B116</f>
        <v/>
      </c>
      <c r="D117" s="27" t="n"/>
    </row>
    <row r="118">
      <c r="A118" s="42" t="n">
        <v>27942</v>
      </c>
      <c r="B118" s="43">
        <f>VLOOKUP(A118,'Data yoy'!$B:$AW,MATCH($B$1,'Data yoy'!$B$1:$AW$1,0),FALSE)</f>
        <v/>
      </c>
      <c r="C118" s="43">
        <f>Table13456789101112131415161734[[#This Row],[JPN]]-B117</f>
        <v/>
      </c>
      <c r="D118" s="27" t="n"/>
    </row>
    <row r="119">
      <c r="A119" s="42" t="n">
        <v>28034</v>
      </c>
      <c r="B119" s="43">
        <f>VLOOKUP(A119,'Data yoy'!$B:$AW,MATCH($B$1,'Data yoy'!$B$1:$AW$1,0),FALSE)</f>
        <v/>
      </c>
      <c r="C119" s="43">
        <f>Table13456789101112131415161734[[#This Row],[JPN]]-B118</f>
        <v/>
      </c>
      <c r="D119" s="27" t="n"/>
    </row>
    <row r="120">
      <c r="A120" s="42" t="n">
        <v>28126</v>
      </c>
      <c r="B120" s="43">
        <f>VLOOKUP(A120,'Data yoy'!$B:$AW,MATCH($B$1,'Data yoy'!$B$1:$AW$1,0),FALSE)</f>
        <v/>
      </c>
      <c r="C120" s="43">
        <f>Table13456789101112131415161734[[#This Row],[JPN]]-B119</f>
        <v/>
      </c>
      <c r="D120" s="27" t="n"/>
    </row>
    <row r="121">
      <c r="A121" s="42" t="n">
        <v>28216</v>
      </c>
      <c r="B121" s="43">
        <f>VLOOKUP(A121,'Data yoy'!$B:$AW,MATCH($B$1,'Data yoy'!$B$1:$AW$1,0),FALSE)</f>
        <v/>
      </c>
      <c r="C121" s="43">
        <f>Table13456789101112131415161734[[#This Row],[JPN]]-B120</f>
        <v/>
      </c>
      <c r="D121" s="27" t="n"/>
    </row>
    <row r="122">
      <c r="A122" s="42" t="n">
        <v>28307</v>
      </c>
      <c r="B122" s="43">
        <f>VLOOKUP(A122,'Data yoy'!$B:$AW,MATCH($B$1,'Data yoy'!$B$1:$AW$1,0),FALSE)</f>
        <v/>
      </c>
      <c r="C122" s="43">
        <f>Table13456789101112131415161734[[#This Row],[JPN]]-B121</f>
        <v/>
      </c>
      <c r="D122" s="27" t="n"/>
    </row>
    <row r="123">
      <c r="A123" s="42" t="n">
        <v>28399</v>
      </c>
      <c r="B123" s="43">
        <f>VLOOKUP(A123,'Data yoy'!$B:$AW,MATCH($B$1,'Data yoy'!$B$1:$AW$1,0),FALSE)</f>
        <v/>
      </c>
      <c r="C123" s="43">
        <f>Table13456789101112131415161734[[#This Row],[JPN]]-B122</f>
        <v/>
      </c>
      <c r="D123" s="27" t="n"/>
    </row>
    <row r="124">
      <c r="A124" s="42" t="n">
        <v>28491</v>
      </c>
      <c r="B124" s="43">
        <f>VLOOKUP(A124,'Data yoy'!$B:$AW,MATCH($B$1,'Data yoy'!$B$1:$AW$1,0),FALSE)</f>
        <v/>
      </c>
      <c r="C124" s="43">
        <f>Table13456789101112131415161734[[#This Row],[JPN]]-B123</f>
        <v/>
      </c>
      <c r="D124" s="27" t="n"/>
    </row>
    <row r="125">
      <c r="A125" s="42" t="n">
        <v>28581</v>
      </c>
      <c r="B125" s="43">
        <f>VLOOKUP(A125,'Data yoy'!$B:$AW,MATCH($B$1,'Data yoy'!$B$1:$AW$1,0),FALSE)</f>
        <v/>
      </c>
      <c r="C125" s="43">
        <f>Table13456789101112131415161734[[#This Row],[JPN]]-B124</f>
        <v/>
      </c>
      <c r="D125" s="27" t="n"/>
    </row>
    <row r="126">
      <c r="A126" s="42" t="n">
        <v>28672</v>
      </c>
      <c r="B126" s="43">
        <f>VLOOKUP(A126,'Data yoy'!$B:$AW,MATCH($B$1,'Data yoy'!$B$1:$AW$1,0),FALSE)</f>
        <v/>
      </c>
      <c r="C126" s="43">
        <f>Table13456789101112131415161734[[#This Row],[JPN]]-B125</f>
        <v/>
      </c>
      <c r="D126" s="27" t="n"/>
    </row>
    <row r="127">
      <c r="A127" s="42" t="n">
        <v>28764</v>
      </c>
      <c r="B127" s="43">
        <f>VLOOKUP(A127,'Data yoy'!$B:$AW,MATCH($B$1,'Data yoy'!$B$1:$AW$1,0),FALSE)</f>
        <v/>
      </c>
      <c r="C127" s="43">
        <f>Table13456789101112131415161734[[#This Row],[JPN]]-B126</f>
        <v/>
      </c>
      <c r="D127" s="27" t="n"/>
    </row>
    <row r="128">
      <c r="A128" s="42" t="n">
        <v>28856</v>
      </c>
      <c r="B128" s="43">
        <f>VLOOKUP(A128,'Data yoy'!$B:$AW,MATCH($B$1,'Data yoy'!$B$1:$AW$1,0),FALSE)</f>
        <v/>
      </c>
      <c r="C128" s="43">
        <f>Table13456789101112131415161734[[#This Row],[JPN]]-B127</f>
        <v/>
      </c>
      <c r="D128" s="27" t="n"/>
    </row>
    <row r="129">
      <c r="A129" s="42" t="n">
        <v>28946</v>
      </c>
      <c r="B129" s="43">
        <f>VLOOKUP(A129,'Data yoy'!$B:$AW,MATCH($B$1,'Data yoy'!$B$1:$AW$1,0),FALSE)</f>
        <v/>
      </c>
      <c r="C129" s="43">
        <f>Table13456789101112131415161734[[#This Row],[JPN]]-B128</f>
        <v/>
      </c>
      <c r="D129" s="27" t="n"/>
    </row>
    <row r="130">
      <c r="A130" s="42" t="n">
        <v>29037</v>
      </c>
      <c r="B130" s="43">
        <f>VLOOKUP(A130,'Data yoy'!$B:$AW,MATCH($B$1,'Data yoy'!$B$1:$AW$1,0),FALSE)</f>
        <v/>
      </c>
      <c r="C130" s="43">
        <f>Table13456789101112131415161734[[#This Row],[JPN]]-B129</f>
        <v/>
      </c>
      <c r="D130" s="27" t="n"/>
    </row>
    <row r="131">
      <c r="A131" s="42" t="n">
        <v>29129</v>
      </c>
      <c r="B131" s="43">
        <f>VLOOKUP(A131,'Data yoy'!$B:$AW,MATCH($B$1,'Data yoy'!$B$1:$AW$1,0),FALSE)</f>
        <v/>
      </c>
      <c r="C131" s="43">
        <f>Table13456789101112131415161734[[#This Row],[JPN]]-B130</f>
        <v/>
      </c>
      <c r="D131" s="27" t="n"/>
    </row>
    <row r="132">
      <c r="A132" s="42" t="n">
        <v>29221</v>
      </c>
      <c r="B132" s="43">
        <f>VLOOKUP(A132,'Data yoy'!$B:$AW,MATCH($B$1,'Data yoy'!$B$1:$AW$1,0),FALSE)</f>
        <v/>
      </c>
      <c r="C132" s="43">
        <f>Table13456789101112131415161734[[#This Row],[JPN]]-B131</f>
        <v/>
      </c>
      <c r="D132" s="27" t="n"/>
    </row>
    <row r="133">
      <c r="A133" s="42" t="n">
        <v>29312</v>
      </c>
      <c r="B133" s="43">
        <f>VLOOKUP(A133,'Data yoy'!$B:$AW,MATCH($B$1,'Data yoy'!$B$1:$AW$1,0),FALSE)</f>
        <v/>
      </c>
      <c r="C133" s="43">
        <f>Table13456789101112131415161734[[#This Row],[JPN]]-B132</f>
        <v/>
      </c>
      <c r="D133" s="27" t="n"/>
    </row>
    <row r="134">
      <c r="A134" s="42" t="n">
        <v>29403</v>
      </c>
      <c r="B134" s="43">
        <f>VLOOKUP(A134,'Data yoy'!$B:$AW,MATCH($B$1,'Data yoy'!$B$1:$AW$1,0),FALSE)</f>
        <v/>
      </c>
      <c r="C134" s="43">
        <f>Table13456789101112131415161734[[#This Row],[JPN]]-B133</f>
        <v/>
      </c>
      <c r="D134" s="27" t="n"/>
    </row>
    <row r="135">
      <c r="A135" s="42" t="n">
        <v>29495</v>
      </c>
      <c r="B135" s="43">
        <f>VLOOKUP(A135,'Data yoy'!$B:$AW,MATCH($B$1,'Data yoy'!$B$1:$AW$1,0),FALSE)</f>
        <v/>
      </c>
      <c r="C135" s="43">
        <f>Table13456789101112131415161734[[#This Row],[JPN]]-B134</f>
        <v/>
      </c>
      <c r="D135" s="27" t="n"/>
    </row>
    <row r="136">
      <c r="A136" s="42" t="n">
        <v>29587</v>
      </c>
      <c r="B136" s="43">
        <f>VLOOKUP(A136,'Data yoy'!$B:$AW,MATCH($B$1,'Data yoy'!$B$1:$AW$1,0),FALSE)</f>
        <v/>
      </c>
      <c r="C136" s="43">
        <f>Table13456789101112131415161734[[#This Row],[JPN]]-B135</f>
        <v/>
      </c>
      <c r="D136" s="27" t="n"/>
    </row>
    <row r="137">
      <c r="A137" s="42" t="n">
        <v>29677</v>
      </c>
      <c r="B137" s="43">
        <f>VLOOKUP(A137,'Data yoy'!$B:$AW,MATCH($B$1,'Data yoy'!$B$1:$AW$1,0),FALSE)</f>
        <v/>
      </c>
      <c r="C137" s="43">
        <f>Table13456789101112131415161734[[#This Row],[JPN]]-B136</f>
        <v/>
      </c>
      <c r="D137" s="27" t="n"/>
    </row>
    <row r="138">
      <c r="A138" s="42" t="n">
        <v>29768</v>
      </c>
      <c r="B138" s="43">
        <f>VLOOKUP(A138,'Data yoy'!$B:$AW,MATCH($B$1,'Data yoy'!$B$1:$AW$1,0),FALSE)</f>
        <v/>
      </c>
      <c r="C138" s="43">
        <f>Table13456789101112131415161734[[#This Row],[JPN]]-B137</f>
        <v/>
      </c>
      <c r="D138" s="27" t="n"/>
    </row>
    <row r="139">
      <c r="A139" s="42" t="n">
        <v>29860</v>
      </c>
      <c r="B139" s="43">
        <f>VLOOKUP(A139,'Data yoy'!$B:$AW,MATCH($B$1,'Data yoy'!$B$1:$AW$1,0),FALSE)</f>
        <v/>
      </c>
      <c r="C139" s="43">
        <f>Table13456789101112131415161734[[#This Row],[JPN]]-B138</f>
        <v/>
      </c>
      <c r="D139" s="27" t="n"/>
    </row>
    <row r="140">
      <c r="A140" s="42" t="n">
        <v>29952</v>
      </c>
      <c r="B140" s="43">
        <f>VLOOKUP(A140,'Data yoy'!$B:$AW,MATCH($B$1,'Data yoy'!$B$1:$AW$1,0),FALSE)</f>
        <v/>
      </c>
      <c r="C140" s="43">
        <f>Table13456789101112131415161734[[#This Row],[JPN]]-B139</f>
        <v/>
      </c>
      <c r="D140" s="27" t="n"/>
    </row>
    <row r="141">
      <c r="A141" s="42" t="n">
        <v>30042</v>
      </c>
      <c r="B141" s="43">
        <f>VLOOKUP(A141,'Data yoy'!$B:$AW,MATCH($B$1,'Data yoy'!$B$1:$AW$1,0),FALSE)</f>
        <v/>
      </c>
      <c r="C141" s="43">
        <f>Table13456789101112131415161734[[#This Row],[JPN]]-B140</f>
        <v/>
      </c>
      <c r="D141" s="27" t="n"/>
    </row>
    <row r="142">
      <c r="A142" s="42" t="n">
        <v>30133</v>
      </c>
      <c r="B142" s="43">
        <f>VLOOKUP(A142,'Data yoy'!$B:$AW,MATCH($B$1,'Data yoy'!$B$1:$AW$1,0),FALSE)</f>
        <v/>
      </c>
      <c r="C142" s="43">
        <f>Table13456789101112131415161734[[#This Row],[JPN]]-B141</f>
        <v/>
      </c>
      <c r="D142" s="27" t="n"/>
    </row>
    <row r="143">
      <c r="A143" s="42" t="n">
        <v>30225</v>
      </c>
      <c r="B143" s="43">
        <f>VLOOKUP(A143,'Data yoy'!$B:$AW,MATCH($B$1,'Data yoy'!$B$1:$AW$1,0),FALSE)</f>
        <v/>
      </c>
      <c r="C143" s="43">
        <f>Table13456789101112131415161734[[#This Row],[JPN]]-B142</f>
        <v/>
      </c>
      <c r="D143" s="27" t="n"/>
    </row>
    <row r="144">
      <c r="A144" s="42" t="n">
        <v>30317</v>
      </c>
      <c r="B144" s="43">
        <f>VLOOKUP(A144,'Data yoy'!$B:$AW,MATCH($B$1,'Data yoy'!$B$1:$AW$1,0),FALSE)</f>
        <v/>
      </c>
      <c r="C144" s="43">
        <f>Table13456789101112131415161734[[#This Row],[JPN]]-B143</f>
        <v/>
      </c>
      <c r="D144" s="27" t="n"/>
    </row>
    <row r="145">
      <c r="A145" s="42" t="n">
        <v>30407</v>
      </c>
      <c r="B145" s="43">
        <f>VLOOKUP(A145,'Data yoy'!$B:$AW,MATCH($B$1,'Data yoy'!$B$1:$AW$1,0),FALSE)</f>
        <v/>
      </c>
      <c r="C145" s="43">
        <f>Table13456789101112131415161734[[#This Row],[JPN]]-B144</f>
        <v/>
      </c>
      <c r="D145" s="27" t="n"/>
    </row>
    <row r="146">
      <c r="A146" s="42" t="n">
        <v>30498</v>
      </c>
      <c r="B146" s="43">
        <f>VLOOKUP(A146,'Data yoy'!$B:$AW,MATCH($B$1,'Data yoy'!$B$1:$AW$1,0),FALSE)</f>
        <v/>
      </c>
      <c r="C146" s="43">
        <f>Table13456789101112131415161734[[#This Row],[JPN]]-B145</f>
        <v/>
      </c>
      <c r="D146" s="27" t="n"/>
    </row>
    <row r="147">
      <c r="A147" s="42" t="n">
        <v>30590</v>
      </c>
      <c r="B147" s="43">
        <f>VLOOKUP(A147,'Data yoy'!$B:$AW,MATCH($B$1,'Data yoy'!$B$1:$AW$1,0),FALSE)</f>
        <v/>
      </c>
      <c r="C147" s="43">
        <f>Table13456789101112131415161734[[#This Row],[JPN]]-B146</f>
        <v/>
      </c>
      <c r="D147" s="27" t="n"/>
    </row>
    <row r="148">
      <c r="A148" s="42" t="n">
        <v>30682</v>
      </c>
      <c r="B148" s="43">
        <f>VLOOKUP(A148,'Data yoy'!$B:$AW,MATCH($B$1,'Data yoy'!$B$1:$AW$1,0),FALSE)</f>
        <v/>
      </c>
      <c r="C148" s="43">
        <f>Table13456789101112131415161734[[#This Row],[JPN]]-B147</f>
        <v/>
      </c>
      <c r="D148" s="27" t="n"/>
    </row>
    <row r="149">
      <c r="A149" s="42" t="n">
        <v>30773</v>
      </c>
      <c r="B149" s="43">
        <f>VLOOKUP(A149,'Data yoy'!$B:$AW,MATCH($B$1,'Data yoy'!$B$1:$AW$1,0),FALSE)</f>
        <v/>
      </c>
      <c r="C149" s="43">
        <f>Table13456789101112131415161734[[#This Row],[JPN]]-B148</f>
        <v/>
      </c>
      <c r="D149" s="27" t="n"/>
    </row>
    <row r="150">
      <c r="A150" s="42" t="n">
        <v>30864</v>
      </c>
      <c r="B150" s="43">
        <f>VLOOKUP(A150,'Data yoy'!$B:$AW,MATCH($B$1,'Data yoy'!$B$1:$AW$1,0),FALSE)</f>
        <v/>
      </c>
      <c r="C150" s="43">
        <f>Table13456789101112131415161734[[#This Row],[JPN]]-B149</f>
        <v/>
      </c>
      <c r="D150" s="27" t="n"/>
    </row>
    <row r="151">
      <c r="A151" s="42" t="n">
        <v>30956</v>
      </c>
      <c r="B151" s="43">
        <f>VLOOKUP(A151,'Data yoy'!$B:$AW,MATCH($B$1,'Data yoy'!$B$1:$AW$1,0),FALSE)</f>
        <v/>
      </c>
      <c r="C151" s="43">
        <f>Table13456789101112131415161734[[#This Row],[JPN]]-B150</f>
        <v/>
      </c>
      <c r="D151" s="27" t="n"/>
    </row>
    <row r="152">
      <c r="A152" s="42" t="n">
        <v>31048</v>
      </c>
      <c r="B152" s="43">
        <f>VLOOKUP(A152,'Data yoy'!$B:$AW,MATCH($B$1,'Data yoy'!$B$1:$AW$1,0),FALSE)</f>
        <v/>
      </c>
      <c r="C152" s="43">
        <f>Table13456789101112131415161734[[#This Row],[JPN]]-B151</f>
        <v/>
      </c>
      <c r="D152" s="27" t="n"/>
    </row>
    <row r="153">
      <c r="A153" s="42" t="n">
        <v>31138</v>
      </c>
      <c r="B153" s="43">
        <f>VLOOKUP(A153,'Data yoy'!$B:$AW,MATCH($B$1,'Data yoy'!$B$1:$AW$1,0),FALSE)</f>
        <v/>
      </c>
      <c r="C153" s="43">
        <f>Table13456789101112131415161734[[#This Row],[JPN]]-B152</f>
        <v/>
      </c>
      <c r="D153" s="27" t="n"/>
    </row>
    <row r="154">
      <c r="A154" s="42" t="n">
        <v>31229</v>
      </c>
      <c r="B154" s="43">
        <f>VLOOKUP(A154,'Data yoy'!$B:$AW,MATCH($B$1,'Data yoy'!$B$1:$AW$1,0),FALSE)</f>
        <v/>
      </c>
      <c r="C154" s="43">
        <f>Table13456789101112131415161734[[#This Row],[JPN]]-B153</f>
        <v/>
      </c>
      <c r="D154" s="27" t="n"/>
    </row>
    <row r="155">
      <c r="A155" s="42" t="n">
        <v>31321</v>
      </c>
      <c r="B155" s="43">
        <f>VLOOKUP(A155,'Data yoy'!$B:$AW,MATCH($B$1,'Data yoy'!$B$1:$AW$1,0),FALSE)</f>
        <v/>
      </c>
      <c r="C155" s="43">
        <f>Table13456789101112131415161734[[#This Row],[JPN]]-B154</f>
        <v/>
      </c>
      <c r="D155" s="27" t="n"/>
    </row>
    <row r="156">
      <c r="A156" s="42" t="n">
        <v>31413</v>
      </c>
      <c r="B156" s="43">
        <f>VLOOKUP(A156,'Data yoy'!$B:$AW,MATCH($B$1,'Data yoy'!$B$1:$AW$1,0),FALSE)</f>
        <v/>
      </c>
      <c r="C156" s="43">
        <f>Table13456789101112131415161734[[#This Row],[JPN]]-B155</f>
        <v/>
      </c>
      <c r="D156" s="27" t="n"/>
    </row>
    <row r="157">
      <c r="A157" s="42" t="n">
        <v>31503</v>
      </c>
      <c r="B157" s="43">
        <f>VLOOKUP(A157,'Data yoy'!$B:$AW,MATCH($B$1,'Data yoy'!$B$1:$AW$1,0),FALSE)</f>
        <v/>
      </c>
      <c r="C157" s="43">
        <f>Table13456789101112131415161734[[#This Row],[JPN]]-B156</f>
        <v/>
      </c>
      <c r="D157" s="27" t="n"/>
    </row>
    <row r="158">
      <c r="A158" s="42" t="n">
        <v>31594</v>
      </c>
      <c r="B158" s="43">
        <f>VLOOKUP(A158,'Data yoy'!$B:$AW,MATCH($B$1,'Data yoy'!$B$1:$AW$1,0),FALSE)</f>
        <v/>
      </c>
      <c r="C158" s="43">
        <f>Table13456789101112131415161734[[#This Row],[JPN]]-B157</f>
        <v/>
      </c>
      <c r="D158" s="27" t="n"/>
    </row>
    <row r="159">
      <c r="A159" s="42" t="n">
        <v>31686</v>
      </c>
      <c r="B159" s="43">
        <f>VLOOKUP(A159,'Data yoy'!$B:$AW,MATCH($B$1,'Data yoy'!$B$1:$AW$1,0),FALSE)</f>
        <v/>
      </c>
      <c r="C159" s="43">
        <f>Table13456789101112131415161734[[#This Row],[JPN]]-B158</f>
        <v/>
      </c>
      <c r="D159" s="27" t="n"/>
    </row>
    <row r="160">
      <c r="A160" s="42" t="n">
        <v>31778</v>
      </c>
      <c r="B160" s="43">
        <f>VLOOKUP(A160,'Data yoy'!$B:$AW,MATCH($B$1,'Data yoy'!$B$1:$AW$1,0),FALSE)</f>
        <v/>
      </c>
      <c r="C160" s="43">
        <f>Table13456789101112131415161734[[#This Row],[JPN]]-B159</f>
        <v/>
      </c>
      <c r="D160" s="27" t="n"/>
    </row>
    <row r="161">
      <c r="A161" s="42" t="n">
        <v>31868</v>
      </c>
      <c r="B161" s="43">
        <f>VLOOKUP(A161,'Data yoy'!$B:$AW,MATCH($B$1,'Data yoy'!$B$1:$AW$1,0),FALSE)</f>
        <v/>
      </c>
      <c r="C161" s="43">
        <f>Table13456789101112131415161734[[#This Row],[JPN]]-B160</f>
        <v/>
      </c>
      <c r="D161" s="27" t="n"/>
    </row>
    <row r="162">
      <c r="A162" s="42" t="n">
        <v>31959</v>
      </c>
      <c r="B162" s="43">
        <f>VLOOKUP(A162,'Data yoy'!$B:$AW,MATCH($B$1,'Data yoy'!$B$1:$AW$1,0),FALSE)</f>
        <v/>
      </c>
      <c r="C162" s="43">
        <f>Table13456789101112131415161734[[#This Row],[JPN]]-B161</f>
        <v/>
      </c>
      <c r="D162" s="27" t="n"/>
    </row>
    <row r="163">
      <c r="A163" s="42" t="n">
        <v>32051</v>
      </c>
      <c r="B163" s="43">
        <f>VLOOKUP(A163,'Data yoy'!$B:$AW,MATCH($B$1,'Data yoy'!$B$1:$AW$1,0),FALSE)</f>
        <v/>
      </c>
      <c r="C163" s="43">
        <f>Table13456789101112131415161734[[#This Row],[JPN]]-B162</f>
        <v/>
      </c>
      <c r="D163" s="27" t="n"/>
    </row>
    <row r="164">
      <c r="A164" s="42" t="n">
        <v>32143</v>
      </c>
      <c r="B164" s="43">
        <f>VLOOKUP(A164,'Data yoy'!$B:$AW,MATCH($B$1,'Data yoy'!$B$1:$AW$1,0),FALSE)</f>
        <v/>
      </c>
      <c r="C164" s="43">
        <f>Table13456789101112131415161734[[#This Row],[JPN]]-B163</f>
        <v/>
      </c>
      <c r="D164" s="27" t="n"/>
    </row>
    <row r="165">
      <c r="A165" s="42" t="n">
        <v>32234</v>
      </c>
      <c r="B165" s="43">
        <f>VLOOKUP(A165,'Data yoy'!$B:$AW,MATCH($B$1,'Data yoy'!$B$1:$AW$1,0),FALSE)</f>
        <v/>
      </c>
      <c r="C165" s="43">
        <f>Table13456789101112131415161734[[#This Row],[JPN]]-B164</f>
        <v/>
      </c>
      <c r="D165" s="27" t="n"/>
    </row>
    <row r="166">
      <c r="A166" s="42" t="n">
        <v>32325</v>
      </c>
      <c r="B166" s="43">
        <f>VLOOKUP(A166,'Data yoy'!$B:$AW,MATCH($B$1,'Data yoy'!$B$1:$AW$1,0),FALSE)</f>
        <v/>
      </c>
      <c r="C166" s="43">
        <f>Table13456789101112131415161734[[#This Row],[JPN]]-B165</f>
        <v/>
      </c>
      <c r="D166" s="27" t="n"/>
    </row>
    <row r="167">
      <c r="A167" s="42" t="n">
        <v>32417</v>
      </c>
      <c r="B167" s="43">
        <f>VLOOKUP(A167,'Data yoy'!$B:$AW,MATCH($B$1,'Data yoy'!$B$1:$AW$1,0),FALSE)</f>
        <v/>
      </c>
      <c r="C167" s="43">
        <f>Table13456789101112131415161734[[#This Row],[JPN]]-B166</f>
        <v/>
      </c>
      <c r="D167" s="27" t="n"/>
    </row>
    <row r="168">
      <c r="A168" s="42" t="n">
        <v>32509</v>
      </c>
      <c r="B168" s="43">
        <f>VLOOKUP(A168,'Data yoy'!$B:$AW,MATCH($B$1,'Data yoy'!$B$1:$AW$1,0),FALSE)</f>
        <v/>
      </c>
      <c r="C168" s="43">
        <f>Table13456789101112131415161734[[#This Row],[JPN]]-B167</f>
        <v/>
      </c>
      <c r="D168" s="27" t="n"/>
    </row>
    <row r="169">
      <c r="A169" s="42" t="n">
        <v>32599</v>
      </c>
      <c r="B169" s="43">
        <f>VLOOKUP(A169,'Data yoy'!$B:$AW,MATCH($B$1,'Data yoy'!$B$1:$AW$1,0),FALSE)</f>
        <v/>
      </c>
      <c r="C169" s="43">
        <f>Table13456789101112131415161734[[#This Row],[JPN]]-B168</f>
        <v/>
      </c>
      <c r="D169" s="27" t="n"/>
    </row>
    <row r="170">
      <c r="A170" s="42" t="n">
        <v>32690</v>
      </c>
      <c r="B170" s="43">
        <f>VLOOKUP(A170,'Data yoy'!$B:$AW,MATCH($B$1,'Data yoy'!$B$1:$AW$1,0),FALSE)</f>
        <v/>
      </c>
      <c r="C170" s="43">
        <f>Table13456789101112131415161734[[#This Row],[JPN]]-B169</f>
        <v/>
      </c>
      <c r="D170" s="27" t="n"/>
    </row>
    <row r="171">
      <c r="A171" s="42" t="n">
        <v>32782</v>
      </c>
      <c r="B171" s="43">
        <f>VLOOKUP(A171,'Data yoy'!$B:$AW,MATCH($B$1,'Data yoy'!$B$1:$AW$1,0),FALSE)</f>
        <v/>
      </c>
      <c r="C171" s="43">
        <f>Table13456789101112131415161734[[#This Row],[JPN]]-B170</f>
        <v/>
      </c>
      <c r="D171" s="27" t="n"/>
    </row>
    <row r="172">
      <c r="A172" s="42" t="n">
        <v>32874</v>
      </c>
      <c r="B172" s="43">
        <f>VLOOKUP(A172,'Data yoy'!$B:$AW,MATCH($B$1,'Data yoy'!$B$1:$AW$1,0),FALSE)</f>
        <v/>
      </c>
      <c r="C172" s="43">
        <f>Table13456789101112131415161734[[#This Row],[JPN]]-B171</f>
        <v/>
      </c>
      <c r="D172" s="27" t="n"/>
    </row>
    <row r="173">
      <c r="A173" s="42" t="n">
        <v>32964</v>
      </c>
      <c r="B173" s="43">
        <f>VLOOKUP(A173,'Data yoy'!$B:$AW,MATCH($B$1,'Data yoy'!$B$1:$AW$1,0),FALSE)</f>
        <v/>
      </c>
      <c r="C173" s="43">
        <f>Table13456789101112131415161734[[#This Row],[JPN]]-B172</f>
        <v/>
      </c>
      <c r="D173" s="27" t="n"/>
    </row>
    <row r="174">
      <c r="A174" s="42" t="n">
        <v>33055</v>
      </c>
      <c r="B174" s="43">
        <f>VLOOKUP(A174,'Data yoy'!$B:$AW,MATCH($B$1,'Data yoy'!$B$1:$AW$1,0),FALSE)</f>
        <v/>
      </c>
      <c r="C174" s="43">
        <f>Table13456789101112131415161734[[#This Row],[JPN]]-B173</f>
        <v/>
      </c>
      <c r="D174" s="27" t="n"/>
    </row>
    <row r="175">
      <c r="A175" s="42" t="n">
        <v>33147</v>
      </c>
      <c r="B175" s="43">
        <f>VLOOKUP(A175,'Data yoy'!$B:$AW,MATCH($B$1,'Data yoy'!$B$1:$AW$1,0),FALSE)</f>
        <v/>
      </c>
      <c r="C175" s="43">
        <f>Table13456789101112131415161734[[#This Row],[JPN]]-B174</f>
        <v/>
      </c>
      <c r="D175" s="27" t="n"/>
    </row>
    <row r="176">
      <c r="A176" s="42" t="n">
        <v>33239</v>
      </c>
      <c r="B176" s="43">
        <f>VLOOKUP(A176,'Data yoy'!$B:$AW,MATCH($B$1,'Data yoy'!$B$1:$AW$1,0),FALSE)</f>
        <v/>
      </c>
      <c r="C176" s="43">
        <f>Table13456789101112131415161734[[#This Row],[JPN]]-B175</f>
        <v/>
      </c>
      <c r="D176" s="27" t="n"/>
    </row>
    <row r="177">
      <c r="A177" s="42" t="n">
        <v>33329</v>
      </c>
      <c r="B177" s="43">
        <f>VLOOKUP(A177,'Data yoy'!$B:$AW,MATCH($B$1,'Data yoy'!$B$1:$AW$1,0),FALSE)</f>
        <v/>
      </c>
      <c r="C177" s="43">
        <f>Table13456789101112131415161734[[#This Row],[JPN]]-B176</f>
        <v/>
      </c>
      <c r="D177" s="27" t="n"/>
    </row>
    <row r="178">
      <c r="A178" s="42" t="n">
        <v>33420</v>
      </c>
      <c r="B178" s="43">
        <f>VLOOKUP(A178,'Data yoy'!$B:$AW,MATCH($B$1,'Data yoy'!$B$1:$AW$1,0),FALSE)</f>
        <v/>
      </c>
      <c r="C178" s="43">
        <f>Table13456789101112131415161734[[#This Row],[JPN]]-B177</f>
        <v/>
      </c>
      <c r="D178" s="27" t="n"/>
    </row>
    <row r="179">
      <c r="A179" s="42" t="n">
        <v>33512</v>
      </c>
      <c r="B179" s="43">
        <f>VLOOKUP(A179,'Data yoy'!$B:$AW,MATCH($B$1,'Data yoy'!$B$1:$AW$1,0),FALSE)</f>
        <v/>
      </c>
      <c r="C179" s="43">
        <f>Table13456789101112131415161734[[#This Row],[JPN]]-B178</f>
        <v/>
      </c>
      <c r="D179" s="27" t="n"/>
    </row>
    <row r="180">
      <c r="A180" s="42" t="n">
        <v>33604</v>
      </c>
      <c r="B180" s="43">
        <f>VLOOKUP(A180,'Data yoy'!$B:$AW,MATCH($B$1,'Data yoy'!$B$1:$AW$1,0),FALSE)</f>
        <v/>
      </c>
      <c r="C180" s="43">
        <f>Table13456789101112131415161734[[#This Row],[JPN]]-B179</f>
        <v/>
      </c>
      <c r="D180" s="27" t="n"/>
    </row>
    <row r="181">
      <c r="A181" s="42" t="n">
        <v>33695</v>
      </c>
      <c r="B181" s="43">
        <f>VLOOKUP(A181,'Data yoy'!$B:$AW,MATCH($B$1,'Data yoy'!$B$1:$AW$1,0),FALSE)</f>
        <v/>
      </c>
      <c r="C181" s="43">
        <f>Table13456789101112131415161734[[#This Row],[JPN]]-B180</f>
        <v/>
      </c>
      <c r="D181" s="27" t="n"/>
    </row>
    <row r="182">
      <c r="A182" s="42" t="n">
        <v>33786</v>
      </c>
      <c r="B182" s="43">
        <f>VLOOKUP(A182,'Data yoy'!$B:$AW,MATCH($B$1,'Data yoy'!$B$1:$AW$1,0),FALSE)</f>
        <v/>
      </c>
      <c r="C182" s="43">
        <f>Table13456789101112131415161734[[#This Row],[JPN]]-B181</f>
        <v/>
      </c>
      <c r="D182" s="27" t="n"/>
    </row>
    <row r="183">
      <c r="A183" s="42" t="n">
        <v>33878</v>
      </c>
      <c r="B183" s="43">
        <f>VLOOKUP(A183,'Data yoy'!$B:$AW,MATCH($B$1,'Data yoy'!$B$1:$AW$1,0),FALSE)</f>
        <v/>
      </c>
      <c r="C183" s="43">
        <f>Table13456789101112131415161734[[#This Row],[JPN]]-B182</f>
        <v/>
      </c>
      <c r="D183" s="27" t="n"/>
    </row>
    <row r="184">
      <c r="A184" s="42" t="n">
        <v>33970</v>
      </c>
      <c r="B184" s="43">
        <f>VLOOKUP(A184,'Data yoy'!$B:$AW,MATCH($B$1,'Data yoy'!$B$1:$AW$1,0),FALSE)</f>
        <v/>
      </c>
      <c r="C184" s="43">
        <f>Table13456789101112131415161734[[#This Row],[JPN]]-B183</f>
        <v/>
      </c>
      <c r="D184" s="27" t="n"/>
    </row>
    <row r="185">
      <c r="A185" s="42" t="n">
        <v>34060</v>
      </c>
      <c r="B185" s="43">
        <f>VLOOKUP(A185,'Data yoy'!$B:$AW,MATCH($B$1,'Data yoy'!$B$1:$AW$1,0),FALSE)</f>
        <v/>
      </c>
      <c r="C185" s="43">
        <f>Table13456789101112131415161734[[#This Row],[JPN]]-B184</f>
        <v/>
      </c>
      <c r="D185" s="27" t="n"/>
    </row>
    <row r="186">
      <c r="A186" s="42" t="n">
        <v>34151</v>
      </c>
      <c r="B186" s="43">
        <f>VLOOKUP(A186,'Data yoy'!$B:$AW,MATCH($B$1,'Data yoy'!$B$1:$AW$1,0),FALSE)</f>
        <v/>
      </c>
      <c r="C186" s="43">
        <f>Table13456789101112131415161734[[#This Row],[JPN]]-B185</f>
        <v/>
      </c>
      <c r="D186" s="27" t="n"/>
    </row>
    <row r="187">
      <c r="A187" s="42" t="n">
        <v>34243</v>
      </c>
      <c r="B187" s="43">
        <f>VLOOKUP(A187,'Data yoy'!$B:$AW,MATCH($B$1,'Data yoy'!$B$1:$AW$1,0),FALSE)</f>
        <v/>
      </c>
      <c r="C187" s="43">
        <f>Table13456789101112131415161734[[#This Row],[JPN]]-B186</f>
        <v/>
      </c>
      <c r="D187" s="27" t="n"/>
    </row>
    <row r="188">
      <c r="A188" s="42" t="n">
        <v>34335</v>
      </c>
      <c r="B188" s="43">
        <f>VLOOKUP(A188,'Data yoy'!$B:$AW,MATCH($B$1,'Data yoy'!$B$1:$AW$1,0),FALSE)</f>
        <v/>
      </c>
      <c r="C188" s="43">
        <f>Table13456789101112131415161734[[#This Row],[JPN]]-B187</f>
        <v/>
      </c>
      <c r="D188" s="27" t="n"/>
    </row>
    <row r="189">
      <c r="A189" s="42" t="n">
        <v>34425</v>
      </c>
      <c r="B189" s="43">
        <f>VLOOKUP(A189,'Data yoy'!$B:$AW,MATCH($B$1,'Data yoy'!$B$1:$AW$1,0),FALSE)</f>
        <v/>
      </c>
      <c r="C189" s="43">
        <f>Table13456789101112131415161734[[#This Row],[JPN]]-B188</f>
        <v/>
      </c>
      <c r="D189" s="27" t="n"/>
    </row>
    <row r="190">
      <c r="A190" s="42" t="n">
        <v>34516</v>
      </c>
      <c r="B190" s="43">
        <f>VLOOKUP(A190,'Data yoy'!$B:$AW,MATCH($B$1,'Data yoy'!$B$1:$AW$1,0),FALSE)</f>
        <v/>
      </c>
      <c r="C190" s="43">
        <f>Table13456789101112131415161734[[#This Row],[JPN]]-B189</f>
        <v/>
      </c>
      <c r="D190" s="27" t="n"/>
    </row>
    <row r="191">
      <c r="A191" s="42" t="n">
        <v>34608</v>
      </c>
      <c r="B191" s="43">
        <f>VLOOKUP(A191,'Data yoy'!$B:$AW,MATCH($B$1,'Data yoy'!$B$1:$AW$1,0),FALSE)</f>
        <v/>
      </c>
      <c r="C191" s="43">
        <f>Table13456789101112131415161734[[#This Row],[JPN]]-B190</f>
        <v/>
      </c>
      <c r="D191" s="27" t="n"/>
    </row>
    <row r="192">
      <c r="A192" s="42" t="n">
        <v>34700</v>
      </c>
      <c r="B192" s="43">
        <f>VLOOKUP(A192,'Data yoy'!$B:$AW,MATCH($B$1,'Data yoy'!$B$1:$AW$1,0),FALSE)</f>
        <v/>
      </c>
      <c r="C192" s="43">
        <f>Table13456789101112131415161734[[#This Row],[JPN]]-B191</f>
        <v/>
      </c>
      <c r="D192" s="27" t="n"/>
    </row>
    <row r="193">
      <c r="A193" s="42" t="n">
        <v>34790</v>
      </c>
      <c r="B193" s="43">
        <f>VLOOKUP(A193,'Data yoy'!$B:$AW,MATCH($B$1,'Data yoy'!$B$1:$AW$1,0),FALSE)</f>
        <v/>
      </c>
      <c r="C193" s="43">
        <f>Table13456789101112131415161734[[#This Row],[JPN]]-B192</f>
        <v/>
      </c>
      <c r="D193" s="27" t="n"/>
    </row>
    <row r="194">
      <c r="A194" s="42" t="n">
        <v>34881</v>
      </c>
      <c r="B194" s="43">
        <f>VLOOKUP(A194,'Data yoy'!$B:$AW,MATCH($B$1,'Data yoy'!$B$1:$AW$1,0),FALSE)</f>
        <v/>
      </c>
      <c r="C194" s="43">
        <f>Table13456789101112131415161734[[#This Row],[JPN]]-B193</f>
        <v/>
      </c>
      <c r="D194" s="27" t="n"/>
    </row>
    <row r="195">
      <c r="A195" s="42" t="n">
        <v>34973</v>
      </c>
      <c r="B195" s="43">
        <f>VLOOKUP(A195,'Data yoy'!$B:$AW,MATCH($B$1,'Data yoy'!$B$1:$AW$1,0),FALSE)</f>
        <v/>
      </c>
      <c r="C195" s="43">
        <f>Table13456789101112131415161734[[#This Row],[JPN]]-B194</f>
        <v/>
      </c>
      <c r="D195" s="27" t="n"/>
    </row>
    <row r="196">
      <c r="A196" s="42" t="n">
        <v>35065</v>
      </c>
      <c r="B196" s="43">
        <f>VLOOKUP(A196,'Data yoy'!$B:$AW,MATCH($B$1,'Data yoy'!$B$1:$AW$1,0),FALSE)</f>
        <v/>
      </c>
      <c r="C196" s="43">
        <f>Table13456789101112131415161734[[#This Row],[JPN]]-B195</f>
        <v/>
      </c>
      <c r="D196" s="27" t="n"/>
    </row>
    <row r="197">
      <c r="A197" s="42" t="n">
        <v>35156</v>
      </c>
      <c r="B197" s="43">
        <f>VLOOKUP(A197,'Data yoy'!$B:$AW,MATCH($B$1,'Data yoy'!$B$1:$AW$1,0),FALSE)</f>
        <v/>
      </c>
      <c r="C197" s="43">
        <f>Table13456789101112131415161734[[#This Row],[JPN]]-B196</f>
        <v/>
      </c>
      <c r="D197" s="27" t="n"/>
    </row>
    <row r="198">
      <c r="A198" s="42" t="n">
        <v>35247</v>
      </c>
      <c r="B198" s="43">
        <f>VLOOKUP(A198,'Data yoy'!$B:$AW,MATCH($B$1,'Data yoy'!$B$1:$AW$1,0),FALSE)</f>
        <v/>
      </c>
      <c r="C198" s="43">
        <f>Table13456789101112131415161734[[#This Row],[JPN]]-B197</f>
        <v/>
      </c>
      <c r="D198" s="27" t="n"/>
    </row>
    <row r="199">
      <c r="A199" s="42" t="n">
        <v>35339</v>
      </c>
      <c r="B199" s="43">
        <f>VLOOKUP(A199,'Data yoy'!$B:$AW,MATCH($B$1,'Data yoy'!$B$1:$AW$1,0),FALSE)</f>
        <v/>
      </c>
      <c r="C199" s="43">
        <f>Table13456789101112131415161734[[#This Row],[JPN]]-B198</f>
        <v/>
      </c>
      <c r="D199" s="27" t="n"/>
    </row>
    <row r="200">
      <c r="A200" s="42" t="n">
        <v>35431</v>
      </c>
      <c r="B200" s="43">
        <f>VLOOKUP(A200,'Data yoy'!$B:$AW,MATCH($B$1,'Data yoy'!$B$1:$AW$1,0),FALSE)</f>
        <v/>
      </c>
      <c r="C200" s="43">
        <f>Table13456789101112131415161734[[#This Row],[JPN]]-B199</f>
        <v/>
      </c>
      <c r="D200" s="27" t="n"/>
    </row>
    <row r="201">
      <c r="A201" s="42" t="n">
        <v>35521</v>
      </c>
      <c r="B201" s="43">
        <f>VLOOKUP(A201,'Data yoy'!$B:$AW,MATCH($B$1,'Data yoy'!$B$1:$AW$1,0),FALSE)</f>
        <v/>
      </c>
      <c r="C201" s="43">
        <f>Table13456789101112131415161734[[#This Row],[JPN]]-B200</f>
        <v/>
      </c>
      <c r="D201" s="27" t="n"/>
    </row>
    <row r="202">
      <c r="A202" s="42" t="n">
        <v>35612</v>
      </c>
      <c r="B202" s="43">
        <f>VLOOKUP(A202,'Data yoy'!$B:$AW,MATCH($B$1,'Data yoy'!$B$1:$AW$1,0),FALSE)</f>
        <v/>
      </c>
      <c r="C202" s="43">
        <f>Table13456789101112131415161734[[#This Row],[JPN]]-B201</f>
        <v/>
      </c>
      <c r="D202" s="27" t="n"/>
    </row>
    <row r="203">
      <c r="A203" s="42" t="n">
        <v>35704</v>
      </c>
      <c r="B203" s="43">
        <f>VLOOKUP(A203,'Data yoy'!$B:$AW,MATCH($B$1,'Data yoy'!$B$1:$AW$1,0),FALSE)</f>
        <v/>
      </c>
      <c r="C203" s="43">
        <f>Table13456789101112131415161734[[#This Row],[JPN]]-B202</f>
        <v/>
      </c>
      <c r="D203" s="27" t="n"/>
    </row>
    <row r="204">
      <c r="A204" s="42" t="n">
        <v>35796</v>
      </c>
      <c r="B204" s="43">
        <f>VLOOKUP(A204,'Data yoy'!$B:$AW,MATCH($B$1,'Data yoy'!$B$1:$AW$1,0),FALSE)</f>
        <v/>
      </c>
      <c r="C204" s="43">
        <f>Table13456789101112131415161734[[#This Row],[JPN]]-B203</f>
        <v/>
      </c>
      <c r="D204" s="27" t="n"/>
    </row>
    <row r="205">
      <c r="A205" s="42" t="n">
        <v>35886</v>
      </c>
      <c r="B205" s="43">
        <f>VLOOKUP(A205,'Data yoy'!$B:$AW,MATCH($B$1,'Data yoy'!$B$1:$AW$1,0),FALSE)</f>
        <v/>
      </c>
      <c r="C205" s="43">
        <f>Table13456789101112131415161734[[#This Row],[JPN]]-B204</f>
        <v/>
      </c>
      <c r="D205" s="27" t="n"/>
    </row>
    <row r="206">
      <c r="A206" s="42" t="n">
        <v>35977</v>
      </c>
      <c r="B206" s="43">
        <f>VLOOKUP(A206,'Data yoy'!$B:$AW,MATCH($B$1,'Data yoy'!$B$1:$AW$1,0),FALSE)</f>
        <v/>
      </c>
      <c r="C206" s="43">
        <f>Table13456789101112131415161734[[#This Row],[JPN]]-B205</f>
        <v/>
      </c>
      <c r="D206" s="27" t="n"/>
    </row>
    <row r="207">
      <c r="A207" s="42" t="n">
        <v>36069</v>
      </c>
      <c r="B207" s="43">
        <f>VLOOKUP(A207,'Data yoy'!$B:$AW,MATCH($B$1,'Data yoy'!$B$1:$AW$1,0),FALSE)</f>
        <v/>
      </c>
      <c r="C207" s="43">
        <f>Table13456789101112131415161734[[#This Row],[JPN]]-B206</f>
        <v/>
      </c>
      <c r="D207" s="27" t="n"/>
    </row>
    <row r="208">
      <c r="A208" s="42" t="n">
        <v>36161</v>
      </c>
      <c r="B208" s="43">
        <f>VLOOKUP(A208,'Data yoy'!$B:$AW,MATCH($B$1,'Data yoy'!$B$1:$AW$1,0),FALSE)</f>
        <v/>
      </c>
      <c r="C208" s="43">
        <f>Table13456789101112131415161734[[#This Row],[JPN]]-B207</f>
        <v/>
      </c>
      <c r="D208" s="27" t="n"/>
    </row>
    <row r="209">
      <c r="A209" s="42" t="n">
        <v>36251</v>
      </c>
      <c r="B209" s="43">
        <f>VLOOKUP(A209,'Data yoy'!$B:$AW,MATCH($B$1,'Data yoy'!$B$1:$AW$1,0),FALSE)</f>
        <v/>
      </c>
      <c r="C209" s="43">
        <f>Table13456789101112131415161734[[#This Row],[JPN]]-B208</f>
        <v/>
      </c>
      <c r="D209" s="27" t="n"/>
    </row>
    <row r="210">
      <c r="A210" s="42" t="n">
        <v>36342</v>
      </c>
      <c r="B210" s="43">
        <f>VLOOKUP(A210,'Data yoy'!$B:$AW,MATCH($B$1,'Data yoy'!$B$1:$AW$1,0),FALSE)</f>
        <v/>
      </c>
      <c r="C210" s="43">
        <f>Table13456789101112131415161734[[#This Row],[JPN]]-B209</f>
        <v/>
      </c>
      <c r="D210" s="27" t="n"/>
    </row>
    <row r="211">
      <c r="A211" s="42" t="n">
        <v>36434</v>
      </c>
      <c r="B211" s="43">
        <f>VLOOKUP(A211,'Data yoy'!$B:$AW,MATCH($B$1,'Data yoy'!$B$1:$AW$1,0),FALSE)</f>
        <v/>
      </c>
      <c r="C211" s="43">
        <f>Table13456789101112131415161734[[#This Row],[JPN]]-B210</f>
        <v/>
      </c>
      <c r="D211" s="27" t="n"/>
    </row>
    <row r="212">
      <c r="A212" s="42" t="n">
        <v>36526</v>
      </c>
      <c r="B212" s="43">
        <f>VLOOKUP(A212,'Data yoy'!$B:$AW,MATCH($B$1,'Data yoy'!$B$1:$AW$1,0),FALSE)</f>
        <v/>
      </c>
      <c r="C212" s="43">
        <f>Table13456789101112131415161734[[#This Row],[JPN]]-B211</f>
        <v/>
      </c>
      <c r="D212" s="27" t="n"/>
    </row>
    <row r="213">
      <c r="A213" s="42" t="n">
        <v>36617</v>
      </c>
      <c r="B213" s="43">
        <f>VLOOKUP(A213,'Data yoy'!$B:$AW,MATCH($B$1,'Data yoy'!$B$1:$AW$1,0),FALSE)</f>
        <v/>
      </c>
      <c r="C213" s="43">
        <f>Table13456789101112131415161734[[#This Row],[JPN]]-B212</f>
        <v/>
      </c>
      <c r="D213" s="27" t="n"/>
    </row>
    <row r="214">
      <c r="A214" s="42" t="n">
        <v>36708</v>
      </c>
      <c r="B214" s="43">
        <f>VLOOKUP(A214,'Data yoy'!$B:$AW,MATCH($B$1,'Data yoy'!$B$1:$AW$1,0),FALSE)</f>
        <v/>
      </c>
      <c r="C214" s="43">
        <f>Table13456789101112131415161734[[#This Row],[JPN]]-B213</f>
        <v/>
      </c>
      <c r="D214" s="27" t="n"/>
    </row>
    <row r="215">
      <c r="A215" s="42" t="n">
        <v>36800</v>
      </c>
      <c r="B215" s="43">
        <f>VLOOKUP(A215,'Data yoy'!$B:$AW,MATCH($B$1,'Data yoy'!$B$1:$AW$1,0),FALSE)</f>
        <v/>
      </c>
      <c r="C215" s="43">
        <f>Table13456789101112131415161734[[#This Row],[JPN]]-B214</f>
        <v/>
      </c>
      <c r="D215" s="27" t="n"/>
    </row>
    <row r="216">
      <c r="A216" s="42" t="n">
        <v>36892</v>
      </c>
      <c r="B216" s="43">
        <f>VLOOKUP(A216,'Data yoy'!$B:$AW,MATCH($B$1,'Data yoy'!$B$1:$AW$1,0),FALSE)</f>
        <v/>
      </c>
      <c r="C216" s="43">
        <f>Table13456789101112131415161734[[#This Row],[JPN]]-B215</f>
        <v/>
      </c>
      <c r="D216" s="27" t="n"/>
    </row>
    <row r="217">
      <c r="A217" s="42" t="n">
        <v>36982</v>
      </c>
      <c r="B217" s="43">
        <f>VLOOKUP(A217,'Data yoy'!$B:$AW,MATCH($B$1,'Data yoy'!$B$1:$AW$1,0),FALSE)</f>
        <v/>
      </c>
      <c r="C217" s="43">
        <f>Table13456789101112131415161734[[#This Row],[JPN]]-B216</f>
        <v/>
      </c>
      <c r="D217" s="27" t="n"/>
    </row>
    <row r="218">
      <c r="A218" s="42" t="n">
        <v>37073</v>
      </c>
      <c r="B218" s="43">
        <f>VLOOKUP(A218,'Data yoy'!$B:$AW,MATCH($B$1,'Data yoy'!$B$1:$AW$1,0),FALSE)</f>
        <v/>
      </c>
      <c r="C218" s="43">
        <f>Table13456789101112131415161734[[#This Row],[JPN]]-B217</f>
        <v/>
      </c>
      <c r="D218" s="27" t="n"/>
    </row>
    <row r="219">
      <c r="A219" s="42" t="n">
        <v>37165</v>
      </c>
      <c r="B219" s="43">
        <f>VLOOKUP(A219,'Data yoy'!$B:$AW,MATCH($B$1,'Data yoy'!$B$1:$AW$1,0),FALSE)</f>
        <v/>
      </c>
      <c r="C219" s="43">
        <f>Table13456789101112131415161734[[#This Row],[JPN]]-B218</f>
        <v/>
      </c>
      <c r="D219" s="27" t="n"/>
    </row>
    <row r="220">
      <c r="A220" s="42" t="n">
        <v>37257</v>
      </c>
      <c r="B220" s="43">
        <f>VLOOKUP(A220,'Data yoy'!$B:$AW,MATCH($B$1,'Data yoy'!$B$1:$AW$1,0),FALSE)</f>
        <v/>
      </c>
      <c r="C220" s="43">
        <f>Table13456789101112131415161734[[#This Row],[JPN]]-B219</f>
        <v/>
      </c>
      <c r="D220" s="27" t="n"/>
    </row>
    <row r="221">
      <c r="A221" s="42" t="n">
        <v>37347</v>
      </c>
      <c r="B221" s="43">
        <f>VLOOKUP(A221,'Data yoy'!$B:$AW,MATCH($B$1,'Data yoy'!$B$1:$AW$1,0),FALSE)</f>
        <v/>
      </c>
      <c r="C221" s="43">
        <f>Table13456789101112131415161734[[#This Row],[JPN]]-B220</f>
        <v/>
      </c>
      <c r="D221" s="27" t="n"/>
    </row>
    <row r="222">
      <c r="A222" s="42" t="n">
        <v>37438</v>
      </c>
      <c r="B222" s="43">
        <f>VLOOKUP(A222,'Data yoy'!$B:$AW,MATCH($B$1,'Data yoy'!$B$1:$AW$1,0),FALSE)</f>
        <v/>
      </c>
      <c r="C222" s="43">
        <f>Table13456789101112131415161734[[#This Row],[JPN]]-B221</f>
        <v/>
      </c>
      <c r="D222" s="27" t="n"/>
    </row>
    <row r="223">
      <c r="A223" s="42" t="n">
        <v>37530</v>
      </c>
      <c r="B223" s="43">
        <f>VLOOKUP(A223,'Data yoy'!$B:$AW,MATCH($B$1,'Data yoy'!$B$1:$AW$1,0),FALSE)</f>
        <v/>
      </c>
      <c r="C223" s="43">
        <f>Table13456789101112131415161734[[#This Row],[JPN]]-B222</f>
        <v/>
      </c>
      <c r="D223" s="27" t="n"/>
    </row>
    <row r="224">
      <c r="A224" s="42" t="n">
        <v>37622</v>
      </c>
      <c r="B224" s="43">
        <f>VLOOKUP(A224,'Data yoy'!$B:$AW,MATCH($B$1,'Data yoy'!$B$1:$AW$1,0),FALSE)</f>
        <v/>
      </c>
      <c r="C224" s="43">
        <f>Table13456789101112131415161734[[#This Row],[JPN]]-B223</f>
        <v/>
      </c>
      <c r="D224" s="27" t="n"/>
    </row>
    <row r="225">
      <c r="A225" s="42" t="n">
        <v>37712</v>
      </c>
      <c r="B225" s="43">
        <f>VLOOKUP(A225,'Data yoy'!$B:$AW,MATCH($B$1,'Data yoy'!$B$1:$AW$1,0),FALSE)</f>
        <v/>
      </c>
      <c r="C225" s="43">
        <f>Table13456789101112131415161734[[#This Row],[JPN]]-B224</f>
        <v/>
      </c>
      <c r="D225" s="27" t="n"/>
    </row>
    <row r="226">
      <c r="A226" s="42" t="n">
        <v>37803</v>
      </c>
      <c r="B226" s="43">
        <f>VLOOKUP(A226,'Data yoy'!$B:$AW,MATCH($B$1,'Data yoy'!$B$1:$AW$1,0),FALSE)</f>
        <v/>
      </c>
      <c r="C226" s="43">
        <f>Table13456789101112131415161734[[#This Row],[JPN]]-B225</f>
        <v/>
      </c>
      <c r="D226" s="27" t="n"/>
    </row>
    <row r="227">
      <c r="A227" s="42" t="n">
        <v>37895</v>
      </c>
      <c r="B227" s="43">
        <f>VLOOKUP(A227,'Data yoy'!$B:$AW,MATCH($B$1,'Data yoy'!$B$1:$AW$1,0),FALSE)</f>
        <v/>
      </c>
      <c r="C227" s="43">
        <f>Table13456789101112131415161734[[#This Row],[JPN]]-B226</f>
        <v/>
      </c>
      <c r="D227" s="27" t="n"/>
    </row>
    <row r="228">
      <c r="A228" s="42" t="n">
        <v>37987</v>
      </c>
      <c r="B228" s="43">
        <f>VLOOKUP(A228,'Data yoy'!$B:$AW,MATCH($B$1,'Data yoy'!$B$1:$AW$1,0),FALSE)</f>
        <v/>
      </c>
      <c r="C228" s="43">
        <f>Table13456789101112131415161734[[#This Row],[JPN]]-B227</f>
        <v/>
      </c>
      <c r="D228" s="27" t="n"/>
    </row>
    <row r="229">
      <c r="A229" s="42" t="n">
        <v>38078</v>
      </c>
      <c r="B229" s="43">
        <f>VLOOKUP(A229,'Data yoy'!$B:$AW,MATCH($B$1,'Data yoy'!$B$1:$AW$1,0),FALSE)</f>
        <v/>
      </c>
      <c r="C229" s="43">
        <f>Table13456789101112131415161734[[#This Row],[JPN]]-B228</f>
        <v/>
      </c>
      <c r="D229" s="27" t="n"/>
    </row>
    <row r="230">
      <c r="A230" s="42" t="n">
        <v>38169</v>
      </c>
      <c r="B230" s="43">
        <f>VLOOKUP(A230,'Data yoy'!$B:$AW,MATCH($B$1,'Data yoy'!$B$1:$AW$1,0),FALSE)</f>
        <v/>
      </c>
      <c r="C230" s="43">
        <f>Table13456789101112131415161734[[#This Row],[JPN]]-B229</f>
        <v/>
      </c>
      <c r="D230" s="27" t="n"/>
    </row>
    <row r="231">
      <c r="A231" s="42" t="n">
        <v>38261</v>
      </c>
      <c r="B231" s="43">
        <f>VLOOKUP(A231,'Data yoy'!$B:$AW,MATCH($B$1,'Data yoy'!$B$1:$AW$1,0),FALSE)</f>
        <v/>
      </c>
      <c r="C231" s="43">
        <f>Table13456789101112131415161734[[#This Row],[JPN]]-B230</f>
        <v/>
      </c>
      <c r="D231" s="27" t="n"/>
    </row>
    <row r="232">
      <c r="A232" s="42" t="n">
        <v>38353</v>
      </c>
      <c r="B232" s="43">
        <f>VLOOKUP(A232,'Data yoy'!$B:$AW,MATCH($B$1,'Data yoy'!$B$1:$AW$1,0),FALSE)</f>
        <v/>
      </c>
      <c r="C232" s="43">
        <f>Table13456789101112131415161734[[#This Row],[JPN]]-B231</f>
        <v/>
      </c>
      <c r="D232" s="27" t="n"/>
    </row>
    <row r="233">
      <c r="A233" s="42" t="n">
        <v>38443</v>
      </c>
      <c r="B233" s="43">
        <f>VLOOKUP(A233,'Data yoy'!$B:$AW,MATCH($B$1,'Data yoy'!$B$1:$AW$1,0),FALSE)</f>
        <v/>
      </c>
      <c r="C233" s="43">
        <f>Table13456789101112131415161734[[#This Row],[JPN]]-B232</f>
        <v/>
      </c>
      <c r="D233" s="27" t="n"/>
    </row>
    <row r="234">
      <c r="A234" s="42" t="n">
        <v>38534</v>
      </c>
      <c r="B234" s="43">
        <f>VLOOKUP(A234,'Data yoy'!$B:$AW,MATCH($B$1,'Data yoy'!$B$1:$AW$1,0),FALSE)</f>
        <v/>
      </c>
      <c r="C234" s="43">
        <f>Table13456789101112131415161734[[#This Row],[JPN]]-B233</f>
        <v/>
      </c>
      <c r="D234" s="27" t="n"/>
    </row>
    <row r="235">
      <c r="A235" s="42" t="n">
        <v>38626</v>
      </c>
      <c r="B235" s="43">
        <f>VLOOKUP(A235,'Data yoy'!$B:$AW,MATCH($B$1,'Data yoy'!$B$1:$AW$1,0),FALSE)</f>
        <v/>
      </c>
      <c r="C235" s="43">
        <f>Table13456789101112131415161734[[#This Row],[JPN]]-B234</f>
        <v/>
      </c>
      <c r="D235" s="27" t="n"/>
    </row>
    <row r="236">
      <c r="A236" s="42" t="n">
        <v>38718</v>
      </c>
      <c r="B236" s="43">
        <f>VLOOKUP(A236,'Data yoy'!$B:$AW,MATCH($B$1,'Data yoy'!$B$1:$AW$1,0),FALSE)</f>
        <v/>
      </c>
      <c r="C236" s="43">
        <f>Table13456789101112131415161734[[#This Row],[JPN]]-B235</f>
        <v/>
      </c>
      <c r="D236" s="27" t="n"/>
    </row>
    <row r="237">
      <c r="A237" s="42" t="n">
        <v>38808</v>
      </c>
      <c r="B237" s="43">
        <f>VLOOKUP(A237,'Data yoy'!$B:$AW,MATCH($B$1,'Data yoy'!$B$1:$AW$1,0),FALSE)</f>
        <v/>
      </c>
      <c r="C237" s="43">
        <f>Table13456789101112131415161734[[#This Row],[JPN]]-B236</f>
        <v/>
      </c>
      <c r="D237" s="27" t="n"/>
    </row>
    <row r="238">
      <c r="A238" s="42" t="n">
        <v>38899</v>
      </c>
      <c r="B238" s="43">
        <f>VLOOKUP(A238,'Data yoy'!$B:$AW,MATCH($B$1,'Data yoy'!$B$1:$AW$1,0),FALSE)</f>
        <v/>
      </c>
      <c r="C238" s="43">
        <f>Table13456789101112131415161734[[#This Row],[JPN]]-B237</f>
        <v/>
      </c>
      <c r="D238" s="27" t="n"/>
    </row>
    <row r="239">
      <c r="A239" s="42" t="n">
        <v>38991</v>
      </c>
      <c r="B239" s="43">
        <f>VLOOKUP(A239,'Data yoy'!$B:$AW,MATCH($B$1,'Data yoy'!$B$1:$AW$1,0),FALSE)</f>
        <v/>
      </c>
      <c r="C239" s="43">
        <f>Table13456789101112131415161734[[#This Row],[JPN]]-B238</f>
        <v/>
      </c>
      <c r="D239" s="27" t="n"/>
    </row>
    <row r="240">
      <c r="A240" s="42" t="n">
        <v>39083</v>
      </c>
      <c r="B240" s="43">
        <f>VLOOKUP(A240,'Data yoy'!$B:$AW,MATCH($B$1,'Data yoy'!$B$1:$AW$1,0),FALSE)</f>
        <v/>
      </c>
      <c r="C240" s="43">
        <f>Table13456789101112131415161734[[#This Row],[JPN]]-B239</f>
        <v/>
      </c>
      <c r="D240" s="27" t="n"/>
    </row>
    <row r="241">
      <c r="A241" s="42" t="n">
        <v>39173</v>
      </c>
      <c r="B241" s="43">
        <f>VLOOKUP(A241,'Data yoy'!$B:$AW,MATCH($B$1,'Data yoy'!$B$1:$AW$1,0),FALSE)</f>
        <v/>
      </c>
      <c r="C241" s="43">
        <f>Table13456789101112131415161734[[#This Row],[JPN]]-B240</f>
        <v/>
      </c>
      <c r="D241" s="27" t="n"/>
    </row>
    <row r="242">
      <c r="A242" s="42" t="n">
        <v>39264</v>
      </c>
      <c r="B242" s="43">
        <f>VLOOKUP(A242,'Data yoy'!$B:$AW,MATCH($B$1,'Data yoy'!$B$1:$AW$1,0),FALSE)</f>
        <v/>
      </c>
      <c r="C242" s="43">
        <f>Table13456789101112131415161734[[#This Row],[JPN]]-B241</f>
        <v/>
      </c>
      <c r="D242" s="27" t="n"/>
    </row>
    <row r="243">
      <c r="A243" s="42" t="n">
        <v>39356</v>
      </c>
      <c r="B243" s="43">
        <f>VLOOKUP(A243,'Data yoy'!$B:$AW,MATCH($B$1,'Data yoy'!$B$1:$AW$1,0),FALSE)</f>
        <v/>
      </c>
      <c r="C243" s="43">
        <f>Table13456789101112131415161734[[#This Row],[JPN]]-B242</f>
        <v/>
      </c>
      <c r="D243" s="27" t="n"/>
    </row>
    <row r="244">
      <c r="A244" s="42" t="n">
        <v>39448</v>
      </c>
      <c r="B244" s="43">
        <f>VLOOKUP(A244,'Data yoy'!$B:$AW,MATCH($B$1,'Data yoy'!$B$1:$AW$1,0),FALSE)</f>
        <v/>
      </c>
      <c r="C244" s="43">
        <f>Table13456789101112131415161734[[#This Row],[JPN]]-B243</f>
        <v/>
      </c>
      <c r="D244" s="27" t="n"/>
    </row>
    <row r="245">
      <c r="A245" s="42" t="n">
        <v>39539</v>
      </c>
      <c r="B245" s="43">
        <f>VLOOKUP(A245,'Data yoy'!$B:$AW,MATCH($B$1,'Data yoy'!$B$1:$AW$1,0),FALSE)</f>
        <v/>
      </c>
      <c r="C245" s="43">
        <f>Table13456789101112131415161734[[#This Row],[JPN]]-B244</f>
        <v/>
      </c>
      <c r="D245" s="27" t="n"/>
    </row>
    <row r="246">
      <c r="A246" s="42" t="n">
        <v>39630</v>
      </c>
      <c r="B246" s="43">
        <f>VLOOKUP(A246,'Data yoy'!$B:$AW,MATCH($B$1,'Data yoy'!$B$1:$AW$1,0),FALSE)</f>
        <v/>
      </c>
      <c r="C246" s="43">
        <f>Table13456789101112131415161734[[#This Row],[JPN]]-B245</f>
        <v/>
      </c>
      <c r="D246" s="27" t="n"/>
    </row>
    <row r="247">
      <c r="A247" s="42" t="n">
        <v>39722</v>
      </c>
      <c r="B247" s="43">
        <f>VLOOKUP(A247,'Data yoy'!$B:$AW,MATCH($B$1,'Data yoy'!$B$1:$AW$1,0),FALSE)</f>
        <v/>
      </c>
      <c r="C247" s="43">
        <f>Table13456789101112131415161734[[#This Row],[JPN]]-B246</f>
        <v/>
      </c>
      <c r="D247" s="27" t="n"/>
    </row>
    <row r="248">
      <c r="A248" s="42" t="n">
        <v>39814</v>
      </c>
      <c r="B248" s="43">
        <f>VLOOKUP(A248,'Data yoy'!$B:$AW,MATCH($B$1,'Data yoy'!$B$1:$AW$1,0),FALSE)</f>
        <v/>
      </c>
      <c r="C248" s="43">
        <f>Table13456789101112131415161734[[#This Row],[JPN]]-B247</f>
        <v/>
      </c>
      <c r="D248" s="27" t="n"/>
    </row>
    <row r="249">
      <c r="A249" s="42" t="n">
        <v>39904</v>
      </c>
      <c r="B249" s="43">
        <f>VLOOKUP(A249,'Data yoy'!$B:$AW,MATCH($B$1,'Data yoy'!$B$1:$AW$1,0),FALSE)</f>
        <v/>
      </c>
      <c r="C249" s="43">
        <f>Table13456789101112131415161734[[#This Row],[JPN]]-B248</f>
        <v/>
      </c>
      <c r="D249" s="27" t="n"/>
    </row>
    <row r="250">
      <c r="A250" s="42" t="n">
        <v>39995</v>
      </c>
      <c r="B250" s="43">
        <f>VLOOKUP(A250,'Data yoy'!$B:$AW,MATCH($B$1,'Data yoy'!$B$1:$AW$1,0),FALSE)</f>
        <v/>
      </c>
      <c r="C250" s="43">
        <f>Table13456789101112131415161734[[#This Row],[JPN]]-B249</f>
        <v/>
      </c>
      <c r="D250" s="27" t="n"/>
    </row>
    <row r="251">
      <c r="A251" s="42" t="n">
        <v>40087</v>
      </c>
      <c r="B251" s="43">
        <f>VLOOKUP(A251,'Data yoy'!$B:$AW,MATCH($B$1,'Data yoy'!$B$1:$AW$1,0),FALSE)</f>
        <v/>
      </c>
      <c r="C251" s="43">
        <f>Table13456789101112131415161734[[#This Row],[JPN]]-B250</f>
        <v/>
      </c>
      <c r="D251" s="27" t="n"/>
    </row>
    <row r="252">
      <c r="A252" s="42" t="n">
        <v>40179</v>
      </c>
      <c r="B252" s="43">
        <f>VLOOKUP(A252,'Data yoy'!$B:$AW,MATCH($B$1,'Data yoy'!$B$1:$AW$1,0),FALSE)</f>
        <v/>
      </c>
      <c r="C252" s="43">
        <f>Table13456789101112131415161734[[#This Row],[JPN]]-B251</f>
        <v/>
      </c>
      <c r="D252" s="27" t="n"/>
    </row>
    <row r="253">
      <c r="A253" s="42" t="n">
        <v>40269</v>
      </c>
      <c r="B253" s="43">
        <f>VLOOKUP(A253,'Data yoy'!$B:$AW,MATCH($B$1,'Data yoy'!$B$1:$AW$1,0),FALSE)</f>
        <v/>
      </c>
      <c r="C253" s="43">
        <f>Table13456789101112131415161734[[#This Row],[JPN]]-B252</f>
        <v/>
      </c>
      <c r="D253" s="27" t="n"/>
    </row>
    <row r="254">
      <c r="A254" s="42" t="n">
        <v>40360</v>
      </c>
      <c r="B254" s="43">
        <f>VLOOKUP(A254,'Data yoy'!$B:$AW,MATCH($B$1,'Data yoy'!$B$1:$AW$1,0),FALSE)</f>
        <v/>
      </c>
      <c r="C254" s="43">
        <f>Table13456789101112131415161734[[#This Row],[JPN]]-B253</f>
        <v/>
      </c>
      <c r="D254" s="27" t="n"/>
    </row>
    <row r="255">
      <c r="A255" s="42" t="n">
        <v>40452</v>
      </c>
      <c r="B255" s="43">
        <f>VLOOKUP(A255,'Data yoy'!$B:$AW,MATCH($B$1,'Data yoy'!$B$1:$AW$1,0),FALSE)</f>
        <v/>
      </c>
      <c r="C255" s="43">
        <f>Table13456789101112131415161734[[#This Row],[JPN]]-B254</f>
        <v/>
      </c>
      <c r="D255" s="27" t="n"/>
    </row>
    <row r="256">
      <c r="A256" s="42" t="n">
        <v>40544</v>
      </c>
      <c r="B256" s="43">
        <f>VLOOKUP(A256,'Data yoy'!$B:$AW,MATCH($B$1,'Data yoy'!$B$1:$AW$1,0),FALSE)</f>
        <v/>
      </c>
      <c r="C256" s="43">
        <f>Table13456789101112131415161734[[#This Row],[JPN]]-B255</f>
        <v/>
      </c>
      <c r="D256" s="27" t="n"/>
    </row>
    <row r="257">
      <c r="A257" s="42" t="n">
        <v>40634</v>
      </c>
      <c r="B257" s="43">
        <f>VLOOKUP(A257,'Data yoy'!$B:$AW,MATCH($B$1,'Data yoy'!$B$1:$AW$1,0),FALSE)</f>
        <v/>
      </c>
      <c r="C257" s="43">
        <f>Table13456789101112131415161734[[#This Row],[JPN]]-B256</f>
        <v/>
      </c>
      <c r="D257" s="27" t="n"/>
    </row>
    <row r="258">
      <c r="A258" s="42" t="n">
        <v>40725</v>
      </c>
      <c r="B258" s="43">
        <f>VLOOKUP(A258,'Data yoy'!$B:$AW,MATCH($B$1,'Data yoy'!$B$1:$AW$1,0),FALSE)</f>
        <v/>
      </c>
      <c r="C258" s="43">
        <f>Table13456789101112131415161734[[#This Row],[JPN]]-B257</f>
        <v/>
      </c>
      <c r="D258" s="27" t="n"/>
    </row>
    <row r="259">
      <c r="A259" s="42" t="n">
        <v>40817</v>
      </c>
      <c r="B259" s="43">
        <f>VLOOKUP(A259,'Data yoy'!$B:$AW,MATCH($B$1,'Data yoy'!$B$1:$AW$1,0),FALSE)</f>
        <v/>
      </c>
      <c r="C259" s="43">
        <f>Table13456789101112131415161734[[#This Row],[JPN]]-B258</f>
        <v/>
      </c>
      <c r="D259" s="27" t="n"/>
    </row>
    <row r="260">
      <c r="A260" s="42" t="n">
        <v>40909</v>
      </c>
      <c r="B260" s="43">
        <f>VLOOKUP(A260,'Data yoy'!$B:$AW,MATCH($B$1,'Data yoy'!$B$1:$AW$1,0),FALSE)</f>
        <v/>
      </c>
      <c r="C260" s="43">
        <f>Table13456789101112131415161734[[#This Row],[JPN]]-B259</f>
        <v/>
      </c>
      <c r="D260" s="27" t="n"/>
    </row>
    <row r="261">
      <c r="A261" s="42" t="n">
        <v>41000</v>
      </c>
      <c r="B261" s="43">
        <f>VLOOKUP(A261,'Data yoy'!$B:$AW,MATCH($B$1,'Data yoy'!$B$1:$AW$1,0),FALSE)</f>
        <v/>
      </c>
      <c r="C261" s="43">
        <f>Table13456789101112131415161734[[#This Row],[JPN]]-B260</f>
        <v/>
      </c>
      <c r="D261" s="27" t="n"/>
    </row>
    <row r="262">
      <c r="A262" s="42" t="n">
        <v>41091</v>
      </c>
      <c r="B262" s="43">
        <f>VLOOKUP(A262,'Data yoy'!$B:$AW,MATCH($B$1,'Data yoy'!$B$1:$AW$1,0),FALSE)</f>
        <v/>
      </c>
      <c r="C262" s="43">
        <f>Table13456789101112131415161734[[#This Row],[JPN]]-B261</f>
        <v/>
      </c>
      <c r="D262" s="27" t="n"/>
    </row>
    <row r="263">
      <c r="A263" s="42" t="n">
        <v>41183</v>
      </c>
      <c r="B263" s="43">
        <f>VLOOKUP(A263,'Data yoy'!$B:$AW,MATCH($B$1,'Data yoy'!$B$1:$AW$1,0),FALSE)</f>
        <v/>
      </c>
      <c r="C263" s="43">
        <f>Table13456789101112131415161734[[#This Row],[JPN]]-B262</f>
        <v/>
      </c>
      <c r="D263" s="27" t="n"/>
    </row>
    <row r="264">
      <c r="A264" s="42" t="n">
        <v>41275</v>
      </c>
      <c r="B264" s="43">
        <f>VLOOKUP(A264,'Data yoy'!$B:$AW,MATCH($B$1,'Data yoy'!$B$1:$AW$1,0),FALSE)</f>
        <v/>
      </c>
      <c r="C264" s="43">
        <f>Table13456789101112131415161734[[#This Row],[JPN]]-B263</f>
        <v/>
      </c>
      <c r="D264" s="27" t="n"/>
    </row>
    <row r="265">
      <c r="A265" s="42" t="n">
        <v>41365</v>
      </c>
      <c r="B265" s="43">
        <f>VLOOKUP(A265,'Data yoy'!$B:$AW,MATCH($B$1,'Data yoy'!$B$1:$AW$1,0),FALSE)</f>
        <v/>
      </c>
      <c r="C265" s="43">
        <f>Table13456789101112131415161734[[#This Row],[JPN]]-B264</f>
        <v/>
      </c>
      <c r="D265" s="27" t="n"/>
    </row>
    <row r="266">
      <c r="A266" s="42" t="n">
        <v>41456</v>
      </c>
      <c r="B266" s="43">
        <f>VLOOKUP(A266,'Data yoy'!$B:$AW,MATCH($B$1,'Data yoy'!$B$1:$AW$1,0),FALSE)</f>
        <v/>
      </c>
      <c r="C266" s="43">
        <f>Table13456789101112131415161734[[#This Row],[JPN]]-B265</f>
        <v/>
      </c>
      <c r="D266" s="27" t="n"/>
    </row>
    <row r="267">
      <c r="A267" s="42" t="n">
        <v>41548</v>
      </c>
      <c r="B267" s="43">
        <f>VLOOKUP(A267,'Data yoy'!$B:$AW,MATCH($B$1,'Data yoy'!$B$1:$AW$1,0),FALSE)</f>
        <v/>
      </c>
      <c r="C267" s="43">
        <f>Table13456789101112131415161734[[#This Row],[JPN]]-B266</f>
        <v/>
      </c>
      <c r="D267" s="27" t="n"/>
    </row>
    <row r="268">
      <c r="A268" s="42" t="n">
        <v>41640</v>
      </c>
      <c r="B268" s="43">
        <f>VLOOKUP(A268,'Data yoy'!$B:$AW,MATCH($B$1,'Data yoy'!$B$1:$AW$1,0),FALSE)</f>
        <v/>
      </c>
      <c r="C268" s="43">
        <f>Table13456789101112131415161734[[#This Row],[JPN]]-B267</f>
        <v/>
      </c>
      <c r="D268" s="27" t="n"/>
    </row>
    <row r="269">
      <c r="A269" s="42" t="n">
        <v>41730</v>
      </c>
      <c r="B269" s="43">
        <f>VLOOKUP(A269,'Data yoy'!$B:$AW,MATCH($B$1,'Data yoy'!$B$1:$AW$1,0),FALSE)</f>
        <v/>
      </c>
      <c r="C269" s="43">
        <f>Table13456789101112131415161734[[#This Row],[JPN]]-B268</f>
        <v/>
      </c>
      <c r="D269" s="27" t="n"/>
    </row>
    <row r="270">
      <c r="A270" s="42" t="n">
        <v>41821</v>
      </c>
      <c r="B270" s="43">
        <f>VLOOKUP(A270,'Data yoy'!$B:$AW,MATCH($B$1,'Data yoy'!$B$1:$AW$1,0),FALSE)</f>
        <v/>
      </c>
      <c r="C270" s="43">
        <f>Table13456789101112131415161734[[#This Row],[JPN]]-B269</f>
        <v/>
      </c>
      <c r="D270" s="27" t="n"/>
    </row>
    <row r="271">
      <c r="A271" s="42" t="n">
        <v>41913</v>
      </c>
      <c r="B271" s="43">
        <f>VLOOKUP(A271,'Data yoy'!$B:$AW,MATCH($B$1,'Data yoy'!$B$1:$AW$1,0),FALSE)</f>
        <v/>
      </c>
      <c r="C271" s="43">
        <f>Table13456789101112131415161734[[#This Row],[JPN]]-B270</f>
        <v/>
      </c>
      <c r="D271" s="27" t="n"/>
    </row>
    <row r="272">
      <c r="A272" s="42" t="n">
        <v>42005</v>
      </c>
      <c r="B272" s="43">
        <f>VLOOKUP(A272,'Data yoy'!$B:$AW,MATCH($B$1,'Data yoy'!$B$1:$AW$1,0),FALSE)</f>
        <v/>
      </c>
      <c r="C272" s="43">
        <f>Table13456789101112131415161734[[#This Row],[JPN]]-B271</f>
        <v/>
      </c>
      <c r="D272" s="27" t="n"/>
    </row>
    <row r="273">
      <c r="A273" s="42" t="n">
        <v>42095</v>
      </c>
      <c r="B273" s="43">
        <f>VLOOKUP(A273,'Data yoy'!$B:$AW,MATCH($B$1,'Data yoy'!$B$1:$AW$1,0),FALSE)</f>
        <v/>
      </c>
      <c r="C273" s="43">
        <f>Table13456789101112131415161734[[#This Row],[JPN]]-B272</f>
        <v/>
      </c>
      <c r="D273" s="27" t="n"/>
    </row>
    <row r="274">
      <c r="A274" s="42" t="n">
        <v>42186</v>
      </c>
      <c r="B274" s="43">
        <f>VLOOKUP(A274,'Data yoy'!$B:$AW,MATCH($B$1,'Data yoy'!$B$1:$AW$1,0),FALSE)</f>
        <v/>
      </c>
      <c r="C274" s="43">
        <f>Table13456789101112131415161734[[#This Row],[JPN]]-B273</f>
        <v/>
      </c>
      <c r="D274" s="27" t="n"/>
    </row>
    <row r="275">
      <c r="A275" s="42" t="n">
        <v>42278</v>
      </c>
      <c r="B275" s="43">
        <f>VLOOKUP(A275,'Data yoy'!$B:$AW,MATCH($B$1,'Data yoy'!$B$1:$AW$1,0),FALSE)</f>
        <v/>
      </c>
      <c r="C275" s="43">
        <f>Table13456789101112131415161734[[#This Row],[JPN]]-B274</f>
        <v/>
      </c>
      <c r="D275" s="27" t="n"/>
    </row>
    <row r="276">
      <c r="A276" s="42" t="n">
        <v>42370</v>
      </c>
      <c r="B276" s="43">
        <f>VLOOKUP(A276,'Data yoy'!$B:$AW,MATCH($B$1,'Data yoy'!$B$1:$AW$1,0),FALSE)</f>
        <v/>
      </c>
      <c r="C276" s="43">
        <f>Table13456789101112131415161734[[#This Row],[JPN]]-B275</f>
        <v/>
      </c>
      <c r="D276" s="27" t="n"/>
    </row>
    <row r="277">
      <c r="A277" s="42" t="n">
        <v>42461</v>
      </c>
      <c r="B277" s="43">
        <f>VLOOKUP(A277,'Data yoy'!$B:$AW,MATCH($B$1,'Data yoy'!$B$1:$AW$1,0),FALSE)</f>
        <v/>
      </c>
      <c r="C277" s="43">
        <f>Table13456789101112131415161734[[#This Row],[JPN]]-B276</f>
        <v/>
      </c>
      <c r="D277" s="27" t="n"/>
    </row>
    <row r="278">
      <c r="A278" s="42" t="n">
        <v>42552</v>
      </c>
      <c r="B278" s="43">
        <f>VLOOKUP(A278,'Data yoy'!$B:$AW,MATCH($B$1,'Data yoy'!$B$1:$AW$1,0),FALSE)</f>
        <v/>
      </c>
      <c r="C278" s="43">
        <f>Table13456789101112131415161734[[#This Row],[JPN]]-B277</f>
        <v/>
      </c>
      <c r="D278" s="27" t="n"/>
    </row>
    <row r="279">
      <c r="A279" s="42" t="n">
        <v>42644</v>
      </c>
      <c r="B279" s="43">
        <f>VLOOKUP(A279,'Data yoy'!$B:$AW,MATCH($B$1,'Data yoy'!$B$1:$AW$1,0),FALSE)</f>
        <v/>
      </c>
      <c r="C279" s="43">
        <f>Table13456789101112131415161734[[#This Row],[JPN]]-B278</f>
        <v/>
      </c>
      <c r="D279" s="27" t="n"/>
    </row>
    <row r="280">
      <c r="A280" s="42" t="n">
        <v>42736</v>
      </c>
      <c r="B280" s="43">
        <f>VLOOKUP(A280,'Data yoy'!$B:$AW,MATCH($B$1,'Data yoy'!$B$1:$AW$1,0),FALSE)</f>
        <v/>
      </c>
      <c r="C280" s="43">
        <f>Table13456789101112131415161734[[#This Row],[JPN]]-B279</f>
        <v/>
      </c>
      <c r="D280" s="27" t="n"/>
    </row>
    <row r="281">
      <c r="A281" s="42" t="n">
        <v>42826</v>
      </c>
      <c r="B281" s="43">
        <f>VLOOKUP(A281,'Data yoy'!$B:$AW,MATCH($B$1,'Data yoy'!$B$1:$AW$1,0),FALSE)</f>
        <v/>
      </c>
      <c r="C281" s="43">
        <f>Table13456789101112131415161734[[#This Row],[JPN]]-B280</f>
        <v/>
      </c>
      <c r="D281" s="27" t="n"/>
    </row>
    <row r="282">
      <c r="A282" s="42" t="n">
        <v>42917</v>
      </c>
      <c r="B282" s="43">
        <f>VLOOKUP(A282,'Data yoy'!$B:$AW,MATCH($B$1,'Data yoy'!$B$1:$AW$1,0),FALSE)</f>
        <v/>
      </c>
      <c r="C282" s="43">
        <f>Table13456789101112131415161734[[#This Row],[JPN]]-B281</f>
        <v/>
      </c>
      <c r="D282" s="27" t="n"/>
    </row>
    <row r="283">
      <c r="A283" s="42" t="n">
        <v>43009</v>
      </c>
      <c r="B283" s="43">
        <f>VLOOKUP(A283,'Data yoy'!$B:$AW,MATCH($B$1,'Data yoy'!$B$1:$AW$1,0),FALSE)</f>
        <v/>
      </c>
      <c r="C283" s="43">
        <f>Table13456789101112131415161734[[#This Row],[JPN]]-B282</f>
        <v/>
      </c>
      <c r="D283" s="27" t="n"/>
    </row>
    <row r="284">
      <c r="A284" s="42" t="n">
        <v>43101</v>
      </c>
      <c r="B284" s="43">
        <f>VLOOKUP(A284,'Data yoy'!$B:$AW,MATCH($B$1,'Data yoy'!$B$1:$AW$1,0),FALSE)</f>
        <v/>
      </c>
      <c r="C284" s="43">
        <f>Table13456789101112131415161734[[#This Row],[JPN]]-B283</f>
        <v/>
      </c>
      <c r="D284" s="27" t="n"/>
    </row>
    <row r="285">
      <c r="A285" s="42" t="n">
        <v>43191</v>
      </c>
      <c r="B285" s="43">
        <f>VLOOKUP(A285,'Data yoy'!$B:$AW,MATCH($B$1,'Data yoy'!$B$1:$AW$1,0),FALSE)</f>
        <v/>
      </c>
      <c r="C285" s="43">
        <f>Table13456789101112131415161734[[#This Row],[JPN]]-B284</f>
        <v/>
      </c>
      <c r="D285" s="27" t="n"/>
    </row>
    <row r="286">
      <c r="A286" s="42" t="n">
        <v>43282</v>
      </c>
      <c r="B286" s="43">
        <f>VLOOKUP(A286,'Data yoy'!$B:$AW,MATCH($B$1,'Data yoy'!$B$1:$AW$1,0),FALSE)</f>
        <v/>
      </c>
      <c r="C286" s="43">
        <f>Table13456789101112131415161734[[#This Row],[JPN]]-B285</f>
        <v/>
      </c>
    </row>
    <row r="287">
      <c r="A287" s="42" t="n">
        <v>43374</v>
      </c>
      <c r="B287" s="43">
        <f>VLOOKUP(A287,'Data yoy'!$B:$AW,MATCH($B$1,'Data yoy'!$B$1:$AW$1,0),FALSE)</f>
        <v/>
      </c>
      <c r="C287" s="43">
        <f>Table13456789101112131415161734[[#This Row],[JPN]]-B286</f>
        <v/>
      </c>
    </row>
    <row r="288">
      <c r="A288" s="42" t="n">
        <v>43466</v>
      </c>
      <c r="B288" s="43">
        <f>VLOOKUP(A288,'Data yoy'!$B:$AW,MATCH($B$1,'Data yoy'!$B$1:$AW$1,0),FALSE)</f>
        <v/>
      </c>
      <c r="C288" s="43">
        <f>Table13456789101112131415161734[[#This Row],[JPN]]-B287</f>
        <v/>
      </c>
    </row>
    <row r="289">
      <c r="A289" s="42" t="n">
        <v>43556</v>
      </c>
      <c r="B289" s="43">
        <f>VLOOKUP(A289,'Data yoy'!$B:$AW,MATCH($B$1,'Data yoy'!$B$1:$AW$1,0),FALSE)</f>
        <v/>
      </c>
      <c r="C289" s="43">
        <f>Table13456789101112131415161734[[#This Row],[JPN]]-B288</f>
        <v/>
      </c>
    </row>
    <row r="290">
      <c r="A290" s="42" t="n">
        <v>43647</v>
      </c>
      <c r="B290" s="43">
        <f>VLOOKUP(A290,'Data yoy'!$B:$AW,MATCH($B$1,'Data yoy'!$B$1:$AW$1,0),FALSE)</f>
        <v/>
      </c>
      <c r="C290" s="43">
        <f>Table13456789101112131415161734[[#This Row],[JPN]]-B289</f>
        <v/>
      </c>
    </row>
    <row r="291" customFormat="1" s="75">
      <c r="A291" s="42" t="n">
        <v>43739</v>
      </c>
      <c r="B291" s="43">
        <f>VLOOKUP(A291,'Data yoy'!$B:$AW,MATCH($B$1,'Data yoy'!$B$1:$AW$1,0),FALSE)</f>
        <v/>
      </c>
      <c r="C291" s="43">
        <f>Table13456789101112131415161734[[#This Row],[JPN]]-B290</f>
        <v/>
      </c>
      <c r="D291" s="48" t="n"/>
    </row>
    <row r="292" customFormat="1" s="75">
      <c r="A292" s="42" t="n">
        <v>43831</v>
      </c>
      <c r="B292" s="43">
        <f>VLOOKUP(A292,'Data yoy'!$B:$AW,MATCH($B$1,'Data yoy'!$B$1:$AW$1,0),FALSE)</f>
        <v/>
      </c>
      <c r="C292" s="43">
        <f>Table13456789101112131415161734[[#This Row],[JPN]]-B291</f>
        <v/>
      </c>
      <c r="D292" s="48" t="n"/>
    </row>
    <row r="293" customFormat="1" s="75">
      <c r="A293" s="42" t="n">
        <v>43922</v>
      </c>
      <c r="B293" s="43">
        <f>VLOOKUP(A293,'Data yoy'!$B:$AW,MATCH($B$1,'Data yoy'!$B$1:$AW$1,0),FALSE)</f>
        <v/>
      </c>
      <c r="C293" s="43">
        <f>Table13456789101112131415161734[[#This Row],[JPN]]-B292</f>
        <v/>
      </c>
      <c r="D293" s="48" t="n"/>
    </row>
    <row r="294" customFormat="1" s="75">
      <c r="A294" s="42" t="n">
        <v>44013</v>
      </c>
      <c r="B294" s="43">
        <f>VLOOKUP(A294,'Data yoy'!$B:$AW,MATCH($B$1,'Data yoy'!$B$1:$AW$1,0),FALSE)</f>
        <v/>
      </c>
      <c r="C294" s="43">
        <f>Table13456789101112131415161734[[#This Row],[JPN]]-B293</f>
        <v/>
      </c>
      <c r="D294" s="48" t="n"/>
    </row>
    <row r="295" customFormat="1" s="75">
      <c r="A295" s="42" t="n">
        <v>44105</v>
      </c>
      <c r="B295" s="43">
        <f>VLOOKUP(A295,'Data yoy'!$B:$AW,MATCH($B$1,'Data yoy'!$B$1:$AW$1,0),FALSE)</f>
        <v/>
      </c>
      <c r="C295" s="43">
        <f>Table13456789101112131415161734[[#This Row],[JPN]]-B294</f>
        <v/>
      </c>
      <c r="D295" s="48" t="n"/>
    </row>
    <row r="296" customFormat="1" s="75">
      <c r="A296" s="42" t="n">
        <v>44197</v>
      </c>
      <c r="B296" s="43">
        <f>VLOOKUP(A296,'Data yoy'!$B:$AW,MATCH($B$1,'Data yoy'!$B$1:$AW$1,0),FALSE)</f>
        <v/>
      </c>
      <c r="C296" s="43">
        <f>Table13456789101112131415161734[[#This Row],[JPN]]-B295</f>
        <v/>
      </c>
      <c r="D296" s="48" t="n"/>
    </row>
    <row r="297" customFormat="1" s="75">
      <c r="A297" s="42" t="n">
        <v>44287</v>
      </c>
      <c r="B297" s="43">
        <f>VLOOKUP(A297,'Data yoy'!$B:$AW,MATCH($B$1,'Data yoy'!$B$1:$AW$1,0),FALSE)</f>
        <v/>
      </c>
      <c r="C297" s="43">
        <f>Table13456789101112131415161734[[#This Row],[JPN]]-B296</f>
        <v/>
      </c>
      <c r="D297" s="48" t="n"/>
    </row>
    <row r="298" customFormat="1" s="75">
      <c r="A298" s="42" t="n">
        <v>44378</v>
      </c>
      <c r="B298" s="43">
        <f>VLOOKUP(A298,'Data yoy'!$B:$AW,MATCH($B$1,'Data yoy'!$B$1:$AW$1,0),FALSE)</f>
        <v/>
      </c>
      <c r="C298" s="43">
        <f>Table13456789101112131415161734[[#This Row],[JPN]]-B297</f>
        <v/>
      </c>
      <c r="D298" s="48" t="n"/>
    </row>
    <row r="299" customFormat="1" s="75">
      <c r="A299" s="42" t="n">
        <v>44470</v>
      </c>
      <c r="B299" s="43">
        <f>VLOOKUP(A299,'Data yoy'!$B:$AW,MATCH($B$1,'Data yoy'!$B$1:$AW$1,0),FALSE)</f>
        <v/>
      </c>
      <c r="C299" s="43">
        <f>Table13456789101112131415161734[[#This Row],[JPN]]-B298</f>
        <v/>
      </c>
      <c r="D299" s="48" t="n"/>
    </row>
    <row r="300" customFormat="1" s="75">
      <c r="A300" s="42" t="n">
        <v>44562</v>
      </c>
      <c r="B300" s="43">
        <f>VLOOKUP(A300,'Data yoy'!$B:$AW,MATCH($B$1,'Data yoy'!$B$1:$AW$1,0),FALSE)</f>
        <v/>
      </c>
      <c r="C300" s="43">
        <f>Table13456789101112131415161734[[#This Row],[JPN]]-B299</f>
        <v/>
      </c>
      <c r="D300" s="48" t="n"/>
    </row>
    <row r="301" customFormat="1" s="75">
      <c r="A301" s="42" t="n">
        <v>44652</v>
      </c>
      <c r="B301" s="43">
        <f>VLOOKUP(A301,'Data yoy'!$B:$AW,MATCH($B$1,'Data yoy'!$B$1:$AW$1,0),FALSE)</f>
        <v/>
      </c>
      <c r="C301" s="43">
        <f>Table13456789101112131415161734[[#This Row],[JPN]]-B300</f>
        <v/>
      </c>
      <c r="D301" s="48" t="n"/>
    </row>
    <row r="302" customFormat="1" s="75">
      <c r="A302" s="42" t="n">
        <v>44743</v>
      </c>
      <c r="B302" s="43">
        <f>VLOOKUP(A302,'Data yoy'!$B:$AW,MATCH($B$1,'Data yoy'!$B$1:$AW$1,0),FALSE)</f>
        <v/>
      </c>
      <c r="C302" s="43">
        <f>Table13456789101112131415161734[[#This Row],[JPN]]-B301</f>
        <v/>
      </c>
      <c r="D302" s="48" t="n"/>
    </row>
    <row r="303" customFormat="1" s="75">
      <c r="A303" s="42" t="n">
        <v>44835</v>
      </c>
      <c r="B303" s="43">
        <f>VLOOKUP(A303,'Data yoy'!$B:$AW,MATCH($B$1,'Data yoy'!$B$1:$AW$1,0),FALSE)</f>
        <v/>
      </c>
      <c r="C303" s="43">
        <f>Table13456789101112131415161734[[#This Row],[JPN]]-B302</f>
        <v/>
      </c>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J435"/>
  <sheetViews>
    <sheetView tabSelected="1" zoomScale="130" zoomScaleNormal="130" workbookViewId="0">
      <pane ySplit="1" topLeftCell="A266" activePane="bottomLeft" state="frozen"/>
      <selection activeCell="T15" sqref="T15"/>
      <selection pane="bottomLeft" activeCell="R302" sqref="R302"/>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5"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row>
    <row r="2">
      <c r="A2" s="42" t="n">
        <v>17349</v>
      </c>
      <c r="B2" s="43">
        <f>VLOOKUP(A2,'Data qoq'!$B:$AT,MATCH($B$1,'Data qoq'!$B$1:$AT$1,0),FALSE)</f>
        <v/>
      </c>
      <c r="C2" s="44" t="n"/>
      <c r="D2" s="54">
        <f>(Table134567891011121314151617343[[#This Row],[USA]]/100 +1)^4-1</f>
        <v/>
      </c>
      <c r="E2" s="46" t="n"/>
      <c r="F2" s="46" t="n"/>
      <c r="G2" s="48" t="inlineStr">
        <is>
          <t>ARG</t>
        </is>
      </c>
      <c r="H2" s="46" t="n"/>
      <c r="J2" s="75">
        <f>B1&amp;" GDP % qoq annualized"</f>
        <v/>
      </c>
    </row>
    <row r="3">
      <c r="A3" s="42" t="n">
        <v>17441</v>
      </c>
      <c r="B3" s="43">
        <f>VLOOKUP(A3,'Data qoq'!$B:$AT,MATCH($B$1,'Data qoq'!$B$1:$AT$1,0),FALSE)</f>
        <v/>
      </c>
      <c r="C3" s="43">
        <f>Table134567891011121314151617343[[#This Row],[USA]]-B2</f>
        <v/>
      </c>
      <c r="D3" s="54">
        <f>(Table134567891011121314151617343[[#This Row],[USA]]/100 +1)^4-1</f>
        <v/>
      </c>
      <c r="E3" s="46" t="n"/>
      <c r="F3" s="46" t="n"/>
      <c r="G3" s="48" t="inlineStr">
        <is>
          <t>AUS</t>
        </is>
      </c>
      <c r="H3" s="46" t="n"/>
    </row>
    <row r="4">
      <c r="A4" s="42" t="n">
        <v>17533</v>
      </c>
      <c r="B4" s="43">
        <f>VLOOKUP(A4,'Data qoq'!$B:$AT,MATCH($B$1,'Data qoq'!$B$1:$AT$1,0),FALSE)</f>
        <v/>
      </c>
      <c r="C4" s="43">
        <f>Table134567891011121314151617343[[#This Row],[USA]]-B3</f>
        <v/>
      </c>
      <c r="D4" s="54">
        <f>(Table134567891011121314151617343[[#This Row],[USA]]/100 +1)^4-1</f>
        <v/>
      </c>
      <c r="E4" s="46" t="n"/>
      <c r="F4" s="46" t="n"/>
      <c r="G4" s="48" t="inlineStr">
        <is>
          <t>AUT</t>
        </is>
      </c>
      <c r="H4" s="46" t="n"/>
    </row>
    <row r="5">
      <c r="A5" s="42" t="n">
        <v>17624</v>
      </c>
      <c r="B5" s="43">
        <f>VLOOKUP(A5,'Data qoq'!$B:$AT,MATCH($B$1,'Data qoq'!$B$1:$AT$1,0),FALSE)</f>
        <v/>
      </c>
      <c r="C5" s="43">
        <f>Table134567891011121314151617343[[#This Row],[USA]]-B4</f>
        <v/>
      </c>
      <c r="D5" s="54">
        <f>(Table134567891011121314151617343[[#This Row],[USA]]/100 +1)^4-1</f>
        <v/>
      </c>
      <c r="E5" s="46" t="n"/>
      <c r="F5" s="46" t="n"/>
      <c r="G5" s="48" t="inlineStr">
        <is>
          <t>BEL</t>
        </is>
      </c>
      <c r="H5" s="46" t="n"/>
    </row>
    <row r="6">
      <c r="A6" s="42" t="n">
        <v>17715</v>
      </c>
      <c r="B6" s="43">
        <f>VLOOKUP(A6,'Data qoq'!$B:$AT,MATCH($B$1,'Data qoq'!$B$1:$AT$1,0),FALSE)</f>
        <v/>
      </c>
      <c r="C6" s="43">
        <f>Table134567891011121314151617343[[#This Row],[USA]]-B5</f>
        <v/>
      </c>
      <c r="D6" s="54">
        <f>(Table134567891011121314151617343[[#This Row],[USA]]/100 +1)^4-1</f>
        <v/>
      </c>
      <c r="E6" s="46" t="n"/>
      <c r="F6" s="46" t="n"/>
      <c r="G6" s="48" t="inlineStr">
        <is>
          <t>BRA</t>
        </is>
      </c>
      <c r="H6" s="46" t="n"/>
    </row>
    <row r="7">
      <c r="A7" s="42" t="n">
        <v>17807</v>
      </c>
      <c r="B7" s="43">
        <f>VLOOKUP(A7,'Data qoq'!$B:$AT,MATCH($B$1,'Data qoq'!$B$1:$AT$1,0),FALSE)</f>
        <v/>
      </c>
      <c r="C7" s="43">
        <f>Table134567891011121314151617343[[#This Row],[USA]]-B6</f>
        <v/>
      </c>
      <c r="D7" s="54">
        <f>(Table134567891011121314151617343[[#This Row],[USA]]/100 +1)^4-1</f>
        <v/>
      </c>
      <c r="E7" s="46" t="n"/>
      <c r="F7" s="46" t="n"/>
      <c r="G7" s="48" t="inlineStr">
        <is>
          <t>CAN</t>
        </is>
      </c>
      <c r="H7" s="46" t="n"/>
    </row>
    <row r="8">
      <c r="A8" s="42" t="n">
        <v>17899</v>
      </c>
      <c r="B8" s="43">
        <f>VLOOKUP(A8,'Data qoq'!$B:$AT,MATCH($B$1,'Data qoq'!$B$1:$AT$1,0),FALSE)</f>
        <v/>
      </c>
      <c r="C8" s="43">
        <f>Table134567891011121314151617343[[#This Row],[USA]]-B7</f>
        <v/>
      </c>
      <c r="D8" s="54">
        <f>(Table134567891011121314151617343[[#This Row],[USA]]/100 +1)^4-1</f>
        <v/>
      </c>
      <c r="E8" s="46" t="n"/>
      <c r="F8" s="46" t="n"/>
      <c r="G8" s="48" t="inlineStr">
        <is>
          <t>CHE</t>
        </is>
      </c>
      <c r="H8" s="46" t="n"/>
    </row>
    <row r="9">
      <c r="A9" s="42" t="n">
        <v>17989</v>
      </c>
      <c r="B9" s="43">
        <f>VLOOKUP(A9,'Data qoq'!$B:$AT,MATCH($B$1,'Data qoq'!$B$1:$AT$1,0),FALSE)</f>
        <v/>
      </c>
      <c r="C9" s="43">
        <f>Table134567891011121314151617343[[#This Row],[USA]]-B8</f>
        <v/>
      </c>
      <c r="D9" s="54">
        <f>(Table134567891011121314151617343[[#This Row],[USA]]/100 +1)^4-1</f>
        <v/>
      </c>
      <c r="E9" s="46" t="n"/>
      <c r="F9" s="46" t="n"/>
      <c r="G9" s="48" t="inlineStr">
        <is>
          <t>CHL</t>
        </is>
      </c>
      <c r="H9" s="46" t="n"/>
    </row>
    <row r="10">
      <c r="A10" s="42" t="n">
        <v>18080</v>
      </c>
      <c r="B10" s="43">
        <f>VLOOKUP(A10,'Data qoq'!$B:$AT,MATCH($B$1,'Data qoq'!$B$1:$AT$1,0),FALSE)</f>
        <v/>
      </c>
      <c r="C10" s="43">
        <f>Table134567891011121314151617343[[#This Row],[USA]]-B9</f>
        <v/>
      </c>
      <c r="D10" s="54">
        <f>(Table134567891011121314151617343[[#This Row],[USA]]/100 +1)^4-1</f>
        <v/>
      </c>
      <c r="E10" s="46" t="n"/>
      <c r="F10" s="46" t="n"/>
      <c r="G10" s="48" t="inlineStr">
        <is>
          <t>CHN</t>
        </is>
      </c>
      <c r="H10" s="46" t="n"/>
    </row>
    <row r="11">
      <c r="A11" s="42" t="n">
        <v>18172</v>
      </c>
      <c r="B11" s="43">
        <f>VLOOKUP(A11,'Data qoq'!$B:$AT,MATCH($B$1,'Data qoq'!$B$1:$AT$1,0),FALSE)</f>
        <v/>
      </c>
      <c r="C11" s="43">
        <f>Table134567891011121314151617343[[#This Row],[USA]]-B10</f>
        <v/>
      </c>
      <c r="D11" s="54">
        <f>(Table134567891011121314151617343[[#This Row],[USA]]/100 +1)^4-1</f>
        <v/>
      </c>
      <c r="E11" s="46" t="n"/>
      <c r="F11" s="46" t="n"/>
      <c r="G11" s="48" t="inlineStr">
        <is>
          <t>CZE</t>
        </is>
      </c>
      <c r="H11" s="46" t="n"/>
    </row>
    <row r="12">
      <c r="A12" s="42" t="n">
        <v>18264</v>
      </c>
      <c r="B12" s="43">
        <f>VLOOKUP(A12,'Data qoq'!$B:$AT,MATCH($B$1,'Data qoq'!$B$1:$AT$1,0),FALSE)</f>
        <v/>
      </c>
      <c r="C12" s="43">
        <f>Table134567891011121314151617343[[#This Row],[USA]]-B11</f>
        <v/>
      </c>
      <c r="D12" s="55">
        <f>(Table134567891011121314151617343[[#This Row],[USA]]/100 +1)^4-1</f>
        <v/>
      </c>
      <c r="G12" s="75" t="inlineStr">
        <is>
          <t>DEU</t>
        </is>
      </c>
    </row>
    <row r="13">
      <c r="A13" s="42" t="n">
        <v>18354</v>
      </c>
      <c r="B13" s="43">
        <f>VLOOKUP(A13,'Data qoq'!$B:$AT,MATCH($B$1,'Data qoq'!$B$1:$AT$1,0),FALSE)</f>
        <v/>
      </c>
      <c r="C13" s="43">
        <f>Table134567891011121314151617343[[#This Row],[USA]]-B12</f>
        <v/>
      </c>
      <c r="D13" s="55">
        <f>(Table134567891011121314151617343[[#This Row],[USA]]/100 +1)^4-1</f>
        <v/>
      </c>
      <c r="G13" s="75" t="inlineStr">
        <is>
          <t>DNK</t>
        </is>
      </c>
    </row>
    <row r="14">
      <c r="A14" s="42" t="n">
        <v>18445</v>
      </c>
      <c r="B14" s="43">
        <f>VLOOKUP(A14,'Data qoq'!$B:$AT,MATCH($B$1,'Data qoq'!$B$1:$AT$1,0),FALSE)</f>
        <v/>
      </c>
      <c r="C14" s="43">
        <f>Table134567891011121314151617343[[#This Row],[USA]]-B13</f>
        <v/>
      </c>
      <c r="D14" s="55">
        <f>(Table134567891011121314151617343[[#This Row],[USA]]/100 +1)^4-1</f>
        <v/>
      </c>
      <c r="G14" s="75" t="inlineStr">
        <is>
          <t>EA19</t>
        </is>
      </c>
    </row>
    <row r="15">
      <c r="A15" s="42" t="n">
        <v>18537</v>
      </c>
      <c r="B15" s="43">
        <f>VLOOKUP(A15,'Data qoq'!$B:$AT,MATCH($B$1,'Data qoq'!$B$1:$AT$1,0),FALSE)</f>
        <v/>
      </c>
      <c r="C15" s="43">
        <f>Table134567891011121314151617343[[#This Row],[USA]]-B14</f>
        <v/>
      </c>
      <c r="D15" s="55">
        <f>(Table134567891011121314151617343[[#This Row],[USA]]/100 +1)^4-1</f>
        <v/>
      </c>
      <c r="G15" s="75" t="inlineStr">
        <is>
          <t>ESP</t>
        </is>
      </c>
    </row>
    <row r="16">
      <c r="A16" s="42" t="n">
        <v>18629</v>
      </c>
      <c r="B16" s="43">
        <f>VLOOKUP(A16,'Data qoq'!$B:$AT,MATCH($B$1,'Data qoq'!$B$1:$AT$1,0),FALSE)</f>
        <v/>
      </c>
      <c r="C16" s="43">
        <f>Table134567891011121314151617343[[#This Row],[USA]]-B15</f>
        <v/>
      </c>
      <c r="D16" s="55">
        <f>(Table134567891011121314151617343[[#This Row],[USA]]/100 +1)^4-1</f>
        <v/>
      </c>
      <c r="G16" s="75" t="inlineStr">
        <is>
          <t>EST</t>
        </is>
      </c>
    </row>
    <row r="17">
      <c r="A17" s="42" t="n">
        <v>18719</v>
      </c>
      <c r="B17" s="43">
        <f>VLOOKUP(A17,'Data qoq'!$B:$AT,MATCH($B$1,'Data qoq'!$B$1:$AT$1,0),FALSE)</f>
        <v/>
      </c>
      <c r="C17" s="43">
        <f>Table134567891011121314151617343[[#This Row],[USA]]-B16</f>
        <v/>
      </c>
      <c r="D17" s="55">
        <f>(Table134567891011121314151617343[[#This Row],[USA]]/100 +1)^4-1</f>
        <v/>
      </c>
      <c r="G17" s="75" t="inlineStr">
        <is>
          <t>EU27_2020</t>
        </is>
      </c>
    </row>
    <row r="18">
      <c r="A18" s="42" t="n">
        <v>18810</v>
      </c>
      <c r="B18" s="43">
        <f>VLOOKUP(A18,'Data qoq'!$B:$AT,MATCH($B$1,'Data qoq'!$B$1:$AT$1,0),FALSE)</f>
        <v/>
      </c>
      <c r="C18" s="43">
        <f>Table134567891011121314151617343[[#This Row],[USA]]-B17</f>
        <v/>
      </c>
      <c r="D18" s="55">
        <f>(Table134567891011121314151617343[[#This Row],[USA]]/100 +1)^4-1</f>
        <v/>
      </c>
      <c r="G18" s="75" t="inlineStr">
        <is>
          <t>EU28</t>
        </is>
      </c>
    </row>
    <row r="19">
      <c r="A19" s="42" t="n">
        <v>18902</v>
      </c>
      <c r="B19" s="43">
        <f>VLOOKUP(A19,'Data qoq'!$B:$AT,MATCH($B$1,'Data qoq'!$B$1:$AT$1,0),FALSE)</f>
        <v/>
      </c>
      <c r="C19" s="43">
        <f>Table134567891011121314151617343[[#This Row],[USA]]-B18</f>
        <v/>
      </c>
      <c r="D19" s="55">
        <f>(Table134567891011121314151617343[[#This Row],[USA]]/100 +1)^4-1</f>
        <v/>
      </c>
      <c r="G19" s="75" t="inlineStr">
        <is>
          <t>FIN</t>
        </is>
      </c>
    </row>
    <row r="20">
      <c r="A20" s="42" t="n">
        <v>18994</v>
      </c>
      <c r="B20" s="43">
        <f>VLOOKUP(A20,'Data qoq'!$B:$AT,MATCH($B$1,'Data qoq'!$B$1:$AT$1,0),FALSE)</f>
        <v/>
      </c>
      <c r="C20" s="43">
        <f>Table134567891011121314151617343[[#This Row],[USA]]-B19</f>
        <v/>
      </c>
      <c r="D20" s="55">
        <f>(Table134567891011121314151617343[[#This Row],[USA]]/100 +1)^4-1</f>
        <v/>
      </c>
      <c r="G20" s="75" t="inlineStr">
        <is>
          <t>FRA</t>
        </is>
      </c>
    </row>
    <row r="21">
      <c r="A21" s="42" t="n">
        <v>19085</v>
      </c>
      <c r="B21" s="43">
        <f>VLOOKUP(A21,'Data qoq'!$B:$AT,MATCH($B$1,'Data qoq'!$B$1:$AT$1,0),FALSE)</f>
        <v/>
      </c>
      <c r="C21" s="43">
        <f>Table134567891011121314151617343[[#This Row],[USA]]-B20</f>
        <v/>
      </c>
      <c r="D21" s="55">
        <f>(Table134567891011121314151617343[[#This Row],[USA]]/100 +1)^4-1</f>
        <v/>
      </c>
      <c r="G21" s="75" t="inlineStr">
        <is>
          <t>G-7</t>
        </is>
      </c>
    </row>
    <row r="22">
      <c r="A22" s="42" t="n">
        <v>19176</v>
      </c>
      <c r="B22" s="43">
        <f>VLOOKUP(A22,'Data qoq'!$B:$AT,MATCH($B$1,'Data qoq'!$B$1:$AT$1,0),FALSE)</f>
        <v/>
      </c>
      <c r="C22" s="43">
        <f>Table134567891011121314151617343[[#This Row],[USA]]-B21</f>
        <v/>
      </c>
      <c r="D22" s="55">
        <f>(Table134567891011121314151617343[[#This Row],[USA]]/100 +1)^4-1</f>
        <v/>
      </c>
      <c r="G22" s="75" t="inlineStr">
        <is>
          <t>G7</t>
        </is>
      </c>
    </row>
    <row r="23">
      <c r="A23" s="42" t="n">
        <v>19268</v>
      </c>
      <c r="B23" s="43">
        <f>VLOOKUP(A23,'Data qoq'!$B:$AT,MATCH($B$1,'Data qoq'!$B$1:$AT$1,0),FALSE)</f>
        <v/>
      </c>
      <c r="C23" s="43">
        <f>Table134567891011121314151617343[[#This Row],[USA]]-B22</f>
        <v/>
      </c>
      <c r="D23" s="55">
        <f>(Table134567891011121314151617343[[#This Row],[USA]]/100 +1)^4-1</f>
        <v/>
      </c>
      <c r="G23" s="75" t="inlineStr">
        <is>
          <t>GBR</t>
        </is>
      </c>
    </row>
    <row r="24">
      <c r="A24" s="42" t="n">
        <v>19360</v>
      </c>
      <c r="B24" s="43">
        <f>VLOOKUP(A24,'Data qoq'!$B:$AT,MATCH($B$1,'Data qoq'!$B$1:$AT$1,0),FALSE)</f>
        <v/>
      </c>
      <c r="C24" s="43">
        <f>Table134567891011121314151617343[[#This Row],[USA]]-B23</f>
        <v/>
      </c>
      <c r="D24" s="55">
        <f>(Table134567891011121314151617343[[#This Row],[USA]]/100 +1)^4-1</f>
        <v/>
      </c>
      <c r="G24" s="75" t="inlineStr">
        <is>
          <t>GRC</t>
        </is>
      </c>
    </row>
    <row r="25">
      <c r="A25" s="42" t="n">
        <v>19450</v>
      </c>
      <c r="B25" s="43">
        <f>VLOOKUP(A25,'Data qoq'!$B:$AT,MATCH($B$1,'Data qoq'!$B$1:$AT$1,0),FALSE)</f>
        <v/>
      </c>
      <c r="C25" s="43">
        <f>Table134567891011121314151617343[[#This Row],[USA]]-B24</f>
        <v/>
      </c>
      <c r="D25" s="55">
        <f>(Table134567891011121314151617343[[#This Row],[USA]]/100 +1)^4-1</f>
        <v/>
      </c>
      <c r="G25" s="75" t="inlineStr">
        <is>
          <t>HUN</t>
        </is>
      </c>
    </row>
    <row r="26">
      <c r="A26" s="42" t="n">
        <v>19541</v>
      </c>
      <c r="B26" s="43">
        <f>VLOOKUP(A26,'Data qoq'!$B:$AT,MATCH($B$1,'Data qoq'!$B$1:$AT$1,0),FALSE)</f>
        <v/>
      </c>
      <c r="C26" s="43">
        <f>Table134567891011121314151617343[[#This Row],[USA]]-B25</f>
        <v/>
      </c>
      <c r="D26" s="55">
        <f>(Table134567891011121314151617343[[#This Row],[USA]]/100 +1)^4-1</f>
        <v/>
      </c>
      <c r="G26" s="75" t="inlineStr">
        <is>
          <t>IND</t>
        </is>
      </c>
    </row>
    <row r="27">
      <c r="A27" s="42" t="n">
        <v>19633</v>
      </c>
      <c r="B27" s="43">
        <f>VLOOKUP(A27,'Data qoq'!$B:$AT,MATCH($B$1,'Data qoq'!$B$1:$AT$1,0),FALSE)</f>
        <v/>
      </c>
      <c r="C27" s="43">
        <f>Table134567891011121314151617343[[#This Row],[USA]]-B26</f>
        <v/>
      </c>
      <c r="D27" s="55">
        <f>(Table134567891011121314151617343[[#This Row],[USA]]/100 +1)^4-1</f>
        <v/>
      </c>
      <c r="G27" s="75" t="inlineStr">
        <is>
          <t>IRL</t>
        </is>
      </c>
    </row>
    <row r="28">
      <c r="A28" s="42" t="n">
        <v>19725</v>
      </c>
      <c r="B28" s="43">
        <f>VLOOKUP(A28,'Data qoq'!$B:$AT,MATCH($B$1,'Data qoq'!$B$1:$AT$1,0),FALSE)</f>
        <v/>
      </c>
      <c r="C28" s="43">
        <f>Table134567891011121314151617343[[#This Row],[USA]]-B27</f>
        <v/>
      </c>
      <c r="D28" s="55">
        <f>(Table134567891011121314151617343[[#This Row],[USA]]/100 +1)^4-1</f>
        <v/>
      </c>
      <c r="G28" s="75" t="inlineStr">
        <is>
          <t>ISL</t>
        </is>
      </c>
    </row>
    <row r="29">
      <c r="A29" s="42" t="n">
        <v>19815</v>
      </c>
      <c r="B29" s="43">
        <f>VLOOKUP(A29,'Data qoq'!$B:$AT,MATCH($B$1,'Data qoq'!$B$1:$AT$1,0),FALSE)</f>
        <v/>
      </c>
      <c r="C29" s="43">
        <f>Table134567891011121314151617343[[#This Row],[USA]]-B28</f>
        <v/>
      </c>
      <c r="D29" s="55">
        <f>(Table134567891011121314151617343[[#This Row],[USA]]/100 +1)^4-1</f>
        <v/>
      </c>
      <c r="G29" s="75" t="inlineStr">
        <is>
          <t>ISR</t>
        </is>
      </c>
    </row>
    <row r="30">
      <c r="A30" s="42" t="n">
        <v>19906</v>
      </c>
      <c r="B30" s="43">
        <f>VLOOKUP(A30,'Data qoq'!$B:$AT,MATCH($B$1,'Data qoq'!$B$1:$AT$1,0),FALSE)</f>
        <v/>
      </c>
      <c r="C30" s="43">
        <f>Table134567891011121314151617343[[#This Row],[USA]]-B29</f>
        <v/>
      </c>
      <c r="D30" s="55">
        <f>(Table134567891011121314151617343[[#This Row],[USA]]/100 +1)^4-1</f>
        <v/>
      </c>
      <c r="G30" s="75" t="inlineStr">
        <is>
          <t>ITA</t>
        </is>
      </c>
    </row>
    <row r="31">
      <c r="A31" s="42" t="n">
        <v>19998</v>
      </c>
      <c r="B31" s="43">
        <f>VLOOKUP(A31,'Data qoq'!$B:$AT,MATCH($B$1,'Data qoq'!$B$1:$AT$1,0),FALSE)</f>
        <v/>
      </c>
      <c r="C31" s="43">
        <f>Table134567891011121314151617343[[#This Row],[USA]]-B30</f>
        <v/>
      </c>
      <c r="D31" s="55">
        <f>(Table134567891011121314151617343[[#This Row],[USA]]/100 +1)^4-1</f>
        <v/>
      </c>
      <c r="G31" s="75" t="inlineStr">
        <is>
          <t>JPN</t>
        </is>
      </c>
    </row>
    <row r="32">
      <c r="A32" s="42" t="n">
        <v>20090</v>
      </c>
      <c r="B32" s="43">
        <f>VLOOKUP(A32,'Data qoq'!$B:$AT,MATCH($B$1,'Data qoq'!$B$1:$AT$1,0),FALSE)</f>
        <v/>
      </c>
      <c r="C32" s="43">
        <f>Table134567891011121314151617343[[#This Row],[USA]]-B31</f>
        <v/>
      </c>
      <c r="D32" s="55">
        <f>(Table134567891011121314151617343[[#This Row],[USA]]/100 +1)^4-1</f>
        <v/>
      </c>
      <c r="G32" s="75" t="inlineStr">
        <is>
          <t>KOR</t>
        </is>
      </c>
    </row>
    <row r="33">
      <c r="A33" s="42" t="n">
        <v>20180</v>
      </c>
      <c r="B33" s="43">
        <f>VLOOKUP(A33,'Data qoq'!$B:$AT,MATCH($B$1,'Data qoq'!$B$1:$AT$1,0),FALSE)</f>
        <v/>
      </c>
      <c r="C33" s="43">
        <f>Table134567891011121314151617343[[#This Row],[USA]]-B32</f>
        <v/>
      </c>
      <c r="D33" s="55">
        <f>(Table134567891011121314151617343[[#This Row],[USA]]/100 +1)^4-1</f>
        <v/>
      </c>
      <c r="G33" s="75" t="inlineStr">
        <is>
          <t>LUX</t>
        </is>
      </c>
    </row>
    <row r="34">
      <c r="A34" s="42" t="n">
        <v>20271</v>
      </c>
      <c r="B34" s="43">
        <f>VLOOKUP(A34,'Data qoq'!$B:$AT,MATCH($B$1,'Data qoq'!$B$1:$AT$1,0),FALSE)</f>
        <v/>
      </c>
      <c r="C34" s="43">
        <f>Table134567891011121314151617343[[#This Row],[USA]]-B33</f>
        <v/>
      </c>
      <c r="D34" s="55">
        <f>(Table134567891011121314151617343[[#This Row],[USA]]/100 +1)^4-1</f>
        <v/>
      </c>
      <c r="G34" s="75" t="inlineStr">
        <is>
          <t>LVA</t>
        </is>
      </c>
    </row>
    <row r="35">
      <c r="A35" s="42" t="n">
        <v>20363</v>
      </c>
      <c r="B35" s="43">
        <f>VLOOKUP(A35,'Data qoq'!$B:$AT,MATCH($B$1,'Data qoq'!$B$1:$AT$1,0),FALSE)</f>
        <v/>
      </c>
      <c r="C35" s="43">
        <f>Table134567891011121314151617343[[#This Row],[USA]]-B34</f>
        <v/>
      </c>
      <c r="D35" s="55">
        <f>(Table134567891011121314151617343[[#This Row],[USA]]/100 +1)^4-1</f>
        <v/>
      </c>
      <c r="G35" s="75" t="inlineStr">
        <is>
          <t>MEX</t>
        </is>
      </c>
    </row>
    <row r="36">
      <c r="A36" s="42" t="n">
        <v>20455</v>
      </c>
      <c r="B36" s="43">
        <f>VLOOKUP(A36,'Data qoq'!$B:$AT,MATCH($B$1,'Data qoq'!$B$1:$AT$1,0),FALSE)</f>
        <v/>
      </c>
      <c r="C36" s="43">
        <f>Table134567891011121314151617343[[#This Row],[USA]]-B35</f>
        <v/>
      </c>
      <c r="D36" s="55">
        <f>(Table134567891011121314151617343[[#This Row],[USA]]/100 +1)^4-1</f>
        <v/>
      </c>
      <c r="G36" s="75" t="inlineStr">
        <is>
          <t>NLD</t>
        </is>
      </c>
    </row>
    <row r="37">
      <c r="A37" s="42" t="n">
        <v>20546</v>
      </c>
      <c r="B37" s="43">
        <f>VLOOKUP(A37,'Data qoq'!$B:$AT,MATCH($B$1,'Data qoq'!$B$1:$AT$1,0),FALSE)</f>
        <v/>
      </c>
      <c r="C37" s="43">
        <f>Table134567891011121314151617343[[#This Row],[USA]]-B36</f>
        <v/>
      </c>
      <c r="D37" s="55">
        <f>(Table134567891011121314151617343[[#This Row],[USA]]/100 +1)^4-1</f>
        <v/>
      </c>
      <c r="G37" s="75" t="inlineStr">
        <is>
          <t>NOR</t>
        </is>
      </c>
    </row>
    <row r="38">
      <c r="A38" s="42" t="n">
        <v>20637</v>
      </c>
      <c r="B38" s="43">
        <f>VLOOKUP(A38,'Data qoq'!$B:$AT,MATCH($B$1,'Data qoq'!$B$1:$AT$1,0),FALSE)</f>
        <v/>
      </c>
      <c r="C38" s="43">
        <f>Table134567891011121314151617343[[#This Row],[USA]]-B37</f>
        <v/>
      </c>
      <c r="D38" s="55">
        <f>(Table134567891011121314151617343[[#This Row],[USA]]/100 +1)^4-1</f>
        <v/>
      </c>
      <c r="G38" s="75" t="inlineStr">
        <is>
          <t>NZL</t>
        </is>
      </c>
    </row>
    <row r="39">
      <c r="A39" s="42" t="n">
        <v>20729</v>
      </c>
      <c r="B39" s="43">
        <f>VLOOKUP(A39,'Data qoq'!$B:$AT,MATCH($B$1,'Data qoq'!$B$1:$AT$1,0),FALSE)</f>
        <v/>
      </c>
      <c r="C39" s="43">
        <f>Table134567891011121314151617343[[#This Row],[USA]]-B38</f>
        <v/>
      </c>
      <c r="D39" s="55">
        <f>(Table134567891011121314151617343[[#This Row],[USA]]/100 +1)^4-1</f>
        <v/>
      </c>
      <c r="G39" s="75" t="inlineStr">
        <is>
          <t>OECD</t>
        </is>
      </c>
    </row>
    <row r="40">
      <c r="A40" s="42" t="n">
        <v>20821</v>
      </c>
      <c r="B40" s="43">
        <f>VLOOKUP(A40,'Data qoq'!$B:$AT,MATCH($B$1,'Data qoq'!$B$1:$AT$1,0),FALSE)</f>
        <v/>
      </c>
      <c r="C40" s="43">
        <f>Table134567891011121314151617343[[#This Row],[USA]]-B39</f>
        <v/>
      </c>
      <c r="D40" s="55">
        <f>(Table134567891011121314151617343[[#This Row],[USA]]/100 +1)^4-1</f>
        <v/>
      </c>
      <c r="G40" s="75" t="inlineStr">
        <is>
          <t>POL</t>
        </is>
      </c>
    </row>
    <row r="41">
      <c r="A41" s="42" t="n">
        <v>20911</v>
      </c>
      <c r="B41" s="43">
        <f>VLOOKUP(A41,'Data qoq'!$B:$AT,MATCH($B$1,'Data qoq'!$B$1:$AT$1,0),FALSE)</f>
        <v/>
      </c>
      <c r="C41" s="43">
        <f>Table134567891011121314151617343[[#This Row],[USA]]-B40</f>
        <v/>
      </c>
      <c r="D41" s="55">
        <f>(Table134567891011121314151617343[[#This Row],[USA]]/100 +1)^4-1</f>
        <v/>
      </c>
      <c r="G41" s="75" t="inlineStr">
        <is>
          <t>PRT</t>
        </is>
      </c>
    </row>
    <row r="42">
      <c r="A42" s="42" t="n">
        <v>21002</v>
      </c>
      <c r="B42" s="43">
        <f>VLOOKUP(A42,'Data qoq'!$B:$AT,MATCH($B$1,'Data qoq'!$B$1:$AT$1,0),FALSE)</f>
        <v/>
      </c>
      <c r="C42" s="43">
        <f>Table134567891011121314151617343[[#This Row],[USA]]-B41</f>
        <v/>
      </c>
      <c r="D42" s="55">
        <f>(Table134567891011121314151617343[[#This Row],[USA]]/100 +1)^4-1</f>
        <v/>
      </c>
      <c r="G42" s="75" t="inlineStr">
        <is>
          <t>RUS</t>
        </is>
      </c>
    </row>
    <row r="43">
      <c r="A43" s="42" t="n">
        <v>21094</v>
      </c>
      <c r="B43" s="43">
        <f>VLOOKUP(A43,'Data qoq'!$B:$AT,MATCH($B$1,'Data qoq'!$B$1:$AT$1,0),FALSE)</f>
        <v/>
      </c>
      <c r="C43" s="43">
        <f>Table134567891011121314151617343[[#This Row],[USA]]-B42</f>
        <v/>
      </c>
      <c r="D43" s="55">
        <f>(Table134567891011121314151617343[[#This Row],[USA]]/100 +1)^4-1</f>
        <v/>
      </c>
      <c r="G43" s="75" t="inlineStr">
        <is>
          <t>SVK</t>
        </is>
      </c>
    </row>
    <row r="44">
      <c r="A44" s="42" t="n">
        <v>21186</v>
      </c>
      <c r="B44" s="43">
        <f>VLOOKUP(A44,'Data qoq'!$B:$AT,MATCH($B$1,'Data qoq'!$B$1:$AT$1,0),FALSE)</f>
        <v/>
      </c>
      <c r="C44" s="43">
        <f>Table134567891011121314151617343[[#This Row],[USA]]-B43</f>
        <v/>
      </c>
      <c r="D44" s="55">
        <f>(Table134567891011121314151617343[[#This Row],[USA]]/100 +1)^4-1</f>
        <v/>
      </c>
      <c r="G44" s="75" t="inlineStr">
        <is>
          <t>SVN</t>
        </is>
      </c>
    </row>
    <row r="45">
      <c r="A45" s="42" t="n">
        <v>21276</v>
      </c>
      <c r="B45" s="43">
        <f>VLOOKUP(A45,'Data qoq'!$B:$AT,MATCH($B$1,'Data qoq'!$B$1:$AT$1,0),FALSE)</f>
        <v/>
      </c>
      <c r="C45" s="43">
        <f>Table134567891011121314151617343[[#This Row],[USA]]-B44</f>
        <v/>
      </c>
      <c r="D45" s="55">
        <f>(Table134567891011121314151617343[[#This Row],[USA]]/100 +1)^4-1</f>
        <v/>
      </c>
      <c r="G45" s="75" t="inlineStr">
        <is>
          <t>SWE</t>
        </is>
      </c>
    </row>
    <row r="46">
      <c r="A46" s="42" t="n">
        <v>21367</v>
      </c>
      <c r="B46" s="43">
        <f>VLOOKUP(A46,'Data qoq'!$B:$AT,MATCH($B$1,'Data qoq'!$B$1:$AT$1,0),FALSE)</f>
        <v/>
      </c>
      <c r="C46" s="43">
        <f>Table134567891011121314151617343[[#This Row],[USA]]-B45</f>
        <v/>
      </c>
      <c r="D46" s="55">
        <f>(Table134567891011121314151617343[[#This Row],[USA]]/100 +1)^4-1</f>
        <v/>
      </c>
      <c r="G46" s="75" t="inlineStr">
        <is>
          <t>TUR</t>
        </is>
      </c>
    </row>
    <row r="47">
      <c r="A47" s="42" t="n">
        <v>21459</v>
      </c>
      <c r="B47" s="43">
        <f>VLOOKUP(A47,'Data qoq'!$B:$AT,MATCH($B$1,'Data qoq'!$B$1:$AT$1,0),FALSE)</f>
        <v/>
      </c>
      <c r="C47" s="43">
        <f>Table134567891011121314151617343[[#This Row],[USA]]-B46</f>
        <v/>
      </c>
      <c r="D47" s="55">
        <f>(Table134567891011121314151617343[[#This Row],[USA]]/100 +1)^4-1</f>
        <v/>
      </c>
      <c r="G47" s="75" t="inlineStr">
        <is>
          <t>USA</t>
        </is>
      </c>
    </row>
    <row r="48">
      <c r="A48" s="42" t="n">
        <v>21551</v>
      </c>
      <c r="B48" s="43">
        <f>VLOOKUP(A48,'Data qoq'!$B:$AT,MATCH($B$1,'Data qoq'!$B$1:$AT$1,0),FALSE)</f>
        <v/>
      </c>
      <c r="C48" s="43">
        <f>Table134567891011121314151617343[[#This Row],[USA]]-B47</f>
        <v/>
      </c>
      <c r="D48" s="55">
        <f>(Table134567891011121314151617343[[#This Row],[USA]]/100 +1)^4-1</f>
        <v/>
      </c>
      <c r="G48" s="75" t="inlineStr">
        <is>
          <t>ZAF</t>
        </is>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2" t="n">
        <v>44562</v>
      </c>
      <c r="B300" s="43">
        <f>VLOOKUP(A300,'Data qoq'!$B:$AT,MATCH($B$1,'Data qoq'!$B$1:$AT$1,0),FALSE)</f>
        <v/>
      </c>
      <c r="C300" s="43">
        <f>Table134567891011121314151617343[[#This Row],[USA]]-B299</f>
        <v/>
      </c>
      <c r="D300" s="55">
        <f>(Table134567891011121314151617343[[#This Row],[USA]]/100 +1)^4-1</f>
        <v/>
      </c>
    </row>
    <row r="301" customFormat="1" s="75">
      <c r="A301" s="42" t="n">
        <v>44652</v>
      </c>
      <c r="B301" s="43">
        <f>VLOOKUP(A301,'Data qoq'!$B:$AT,MATCH($B$1,'Data qoq'!$B$1:$AT$1,0),FALSE)</f>
        <v/>
      </c>
      <c r="C301" s="43">
        <f>Table134567891011121314151617343[[#This Row],[USA]]-B300</f>
        <v/>
      </c>
      <c r="D301" s="55">
        <f>(Table134567891011121314151617343[[#This Row],[USA]]/100 +1)^4-1</f>
        <v/>
      </c>
    </row>
    <row r="302" customFormat="1" s="75">
      <c r="A302" s="42" t="n">
        <v>44743</v>
      </c>
      <c r="B302" s="43">
        <f>VLOOKUP(A302,'Data qoq'!$B:$AT,MATCH($B$1,'Data qoq'!$B$1:$AT$1,0),FALSE)</f>
        <v/>
      </c>
      <c r="C302" s="43">
        <f>Table134567891011121314151617343[[#This Row],[USA]]-B301</f>
        <v/>
      </c>
      <c r="D302" s="55">
        <f>(Table134567891011121314151617343[[#This Row],[USA]]/100 +1)^4-1</f>
        <v/>
      </c>
    </row>
    <row r="303" customFormat="1" s="75">
      <c r="A303" s="42" t="n">
        <v>44835</v>
      </c>
      <c r="B303" s="43">
        <f>VLOOKUP(A303,'Data qoq'!$B:$AT,MATCH($B$1,'Data qoq'!$B$1:$AT$1,0),FALSE)</f>
        <v/>
      </c>
      <c r="C303" s="43">
        <f>Table134567891011121314151617343[[#This Row],[USA]]-B302</f>
        <v/>
      </c>
      <c r="D303" s="55">
        <f>(Table134567891011121314151617343[[#This Row],[USA]]/100 +1)^4-1</f>
        <v/>
      </c>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2023-01-28T01:49:19Z</dcterms:modified>
  <cp:lastModifiedBy>Mark Mukherjee</cp:lastModifiedBy>
</cp:coreProperties>
</file>