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BA42880-1156-7446-9153-EA5A0A288B94}" xr6:coauthVersionLast="47" xr6:coauthVersionMax="47" xr10:uidLastSave="{00000000-0000-0000-0000-000000000000}"/>
  <bookViews>
    <workbookView xWindow="20" yWindow="500" windowWidth="28800" windowHeight="17500" activeTab="6"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72" i="7" l="1"/>
  <c r="AA73" i="7"/>
  <c r="AA74" i="7"/>
  <c r="AA75" i="7"/>
  <c r="AA76" i="7"/>
  <c r="AA77" i="7"/>
  <c r="AA78" i="7"/>
  <c r="AA79" i="7"/>
  <c r="AA80" i="7"/>
  <c r="AA81" i="7"/>
  <c r="AA82" i="7"/>
  <c r="AA83" i="7"/>
  <c r="AA84" i="7"/>
  <c r="AA85" i="7"/>
  <c r="AA86" i="7"/>
  <c r="AA87" i="7"/>
  <c r="AA88" i="7"/>
  <c r="AA89" i="7"/>
  <c r="AA90" i="7"/>
  <c r="AA91" i="7"/>
  <c r="AA6" i="7" s="1"/>
  <c r="AA92" i="7"/>
  <c r="AA93" i="7"/>
  <c r="AA94" i="7"/>
  <c r="AA95" i="7"/>
  <c r="AA96" i="7"/>
  <c r="AA97" i="7"/>
  <c r="AA98" i="7"/>
  <c r="AA71" i="7"/>
  <c r="Z79" i="7"/>
  <c r="Z80" i="7"/>
  <c r="Z81" i="7"/>
  <c r="Z82" i="7"/>
  <c r="Z83" i="7"/>
  <c r="Z84" i="7"/>
  <c r="Z85" i="7"/>
  <c r="Z86" i="7"/>
  <c r="Z87" i="7"/>
  <c r="Z88" i="7"/>
  <c r="Z89" i="7"/>
  <c r="Z90" i="7"/>
  <c r="Z91" i="7"/>
  <c r="Z5" i="7" s="1"/>
  <c r="Z92" i="7"/>
  <c r="Z93" i="7"/>
  <c r="Z94" i="7"/>
  <c r="Z95" i="7"/>
  <c r="Z96" i="7"/>
  <c r="Z97" i="7"/>
  <c r="Z98" i="7"/>
  <c r="Z72" i="7"/>
  <c r="Z73" i="7"/>
  <c r="Z74" i="7"/>
  <c r="Z75" i="7"/>
  <c r="Z76" i="7"/>
  <c r="Z77" i="7"/>
  <c r="Z78" i="7"/>
  <c r="Z71" i="7"/>
  <c r="Y80" i="7"/>
  <c r="Y81" i="7"/>
  <c r="Y82" i="7"/>
  <c r="Y83" i="7"/>
  <c r="Y84" i="7"/>
  <c r="Y85" i="7"/>
  <c r="Y86" i="7"/>
  <c r="Y87" i="7"/>
  <c r="Y88" i="7"/>
  <c r="Y89" i="7"/>
  <c r="Y90" i="7"/>
  <c r="Y91" i="7"/>
  <c r="Y92" i="7"/>
  <c r="Y93" i="7"/>
  <c r="Y94" i="7"/>
  <c r="Y95" i="7"/>
  <c r="Y96" i="7"/>
  <c r="Y97" i="7"/>
  <c r="Y98" i="7"/>
  <c r="Y72" i="7"/>
  <c r="Y73" i="7"/>
  <c r="Y74" i="7"/>
  <c r="Y75" i="7"/>
  <c r="Y76" i="7"/>
  <c r="Y77" i="7"/>
  <c r="Y78" i="7"/>
  <c r="Y79" i="7"/>
  <c r="Y71" i="7"/>
  <c r="X82" i="7"/>
  <c r="X83" i="7"/>
  <c r="X84" i="7"/>
  <c r="X85" i="7"/>
  <c r="X86" i="7"/>
  <c r="X87" i="7"/>
  <c r="X88" i="7"/>
  <c r="X89" i="7"/>
  <c r="X90" i="7"/>
  <c r="X91" i="7"/>
  <c r="X92" i="7"/>
  <c r="X93" i="7"/>
  <c r="X94" i="7"/>
  <c r="X95" i="7"/>
  <c r="X96" i="7"/>
  <c r="X97" i="7"/>
  <c r="X98" i="7"/>
  <c r="X80" i="7"/>
  <c r="X81" i="7"/>
  <c r="X72" i="7"/>
  <c r="X73" i="7"/>
  <c r="X74" i="7"/>
  <c r="X75" i="7"/>
  <c r="X76" i="7"/>
  <c r="X77" i="7"/>
  <c r="X78" i="7"/>
  <c r="X79" i="7"/>
  <c r="X71" i="7"/>
  <c r="W79" i="7"/>
  <c r="W80" i="7"/>
  <c r="W81" i="7"/>
  <c r="W82" i="7"/>
  <c r="W83" i="7"/>
  <c r="W84" i="7"/>
  <c r="W85" i="7"/>
  <c r="W86" i="7"/>
  <c r="W87" i="7"/>
  <c r="W88" i="7"/>
  <c r="W89" i="7"/>
  <c r="W90" i="7"/>
  <c r="W91" i="7"/>
  <c r="W92" i="7"/>
  <c r="W93" i="7"/>
  <c r="W94" i="7"/>
  <c r="W95" i="7"/>
  <c r="W96" i="7"/>
  <c r="W97" i="7"/>
  <c r="W98" i="7"/>
  <c r="W72" i="7"/>
  <c r="W73" i="7"/>
  <c r="W74" i="7"/>
  <c r="W75" i="7"/>
  <c r="W76" i="7"/>
  <c r="W77" i="7"/>
  <c r="W78" i="7"/>
  <c r="W71" i="7"/>
  <c r="V77" i="7"/>
  <c r="V78" i="7"/>
  <c r="V79" i="7"/>
  <c r="V80" i="7"/>
  <c r="V81" i="7"/>
  <c r="V82" i="7"/>
  <c r="V83" i="7"/>
  <c r="V84" i="7"/>
  <c r="V85" i="7"/>
  <c r="V86" i="7"/>
  <c r="V87" i="7"/>
  <c r="V88" i="7"/>
  <c r="V89" i="7"/>
  <c r="V90" i="7"/>
  <c r="V91" i="7"/>
  <c r="V92" i="7"/>
  <c r="V93" i="7"/>
  <c r="V94" i="7"/>
  <c r="V95" i="7"/>
  <c r="V96" i="7"/>
  <c r="V97" i="7"/>
  <c r="V98" i="7"/>
  <c r="V72" i="7"/>
  <c r="V73" i="7"/>
  <c r="V74" i="7"/>
  <c r="V75" i="7"/>
  <c r="V76" i="7"/>
  <c r="V71" i="7"/>
  <c r="U77" i="7"/>
  <c r="U78" i="7"/>
  <c r="U79" i="7"/>
  <c r="U80" i="7"/>
  <c r="U81" i="7"/>
  <c r="U82" i="7"/>
  <c r="U83" i="7"/>
  <c r="U84" i="7"/>
  <c r="U85" i="7"/>
  <c r="U86" i="7"/>
  <c r="U87" i="7"/>
  <c r="U88" i="7"/>
  <c r="U89" i="7"/>
  <c r="U90" i="7"/>
  <c r="U91" i="7"/>
  <c r="U92" i="7"/>
  <c r="U93" i="7"/>
  <c r="U94" i="7"/>
  <c r="U95" i="7"/>
  <c r="U96" i="7"/>
  <c r="U97" i="7"/>
  <c r="U98" i="7"/>
  <c r="U72" i="7"/>
  <c r="U73" i="7"/>
  <c r="U74" i="7"/>
  <c r="U75" i="7"/>
  <c r="U76" i="7"/>
  <c r="U71" i="7"/>
  <c r="T77" i="7"/>
  <c r="T78" i="7"/>
  <c r="T79" i="7"/>
  <c r="T80" i="7"/>
  <c r="T81" i="7"/>
  <c r="T82" i="7"/>
  <c r="T83" i="7"/>
  <c r="T84" i="7"/>
  <c r="T85" i="7"/>
  <c r="T86" i="7"/>
  <c r="T87" i="7"/>
  <c r="T88" i="7"/>
  <c r="T89" i="7"/>
  <c r="T90" i="7"/>
  <c r="T91" i="7"/>
  <c r="T92" i="7"/>
  <c r="T93" i="7"/>
  <c r="T94" i="7"/>
  <c r="T95" i="7"/>
  <c r="T96" i="7"/>
  <c r="T97" i="7"/>
  <c r="T98" i="7"/>
  <c r="T72" i="7"/>
  <c r="T73" i="7"/>
  <c r="T74" i="7"/>
  <c r="T75" i="7"/>
  <c r="T76" i="7"/>
  <c r="T71" i="7"/>
  <c r="S77" i="7"/>
  <c r="S78" i="7"/>
  <c r="S79" i="7"/>
  <c r="S80" i="7"/>
  <c r="S81" i="7"/>
  <c r="S82" i="7"/>
  <c r="S83" i="7"/>
  <c r="S84" i="7"/>
  <c r="S85" i="7"/>
  <c r="S86" i="7"/>
  <c r="S87" i="7"/>
  <c r="S88" i="7"/>
  <c r="S89" i="7"/>
  <c r="S90" i="7"/>
  <c r="S91" i="7"/>
  <c r="S92" i="7"/>
  <c r="S93" i="7"/>
  <c r="S94" i="7"/>
  <c r="S95" i="7"/>
  <c r="S96" i="7"/>
  <c r="S97" i="7"/>
  <c r="S98" i="7"/>
  <c r="S72" i="7"/>
  <c r="S73" i="7"/>
  <c r="S74" i="7"/>
  <c r="S75" i="7"/>
  <c r="S76" i="7"/>
  <c r="S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71" i="7"/>
  <c r="P72" i="7"/>
  <c r="P73" i="7"/>
  <c r="P74" i="7"/>
  <c r="P75" i="7"/>
  <c r="P76" i="7"/>
  <c r="P77" i="7"/>
  <c r="P78" i="7"/>
  <c r="P79" i="7"/>
  <c r="P80" i="7"/>
  <c r="P81" i="7"/>
  <c r="P82" i="7"/>
  <c r="P83" i="7"/>
  <c r="P84" i="7"/>
  <c r="P85" i="7"/>
  <c r="P86" i="7"/>
  <c r="P87" i="7"/>
  <c r="P88" i="7"/>
  <c r="P89" i="7"/>
  <c r="P90" i="7"/>
  <c r="P91" i="7"/>
  <c r="P92" i="7"/>
  <c r="P93" i="7"/>
  <c r="P94" i="7"/>
  <c r="P95" i="7"/>
  <c r="P96" i="7"/>
  <c r="P97" i="7"/>
  <c r="P98" i="7"/>
  <c r="P71" i="7"/>
  <c r="O81" i="7"/>
  <c r="O82" i="7"/>
  <c r="O83" i="7"/>
  <c r="O84" i="7"/>
  <c r="O85" i="7"/>
  <c r="O86" i="7"/>
  <c r="O87" i="7"/>
  <c r="O88" i="7"/>
  <c r="O89" i="7"/>
  <c r="O90" i="7"/>
  <c r="O91" i="7"/>
  <c r="O92" i="7"/>
  <c r="O93" i="7"/>
  <c r="O94" i="7"/>
  <c r="O95" i="7"/>
  <c r="O96" i="7"/>
  <c r="O97" i="7"/>
  <c r="O98" i="7"/>
  <c r="O79" i="7"/>
  <c r="O80" i="7"/>
  <c r="O78" i="7"/>
  <c r="O72" i="7"/>
  <c r="O73" i="7"/>
  <c r="O74" i="7"/>
  <c r="O75" i="7"/>
  <c r="O76" i="7"/>
  <c r="O77" i="7"/>
  <c r="O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71" i="7"/>
  <c r="K72" i="7"/>
  <c r="K73" i="7"/>
  <c r="K74" i="7"/>
  <c r="K75" i="7"/>
  <c r="K76" i="7"/>
  <c r="K77" i="7"/>
  <c r="K78" i="7"/>
  <c r="K79" i="7"/>
  <c r="K80" i="7"/>
  <c r="K81" i="7"/>
  <c r="K82" i="7"/>
  <c r="K83" i="7"/>
  <c r="K84" i="7"/>
  <c r="K85" i="7"/>
  <c r="K86" i="7"/>
  <c r="K87" i="7"/>
  <c r="K88" i="7"/>
  <c r="K89" i="7"/>
  <c r="K90" i="7"/>
  <c r="K91" i="7"/>
  <c r="K6" i="7" s="1"/>
  <c r="K92" i="7"/>
  <c r="K93" i="7"/>
  <c r="K94" i="7"/>
  <c r="K95" i="7"/>
  <c r="K96" i="7"/>
  <c r="K97" i="7"/>
  <c r="K98" i="7"/>
  <c r="K71" i="7"/>
  <c r="J77" i="7"/>
  <c r="J78" i="7"/>
  <c r="J79" i="7"/>
  <c r="J80" i="7"/>
  <c r="J81" i="7"/>
  <c r="J82" i="7"/>
  <c r="J83" i="7"/>
  <c r="J84" i="7"/>
  <c r="J85" i="7"/>
  <c r="J86" i="7"/>
  <c r="J87" i="7"/>
  <c r="J88" i="7"/>
  <c r="J89" i="7"/>
  <c r="J90" i="7"/>
  <c r="J91" i="7"/>
  <c r="J92" i="7"/>
  <c r="J93" i="7"/>
  <c r="J94" i="7"/>
  <c r="J95" i="7"/>
  <c r="J96" i="7"/>
  <c r="J97" i="7"/>
  <c r="J98" i="7"/>
  <c r="J72" i="7"/>
  <c r="J73" i="7"/>
  <c r="J74" i="7"/>
  <c r="J75" i="7"/>
  <c r="J76" i="7"/>
  <c r="J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71" i="7"/>
  <c r="G82" i="7"/>
  <c r="G83" i="7"/>
  <c r="G84" i="7"/>
  <c r="G85" i="7"/>
  <c r="G86" i="7"/>
  <c r="G87" i="7"/>
  <c r="G88" i="7"/>
  <c r="G89" i="7"/>
  <c r="G90" i="7"/>
  <c r="G91" i="7"/>
  <c r="G92" i="7"/>
  <c r="G93" i="7"/>
  <c r="G6" i="7" s="1"/>
  <c r="G94" i="7"/>
  <c r="G95" i="7"/>
  <c r="G96" i="7"/>
  <c r="G97" i="7"/>
  <c r="G98" i="7"/>
  <c r="G72" i="7"/>
  <c r="G73" i="7"/>
  <c r="G74" i="7"/>
  <c r="G75" i="7"/>
  <c r="G76" i="7"/>
  <c r="G77" i="7"/>
  <c r="G78" i="7"/>
  <c r="G79" i="7"/>
  <c r="G80" i="7"/>
  <c r="G81" i="7"/>
  <c r="G71" i="7"/>
  <c r="F76" i="7"/>
  <c r="F77" i="7"/>
  <c r="F78" i="7"/>
  <c r="F79" i="7"/>
  <c r="F80" i="7"/>
  <c r="F81" i="7"/>
  <c r="F82" i="7"/>
  <c r="F83" i="7"/>
  <c r="F84" i="7"/>
  <c r="F85" i="7"/>
  <c r="F86" i="7"/>
  <c r="F87" i="7"/>
  <c r="F88" i="7"/>
  <c r="F89" i="7"/>
  <c r="F90" i="7"/>
  <c r="F91" i="7"/>
  <c r="F92" i="7"/>
  <c r="F93" i="7"/>
  <c r="F94" i="7"/>
  <c r="F95" i="7"/>
  <c r="F96" i="7"/>
  <c r="F97" i="7"/>
  <c r="F98" i="7"/>
  <c r="F72" i="7"/>
  <c r="F73" i="7"/>
  <c r="F74" i="7"/>
  <c r="F75" i="7"/>
  <c r="F71" i="7"/>
  <c r="E78" i="7"/>
  <c r="E79" i="7"/>
  <c r="E80" i="7"/>
  <c r="E81" i="7"/>
  <c r="E82" i="7"/>
  <c r="E83" i="7"/>
  <c r="E84" i="7"/>
  <c r="E85" i="7"/>
  <c r="E86" i="7"/>
  <c r="E87" i="7"/>
  <c r="E88" i="7"/>
  <c r="E89" i="7"/>
  <c r="E90" i="7"/>
  <c r="E91" i="7"/>
  <c r="E92" i="7"/>
  <c r="E93" i="7"/>
  <c r="E94" i="7"/>
  <c r="E95" i="7"/>
  <c r="E96" i="7"/>
  <c r="E97" i="7"/>
  <c r="E98" i="7"/>
  <c r="E72" i="7"/>
  <c r="E73" i="7"/>
  <c r="E74" i="7"/>
  <c r="E75" i="7"/>
  <c r="E76" i="7"/>
  <c r="E77" i="7"/>
  <c r="E71" i="7"/>
  <c r="D78" i="7"/>
  <c r="D79" i="7"/>
  <c r="D80" i="7"/>
  <c r="D81" i="7"/>
  <c r="D82" i="7"/>
  <c r="D83" i="7"/>
  <c r="D84" i="7"/>
  <c r="D85" i="7"/>
  <c r="D86" i="7"/>
  <c r="D87" i="7"/>
  <c r="D88" i="7"/>
  <c r="D89" i="7"/>
  <c r="D90" i="7"/>
  <c r="D4" i="7" s="1"/>
  <c r="D91" i="7"/>
  <c r="D92" i="7"/>
  <c r="D93" i="7"/>
  <c r="D94" i="7"/>
  <c r="D95" i="7"/>
  <c r="D96" i="7"/>
  <c r="D97" i="7"/>
  <c r="D98" i="7"/>
  <c r="D72" i="7"/>
  <c r="D73" i="7"/>
  <c r="D74" i="7"/>
  <c r="D75" i="7"/>
  <c r="D76" i="7"/>
  <c r="D77" i="7"/>
  <c r="D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71" i="7"/>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71" i="6"/>
  <c r="Z72" i="6"/>
  <c r="Z73" i="6"/>
  <c r="Z74" i="6"/>
  <c r="Z75" i="6"/>
  <c r="Z76" i="6"/>
  <c r="Z77" i="6"/>
  <c r="Z78" i="6"/>
  <c r="Z79" i="6"/>
  <c r="Z80" i="6"/>
  <c r="Z81" i="6"/>
  <c r="Z82" i="6"/>
  <c r="Z83" i="6"/>
  <c r="Z84" i="6"/>
  <c r="Z85" i="6"/>
  <c r="Z86" i="6"/>
  <c r="Z87" i="6"/>
  <c r="Z88" i="6"/>
  <c r="Z89" i="6"/>
  <c r="Z90" i="6"/>
  <c r="Z91" i="6"/>
  <c r="Z92" i="6"/>
  <c r="Z93" i="6"/>
  <c r="Z94" i="6"/>
  <c r="Z95" i="6"/>
  <c r="Z96" i="6"/>
  <c r="Z97" i="6"/>
  <c r="Z71" i="6"/>
  <c r="Y72" i="6"/>
  <c r="Y73" i="6"/>
  <c r="Y74" i="6"/>
  <c r="Y75" i="6"/>
  <c r="Y76" i="6"/>
  <c r="Y77" i="6"/>
  <c r="Y78" i="6"/>
  <c r="Y79" i="6"/>
  <c r="Y80" i="6"/>
  <c r="Y81" i="6"/>
  <c r="Y82" i="6"/>
  <c r="Y83" i="6"/>
  <c r="Y84" i="6"/>
  <c r="Y85" i="6"/>
  <c r="Y86" i="6"/>
  <c r="Y87" i="6"/>
  <c r="Y88" i="6"/>
  <c r="Y89" i="6"/>
  <c r="Y90" i="6"/>
  <c r="Y91" i="6"/>
  <c r="Y92" i="6"/>
  <c r="Y93" i="6"/>
  <c r="Y94" i="6"/>
  <c r="Y95" i="6"/>
  <c r="Y96" i="6"/>
  <c r="Y97" i="6"/>
  <c r="Y71" i="6"/>
  <c r="X72" i="6"/>
  <c r="X73" i="6"/>
  <c r="X74" i="6"/>
  <c r="X75" i="6"/>
  <c r="X76" i="6"/>
  <c r="X77" i="6"/>
  <c r="X78" i="6"/>
  <c r="X79" i="6"/>
  <c r="X80" i="6"/>
  <c r="X81" i="6"/>
  <c r="X82" i="6"/>
  <c r="X83" i="6"/>
  <c r="X84" i="6"/>
  <c r="X85" i="6"/>
  <c r="X86" i="6"/>
  <c r="X87" i="6"/>
  <c r="X88" i="6"/>
  <c r="X89" i="6"/>
  <c r="X90" i="6"/>
  <c r="X91" i="6"/>
  <c r="X92" i="6"/>
  <c r="X93" i="6"/>
  <c r="X94" i="6"/>
  <c r="X95" i="6"/>
  <c r="X96" i="6"/>
  <c r="X97" i="6"/>
  <c r="X71" i="6"/>
  <c r="W72" i="6"/>
  <c r="W73" i="6"/>
  <c r="W74" i="6"/>
  <c r="W75" i="6"/>
  <c r="W76" i="6"/>
  <c r="W77" i="6"/>
  <c r="W78" i="6"/>
  <c r="W79" i="6"/>
  <c r="W80" i="6"/>
  <c r="W81" i="6"/>
  <c r="W82" i="6"/>
  <c r="W83" i="6"/>
  <c r="W84" i="6"/>
  <c r="W85" i="6"/>
  <c r="W86" i="6"/>
  <c r="W87" i="6"/>
  <c r="W88" i="6"/>
  <c r="W89" i="6"/>
  <c r="W90" i="6"/>
  <c r="W91" i="6"/>
  <c r="W92" i="6"/>
  <c r="W93" i="6"/>
  <c r="W94" i="6"/>
  <c r="W95" i="6"/>
  <c r="W96" i="6"/>
  <c r="W97" i="6"/>
  <c r="W71" i="6"/>
  <c r="V72" i="6"/>
  <c r="V73" i="6"/>
  <c r="V74" i="6"/>
  <c r="V75" i="6"/>
  <c r="V76" i="6"/>
  <c r="V77" i="6"/>
  <c r="V78" i="6"/>
  <c r="V79" i="6"/>
  <c r="V80" i="6"/>
  <c r="V81" i="6"/>
  <c r="V82" i="6"/>
  <c r="V83" i="6"/>
  <c r="V84" i="6"/>
  <c r="V85" i="6"/>
  <c r="V86" i="6"/>
  <c r="V87" i="6"/>
  <c r="V88" i="6"/>
  <c r="V89" i="6"/>
  <c r="V90" i="6"/>
  <c r="V91" i="6"/>
  <c r="V92" i="6"/>
  <c r="V93" i="6"/>
  <c r="V94" i="6"/>
  <c r="V95" i="6"/>
  <c r="V96" i="6"/>
  <c r="V97" i="6"/>
  <c r="V71" i="6"/>
  <c r="U72" i="6"/>
  <c r="U73" i="6"/>
  <c r="U74" i="6"/>
  <c r="U75" i="6"/>
  <c r="U76" i="6"/>
  <c r="U77" i="6"/>
  <c r="U78" i="6"/>
  <c r="U79" i="6"/>
  <c r="U80" i="6"/>
  <c r="U81" i="6"/>
  <c r="U82" i="6"/>
  <c r="U83" i="6"/>
  <c r="U84" i="6"/>
  <c r="U85" i="6"/>
  <c r="U86" i="6"/>
  <c r="U87" i="6"/>
  <c r="U88" i="6"/>
  <c r="U89" i="6"/>
  <c r="U90" i="6"/>
  <c r="U91" i="6"/>
  <c r="U4" i="6" s="1"/>
  <c r="U92" i="6"/>
  <c r="U93" i="6"/>
  <c r="U94" i="6"/>
  <c r="U95" i="6"/>
  <c r="U96" i="6"/>
  <c r="U97" i="6"/>
  <c r="U71" i="6"/>
  <c r="T72" i="6"/>
  <c r="T73" i="6"/>
  <c r="T74" i="6"/>
  <c r="T75" i="6"/>
  <c r="T76" i="6"/>
  <c r="T77" i="6"/>
  <c r="T78" i="6"/>
  <c r="T79" i="6"/>
  <c r="T80" i="6"/>
  <c r="T81" i="6"/>
  <c r="T82" i="6"/>
  <c r="T83" i="6"/>
  <c r="T84" i="6"/>
  <c r="T85" i="6"/>
  <c r="T86" i="6"/>
  <c r="T87" i="6"/>
  <c r="T88" i="6"/>
  <c r="T89" i="6"/>
  <c r="T90" i="6"/>
  <c r="T91" i="6"/>
  <c r="T92" i="6"/>
  <c r="T93" i="6"/>
  <c r="T94" i="6"/>
  <c r="T95" i="6"/>
  <c r="T96" i="6"/>
  <c r="T97" i="6"/>
  <c r="T71" i="6"/>
  <c r="S72" i="6"/>
  <c r="S73" i="6"/>
  <c r="S74" i="6"/>
  <c r="S75" i="6"/>
  <c r="S76" i="6"/>
  <c r="S77" i="6"/>
  <c r="S78" i="6"/>
  <c r="S79" i="6"/>
  <c r="S80" i="6"/>
  <c r="S81" i="6"/>
  <c r="S82" i="6"/>
  <c r="S83" i="6"/>
  <c r="S84" i="6"/>
  <c r="S85" i="6"/>
  <c r="S86" i="6"/>
  <c r="S87" i="6"/>
  <c r="S88" i="6"/>
  <c r="S89" i="6"/>
  <c r="S90" i="6"/>
  <c r="S91" i="6"/>
  <c r="S5" i="6" s="1"/>
  <c r="S92" i="6"/>
  <c r="S93" i="6"/>
  <c r="S94" i="6"/>
  <c r="S95" i="6"/>
  <c r="S96" i="6"/>
  <c r="S97" i="6"/>
  <c r="S71" i="6"/>
  <c r="R72" i="6"/>
  <c r="R73" i="6"/>
  <c r="R74" i="6"/>
  <c r="R75" i="6"/>
  <c r="R76" i="6"/>
  <c r="R77" i="6"/>
  <c r="R78" i="6"/>
  <c r="R79" i="6"/>
  <c r="R80" i="6"/>
  <c r="R81" i="6"/>
  <c r="R82" i="6"/>
  <c r="R83" i="6"/>
  <c r="R84" i="6"/>
  <c r="R85" i="6"/>
  <c r="R86" i="6"/>
  <c r="R87" i="6"/>
  <c r="R88" i="6"/>
  <c r="R89" i="6"/>
  <c r="R90" i="6"/>
  <c r="R91" i="6"/>
  <c r="R92" i="6"/>
  <c r="R93" i="6"/>
  <c r="R94" i="6"/>
  <c r="R95" i="6"/>
  <c r="R96" i="6"/>
  <c r="R97" i="6"/>
  <c r="R71" i="6"/>
  <c r="Q72" i="6"/>
  <c r="Q73" i="6"/>
  <c r="Q74" i="6"/>
  <c r="Q75" i="6"/>
  <c r="Q76" i="6"/>
  <c r="Q77" i="6"/>
  <c r="Q78" i="6"/>
  <c r="Q79" i="6"/>
  <c r="Q80" i="6"/>
  <c r="Q81" i="6"/>
  <c r="Q82" i="6"/>
  <c r="Q83" i="6"/>
  <c r="Q84" i="6"/>
  <c r="Q85" i="6"/>
  <c r="Q86" i="6"/>
  <c r="Q87" i="6"/>
  <c r="Q88" i="6"/>
  <c r="Q89" i="6"/>
  <c r="Q90" i="6"/>
  <c r="Q91" i="6"/>
  <c r="Q92" i="6"/>
  <c r="Q93" i="6"/>
  <c r="Q94" i="6"/>
  <c r="Q95" i="6"/>
  <c r="Q96" i="6"/>
  <c r="Q97" i="6"/>
  <c r="Q71" i="6"/>
  <c r="P72" i="6"/>
  <c r="P73" i="6"/>
  <c r="P74" i="6"/>
  <c r="P75" i="6"/>
  <c r="P76" i="6"/>
  <c r="P77" i="6"/>
  <c r="P78" i="6"/>
  <c r="P79" i="6"/>
  <c r="P80" i="6"/>
  <c r="P81" i="6"/>
  <c r="P82" i="6"/>
  <c r="P83" i="6"/>
  <c r="P84" i="6"/>
  <c r="P85" i="6"/>
  <c r="P86" i="6"/>
  <c r="P87" i="6"/>
  <c r="P88" i="6"/>
  <c r="P89" i="6"/>
  <c r="P90" i="6"/>
  <c r="P91" i="6"/>
  <c r="P92" i="6"/>
  <c r="P93" i="6"/>
  <c r="P94" i="6"/>
  <c r="P95" i="6"/>
  <c r="P96" i="6"/>
  <c r="P97" i="6"/>
  <c r="P71" i="6"/>
  <c r="O72" i="6"/>
  <c r="O73" i="6"/>
  <c r="O74" i="6"/>
  <c r="O75" i="6"/>
  <c r="O76" i="6"/>
  <c r="O77" i="6"/>
  <c r="O78" i="6"/>
  <c r="O79" i="6"/>
  <c r="O80" i="6"/>
  <c r="O81" i="6"/>
  <c r="O82" i="6"/>
  <c r="O83" i="6"/>
  <c r="O84" i="6"/>
  <c r="O85" i="6"/>
  <c r="O86" i="6"/>
  <c r="O87" i="6"/>
  <c r="O88" i="6"/>
  <c r="O89" i="6"/>
  <c r="O90" i="6"/>
  <c r="O91" i="6"/>
  <c r="O92" i="6"/>
  <c r="O93" i="6"/>
  <c r="O4" i="6" s="1"/>
  <c r="O94" i="6"/>
  <c r="O95" i="6"/>
  <c r="O96" i="6"/>
  <c r="O97" i="6"/>
  <c r="O71" i="6"/>
  <c r="N72" i="6"/>
  <c r="N73" i="6"/>
  <c r="N74" i="6"/>
  <c r="N75" i="6"/>
  <c r="N76" i="6"/>
  <c r="N77" i="6"/>
  <c r="N78" i="6"/>
  <c r="N79" i="6"/>
  <c r="N80" i="6"/>
  <c r="N81" i="6"/>
  <c r="N82" i="6"/>
  <c r="N83" i="6"/>
  <c r="N84" i="6"/>
  <c r="N85" i="6"/>
  <c r="N86" i="6"/>
  <c r="N87" i="6"/>
  <c r="N88" i="6"/>
  <c r="N89" i="6"/>
  <c r="N90" i="6"/>
  <c r="N91" i="6"/>
  <c r="N4" i="6" s="1"/>
  <c r="N92" i="6"/>
  <c r="N93" i="6"/>
  <c r="N94" i="6"/>
  <c r="N95" i="6"/>
  <c r="N96" i="6"/>
  <c r="N97" i="6"/>
  <c r="N71" i="6"/>
  <c r="M72" i="6"/>
  <c r="M73" i="6"/>
  <c r="M74" i="6"/>
  <c r="M75" i="6"/>
  <c r="M76" i="6"/>
  <c r="M77" i="6"/>
  <c r="M78" i="6"/>
  <c r="M79" i="6"/>
  <c r="M80" i="6"/>
  <c r="M81" i="6"/>
  <c r="M82" i="6"/>
  <c r="M83" i="6"/>
  <c r="M84" i="6"/>
  <c r="M85" i="6"/>
  <c r="M86" i="6"/>
  <c r="M87" i="6"/>
  <c r="M88" i="6"/>
  <c r="M89" i="6"/>
  <c r="M90" i="6"/>
  <c r="M91" i="6"/>
  <c r="M4" i="6" s="1"/>
  <c r="M92" i="6"/>
  <c r="M93" i="6"/>
  <c r="M94" i="6"/>
  <c r="M95" i="6"/>
  <c r="M96" i="6"/>
  <c r="M97" i="6"/>
  <c r="M71" i="6"/>
  <c r="L72" i="6"/>
  <c r="L73" i="6"/>
  <c r="L74" i="6"/>
  <c r="L75" i="6"/>
  <c r="L76" i="6"/>
  <c r="L77" i="6"/>
  <c r="L78" i="6"/>
  <c r="L79" i="6"/>
  <c r="L80" i="6"/>
  <c r="L81" i="6"/>
  <c r="L82" i="6"/>
  <c r="L83" i="6"/>
  <c r="L84" i="6"/>
  <c r="L85" i="6"/>
  <c r="L86" i="6"/>
  <c r="L87" i="6"/>
  <c r="L88" i="6"/>
  <c r="L89" i="6"/>
  <c r="L90" i="6"/>
  <c r="L91" i="6"/>
  <c r="L92" i="6"/>
  <c r="L93" i="6"/>
  <c r="L94" i="6"/>
  <c r="L95" i="6"/>
  <c r="L96" i="6"/>
  <c r="L97" i="6"/>
  <c r="L71" i="6"/>
  <c r="K72" i="6"/>
  <c r="K73" i="6"/>
  <c r="K74" i="6"/>
  <c r="K75" i="6"/>
  <c r="K76" i="6"/>
  <c r="K77" i="6"/>
  <c r="K78" i="6"/>
  <c r="K79" i="6"/>
  <c r="K80" i="6"/>
  <c r="K81" i="6"/>
  <c r="K82" i="6"/>
  <c r="K83" i="6"/>
  <c r="K84" i="6"/>
  <c r="K85" i="6"/>
  <c r="K86" i="6"/>
  <c r="K87" i="6"/>
  <c r="K88" i="6"/>
  <c r="K89" i="6"/>
  <c r="K90" i="6"/>
  <c r="K91" i="6"/>
  <c r="K92" i="6"/>
  <c r="K93" i="6"/>
  <c r="K94" i="6"/>
  <c r="K95" i="6"/>
  <c r="K96" i="6"/>
  <c r="K97" i="6"/>
  <c r="K71" i="6"/>
  <c r="J97" i="6"/>
  <c r="J72" i="6"/>
  <c r="J73" i="6"/>
  <c r="J74" i="6"/>
  <c r="J75" i="6"/>
  <c r="J76" i="6"/>
  <c r="J77" i="6"/>
  <c r="J78" i="6"/>
  <c r="J79" i="6"/>
  <c r="J80" i="6"/>
  <c r="J81" i="6"/>
  <c r="J82" i="6"/>
  <c r="J83" i="6"/>
  <c r="J84" i="6"/>
  <c r="J85" i="6"/>
  <c r="J86" i="6"/>
  <c r="J87" i="6"/>
  <c r="J88" i="6"/>
  <c r="J89" i="6"/>
  <c r="J90" i="6"/>
  <c r="J91" i="6"/>
  <c r="J92" i="6"/>
  <c r="J93" i="6"/>
  <c r="J94" i="6"/>
  <c r="J95" i="6"/>
  <c r="J96" i="6"/>
  <c r="J71" i="6"/>
  <c r="I72" i="6"/>
  <c r="I73" i="6"/>
  <c r="I74" i="6"/>
  <c r="I75" i="6"/>
  <c r="I76" i="6"/>
  <c r="I77" i="6"/>
  <c r="I78" i="6"/>
  <c r="I79" i="6"/>
  <c r="I80" i="6"/>
  <c r="I81" i="6"/>
  <c r="I82" i="6"/>
  <c r="I83" i="6"/>
  <c r="I84" i="6"/>
  <c r="I85" i="6"/>
  <c r="I86" i="6"/>
  <c r="I87" i="6"/>
  <c r="I88" i="6"/>
  <c r="I89" i="6"/>
  <c r="I90" i="6"/>
  <c r="I91" i="6"/>
  <c r="I92" i="6"/>
  <c r="I93" i="6"/>
  <c r="I94" i="6"/>
  <c r="I95" i="6"/>
  <c r="I96" i="6"/>
  <c r="I97" i="6"/>
  <c r="I71" i="6"/>
  <c r="H72" i="6"/>
  <c r="H73" i="6"/>
  <c r="H74" i="6"/>
  <c r="H75" i="6"/>
  <c r="H76" i="6"/>
  <c r="H77" i="6"/>
  <c r="H78" i="6"/>
  <c r="H79" i="6"/>
  <c r="H80" i="6"/>
  <c r="H81" i="6"/>
  <c r="H82" i="6"/>
  <c r="H83" i="6"/>
  <c r="H84" i="6"/>
  <c r="H85" i="6"/>
  <c r="H86" i="6"/>
  <c r="H87" i="6"/>
  <c r="H88" i="6"/>
  <c r="H89" i="6"/>
  <c r="H90" i="6"/>
  <c r="H91" i="6"/>
  <c r="H92" i="6"/>
  <c r="H93" i="6"/>
  <c r="H94" i="6"/>
  <c r="H95" i="6"/>
  <c r="H96" i="6"/>
  <c r="H97" i="6"/>
  <c r="H71" i="6"/>
  <c r="G72" i="6"/>
  <c r="G73" i="6"/>
  <c r="G74" i="6"/>
  <c r="G75" i="6"/>
  <c r="G76" i="6"/>
  <c r="G77" i="6"/>
  <c r="G78" i="6"/>
  <c r="G79" i="6"/>
  <c r="G80" i="6"/>
  <c r="G81" i="6"/>
  <c r="G82" i="6"/>
  <c r="G83" i="6"/>
  <c r="G84" i="6"/>
  <c r="G85" i="6"/>
  <c r="G86" i="6"/>
  <c r="G87" i="6"/>
  <c r="G88" i="6"/>
  <c r="G89" i="6"/>
  <c r="G90" i="6"/>
  <c r="G91" i="6"/>
  <c r="G92" i="6"/>
  <c r="G93" i="6"/>
  <c r="G94" i="6"/>
  <c r="G95" i="6"/>
  <c r="G96" i="6"/>
  <c r="G97" i="6"/>
  <c r="G71" i="6"/>
  <c r="F72" i="6"/>
  <c r="F73" i="6"/>
  <c r="F74" i="6"/>
  <c r="F75" i="6"/>
  <c r="F76" i="6"/>
  <c r="F77" i="6"/>
  <c r="F78" i="6"/>
  <c r="F79" i="6"/>
  <c r="F80" i="6"/>
  <c r="F81" i="6"/>
  <c r="F82" i="6"/>
  <c r="F83" i="6"/>
  <c r="F84" i="6"/>
  <c r="F85" i="6"/>
  <c r="F86" i="6"/>
  <c r="F87" i="6"/>
  <c r="F88" i="6"/>
  <c r="F89" i="6"/>
  <c r="F90" i="6"/>
  <c r="F91" i="6"/>
  <c r="F4" i="6" s="1"/>
  <c r="F92" i="6"/>
  <c r="F93" i="6"/>
  <c r="F94" i="6"/>
  <c r="F95" i="6"/>
  <c r="F96" i="6"/>
  <c r="F97" i="6"/>
  <c r="F71" i="6"/>
  <c r="E72" i="6"/>
  <c r="E73" i="6"/>
  <c r="E74" i="6"/>
  <c r="E75" i="6"/>
  <c r="E76" i="6"/>
  <c r="E77" i="6"/>
  <c r="E78" i="6"/>
  <c r="E79" i="6"/>
  <c r="E80" i="6"/>
  <c r="E81" i="6"/>
  <c r="E82" i="6"/>
  <c r="E83" i="6"/>
  <c r="E84" i="6"/>
  <c r="E85" i="6"/>
  <c r="E86" i="6"/>
  <c r="E87" i="6"/>
  <c r="E88" i="6"/>
  <c r="E89" i="6"/>
  <c r="E90" i="6"/>
  <c r="E91" i="6"/>
  <c r="E4" i="6" s="1"/>
  <c r="E92" i="6"/>
  <c r="E93" i="6"/>
  <c r="E94" i="6"/>
  <c r="E95" i="6"/>
  <c r="E96" i="6"/>
  <c r="E97" i="6"/>
  <c r="E71" i="6"/>
  <c r="D72" i="6"/>
  <c r="D73" i="6"/>
  <c r="D74" i="6"/>
  <c r="D75" i="6"/>
  <c r="D76" i="6"/>
  <c r="D77" i="6"/>
  <c r="D78" i="6"/>
  <c r="D79" i="6"/>
  <c r="D80" i="6"/>
  <c r="D81" i="6"/>
  <c r="D82" i="6"/>
  <c r="D83" i="6"/>
  <c r="D84" i="6"/>
  <c r="D85" i="6"/>
  <c r="D86" i="6"/>
  <c r="D87" i="6"/>
  <c r="D88" i="6"/>
  <c r="D89" i="6"/>
  <c r="D90" i="6"/>
  <c r="D91" i="6"/>
  <c r="D4" i="6" s="1"/>
  <c r="D92" i="6"/>
  <c r="D93" i="6"/>
  <c r="D94" i="6"/>
  <c r="D95" i="6"/>
  <c r="D96" i="6"/>
  <c r="D97" i="6"/>
  <c r="D71" i="6"/>
  <c r="C72" i="6"/>
  <c r="C73" i="6"/>
  <c r="C74" i="6"/>
  <c r="C75" i="6"/>
  <c r="C76" i="6"/>
  <c r="C77" i="6"/>
  <c r="C78" i="6"/>
  <c r="C79" i="6"/>
  <c r="C80" i="6"/>
  <c r="C81" i="6"/>
  <c r="C82" i="6"/>
  <c r="C83" i="6"/>
  <c r="C84" i="6"/>
  <c r="C85" i="6"/>
  <c r="C86" i="6"/>
  <c r="C87" i="6"/>
  <c r="C88" i="6"/>
  <c r="C89" i="6"/>
  <c r="C90" i="6"/>
  <c r="C91" i="6"/>
  <c r="AD91" i="6" s="1"/>
  <c r="C92" i="6"/>
  <c r="C93" i="6"/>
  <c r="C94" i="6"/>
  <c r="C95" i="6"/>
  <c r="C96" i="6"/>
  <c r="C97" i="6"/>
  <c r="C71" i="6"/>
  <c r="AA72" i="5"/>
  <c r="AA73" i="5"/>
  <c r="AA74" i="5"/>
  <c r="AA75" i="5"/>
  <c r="AA76" i="5"/>
  <c r="AA77" i="5"/>
  <c r="AA78" i="5"/>
  <c r="AA79" i="5"/>
  <c r="AA80" i="5"/>
  <c r="AA81" i="5"/>
  <c r="AA82" i="5"/>
  <c r="AA83" i="5"/>
  <c r="AA84" i="5"/>
  <c r="AA85" i="5"/>
  <c r="AA86" i="5"/>
  <c r="AA87" i="5"/>
  <c r="AA88" i="5"/>
  <c r="AA89" i="5"/>
  <c r="AA90" i="5"/>
  <c r="AA6" i="5" s="1"/>
  <c r="AA91" i="5"/>
  <c r="AA92" i="5"/>
  <c r="AA93" i="5"/>
  <c r="AA94" i="5"/>
  <c r="AA95" i="5"/>
  <c r="AA96" i="5"/>
  <c r="AA97" i="5"/>
  <c r="AA98" i="5"/>
  <c r="AA71" i="5"/>
  <c r="Z72" i="5"/>
  <c r="Z73" i="5"/>
  <c r="Z74" i="5"/>
  <c r="Z75" i="5"/>
  <c r="Z76" i="5"/>
  <c r="Z77" i="5"/>
  <c r="Z78" i="5"/>
  <c r="Z79" i="5"/>
  <c r="Z80" i="5"/>
  <c r="Z81" i="5"/>
  <c r="Z82" i="5"/>
  <c r="Z83" i="5"/>
  <c r="Z84" i="5"/>
  <c r="Z85" i="5"/>
  <c r="Z86" i="5"/>
  <c r="Z87" i="5"/>
  <c r="Z88" i="5"/>
  <c r="Z89" i="5"/>
  <c r="Z90" i="5"/>
  <c r="Z4" i="5" s="1"/>
  <c r="Z91" i="5"/>
  <c r="Z92" i="5"/>
  <c r="Z93" i="5"/>
  <c r="Z94" i="5"/>
  <c r="Z95" i="5"/>
  <c r="Z96" i="5"/>
  <c r="Z97" i="5"/>
  <c r="Z98" i="5"/>
  <c r="Z6" i="5" s="1"/>
  <c r="Z7" i="5" s="1"/>
  <c r="Z71" i="5"/>
  <c r="Y72" i="5"/>
  <c r="Y73" i="5"/>
  <c r="Y74" i="5"/>
  <c r="Y75" i="5"/>
  <c r="Y76" i="5"/>
  <c r="Y77" i="5"/>
  <c r="Y78" i="5"/>
  <c r="Y79" i="5"/>
  <c r="Y80" i="5"/>
  <c r="Y81" i="5"/>
  <c r="Y82" i="5"/>
  <c r="Y83" i="5"/>
  <c r="Y84" i="5"/>
  <c r="Y85" i="5"/>
  <c r="Y86" i="5"/>
  <c r="Y87" i="5"/>
  <c r="Y88" i="5"/>
  <c r="Y89" i="5"/>
  <c r="Y90" i="5"/>
  <c r="Y91" i="5"/>
  <c r="Y4" i="5" s="1"/>
  <c r="Y92" i="5"/>
  <c r="Y93" i="5"/>
  <c r="Y94" i="5"/>
  <c r="Y95" i="5"/>
  <c r="Y96" i="5"/>
  <c r="Y97" i="5"/>
  <c r="Y98" i="5"/>
  <c r="Y71" i="5"/>
  <c r="X77" i="5"/>
  <c r="X78" i="5"/>
  <c r="X79" i="5"/>
  <c r="X80" i="5"/>
  <c r="X81" i="5"/>
  <c r="X82" i="5"/>
  <c r="X83" i="5"/>
  <c r="X84" i="5"/>
  <c r="X85" i="5"/>
  <c r="X86" i="5"/>
  <c r="X87" i="5"/>
  <c r="X88" i="5"/>
  <c r="X89" i="5"/>
  <c r="X90" i="5"/>
  <c r="X5" i="5" s="1"/>
  <c r="X91" i="5"/>
  <c r="X92" i="5"/>
  <c r="X93" i="5"/>
  <c r="X94" i="5"/>
  <c r="X95" i="5"/>
  <c r="X96" i="5"/>
  <c r="X97" i="5"/>
  <c r="X98" i="5"/>
  <c r="X72" i="5"/>
  <c r="X73" i="5"/>
  <c r="X74" i="5"/>
  <c r="X75" i="5"/>
  <c r="X76" i="5"/>
  <c r="X71" i="5"/>
  <c r="W72" i="5"/>
  <c r="W73" i="5"/>
  <c r="W74" i="5"/>
  <c r="W75" i="5"/>
  <c r="W76" i="5"/>
  <c r="W77" i="5"/>
  <c r="W78" i="5"/>
  <c r="W79" i="5"/>
  <c r="W80" i="5"/>
  <c r="W81" i="5"/>
  <c r="W82" i="5"/>
  <c r="W83" i="5"/>
  <c r="W84" i="5"/>
  <c r="W85" i="5"/>
  <c r="W86" i="5"/>
  <c r="W87" i="5"/>
  <c r="W88" i="5"/>
  <c r="W89" i="5"/>
  <c r="W90" i="5"/>
  <c r="W91" i="5"/>
  <c r="W4" i="5" s="1"/>
  <c r="W92" i="5"/>
  <c r="W93" i="5"/>
  <c r="W94" i="5"/>
  <c r="W95" i="5"/>
  <c r="W96" i="5"/>
  <c r="W97" i="5"/>
  <c r="W98" i="5"/>
  <c r="W71" i="5"/>
  <c r="V72" i="5"/>
  <c r="V73" i="5"/>
  <c r="V74" i="5"/>
  <c r="V75" i="5"/>
  <c r="V76" i="5"/>
  <c r="V77" i="5"/>
  <c r="V78" i="5"/>
  <c r="V79" i="5"/>
  <c r="V80" i="5"/>
  <c r="V81" i="5"/>
  <c r="V82" i="5"/>
  <c r="V83" i="5"/>
  <c r="V84" i="5"/>
  <c r="V85" i="5"/>
  <c r="V86" i="5"/>
  <c r="V87" i="5"/>
  <c r="V88" i="5"/>
  <c r="V89" i="5"/>
  <c r="V90" i="5"/>
  <c r="V91" i="5"/>
  <c r="V6" i="5" s="1"/>
  <c r="V92" i="5"/>
  <c r="V93" i="5"/>
  <c r="V94" i="5"/>
  <c r="V95" i="5"/>
  <c r="V96" i="5"/>
  <c r="V97" i="5"/>
  <c r="V98" i="5"/>
  <c r="V71" i="5"/>
  <c r="U80" i="5"/>
  <c r="U81" i="5"/>
  <c r="U82" i="5"/>
  <c r="U83" i="5"/>
  <c r="U84" i="5"/>
  <c r="U85" i="5"/>
  <c r="U86" i="5"/>
  <c r="U87" i="5"/>
  <c r="U88" i="5"/>
  <c r="U89" i="5"/>
  <c r="U90" i="5"/>
  <c r="U91" i="5"/>
  <c r="U4" i="5" s="1"/>
  <c r="U92" i="5"/>
  <c r="U93" i="5"/>
  <c r="U94" i="5"/>
  <c r="U95" i="5"/>
  <c r="U96" i="5"/>
  <c r="U97" i="5"/>
  <c r="U98" i="5"/>
  <c r="U72" i="5"/>
  <c r="U73" i="5"/>
  <c r="U74" i="5"/>
  <c r="U75" i="5"/>
  <c r="U76" i="5"/>
  <c r="U77" i="5"/>
  <c r="U78" i="5"/>
  <c r="U79" i="5"/>
  <c r="U71" i="5"/>
  <c r="T72" i="5"/>
  <c r="T73" i="5"/>
  <c r="T74" i="5"/>
  <c r="T75" i="5"/>
  <c r="T76" i="5"/>
  <c r="T77" i="5"/>
  <c r="T78" i="5"/>
  <c r="T79" i="5"/>
  <c r="T80" i="5"/>
  <c r="T81" i="5"/>
  <c r="T82" i="5"/>
  <c r="T83" i="5"/>
  <c r="T84" i="5"/>
  <c r="T85" i="5"/>
  <c r="T86" i="5"/>
  <c r="T87" i="5"/>
  <c r="T88" i="5"/>
  <c r="T89" i="5"/>
  <c r="T90" i="5"/>
  <c r="T91" i="5"/>
  <c r="T6" i="5" s="1"/>
  <c r="T7" i="5" s="1"/>
  <c r="T92" i="5"/>
  <c r="T93" i="5"/>
  <c r="T94" i="5"/>
  <c r="T95" i="5"/>
  <c r="T96" i="5"/>
  <c r="T97" i="5"/>
  <c r="T98" i="5"/>
  <c r="T71" i="5"/>
  <c r="S80" i="5"/>
  <c r="S81" i="5"/>
  <c r="S82" i="5"/>
  <c r="S83" i="5"/>
  <c r="S84" i="5"/>
  <c r="S85" i="5"/>
  <c r="S86" i="5"/>
  <c r="S87" i="5"/>
  <c r="S88" i="5"/>
  <c r="S89" i="5"/>
  <c r="S90" i="5"/>
  <c r="S91" i="5"/>
  <c r="S4" i="5" s="1"/>
  <c r="S92" i="5"/>
  <c r="S93" i="5"/>
  <c r="S94" i="5"/>
  <c r="S95" i="5"/>
  <c r="S5" i="5" s="1"/>
  <c r="S96" i="5"/>
  <c r="S97" i="5"/>
  <c r="S98" i="5"/>
  <c r="S72" i="5"/>
  <c r="S73" i="5"/>
  <c r="S74" i="5"/>
  <c r="S75" i="5"/>
  <c r="S76" i="5"/>
  <c r="S77" i="5"/>
  <c r="S78" i="5"/>
  <c r="S79" i="5"/>
  <c r="S71" i="5"/>
  <c r="R72" i="5"/>
  <c r="R73" i="5"/>
  <c r="R74" i="5"/>
  <c r="R75" i="5"/>
  <c r="R76" i="5"/>
  <c r="R77" i="5"/>
  <c r="R78" i="5"/>
  <c r="R79" i="5"/>
  <c r="R80" i="5"/>
  <c r="R81" i="5"/>
  <c r="R82" i="5"/>
  <c r="R83" i="5"/>
  <c r="R84" i="5"/>
  <c r="R85" i="5"/>
  <c r="R86" i="5"/>
  <c r="R87" i="5"/>
  <c r="R88" i="5"/>
  <c r="R89" i="5"/>
  <c r="R90" i="5"/>
  <c r="R91" i="5"/>
  <c r="R92" i="5"/>
  <c r="R93" i="5"/>
  <c r="R94" i="5"/>
  <c r="R95" i="5"/>
  <c r="R6" i="5" s="1"/>
  <c r="R96" i="5"/>
  <c r="R97" i="5"/>
  <c r="R98" i="5"/>
  <c r="R71" i="5"/>
  <c r="Q77" i="5"/>
  <c r="Q78" i="5"/>
  <c r="Q79" i="5"/>
  <c r="Q80" i="5"/>
  <c r="Q81" i="5"/>
  <c r="Q82" i="5"/>
  <c r="Q83" i="5"/>
  <c r="Q84" i="5"/>
  <c r="Q85" i="5"/>
  <c r="Q86" i="5"/>
  <c r="Q87" i="5"/>
  <c r="Q88" i="5"/>
  <c r="Q89" i="5"/>
  <c r="Q90" i="5"/>
  <c r="Q91" i="5"/>
  <c r="Q92" i="5"/>
  <c r="Q5" i="5" s="1"/>
  <c r="Q93" i="5"/>
  <c r="Q94" i="5"/>
  <c r="Q95" i="5"/>
  <c r="Q96" i="5"/>
  <c r="Q97" i="5"/>
  <c r="Q98" i="5"/>
  <c r="Q72" i="5"/>
  <c r="Q73" i="5"/>
  <c r="Q74" i="5"/>
  <c r="Q75" i="5"/>
  <c r="Q76" i="5"/>
  <c r="Q71" i="5"/>
  <c r="P72" i="5"/>
  <c r="P73" i="5"/>
  <c r="P74" i="5"/>
  <c r="P75" i="5"/>
  <c r="P76" i="5"/>
  <c r="P77" i="5"/>
  <c r="P78" i="5"/>
  <c r="P79" i="5"/>
  <c r="P80" i="5"/>
  <c r="P81" i="5"/>
  <c r="P82" i="5"/>
  <c r="P83" i="5"/>
  <c r="P84" i="5"/>
  <c r="P85" i="5"/>
  <c r="P86" i="5"/>
  <c r="P87" i="5"/>
  <c r="P88" i="5"/>
  <c r="P89" i="5"/>
  <c r="P90" i="5"/>
  <c r="P91" i="5"/>
  <c r="P5" i="5" s="1"/>
  <c r="P92" i="5"/>
  <c r="P93" i="5"/>
  <c r="P94" i="5"/>
  <c r="P8" i="5" s="1"/>
  <c r="P95" i="5"/>
  <c r="P96" i="5"/>
  <c r="P97" i="5"/>
  <c r="P98" i="5"/>
  <c r="P71" i="5"/>
  <c r="O72" i="5"/>
  <c r="O73" i="5"/>
  <c r="O74" i="5"/>
  <c r="O75" i="5"/>
  <c r="O76" i="5"/>
  <c r="O77" i="5"/>
  <c r="O78" i="5"/>
  <c r="O79" i="5"/>
  <c r="O80" i="5"/>
  <c r="O81" i="5"/>
  <c r="O82" i="5"/>
  <c r="O83" i="5"/>
  <c r="O84" i="5"/>
  <c r="O85" i="5"/>
  <c r="O86" i="5"/>
  <c r="O87" i="5"/>
  <c r="O88" i="5"/>
  <c r="O89" i="5"/>
  <c r="O90" i="5"/>
  <c r="O91" i="5"/>
  <c r="O92" i="5"/>
  <c r="O6" i="5" s="1"/>
  <c r="O93" i="5"/>
  <c r="O94" i="5"/>
  <c r="O95" i="5"/>
  <c r="O96" i="5"/>
  <c r="O97" i="5"/>
  <c r="O98" i="5"/>
  <c r="O71" i="5"/>
  <c r="N80" i="5"/>
  <c r="N81" i="5"/>
  <c r="N82" i="5"/>
  <c r="N83" i="5"/>
  <c r="N84" i="5"/>
  <c r="N85" i="5"/>
  <c r="N86" i="5"/>
  <c r="N87" i="5"/>
  <c r="N88" i="5"/>
  <c r="N89" i="5"/>
  <c r="N90" i="5"/>
  <c r="N91" i="5"/>
  <c r="N6" i="5" s="1"/>
  <c r="N7" i="5" s="1"/>
  <c r="N92" i="5"/>
  <c r="N93" i="5"/>
  <c r="N94" i="5"/>
  <c r="N95" i="5"/>
  <c r="N96" i="5"/>
  <c r="N97" i="5"/>
  <c r="N98" i="5"/>
  <c r="N72" i="5"/>
  <c r="N73" i="5"/>
  <c r="N74" i="5"/>
  <c r="N75" i="5"/>
  <c r="N76" i="5"/>
  <c r="N77" i="5"/>
  <c r="N78" i="5"/>
  <c r="N79" i="5"/>
  <c r="N71" i="5"/>
  <c r="M81" i="5"/>
  <c r="M82" i="5"/>
  <c r="M83" i="5"/>
  <c r="M84" i="5"/>
  <c r="M85" i="5"/>
  <c r="M86" i="5"/>
  <c r="M87" i="5"/>
  <c r="M88" i="5"/>
  <c r="M89" i="5"/>
  <c r="M90" i="5"/>
  <c r="M91" i="5"/>
  <c r="M92" i="5"/>
  <c r="M93" i="5"/>
  <c r="M94" i="5"/>
  <c r="M95" i="5"/>
  <c r="M96" i="5"/>
  <c r="M97" i="5"/>
  <c r="M98" i="5"/>
  <c r="M72" i="5"/>
  <c r="M73" i="5"/>
  <c r="M74" i="5"/>
  <c r="M75" i="5"/>
  <c r="M76" i="5"/>
  <c r="M77" i="5"/>
  <c r="M78" i="5"/>
  <c r="M79" i="5"/>
  <c r="M80" i="5"/>
  <c r="M71" i="5"/>
  <c r="L72" i="5"/>
  <c r="L73" i="5"/>
  <c r="L74" i="5"/>
  <c r="L75" i="5"/>
  <c r="L76" i="5"/>
  <c r="L77" i="5"/>
  <c r="L78" i="5"/>
  <c r="L79" i="5"/>
  <c r="L80" i="5"/>
  <c r="L81" i="5"/>
  <c r="L82" i="5"/>
  <c r="L83" i="5"/>
  <c r="L84" i="5"/>
  <c r="L85" i="5"/>
  <c r="L86" i="5"/>
  <c r="L87" i="5"/>
  <c r="L88" i="5"/>
  <c r="L89" i="5"/>
  <c r="L90" i="5"/>
  <c r="L91" i="5"/>
  <c r="L92" i="5"/>
  <c r="L4" i="5" s="1"/>
  <c r="L93" i="5"/>
  <c r="L94" i="5"/>
  <c r="L95" i="5"/>
  <c r="L96" i="5"/>
  <c r="L97" i="5"/>
  <c r="L98" i="5"/>
  <c r="L71" i="5"/>
  <c r="K72" i="5"/>
  <c r="K73" i="5"/>
  <c r="K74" i="5"/>
  <c r="K75" i="5"/>
  <c r="K76" i="5"/>
  <c r="K77" i="5"/>
  <c r="K78" i="5"/>
  <c r="K79" i="5"/>
  <c r="K80" i="5"/>
  <c r="K81" i="5"/>
  <c r="K82" i="5"/>
  <c r="K83" i="5"/>
  <c r="K84" i="5"/>
  <c r="K85" i="5"/>
  <c r="K86" i="5"/>
  <c r="K87" i="5"/>
  <c r="K88" i="5"/>
  <c r="K89" i="5"/>
  <c r="K90" i="5"/>
  <c r="K91" i="5"/>
  <c r="K4" i="5" s="1"/>
  <c r="K92" i="5"/>
  <c r="K93" i="5"/>
  <c r="K94" i="5"/>
  <c r="K95" i="5"/>
  <c r="K96" i="5"/>
  <c r="K97" i="5"/>
  <c r="K98" i="5"/>
  <c r="K71" i="5"/>
  <c r="J72" i="5"/>
  <c r="J73" i="5"/>
  <c r="J74" i="5"/>
  <c r="J75" i="5"/>
  <c r="J76" i="5"/>
  <c r="J77" i="5"/>
  <c r="J78" i="5"/>
  <c r="J79" i="5"/>
  <c r="J80" i="5"/>
  <c r="J81" i="5"/>
  <c r="J82" i="5"/>
  <c r="J83" i="5"/>
  <c r="J84" i="5"/>
  <c r="J85" i="5"/>
  <c r="J86" i="5"/>
  <c r="J87" i="5"/>
  <c r="J88" i="5"/>
  <c r="J89" i="5"/>
  <c r="J90" i="5"/>
  <c r="J91" i="5"/>
  <c r="J4" i="5" s="1"/>
  <c r="J92" i="5"/>
  <c r="J93" i="5"/>
  <c r="J94" i="5"/>
  <c r="J95" i="5"/>
  <c r="J5" i="5" s="1"/>
  <c r="J96" i="5"/>
  <c r="J97" i="5"/>
  <c r="J98" i="5"/>
  <c r="J71" i="5"/>
  <c r="I80" i="5"/>
  <c r="I81" i="5"/>
  <c r="I82" i="5"/>
  <c r="I83" i="5"/>
  <c r="I84" i="5"/>
  <c r="I85" i="5"/>
  <c r="I86" i="5"/>
  <c r="I87" i="5"/>
  <c r="I88" i="5"/>
  <c r="I89" i="5"/>
  <c r="I90" i="5"/>
  <c r="I91" i="5"/>
  <c r="I5" i="5" s="1"/>
  <c r="I92" i="5"/>
  <c r="I93" i="5"/>
  <c r="I94" i="5"/>
  <c r="I95" i="5"/>
  <c r="I6" i="5" s="1"/>
  <c r="I96" i="5"/>
  <c r="I97" i="5"/>
  <c r="I98" i="5"/>
  <c r="I72" i="5"/>
  <c r="I73" i="5"/>
  <c r="I74" i="5"/>
  <c r="I75" i="5"/>
  <c r="I76" i="5"/>
  <c r="I77" i="5"/>
  <c r="I78" i="5"/>
  <c r="I79" i="5"/>
  <c r="AD79" i="5" s="1"/>
  <c r="I71" i="5"/>
  <c r="H81" i="5"/>
  <c r="H82" i="5"/>
  <c r="H83" i="5"/>
  <c r="H84" i="5"/>
  <c r="H85" i="5"/>
  <c r="H86" i="5"/>
  <c r="H87" i="5"/>
  <c r="H88" i="5"/>
  <c r="H89" i="5"/>
  <c r="H90" i="5"/>
  <c r="H91" i="5"/>
  <c r="H92" i="5"/>
  <c r="H4" i="5" s="1"/>
  <c r="H93" i="5"/>
  <c r="H94" i="5"/>
  <c r="H95" i="5"/>
  <c r="H96" i="5"/>
  <c r="H97" i="5"/>
  <c r="H98" i="5"/>
  <c r="H72" i="5"/>
  <c r="H73" i="5"/>
  <c r="H74" i="5"/>
  <c r="H75" i="5"/>
  <c r="H76" i="5"/>
  <c r="H77" i="5"/>
  <c r="H78" i="5"/>
  <c r="H79" i="5"/>
  <c r="H80" i="5"/>
  <c r="H71" i="5"/>
  <c r="G76" i="5"/>
  <c r="G77" i="5"/>
  <c r="G78" i="5"/>
  <c r="G79" i="5"/>
  <c r="G80" i="5"/>
  <c r="G81" i="5"/>
  <c r="G82" i="5"/>
  <c r="G83" i="5"/>
  <c r="G84" i="5"/>
  <c r="G85" i="5"/>
  <c r="G86" i="5"/>
  <c r="G87" i="5"/>
  <c r="G88" i="5"/>
  <c r="G89" i="5"/>
  <c r="G90" i="5"/>
  <c r="G91" i="5"/>
  <c r="G5" i="5" s="1"/>
  <c r="G92" i="5"/>
  <c r="G93" i="5"/>
  <c r="G94" i="5"/>
  <c r="G95" i="5"/>
  <c r="G96" i="5"/>
  <c r="G97" i="5"/>
  <c r="G98" i="5"/>
  <c r="G72" i="5"/>
  <c r="G73" i="5"/>
  <c r="G74" i="5"/>
  <c r="G75" i="5"/>
  <c r="G71" i="5"/>
  <c r="F76" i="5"/>
  <c r="F77" i="5"/>
  <c r="F78" i="5"/>
  <c r="F79" i="5"/>
  <c r="F80" i="5"/>
  <c r="F81" i="5"/>
  <c r="F82" i="5"/>
  <c r="F83" i="5"/>
  <c r="F84" i="5"/>
  <c r="F85" i="5"/>
  <c r="F86" i="5"/>
  <c r="F87" i="5"/>
  <c r="F88" i="5"/>
  <c r="F89" i="5"/>
  <c r="F90" i="5"/>
  <c r="F4" i="5" s="1"/>
  <c r="F91" i="5"/>
  <c r="F5" i="5" s="1"/>
  <c r="F92" i="5"/>
  <c r="F93" i="5"/>
  <c r="F94" i="5"/>
  <c r="F95" i="5"/>
  <c r="F96" i="5"/>
  <c r="F97" i="5"/>
  <c r="F98" i="5"/>
  <c r="F72" i="5"/>
  <c r="F73" i="5"/>
  <c r="F74" i="5"/>
  <c r="F75" i="5"/>
  <c r="F71" i="5"/>
  <c r="E79" i="5"/>
  <c r="E80" i="5"/>
  <c r="E81" i="5"/>
  <c r="E82" i="5"/>
  <c r="E83" i="5"/>
  <c r="AE83" i="5" s="1"/>
  <c r="E84" i="5"/>
  <c r="E85" i="5"/>
  <c r="E86" i="5"/>
  <c r="E87" i="5"/>
  <c r="E88" i="5"/>
  <c r="E89" i="5"/>
  <c r="E90" i="5"/>
  <c r="E6" i="5" s="1"/>
  <c r="E7" i="5" s="1"/>
  <c r="E91" i="5"/>
  <c r="E92" i="5"/>
  <c r="E93" i="5"/>
  <c r="E94" i="5"/>
  <c r="E5" i="5" s="1"/>
  <c r="E95" i="5"/>
  <c r="E96" i="5"/>
  <c r="E97" i="5"/>
  <c r="E98" i="5"/>
  <c r="AE98" i="5" s="1"/>
  <c r="E72" i="5"/>
  <c r="E73" i="5"/>
  <c r="E74" i="5"/>
  <c r="E75" i="5"/>
  <c r="E76" i="5"/>
  <c r="E77" i="5"/>
  <c r="E78" i="5"/>
  <c r="E71" i="5"/>
  <c r="D75" i="5"/>
  <c r="D76" i="5"/>
  <c r="D77" i="5"/>
  <c r="D78" i="5"/>
  <c r="D79" i="5"/>
  <c r="D80" i="5"/>
  <c r="D81" i="5"/>
  <c r="D82" i="5"/>
  <c r="D83" i="5"/>
  <c r="D84" i="5"/>
  <c r="D85" i="5"/>
  <c r="D86" i="5"/>
  <c r="D87" i="5"/>
  <c r="D88" i="5"/>
  <c r="D89" i="5"/>
  <c r="D90" i="5"/>
  <c r="D4" i="5" s="1"/>
  <c r="D91" i="5"/>
  <c r="D92" i="5"/>
  <c r="D93" i="5"/>
  <c r="D94" i="5"/>
  <c r="D95" i="5"/>
  <c r="D96" i="5"/>
  <c r="D97" i="5"/>
  <c r="D98" i="5"/>
  <c r="D72" i="5"/>
  <c r="D73" i="5"/>
  <c r="D74" i="5"/>
  <c r="D71" i="5"/>
  <c r="C73" i="5"/>
  <c r="C74" i="5"/>
  <c r="C75" i="5"/>
  <c r="C76" i="5"/>
  <c r="C77" i="5"/>
  <c r="C78" i="5"/>
  <c r="C79" i="5"/>
  <c r="C80" i="5"/>
  <c r="C81" i="5"/>
  <c r="C82" i="5"/>
  <c r="C83" i="5"/>
  <c r="C84" i="5"/>
  <c r="C85" i="5"/>
  <c r="C86" i="5"/>
  <c r="C87" i="5"/>
  <c r="C88" i="5"/>
  <c r="C89" i="5"/>
  <c r="C90" i="5"/>
  <c r="C91" i="5"/>
  <c r="C92" i="5"/>
  <c r="C4" i="5" s="1"/>
  <c r="C93" i="5"/>
  <c r="C94" i="5"/>
  <c r="C95" i="5"/>
  <c r="C96" i="5"/>
  <c r="C6" i="5" s="1"/>
  <c r="C7" i="5" s="1"/>
  <c r="C97" i="5"/>
  <c r="C98" i="5"/>
  <c r="C72" i="5"/>
  <c r="C71" i="5"/>
  <c r="G4" i="5"/>
  <c r="M4" i="5"/>
  <c r="O4" i="5"/>
  <c r="Q4" i="5"/>
  <c r="T4" i="5"/>
  <c r="V4" i="5"/>
  <c r="AA4" i="5"/>
  <c r="M5" i="5"/>
  <c r="R5" i="5"/>
  <c r="T5" i="5"/>
  <c r="U5" i="5"/>
  <c r="V5" i="5"/>
  <c r="W5" i="5"/>
  <c r="Y5" i="5"/>
  <c r="AA5" i="5"/>
  <c r="M6" i="5"/>
  <c r="Q6" i="5"/>
  <c r="U6" i="5"/>
  <c r="W6" i="5"/>
  <c r="W7" i="5" s="1"/>
  <c r="B300" i="10"/>
  <c r="D300" i="10" s="1"/>
  <c r="B299" i="10"/>
  <c r="C300" i="10" s="1"/>
  <c r="B298" i="10"/>
  <c r="C299" i="10" s="1"/>
  <c r="B297" i="10"/>
  <c r="D297" i="10" s="1"/>
  <c r="C296" i="10"/>
  <c r="B296" i="10"/>
  <c r="C297" i="10" s="1"/>
  <c r="D295" i="10"/>
  <c r="B295" i="10"/>
  <c r="B294" i="10"/>
  <c r="C295" i="10" s="1"/>
  <c r="B293" i="10"/>
  <c r="C294" i="10" s="1"/>
  <c r="B292" i="10"/>
  <c r="D292" i="10" s="1"/>
  <c r="B291" i="10"/>
  <c r="C292" i="10" s="1"/>
  <c r="D290" i="10"/>
  <c r="C290" i="10"/>
  <c r="B290" i="10"/>
  <c r="B289" i="10"/>
  <c r="D289" i="10" s="1"/>
  <c r="C288" i="10"/>
  <c r="B288" i="10"/>
  <c r="C289" i="10" s="1"/>
  <c r="D287" i="10"/>
  <c r="B287" i="10"/>
  <c r="B286" i="10"/>
  <c r="C287" i="10" s="1"/>
  <c r="B285" i="10"/>
  <c r="B284" i="10"/>
  <c r="D284" i="10" s="1"/>
  <c r="B283" i="10"/>
  <c r="C284" i="10" s="1"/>
  <c r="D282" i="10"/>
  <c r="C282" i="10"/>
  <c r="B282" i="10"/>
  <c r="B281" i="10"/>
  <c r="D281" i="10" s="1"/>
  <c r="C280" i="10"/>
  <c r="B280" i="10"/>
  <c r="C281" i="10" s="1"/>
  <c r="D279" i="10"/>
  <c r="B279" i="10"/>
  <c r="B278" i="10"/>
  <c r="C279" i="10" s="1"/>
  <c r="B277" i="10"/>
  <c r="B276" i="10"/>
  <c r="D276" i="10" s="1"/>
  <c r="B275" i="10"/>
  <c r="C276" i="10" s="1"/>
  <c r="D274" i="10"/>
  <c r="C274" i="10"/>
  <c r="B274" i="10"/>
  <c r="B273" i="10"/>
  <c r="D273" i="10" s="1"/>
  <c r="B272" i="10"/>
  <c r="C273" i="10" s="1"/>
  <c r="D271" i="10"/>
  <c r="B271" i="10"/>
  <c r="B270" i="10"/>
  <c r="C271" i="10" s="1"/>
  <c r="B269" i="10"/>
  <c r="B268" i="10"/>
  <c r="D268" i="10" s="1"/>
  <c r="B267" i="10"/>
  <c r="C268" i="10" s="1"/>
  <c r="D266" i="10"/>
  <c r="C266" i="10"/>
  <c r="B266" i="10"/>
  <c r="B265" i="10"/>
  <c r="D265" i="10" s="1"/>
  <c r="B264" i="10"/>
  <c r="C265" i="10" s="1"/>
  <c r="D263" i="10"/>
  <c r="B263" i="10"/>
  <c r="B262" i="10"/>
  <c r="C263" i="10" s="1"/>
  <c r="B261" i="10"/>
  <c r="B260" i="10"/>
  <c r="D260" i="10" s="1"/>
  <c r="B259" i="10"/>
  <c r="C260" i="10" s="1"/>
  <c r="D258" i="10"/>
  <c r="C258" i="10"/>
  <c r="B258" i="10"/>
  <c r="B257" i="10"/>
  <c r="D257" i="10" s="1"/>
  <c r="B256" i="10"/>
  <c r="C257" i="10" s="1"/>
  <c r="D255" i="10"/>
  <c r="B255" i="10"/>
  <c r="B254" i="10"/>
  <c r="C255" i="10" s="1"/>
  <c r="B253" i="10"/>
  <c r="B252" i="10"/>
  <c r="D252" i="10" s="1"/>
  <c r="B251" i="10"/>
  <c r="C252" i="10" s="1"/>
  <c r="D250" i="10"/>
  <c r="C250" i="10"/>
  <c r="B250" i="10"/>
  <c r="B249" i="10"/>
  <c r="D249" i="10" s="1"/>
  <c r="B248" i="10"/>
  <c r="C249" i="10" s="1"/>
  <c r="D247" i="10"/>
  <c r="B247" i="10"/>
  <c r="B246" i="10"/>
  <c r="C247" i="10" s="1"/>
  <c r="B245" i="10"/>
  <c r="B244" i="10"/>
  <c r="D244" i="10" s="1"/>
  <c r="B243" i="10"/>
  <c r="C244" i="10" s="1"/>
  <c r="D242" i="10"/>
  <c r="C242" i="10"/>
  <c r="B242" i="10"/>
  <c r="B241" i="10"/>
  <c r="D241" i="10" s="1"/>
  <c r="C240" i="10"/>
  <c r="B240" i="10"/>
  <c r="C241" i="10" s="1"/>
  <c r="D239" i="10"/>
  <c r="B239" i="10"/>
  <c r="B238" i="10"/>
  <c r="C239" i="10" s="1"/>
  <c r="D237" i="10"/>
  <c r="C237" i="10"/>
  <c r="B237" i="10"/>
  <c r="C238" i="10" s="1"/>
  <c r="B236" i="10"/>
  <c r="D236" i="10" s="1"/>
  <c r="C235" i="10"/>
  <c r="B235" i="10"/>
  <c r="D234" i="10"/>
  <c r="C234" i="10"/>
  <c r="B234" i="10"/>
  <c r="B233" i="10"/>
  <c r="D233" i="10" s="1"/>
  <c r="B232" i="10"/>
  <c r="C233" i="10" s="1"/>
  <c r="D231" i="10"/>
  <c r="B231" i="10"/>
  <c r="B230" i="10"/>
  <c r="B229" i="10"/>
  <c r="C230" i="10" s="1"/>
  <c r="B228" i="10"/>
  <c r="D228" i="10" s="1"/>
  <c r="C227" i="10"/>
  <c r="B227" i="10"/>
  <c r="D226" i="10"/>
  <c r="C226" i="10"/>
  <c r="B226" i="10"/>
  <c r="B225" i="10"/>
  <c r="D225" i="10" s="1"/>
  <c r="B224" i="10"/>
  <c r="C225" i="10" s="1"/>
  <c r="D223" i="10"/>
  <c r="B223" i="10"/>
  <c r="B222" i="10"/>
  <c r="B221" i="10"/>
  <c r="C222" i="10" s="1"/>
  <c r="B220" i="10"/>
  <c r="D220" i="10" s="1"/>
  <c r="C219" i="10"/>
  <c r="B219" i="10"/>
  <c r="D218" i="10"/>
  <c r="C218" i="10"/>
  <c r="B218" i="10"/>
  <c r="B217" i="10"/>
  <c r="D217" i="10" s="1"/>
  <c r="B216" i="10"/>
  <c r="D215" i="10"/>
  <c r="B215" i="10"/>
  <c r="B214" i="10"/>
  <c r="B213" i="10"/>
  <c r="C214" i="10" s="1"/>
  <c r="B212" i="10"/>
  <c r="D212" i="10" s="1"/>
  <c r="C211" i="10"/>
  <c r="B211" i="10"/>
  <c r="D210" i="10"/>
  <c r="C210" i="10"/>
  <c r="B210" i="10"/>
  <c r="B209" i="10"/>
  <c r="D209" i="10" s="1"/>
  <c r="B208" i="10"/>
  <c r="D207" i="10"/>
  <c r="B207" i="10"/>
  <c r="B206" i="10"/>
  <c r="B205" i="10"/>
  <c r="C206" i="10" s="1"/>
  <c r="B204" i="10"/>
  <c r="D204" i="10" s="1"/>
  <c r="B203" i="10"/>
  <c r="D202" i="10"/>
  <c r="C202" i="10"/>
  <c r="B202" i="10"/>
  <c r="B201" i="10"/>
  <c r="D201" i="10" s="1"/>
  <c r="B200" i="10"/>
  <c r="D199" i="10"/>
  <c r="B199" i="10"/>
  <c r="B198" i="10"/>
  <c r="B197" i="10"/>
  <c r="C198" i="10" s="1"/>
  <c r="B196" i="10"/>
  <c r="D196" i="10" s="1"/>
  <c r="C195" i="10"/>
  <c r="B195" i="10"/>
  <c r="D194" i="10"/>
  <c r="C194" i="10"/>
  <c r="B194" i="10"/>
  <c r="B193" i="10"/>
  <c r="D193" i="10" s="1"/>
  <c r="B192" i="10"/>
  <c r="D191" i="10"/>
  <c r="B191" i="10"/>
  <c r="B190" i="10"/>
  <c r="B189" i="10"/>
  <c r="C190" i="10" s="1"/>
  <c r="B188" i="10"/>
  <c r="D188" i="10" s="1"/>
  <c r="B187" i="10"/>
  <c r="D186" i="10"/>
  <c r="C186" i="10"/>
  <c r="B186" i="10"/>
  <c r="B185" i="10"/>
  <c r="D185" i="10" s="1"/>
  <c r="B184" i="10"/>
  <c r="D183" i="10"/>
  <c r="B183" i="10"/>
  <c r="B182" i="10"/>
  <c r="B181" i="10"/>
  <c r="C182" i="10" s="1"/>
  <c r="B180" i="10"/>
  <c r="D180" i="10" s="1"/>
  <c r="B179" i="10"/>
  <c r="D178" i="10"/>
  <c r="C178" i="10"/>
  <c r="B178" i="10"/>
  <c r="B177" i="10"/>
  <c r="D177" i="10" s="1"/>
  <c r="C176" i="10"/>
  <c r="B176" i="10"/>
  <c r="D175" i="10"/>
  <c r="B175" i="10"/>
  <c r="B174" i="10"/>
  <c r="B173" i="10"/>
  <c r="C174" i="10" s="1"/>
  <c r="B172" i="10"/>
  <c r="D172" i="10" s="1"/>
  <c r="B171" i="10"/>
  <c r="D170" i="10"/>
  <c r="C170" i="10"/>
  <c r="B170" i="10"/>
  <c r="B169" i="10"/>
  <c r="D169" i="10" s="1"/>
  <c r="B168" i="10"/>
  <c r="D167" i="10"/>
  <c r="B167" i="10"/>
  <c r="B166" i="10"/>
  <c r="B165" i="10"/>
  <c r="C166" i="10" s="1"/>
  <c r="B164" i="10"/>
  <c r="D164" i="10" s="1"/>
  <c r="C163" i="10"/>
  <c r="B163" i="10"/>
  <c r="D162" i="10"/>
  <c r="C162" i="10"/>
  <c r="B162" i="10"/>
  <c r="B161" i="10"/>
  <c r="D161" i="10" s="1"/>
  <c r="B160" i="10"/>
  <c r="D159" i="10"/>
  <c r="B159" i="10"/>
  <c r="B158" i="10"/>
  <c r="B157" i="10"/>
  <c r="C158" i="10" s="1"/>
  <c r="B156" i="10"/>
  <c r="D156" i="10" s="1"/>
  <c r="B155" i="10"/>
  <c r="D154" i="10"/>
  <c r="C154" i="10"/>
  <c r="B154" i="10"/>
  <c r="B153" i="10"/>
  <c r="D153" i="10" s="1"/>
  <c r="D152" i="10"/>
  <c r="C152" i="10"/>
  <c r="B152" i="10"/>
  <c r="C153" i="10" s="1"/>
  <c r="D151" i="10"/>
  <c r="B151" i="10"/>
  <c r="B150" i="10"/>
  <c r="B149" i="10"/>
  <c r="B148" i="10"/>
  <c r="D148" i="10" s="1"/>
  <c r="B147" i="10"/>
  <c r="D146" i="10"/>
  <c r="C146" i="10"/>
  <c r="B146" i="10"/>
  <c r="B145" i="10"/>
  <c r="D145" i="10" s="1"/>
  <c r="B144" i="10"/>
  <c r="C145" i="10" s="1"/>
  <c r="D143" i="10"/>
  <c r="B143" i="10"/>
  <c r="B142" i="10"/>
  <c r="B141" i="10"/>
  <c r="B140" i="10"/>
  <c r="D140" i="10" s="1"/>
  <c r="B139" i="10"/>
  <c r="D138" i="10"/>
  <c r="C138" i="10"/>
  <c r="B138" i="10"/>
  <c r="B137" i="10"/>
  <c r="D137" i="10" s="1"/>
  <c r="D136" i="10"/>
  <c r="B136" i="10"/>
  <c r="C137" i="10" s="1"/>
  <c r="D135" i="10"/>
  <c r="B135" i="10"/>
  <c r="B134" i="10"/>
  <c r="B133" i="10"/>
  <c r="B132" i="10"/>
  <c r="D132" i="10" s="1"/>
  <c r="C131" i="10"/>
  <c r="B131" i="10"/>
  <c r="D130" i="10"/>
  <c r="C130" i="10"/>
  <c r="B130" i="10"/>
  <c r="B129" i="10"/>
  <c r="D129" i="10" s="1"/>
  <c r="B128" i="10"/>
  <c r="C129" i="10" s="1"/>
  <c r="D127" i="10"/>
  <c r="B127" i="10"/>
  <c r="B126" i="10"/>
  <c r="B125" i="10"/>
  <c r="B124" i="10"/>
  <c r="D124" i="10" s="1"/>
  <c r="C123" i="10"/>
  <c r="B123" i="10"/>
  <c r="D122" i="10"/>
  <c r="C122" i="10"/>
  <c r="B122" i="10"/>
  <c r="B121" i="10"/>
  <c r="D121" i="10" s="1"/>
  <c r="D120" i="10"/>
  <c r="C120" i="10"/>
  <c r="B120" i="10"/>
  <c r="C121" i="10" s="1"/>
  <c r="D119" i="10"/>
  <c r="B119" i="10"/>
  <c r="B118" i="10"/>
  <c r="B117" i="10"/>
  <c r="B116" i="10"/>
  <c r="D116" i="10" s="1"/>
  <c r="B115" i="10"/>
  <c r="D114" i="10"/>
  <c r="C114" i="10"/>
  <c r="B114" i="10"/>
  <c r="B113" i="10"/>
  <c r="D113" i="10" s="1"/>
  <c r="D112" i="10"/>
  <c r="B112" i="10"/>
  <c r="C113" i="10" s="1"/>
  <c r="D111" i="10"/>
  <c r="B111" i="10"/>
  <c r="B110" i="10"/>
  <c r="B109" i="10"/>
  <c r="B108" i="10"/>
  <c r="D108" i="10" s="1"/>
  <c r="C107" i="10"/>
  <c r="B107" i="10"/>
  <c r="D106" i="10"/>
  <c r="C106" i="10"/>
  <c r="B106" i="10"/>
  <c r="B105" i="10"/>
  <c r="D105" i="10" s="1"/>
  <c r="D104" i="10"/>
  <c r="B104" i="10"/>
  <c r="C105" i="10" s="1"/>
  <c r="D103" i="10"/>
  <c r="B103" i="10"/>
  <c r="B102" i="10"/>
  <c r="B101" i="10"/>
  <c r="B100" i="10"/>
  <c r="D100" i="10" s="1"/>
  <c r="C99" i="10"/>
  <c r="B99" i="10"/>
  <c r="D98" i="10"/>
  <c r="C98" i="10"/>
  <c r="B98" i="10"/>
  <c r="B97" i="10"/>
  <c r="D97" i="10" s="1"/>
  <c r="B96" i="10"/>
  <c r="C97" i="10" s="1"/>
  <c r="D95" i="10"/>
  <c r="B95" i="10"/>
  <c r="B94" i="10"/>
  <c r="B93" i="10"/>
  <c r="B92" i="10"/>
  <c r="D92" i="10" s="1"/>
  <c r="C91" i="10"/>
  <c r="B91" i="10"/>
  <c r="D90" i="10"/>
  <c r="C90" i="10"/>
  <c r="B90" i="10"/>
  <c r="B89" i="10"/>
  <c r="D89" i="10" s="1"/>
  <c r="D88" i="10"/>
  <c r="C88" i="10"/>
  <c r="B88" i="10"/>
  <c r="C89" i="10" s="1"/>
  <c r="D87" i="10"/>
  <c r="B87" i="10"/>
  <c r="B86" i="10"/>
  <c r="B85" i="10"/>
  <c r="B84" i="10"/>
  <c r="D84" i="10" s="1"/>
  <c r="B83" i="10"/>
  <c r="D82" i="10"/>
  <c r="C82" i="10"/>
  <c r="B82" i="10"/>
  <c r="B81" i="10"/>
  <c r="D81" i="10" s="1"/>
  <c r="D80" i="10"/>
  <c r="C80" i="10"/>
  <c r="B80" i="10"/>
  <c r="C81" i="10" s="1"/>
  <c r="D79" i="10"/>
  <c r="B79" i="10"/>
  <c r="B78" i="10"/>
  <c r="B77" i="10"/>
  <c r="B76" i="10"/>
  <c r="D76" i="10" s="1"/>
  <c r="C75" i="10"/>
  <c r="B75" i="10"/>
  <c r="D74" i="10"/>
  <c r="C74" i="10"/>
  <c r="B74" i="10"/>
  <c r="B73" i="10"/>
  <c r="D73" i="10" s="1"/>
  <c r="D72" i="10"/>
  <c r="B72" i="10"/>
  <c r="C73" i="10" s="1"/>
  <c r="D71" i="10"/>
  <c r="B71" i="10"/>
  <c r="B70" i="10"/>
  <c r="B69" i="10"/>
  <c r="B68" i="10"/>
  <c r="D68" i="10" s="1"/>
  <c r="D67" i="10"/>
  <c r="B67" i="10"/>
  <c r="D66" i="10"/>
  <c r="C66" i="10"/>
  <c r="B66" i="10"/>
  <c r="B65" i="10"/>
  <c r="D65" i="10" s="1"/>
  <c r="D64" i="10"/>
  <c r="B64" i="10"/>
  <c r="C64" i="10" s="1"/>
  <c r="D63" i="10"/>
  <c r="B63" i="10"/>
  <c r="D62" i="10"/>
  <c r="C62" i="10"/>
  <c r="B62" i="10"/>
  <c r="C63" i="10" s="1"/>
  <c r="D61" i="10"/>
  <c r="B61" i="10"/>
  <c r="B60" i="10"/>
  <c r="B59" i="10"/>
  <c r="C60" i="10" s="1"/>
  <c r="D58" i="10"/>
  <c r="B58" i="10"/>
  <c r="B57" i="10"/>
  <c r="C56" i="10"/>
  <c r="B56" i="10"/>
  <c r="D55" i="10"/>
  <c r="B55" i="10"/>
  <c r="B54" i="10"/>
  <c r="C53" i="10"/>
  <c r="B53" i="10"/>
  <c r="C54" i="10" s="1"/>
  <c r="B52" i="10"/>
  <c r="D52" i="10" s="1"/>
  <c r="B51" i="10"/>
  <c r="D50" i="10"/>
  <c r="C50" i="10"/>
  <c r="B50" i="10"/>
  <c r="B49" i="10"/>
  <c r="D49" i="10" s="1"/>
  <c r="B48" i="10"/>
  <c r="D48" i="10" s="1"/>
  <c r="D47" i="10"/>
  <c r="B47" i="10"/>
  <c r="D46" i="10"/>
  <c r="C46" i="10"/>
  <c r="B46" i="10"/>
  <c r="C47" i="10" s="1"/>
  <c r="B45" i="10"/>
  <c r="D45" i="10" s="1"/>
  <c r="B44" i="10"/>
  <c r="C43" i="10"/>
  <c r="B43" i="10"/>
  <c r="D42" i="10"/>
  <c r="B42" i="10"/>
  <c r="B41" i="10"/>
  <c r="C40" i="10"/>
  <c r="B40" i="10"/>
  <c r="C41" i="10" s="1"/>
  <c r="D39" i="10"/>
  <c r="B39" i="10"/>
  <c r="B38" i="10"/>
  <c r="D37" i="10"/>
  <c r="B37" i="10"/>
  <c r="B36" i="10"/>
  <c r="D36" i="10" s="1"/>
  <c r="B35" i="10"/>
  <c r="D34" i="10"/>
  <c r="C34" i="10"/>
  <c r="B34" i="10"/>
  <c r="C33" i="10"/>
  <c r="B33" i="10"/>
  <c r="D33" i="10" s="1"/>
  <c r="B32" i="10"/>
  <c r="D32" i="10" s="1"/>
  <c r="D31" i="10"/>
  <c r="B31" i="10"/>
  <c r="D30" i="10"/>
  <c r="C30" i="10"/>
  <c r="B30" i="10"/>
  <c r="C31" i="10" s="1"/>
  <c r="B29" i="10"/>
  <c r="D29" i="10" s="1"/>
  <c r="B28" i="10"/>
  <c r="C27" i="10"/>
  <c r="B27" i="10"/>
  <c r="C28" i="10" s="1"/>
  <c r="D26" i="10"/>
  <c r="B26" i="10"/>
  <c r="B25" i="10"/>
  <c r="D24" i="10"/>
  <c r="C24" i="10"/>
  <c r="B24" i="10"/>
  <c r="D23" i="10"/>
  <c r="B23" i="10"/>
  <c r="B22" i="10"/>
  <c r="B21" i="10"/>
  <c r="C22" i="10" s="1"/>
  <c r="B20" i="10"/>
  <c r="D20" i="10" s="1"/>
  <c r="B19" i="10"/>
  <c r="D18" i="10"/>
  <c r="C18" i="10"/>
  <c r="B18" i="10"/>
  <c r="B17" i="10"/>
  <c r="D17" i="10" s="1"/>
  <c r="B16" i="10"/>
  <c r="D15" i="10"/>
  <c r="B15" i="10"/>
  <c r="D14" i="10"/>
  <c r="B14" i="10"/>
  <c r="C15" i="10" s="1"/>
  <c r="B13" i="10"/>
  <c r="D13" i="10" s="1"/>
  <c r="B12" i="10"/>
  <c r="D11" i="10"/>
  <c r="C11" i="10"/>
  <c r="B11" i="10"/>
  <c r="D10" i="10"/>
  <c r="B10" i="10"/>
  <c r="C9" i="10"/>
  <c r="B9" i="10"/>
  <c r="D8" i="10"/>
  <c r="C8" i="10"/>
  <c r="B8" i="10"/>
  <c r="D7" i="10"/>
  <c r="B7" i="10"/>
  <c r="B6" i="10"/>
  <c r="B5" i="10"/>
  <c r="C6" i="10" s="1"/>
  <c r="B4" i="10"/>
  <c r="D4" i="10" s="1"/>
  <c r="B3" i="10"/>
  <c r="J2" i="10"/>
  <c r="D2" i="10"/>
  <c r="B2" i="10"/>
  <c r="J1" i="10"/>
  <c r="B300" i="9"/>
  <c r="B299" i="9"/>
  <c r="C300" i="9" s="1"/>
  <c r="B298" i="9"/>
  <c r="C299" i="9" s="1"/>
  <c r="B297" i="9"/>
  <c r="B296" i="9"/>
  <c r="C297" i="9" s="1"/>
  <c r="B295" i="9"/>
  <c r="C294" i="9"/>
  <c r="B294" i="9"/>
  <c r="C295" i="9" s="1"/>
  <c r="B293" i="9"/>
  <c r="C292" i="9"/>
  <c r="B292" i="9"/>
  <c r="C293" i="9" s="1"/>
  <c r="C291" i="9"/>
  <c r="B291" i="9"/>
  <c r="B290" i="9"/>
  <c r="B289" i="9"/>
  <c r="C290" i="9" s="1"/>
  <c r="B288" i="9"/>
  <c r="C287" i="9"/>
  <c r="B287" i="9"/>
  <c r="C288" i="9" s="1"/>
  <c r="C286" i="9"/>
  <c r="B286" i="9"/>
  <c r="B285" i="9"/>
  <c r="C284" i="9"/>
  <c r="B284" i="9"/>
  <c r="C285" i="9" s="1"/>
  <c r="B283" i="9"/>
  <c r="B282" i="9"/>
  <c r="C283" i="9" s="1"/>
  <c r="B281" i="9"/>
  <c r="B280" i="9"/>
  <c r="C281" i="9" s="1"/>
  <c r="B279" i="9"/>
  <c r="C278" i="9"/>
  <c r="B278" i="9"/>
  <c r="C279" i="9" s="1"/>
  <c r="B277" i="9"/>
  <c r="B276" i="9"/>
  <c r="B275" i="9"/>
  <c r="C276" i="9" s="1"/>
  <c r="B274" i="9"/>
  <c r="B273" i="9"/>
  <c r="C274" i="9" s="1"/>
  <c r="C272" i="9"/>
  <c r="B272" i="9"/>
  <c r="C271" i="9"/>
  <c r="B271" i="9"/>
  <c r="C270" i="9"/>
  <c r="B270" i="9"/>
  <c r="B269" i="9"/>
  <c r="C268" i="9"/>
  <c r="B268" i="9"/>
  <c r="C269" i="9" s="1"/>
  <c r="B267" i="9"/>
  <c r="B266" i="9"/>
  <c r="B265" i="9"/>
  <c r="C266" i="9" s="1"/>
  <c r="C264" i="9"/>
  <c r="B264" i="9"/>
  <c r="C263" i="9"/>
  <c r="B263" i="9"/>
  <c r="C262" i="9"/>
  <c r="B262" i="9"/>
  <c r="B261" i="9"/>
  <c r="C260" i="9"/>
  <c r="B260" i="9"/>
  <c r="B259" i="9"/>
  <c r="B258" i="9"/>
  <c r="C259" i="9" s="1"/>
  <c r="B257" i="9"/>
  <c r="B256" i="9"/>
  <c r="C257" i="9" s="1"/>
  <c r="B255" i="9"/>
  <c r="B254" i="9"/>
  <c r="C255" i="9" s="1"/>
  <c r="C253" i="9"/>
  <c r="B253" i="9"/>
  <c r="C252" i="9"/>
  <c r="B252" i="9"/>
  <c r="C251" i="9"/>
  <c r="B251" i="9"/>
  <c r="B250" i="9"/>
  <c r="C249" i="9"/>
  <c r="B249" i="9"/>
  <c r="C250" i="9" s="1"/>
  <c r="B248" i="9"/>
  <c r="B247" i="9"/>
  <c r="C248" i="9" s="1"/>
  <c r="B246" i="9"/>
  <c r="B245" i="9"/>
  <c r="C246" i="9" s="1"/>
  <c r="C244" i="9"/>
  <c r="B244" i="9"/>
  <c r="C245" i="9" s="1"/>
  <c r="B243" i="9"/>
  <c r="B242" i="9"/>
  <c r="C243" i="9" s="1"/>
  <c r="B241" i="9"/>
  <c r="C240" i="9"/>
  <c r="B240" i="9"/>
  <c r="C241" i="9" s="1"/>
  <c r="C239" i="9"/>
  <c r="B239" i="9"/>
  <c r="B238" i="9"/>
  <c r="C237" i="9"/>
  <c r="B237" i="9"/>
  <c r="B236" i="9"/>
  <c r="C235" i="9"/>
  <c r="B235" i="9"/>
  <c r="C236" i="9" s="1"/>
  <c r="B234" i="9"/>
  <c r="B233" i="9"/>
  <c r="C234" i="9" s="1"/>
  <c r="B232" i="9"/>
  <c r="B231" i="9"/>
  <c r="C232" i="9" s="1"/>
  <c r="B230" i="9"/>
  <c r="C229" i="9"/>
  <c r="B229" i="9"/>
  <c r="C228" i="9"/>
  <c r="B228" i="9"/>
  <c r="B227" i="9"/>
  <c r="B226" i="9"/>
  <c r="C227" i="9" s="1"/>
  <c r="B225" i="9"/>
  <c r="B224" i="9"/>
  <c r="C225" i="9" s="1"/>
  <c r="B223" i="9"/>
  <c r="B222" i="9"/>
  <c r="C223" i="9" s="1"/>
  <c r="C221" i="9"/>
  <c r="B221" i="9"/>
  <c r="C220" i="9"/>
  <c r="B220" i="9"/>
  <c r="C219" i="9"/>
  <c r="B219" i="9"/>
  <c r="B218" i="9"/>
  <c r="B217" i="9"/>
  <c r="C218" i="9" s="1"/>
  <c r="B216" i="9"/>
  <c r="B215" i="9"/>
  <c r="C216" i="9" s="1"/>
  <c r="B214" i="9"/>
  <c r="B213" i="9"/>
  <c r="C214" i="9" s="1"/>
  <c r="C212" i="9"/>
  <c r="B212" i="9"/>
  <c r="C213" i="9" s="1"/>
  <c r="B211" i="9"/>
  <c r="B210" i="9"/>
  <c r="C211" i="9" s="1"/>
  <c r="B209" i="9"/>
  <c r="B208" i="9"/>
  <c r="C209" i="9" s="1"/>
  <c r="C207" i="9"/>
  <c r="B207" i="9"/>
  <c r="B206" i="9"/>
  <c r="C205" i="9"/>
  <c r="B205" i="9"/>
  <c r="B204" i="9"/>
  <c r="C203" i="9"/>
  <c r="B203" i="9"/>
  <c r="C204" i="9" s="1"/>
  <c r="B202" i="9"/>
  <c r="B201" i="9"/>
  <c r="C202" i="9" s="1"/>
  <c r="B200" i="9"/>
  <c r="B199" i="9"/>
  <c r="C200" i="9" s="1"/>
  <c r="B198" i="9"/>
  <c r="C197" i="9"/>
  <c r="B197" i="9"/>
  <c r="C196" i="9"/>
  <c r="B196" i="9"/>
  <c r="B195" i="9"/>
  <c r="B194" i="9"/>
  <c r="C195" i="9" s="1"/>
  <c r="B193" i="9"/>
  <c r="B192" i="9"/>
  <c r="C193" i="9" s="1"/>
  <c r="B191" i="9"/>
  <c r="B190" i="9"/>
  <c r="C191" i="9" s="1"/>
  <c r="C189" i="9"/>
  <c r="B189" i="9"/>
  <c r="C188" i="9"/>
  <c r="B188" i="9"/>
  <c r="C187" i="9"/>
  <c r="B187" i="9"/>
  <c r="B186" i="9"/>
  <c r="B185" i="9"/>
  <c r="C186" i="9" s="1"/>
  <c r="B184" i="9"/>
  <c r="B183" i="9"/>
  <c r="C184" i="9" s="1"/>
  <c r="B182" i="9"/>
  <c r="B181" i="9"/>
  <c r="C182" i="9" s="1"/>
  <c r="C180" i="9"/>
  <c r="B180" i="9"/>
  <c r="C181" i="9" s="1"/>
  <c r="B179" i="9"/>
  <c r="B178" i="9"/>
  <c r="C179" i="9" s="1"/>
  <c r="B177" i="9"/>
  <c r="B176" i="9"/>
  <c r="C177" i="9" s="1"/>
  <c r="C175" i="9"/>
  <c r="B175" i="9"/>
  <c r="B174" i="9"/>
  <c r="C173" i="9"/>
  <c r="B173" i="9"/>
  <c r="B172" i="9"/>
  <c r="C171" i="9"/>
  <c r="B171" i="9"/>
  <c r="C172" i="9" s="1"/>
  <c r="B170" i="9"/>
  <c r="B169" i="9"/>
  <c r="C170" i="9" s="1"/>
  <c r="B168" i="9"/>
  <c r="B167" i="9"/>
  <c r="C168" i="9" s="1"/>
  <c r="B166" i="9"/>
  <c r="C165" i="9"/>
  <c r="B165" i="9"/>
  <c r="C164" i="9"/>
  <c r="B164" i="9"/>
  <c r="B163" i="9"/>
  <c r="B162" i="9"/>
  <c r="C163" i="9" s="1"/>
  <c r="B161" i="9"/>
  <c r="B160" i="9"/>
  <c r="C161" i="9" s="1"/>
  <c r="B159" i="9"/>
  <c r="B158" i="9"/>
  <c r="C159" i="9" s="1"/>
  <c r="C157" i="9"/>
  <c r="B157" i="9"/>
  <c r="C156" i="9"/>
  <c r="B156" i="9"/>
  <c r="C155" i="9"/>
  <c r="B155" i="9"/>
  <c r="B154" i="9"/>
  <c r="B153" i="9"/>
  <c r="C154" i="9" s="1"/>
  <c r="B152" i="9"/>
  <c r="B151" i="9"/>
  <c r="C152" i="9" s="1"/>
  <c r="B150" i="9"/>
  <c r="B149" i="9"/>
  <c r="C150" i="9" s="1"/>
  <c r="C148" i="9"/>
  <c r="B148" i="9"/>
  <c r="C149" i="9" s="1"/>
  <c r="B147" i="9"/>
  <c r="B146" i="9"/>
  <c r="C147" i="9" s="1"/>
  <c r="B145" i="9"/>
  <c r="B144" i="9"/>
  <c r="C145" i="9" s="1"/>
  <c r="C143" i="9"/>
  <c r="B143" i="9"/>
  <c r="B142" i="9"/>
  <c r="C141" i="9"/>
  <c r="B141" i="9"/>
  <c r="B140" i="9"/>
  <c r="C139" i="9"/>
  <c r="B139" i="9"/>
  <c r="C140" i="9" s="1"/>
  <c r="B138" i="9"/>
  <c r="B137" i="9"/>
  <c r="C138" i="9" s="1"/>
  <c r="B136" i="9"/>
  <c r="B135" i="9"/>
  <c r="C136" i="9" s="1"/>
  <c r="B134" i="9"/>
  <c r="C133" i="9"/>
  <c r="B133" i="9"/>
  <c r="C132" i="9"/>
  <c r="B132" i="9"/>
  <c r="B131" i="9"/>
  <c r="B130" i="9"/>
  <c r="C131" i="9" s="1"/>
  <c r="B129" i="9"/>
  <c r="B128" i="9"/>
  <c r="C129" i="9" s="1"/>
  <c r="B127" i="9"/>
  <c r="B126" i="9"/>
  <c r="C127" i="9" s="1"/>
  <c r="C125" i="9"/>
  <c r="B125" i="9"/>
  <c r="C124" i="9"/>
  <c r="B124" i="9"/>
  <c r="C123" i="9"/>
  <c r="B123" i="9"/>
  <c r="B122" i="9"/>
  <c r="B121" i="9"/>
  <c r="C122" i="9" s="1"/>
  <c r="B120" i="9"/>
  <c r="B119" i="9"/>
  <c r="C120" i="9" s="1"/>
  <c r="B118" i="9"/>
  <c r="B117" i="9"/>
  <c r="C118" i="9" s="1"/>
  <c r="C116" i="9"/>
  <c r="B116" i="9"/>
  <c r="C117" i="9" s="1"/>
  <c r="B115" i="9"/>
  <c r="B114" i="9"/>
  <c r="C115" i="9" s="1"/>
  <c r="B113" i="9"/>
  <c r="B112" i="9"/>
  <c r="C113" i="9" s="1"/>
  <c r="C111" i="9"/>
  <c r="B111" i="9"/>
  <c r="B110" i="9"/>
  <c r="C109" i="9"/>
  <c r="B109" i="9"/>
  <c r="B108" i="9"/>
  <c r="C107" i="9"/>
  <c r="B107" i="9"/>
  <c r="C108" i="9" s="1"/>
  <c r="B106" i="9"/>
  <c r="B105" i="9"/>
  <c r="C106" i="9" s="1"/>
  <c r="B104" i="9"/>
  <c r="B103" i="9"/>
  <c r="C104" i="9" s="1"/>
  <c r="B102" i="9"/>
  <c r="C101" i="9"/>
  <c r="B101" i="9"/>
  <c r="C100" i="9"/>
  <c r="B100" i="9"/>
  <c r="B99" i="9"/>
  <c r="B98" i="9"/>
  <c r="C99" i="9" s="1"/>
  <c r="B97" i="9"/>
  <c r="B96" i="9"/>
  <c r="C97" i="9" s="1"/>
  <c r="B95" i="9"/>
  <c r="B94" i="9"/>
  <c r="C95" i="9" s="1"/>
  <c r="C93" i="9"/>
  <c r="B93" i="9"/>
  <c r="C92" i="9"/>
  <c r="B92" i="9"/>
  <c r="C91" i="9"/>
  <c r="B91" i="9"/>
  <c r="B90" i="9"/>
  <c r="C89" i="9"/>
  <c r="B89" i="9"/>
  <c r="C90" i="9" s="1"/>
  <c r="C88" i="9"/>
  <c r="B88" i="9"/>
  <c r="C87" i="9"/>
  <c r="B87" i="9"/>
  <c r="B86" i="9"/>
  <c r="C85" i="9"/>
  <c r="B85" i="9"/>
  <c r="C86" i="9" s="1"/>
  <c r="C84" i="9"/>
  <c r="B84" i="9"/>
  <c r="C83" i="9"/>
  <c r="B83" i="9"/>
  <c r="B82" i="9"/>
  <c r="C81" i="9"/>
  <c r="B81" i="9"/>
  <c r="C82" i="9" s="1"/>
  <c r="C80" i="9"/>
  <c r="B80" i="9"/>
  <c r="C79" i="9"/>
  <c r="B79" i="9"/>
  <c r="B78" i="9"/>
  <c r="C77" i="9"/>
  <c r="B77" i="9"/>
  <c r="C78" i="9" s="1"/>
  <c r="C76" i="9"/>
  <c r="B76" i="9"/>
  <c r="C75" i="9"/>
  <c r="B75" i="9"/>
  <c r="B74" i="9"/>
  <c r="C73" i="9"/>
  <c r="B73" i="9"/>
  <c r="C74" i="9" s="1"/>
  <c r="C72" i="9"/>
  <c r="B72" i="9"/>
  <c r="C71" i="9"/>
  <c r="B71" i="9"/>
  <c r="B70" i="9"/>
  <c r="C69" i="9"/>
  <c r="B69" i="9"/>
  <c r="C70" i="9" s="1"/>
  <c r="C68" i="9"/>
  <c r="B68" i="9"/>
  <c r="C67" i="9"/>
  <c r="B67" i="9"/>
  <c r="B66" i="9"/>
  <c r="C65" i="9"/>
  <c r="B65" i="9"/>
  <c r="C66" i="9" s="1"/>
  <c r="C64" i="9"/>
  <c r="B64" i="9"/>
  <c r="C63" i="9"/>
  <c r="B63" i="9"/>
  <c r="B62" i="9"/>
  <c r="C61" i="9"/>
  <c r="B61" i="9"/>
  <c r="C62" i="9" s="1"/>
  <c r="C60" i="9"/>
  <c r="B60" i="9"/>
  <c r="C59" i="9"/>
  <c r="B59" i="9"/>
  <c r="B58" i="9"/>
  <c r="C57" i="9"/>
  <c r="B57" i="9"/>
  <c r="C58" i="9" s="1"/>
  <c r="C56" i="9"/>
  <c r="B56" i="9"/>
  <c r="C55" i="9"/>
  <c r="B55" i="9"/>
  <c r="B54" i="9"/>
  <c r="C53" i="9"/>
  <c r="B53" i="9"/>
  <c r="C54" i="9" s="1"/>
  <c r="C52" i="9"/>
  <c r="B52" i="9"/>
  <c r="C51" i="9"/>
  <c r="B51" i="9"/>
  <c r="B50" i="9"/>
  <c r="C49" i="9"/>
  <c r="B49" i="9"/>
  <c r="C50" i="9" s="1"/>
  <c r="C48" i="9"/>
  <c r="B48" i="9"/>
  <c r="C47" i="9"/>
  <c r="B47" i="9"/>
  <c r="B46" i="9"/>
  <c r="C45" i="9"/>
  <c r="B45" i="9"/>
  <c r="C46" i="9" s="1"/>
  <c r="C44" i="9"/>
  <c r="B44" i="9"/>
  <c r="C43" i="9"/>
  <c r="B43" i="9"/>
  <c r="B42" i="9"/>
  <c r="C41" i="9"/>
  <c r="B41" i="9"/>
  <c r="C42" i="9" s="1"/>
  <c r="C40" i="9"/>
  <c r="B40" i="9"/>
  <c r="C39" i="9"/>
  <c r="B39" i="9"/>
  <c r="B38" i="9"/>
  <c r="C37" i="9"/>
  <c r="B37" i="9"/>
  <c r="C38" i="9" s="1"/>
  <c r="C36" i="9"/>
  <c r="B36" i="9"/>
  <c r="C35" i="9"/>
  <c r="B35" i="9"/>
  <c r="B34" i="9"/>
  <c r="C33" i="9"/>
  <c r="B33" i="9"/>
  <c r="C34" i="9" s="1"/>
  <c r="C32" i="9"/>
  <c r="B32" i="9"/>
  <c r="C31" i="9"/>
  <c r="B31" i="9"/>
  <c r="B30" i="9"/>
  <c r="C29" i="9"/>
  <c r="B29" i="9"/>
  <c r="C30" i="9" s="1"/>
  <c r="C28" i="9"/>
  <c r="B28" i="9"/>
  <c r="C27" i="9"/>
  <c r="B27" i="9"/>
  <c r="B26" i="9"/>
  <c r="C25" i="9"/>
  <c r="B25" i="9"/>
  <c r="C26" i="9" s="1"/>
  <c r="C24" i="9"/>
  <c r="B24" i="9"/>
  <c r="C23" i="9"/>
  <c r="B23" i="9"/>
  <c r="B22" i="9"/>
  <c r="C21" i="9"/>
  <c r="B21" i="9"/>
  <c r="C22" i="9" s="1"/>
  <c r="C20" i="9"/>
  <c r="B20" i="9"/>
  <c r="C19" i="9"/>
  <c r="B19" i="9"/>
  <c r="B18" i="9"/>
  <c r="C17" i="9"/>
  <c r="B17" i="9"/>
  <c r="C18" i="9" s="1"/>
  <c r="C16" i="9"/>
  <c r="B16" i="9"/>
  <c r="C15" i="9"/>
  <c r="B15" i="9"/>
  <c r="B14" i="9"/>
  <c r="C13" i="9"/>
  <c r="B13" i="9"/>
  <c r="C14" i="9" s="1"/>
  <c r="C12" i="9"/>
  <c r="B12" i="9"/>
  <c r="C11" i="9"/>
  <c r="B11" i="9"/>
  <c r="B10" i="9"/>
  <c r="C9" i="9"/>
  <c r="B9" i="9"/>
  <c r="C10" i="9" s="1"/>
  <c r="C8" i="9"/>
  <c r="B8" i="9"/>
  <c r="C7" i="9"/>
  <c r="B7" i="9"/>
  <c r="B6" i="9"/>
  <c r="C5" i="9"/>
  <c r="B5" i="9"/>
  <c r="C6" i="9" s="1"/>
  <c r="C4" i="9"/>
  <c r="B4" i="9"/>
  <c r="J3" i="9"/>
  <c r="B3" i="9"/>
  <c r="J2" i="9"/>
  <c r="B2" i="9"/>
  <c r="C3" i="9" s="1"/>
  <c r="J1" i="9"/>
  <c r="C31" i="8"/>
  <c r="C27" i="8" s="1"/>
  <c r="E27" i="8"/>
  <c r="D27" i="8"/>
  <c r="E26" i="8"/>
  <c r="D26" i="8"/>
  <c r="C26" i="8"/>
  <c r="E25" i="8"/>
  <c r="D25" i="8"/>
  <c r="E24" i="8"/>
  <c r="D24" i="8"/>
  <c r="E23" i="8"/>
  <c r="D23" i="8"/>
  <c r="C23" i="8"/>
  <c r="E22" i="8"/>
  <c r="D22" i="8"/>
  <c r="C22" i="8"/>
  <c r="E21" i="8"/>
  <c r="D21" i="8"/>
  <c r="C21" i="8"/>
  <c r="E20" i="8"/>
  <c r="D20" i="8"/>
  <c r="C20" i="8"/>
  <c r="E19" i="8"/>
  <c r="D19" i="8"/>
  <c r="E18" i="8"/>
  <c r="D18" i="8"/>
  <c r="C18" i="8"/>
  <c r="E17" i="8"/>
  <c r="D17" i="8"/>
  <c r="E16" i="8"/>
  <c r="D16" i="8"/>
  <c r="E15" i="8"/>
  <c r="D15" i="8"/>
  <c r="C15" i="8"/>
  <c r="E14" i="8"/>
  <c r="D14" i="8"/>
  <c r="C14" i="8"/>
  <c r="E13" i="8"/>
  <c r="D13" i="8"/>
  <c r="C13" i="8"/>
  <c r="E12" i="8"/>
  <c r="D12" i="8"/>
  <c r="C12" i="8"/>
  <c r="E11" i="8"/>
  <c r="D11" i="8"/>
  <c r="E10" i="8"/>
  <c r="D10" i="8"/>
  <c r="C10" i="8"/>
  <c r="E9" i="8"/>
  <c r="D9" i="8"/>
  <c r="E8" i="8"/>
  <c r="D8" i="8"/>
  <c r="E7" i="8"/>
  <c r="D7" i="8"/>
  <c r="C7" i="8"/>
  <c r="E6" i="8"/>
  <c r="D6" i="8"/>
  <c r="C6" i="8"/>
  <c r="E5" i="8"/>
  <c r="D5" i="8"/>
  <c r="C5" i="8"/>
  <c r="E4" i="8"/>
  <c r="D4" i="8"/>
  <c r="C4" i="8"/>
  <c r="E3" i="8"/>
  <c r="D3" i="8"/>
  <c r="AC98" i="7"/>
  <c r="AC97" i="7"/>
  <c r="AD97" i="7"/>
  <c r="AC96" i="7"/>
  <c r="AD96" i="7"/>
  <c r="AC95" i="7"/>
  <c r="AD95" i="7"/>
  <c r="AC94" i="7"/>
  <c r="AD94" i="7"/>
  <c r="AC93" i="7"/>
  <c r="AD93" i="7"/>
  <c r="AC92" i="7"/>
  <c r="AD92" i="7"/>
  <c r="AC91" i="7"/>
  <c r="AD91" i="7" s="1"/>
  <c r="AC90" i="7"/>
  <c r="AD90" i="7" s="1"/>
  <c r="AC89" i="7"/>
  <c r="AD89" i="7" s="1"/>
  <c r="AC88" i="7"/>
  <c r="AD88" i="7"/>
  <c r="AC87" i="7"/>
  <c r="AD87" i="7"/>
  <c r="AC86" i="7"/>
  <c r="AD86" i="7"/>
  <c r="AC85" i="7"/>
  <c r="AC84" i="7"/>
  <c r="AD84" i="7"/>
  <c r="AC83" i="7"/>
  <c r="AC82" i="7"/>
  <c r="AC81" i="7"/>
  <c r="AD81" i="7" s="1"/>
  <c r="AC80" i="7"/>
  <c r="AD80" i="7"/>
  <c r="AC79" i="7"/>
  <c r="AD79" i="7"/>
  <c r="AC78" i="7"/>
  <c r="AD78" i="7"/>
  <c r="AC77" i="7"/>
  <c r="AD77" i="7" s="1"/>
  <c r="AC76" i="7"/>
  <c r="AD76" i="7"/>
  <c r="AC75" i="7"/>
  <c r="AD75" i="7" s="1"/>
  <c r="AC74" i="7"/>
  <c r="AD74" i="7" s="1"/>
  <c r="AC73" i="7"/>
  <c r="AD73" i="7" s="1"/>
  <c r="AC72" i="7"/>
  <c r="AD72" i="7"/>
  <c r="AC71" i="7"/>
  <c r="AD71" i="7"/>
  <c r="AC70" i="7"/>
  <c r="AA70" i="7"/>
  <c r="Z70" i="7"/>
  <c r="Y70" i="7"/>
  <c r="X70" i="7"/>
  <c r="W70" i="7"/>
  <c r="V70" i="7"/>
  <c r="U70" i="7"/>
  <c r="T70" i="7"/>
  <c r="S70" i="7"/>
  <c r="R70" i="7"/>
  <c r="Q70" i="7"/>
  <c r="P70" i="7"/>
  <c r="O70" i="7"/>
  <c r="N70" i="7"/>
  <c r="M70" i="7"/>
  <c r="L70" i="7"/>
  <c r="K70" i="7"/>
  <c r="J70" i="7"/>
  <c r="I70" i="7"/>
  <c r="H70" i="7"/>
  <c r="G70" i="7"/>
  <c r="F70" i="7"/>
  <c r="E70" i="7"/>
  <c r="AD70" i="7" s="1"/>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A63" i="7"/>
  <c r="Z63" i="7"/>
  <c r="Y63" i="7"/>
  <c r="X63" i="7"/>
  <c r="W63" i="7"/>
  <c r="V63" i="7"/>
  <c r="U63" i="7"/>
  <c r="T63" i="7"/>
  <c r="S63" i="7"/>
  <c r="R63" i="7"/>
  <c r="Q63" i="7"/>
  <c r="P63" i="7"/>
  <c r="O63" i="7"/>
  <c r="N63" i="7"/>
  <c r="M63" i="7"/>
  <c r="L63" i="7"/>
  <c r="K63" i="7"/>
  <c r="J63" i="7"/>
  <c r="I63" i="7"/>
  <c r="H63" i="7"/>
  <c r="G63" i="7"/>
  <c r="F63" i="7"/>
  <c r="E63" i="7"/>
  <c r="AD63" i="7" s="1"/>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D61" i="7" s="1"/>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A59" i="7"/>
  <c r="Z59" i="7"/>
  <c r="Y59" i="7"/>
  <c r="X59" i="7"/>
  <c r="W59" i="7"/>
  <c r="V59" i="7"/>
  <c r="U59" i="7"/>
  <c r="T59" i="7"/>
  <c r="S59" i="7"/>
  <c r="R59" i="7"/>
  <c r="Q59" i="7"/>
  <c r="P59" i="7"/>
  <c r="O59" i="7"/>
  <c r="N59" i="7"/>
  <c r="M59" i="7"/>
  <c r="L59" i="7"/>
  <c r="K59" i="7"/>
  <c r="J59" i="7"/>
  <c r="I59" i="7"/>
  <c r="H59" i="7"/>
  <c r="G59" i="7"/>
  <c r="F59" i="7"/>
  <c r="E59" i="7"/>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A55" i="7"/>
  <c r="Z55" i="7"/>
  <c r="Y55" i="7"/>
  <c r="X55" i="7"/>
  <c r="W55" i="7"/>
  <c r="V55" i="7"/>
  <c r="U55" i="7"/>
  <c r="T55" i="7"/>
  <c r="S55" i="7"/>
  <c r="R55" i="7"/>
  <c r="Q55" i="7"/>
  <c r="P55" i="7"/>
  <c r="O55" i="7"/>
  <c r="N55" i="7"/>
  <c r="M55" i="7"/>
  <c r="L55" i="7"/>
  <c r="K55" i="7"/>
  <c r="J55" i="7"/>
  <c r="I55" i="7"/>
  <c r="H55" i="7"/>
  <c r="G55" i="7"/>
  <c r="F55" i="7"/>
  <c r="E55" i="7"/>
  <c r="AD55" i="7" s="1"/>
  <c r="D55" i="7"/>
  <c r="C55" i="7"/>
  <c r="AC54" i="7"/>
  <c r="AA54" i="7"/>
  <c r="Z54" i="7"/>
  <c r="Y54" i="7"/>
  <c r="X54" i="7"/>
  <c r="W54" i="7"/>
  <c r="V54" i="7"/>
  <c r="U54" i="7"/>
  <c r="T54" i="7"/>
  <c r="S54" i="7"/>
  <c r="R54" i="7"/>
  <c r="Q54" i="7"/>
  <c r="P54" i="7"/>
  <c r="O54" i="7"/>
  <c r="N54" i="7"/>
  <c r="M54" i="7"/>
  <c r="L54" i="7"/>
  <c r="K54" i="7"/>
  <c r="J54" i="7"/>
  <c r="I54" i="7"/>
  <c r="H54" i="7"/>
  <c r="G54" i="7"/>
  <c r="F54" i="7"/>
  <c r="E54" i="7"/>
  <c r="AD54" i="7" s="1"/>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AD52" i="7" s="1"/>
  <c r="D52" i="7"/>
  <c r="C52" i="7"/>
  <c r="AC51" i="7"/>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D50" i="7"/>
  <c r="C50" i="7"/>
  <c r="AC49" i="7"/>
  <c r="AD49" i="7" s="1"/>
  <c r="AA49" i="7"/>
  <c r="Z49" i="7"/>
  <c r="Y49" i="7"/>
  <c r="X49" i="7"/>
  <c r="W49" i="7"/>
  <c r="V49" i="7"/>
  <c r="U49" i="7"/>
  <c r="T49" i="7"/>
  <c r="S49" i="7"/>
  <c r="R49" i="7"/>
  <c r="Q49" i="7"/>
  <c r="P49" i="7"/>
  <c r="O49" i="7"/>
  <c r="N49" i="7"/>
  <c r="M49" i="7"/>
  <c r="L49" i="7"/>
  <c r="K49" i="7"/>
  <c r="J49" i="7"/>
  <c r="I49" i="7"/>
  <c r="H49" i="7"/>
  <c r="G49" i="7"/>
  <c r="F49" i="7"/>
  <c r="E49" i="7"/>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A47" i="7"/>
  <c r="Z47" i="7"/>
  <c r="Y47" i="7"/>
  <c r="X47" i="7"/>
  <c r="W47" i="7"/>
  <c r="V47" i="7"/>
  <c r="U47" i="7"/>
  <c r="T47" i="7"/>
  <c r="S47" i="7"/>
  <c r="R47" i="7"/>
  <c r="Q47" i="7"/>
  <c r="P47" i="7"/>
  <c r="O47" i="7"/>
  <c r="N47" i="7"/>
  <c r="M47" i="7"/>
  <c r="L47" i="7"/>
  <c r="K47" i="7"/>
  <c r="J47" i="7"/>
  <c r="I47" i="7"/>
  <c r="H47" i="7"/>
  <c r="G47" i="7"/>
  <c r="F47" i="7"/>
  <c r="E47" i="7"/>
  <c r="AD47" i="7" s="1"/>
  <c r="D47" i="7"/>
  <c r="C47" i="7"/>
  <c r="AC46" i="7"/>
  <c r="AA46" i="7"/>
  <c r="Z46" i="7"/>
  <c r="Y46" i="7"/>
  <c r="X46" i="7"/>
  <c r="W46" i="7"/>
  <c r="V46" i="7"/>
  <c r="U46" i="7"/>
  <c r="T46" i="7"/>
  <c r="S46" i="7"/>
  <c r="R46" i="7"/>
  <c r="Q46" i="7"/>
  <c r="P46" i="7"/>
  <c r="O46" i="7"/>
  <c r="N46" i="7"/>
  <c r="M46" i="7"/>
  <c r="L46" i="7"/>
  <c r="K46" i="7"/>
  <c r="J46" i="7"/>
  <c r="I46" i="7"/>
  <c r="H46" i="7"/>
  <c r="G46" i="7"/>
  <c r="F46" i="7"/>
  <c r="E46" i="7"/>
  <c r="AD46" i="7" s="1"/>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A44" i="7"/>
  <c r="Z44" i="7"/>
  <c r="Y44" i="7"/>
  <c r="X44" i="7"/>
  <c r="W44" i="7"/>
  <c r="V44" i="7"/>
  <c r="U44" i="7"/>
  <c r="T44" i="7"/>
  <c r="S44" i="7"/>
  <c r="R44" i="7"/>
  <c r="Q44" i="7"/>
  <c r="P44" i="7"/>
  <c r="O44" i="7"/>
  <c r="N44" i="7"/>
  <c r="M44" i="7"/>
  <c r="L44" i="7"/>
  <c r="K44" i="7"/>
  <c r="J44" i="7"/>
  <c r="I44" i="7"/>
  <c r="H44" i="7"/>
  <c r="G44" i="7"/>
  <c r="F44" i="7"/>
  <c r="E44" i="7"/>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A42" i="7"/>
  <c r="Z42" i="7"/>
  <c r="Y42" i="7"/>
  <c r="X42" i="7"/>
  <c r="W42" i="7"/>
  <c r="V42" i="7"/>
  <c r="U42" i="7"/>
  <c r="T42" i="7"/>
  <c r="S42" i="7"/>
  <c r="R42" i="7"/>
  <c r="Q42" i="7"/>
  <c r="P42" i="7"/>
  <c r="O42" i="7"/>
  <c r="N42" i="7"/>
  <c r="M42" i="7"/>
  <c r="L42" i="7"/>
  <c r="K42" i="7"/>
  <c r="J42" i="7"/>
  <c r="I42" i="7"/>
  <c r="H42" i="7"/>
  <c r="G42" i="7"/>
  <c r="F42" i="7"/>
  <c r="E42" i="7"/>
  <c r="AD42" i="7" s="1"/>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A39" i="7"/>
  <c r="Z39" i="7"/>
  <c r="Y39" i="7"/>
  <c r="X39" i="7"/>
  <c r="W39" i="7"/>
  <c r="V39" i="7"/>
  <c r="U39" i="7"/>
  <c r="T39" i="7"/>
  <c r="S39" i="7"/>
  <c r="R39" i="7"/>
  <c r="Q39" i="7"/>
  <c r="P39" i="7"/>
  <c r="O39" i="7"/>
  <c r="N39" i="7"/>
  <c r="M39" i="7"/>
  <c r="L39" i="7"/>
  <c r="K39" i="7"/>
  <c r="J39" i="7"/>
  <c r="I39" i="7"/>
  <c r="H39" i="7"/>
  <c r="G39" i="7"/>
  <c r="F39" i="7"/>
  <c r="E39" i="7"/>
  <c r="AD39" i="7" s="1"/>
  <c r="D39" i="7"/>
  <c r="C39" i="7"/>
  <c r="AC38" i="7"/>
  <c r="AA38" i="7"/>
  <c r="Z38" i="7"/>
  <c r="Y38" i="7"/>
  <c r="X38" i="7"/>
  <c r="W38" i="7"/>
  <c r="V38" i="7"/>
  <c r="U38" i="7"/>
  <c r="T38" i="7"/>
  <c r="S38" i="7"/>
  <c r="R38" i="7"/>
  <c r="Q38" i="7"/>
  <c r="P38" i="7"/>
  <c r="O38" i="7"/>
  <c r="N38" i="7"/>
  <c r="M38" i="7"/>
  <c r="L38" i="7"/>
  <c r="K38" i="7"/>
  <c r="J38" i="7"/>
  <c r="I38" i="7"/>
  <c r="H38" i="7"/>
  <c r="G38" i="7"/>
  <c r="F38" i="7"/>
  <c r="E38" i="7"/>
  <c r="AD38" i="7" s="1"/>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A36" i="7"/>
  <c r="Z36" i="7"/>
  <c r="Y36" i="7"/>
  <c r="X36" i="7"/>
  <c r="W36" i="7"/>
  <c r="V36" i="7"/>
  <c r="U36" i="7"/>
  <c r="T36" i="7"/>
  <c r="S36" i="7"/>
  <c r="R36" i="7"/>
  <c r="Q36" i="7"/>
  <c r="P36" i="7"/>
  <c r="O36" i="7"/>
  <c r="N36" i="7"/>
  <c r="M36" i="7"/>
  <c r="L36" i="7"/>
  <c r="K36" i="7"/>
  <c r="J36" i="7"/>
  <c r="I36" i="7"/>
  <c r="H36" i="7"/>
  <c r="G36" i="7"/>
  <c r="F36" i="7"/>
  <c r="E36" i="7"/>
  <c r="AD36" i="7" s="1"/>
  <c r="D36" i="7"/>
  <c r="C36" i="7"/>
  <c r="AC35" i="7"/>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A30" i="7"/>
  <c r="Z30" i="7"/>
  <c r="Y30" i="7"/>
  <c r="X30" i="7"/>
  <c r="W30" i="7"/>
  <c r="V30" i="7"/>
  <c r="U30" i="7"/>
  <c r="T30" i="7"/>
  <c r="S30" i="7"/>
  <c r="R30" i="7"/>
  <c r="Q30" i="7"/>
  <c r="P30" i="7"/>
  <c r="O30" i="7"/>
  <c r="N30" i="7"/>
  <c r="M30" i="7"/>
  <c r="L30" i="7"/>
  <c r="K30" i="7"/>
  <c r="J30" i="7"/>
  <c r="I30" i="7"/>
  <c r="H30" i="7"/>
  <c r="G30" i="7"/>
  <c r="F30" i="7"/>
  <c r="E30" i="7"/>
  <c r="AD30" i="7" s="1"/>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A26" i="7"/>
  <c r="Z26" i="7"/>
  <c r="Y26" i="7"/>
  <c r="X26" i="7"/>
  <c r="W26" i="7"/>
  <c r="V26" i="7"/>
  <c r="U26" i="7"/>
  <c r="T26" i="7"/>
  <c r="S26" i="7"/>
  <c r="R26" i="7"/>
  <c r="Q26" i="7"/>
  <c r="P26" i="7"/>
  <c r="O26" i="7"/>
  <c r="N26" i="7"/>
  <c r="M26" i="7"/>
  <c r="L26" i="7"/>
  <c r="K26" i="7"/>
  <c r="J26" i="7"/>
  <c r="I26" i="7"/>
  <c r="H26" i="7"/>
  <c r="G26" i="7"/>
  <c r="F26" i="7"/>
  <c r="E26" i="7"/>
  <c r="AD26" i="7" s="1"/>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A23" i="7"/>
  <c r="Z23" i="7"/>
  <c r="Y23" i="7"/>
  <c r="X23" i="7"/>
  <c r="W23" i="7"/>
  <c r="V23" i="7"/>
  <c r="U23" i="7"/>
  <c r="T23" i="7"/>
  <c r="S23" i="7"/>
  <c r="R23" i="7"/>
  <c r="Q23" i="7"/>
  <c r="P23" i="7"/>
  <c r="O23" i="7"/>
  <c r="N23" i="7"/>
  <c r="M23" i="7"/>
  <c r="L23" i="7"/>
  <c r="K23" i="7"/>
  <c r="J23" i="7"/>
  <c r="I23" i="7"/>
  <c r="H23" i="7"/>
  <c r="G23" i="7"/>
  <c r="F23" i="7"/>
  <c r="E23" i="7"/>
  <c r="AD23" i="7" s="1"/>
  <c r="D23" i="7"/>
  <c r="C23" i="7"/>
  <c r="AC22" i="7"/>
  <c r="AA22" i="7"/>
  <c r="Z22" i="7"/>
  <c r="Y22" i="7"/>
  <c r="X22" i="7"/>
  <c r="W22" i="7"/>
  <c r="V22" i="7"/>
  <c r="U22" i="7"/>
  <c r="T22" i="7"/>
  <c r="S22" i="7"/>
  <c r="R22" i="7"/>
  <c r="Q22" i="7"/>
  <c r="P22" i="7"/>
  <c r="O22" i="7"/>
  <c r="N22" i="7"/>
  <c r="M22" i="7"/>
  <c r="L22" i="7"/>
  <c r="K22" i="7"/>
  <c r="J22" i="7"/>
  <c r="I22" i="7"/>
  <c r="H22" i="7"/>
  <c r="G22" i="7"/>
  <c r="F22" i="7"/>
  <c r="E22" i="7"/>
  <c r="AD22" i="7" s="1"/>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AD15" i="7" s="1"/>
  <c r="D15" i="7"/>
  <c r="C15" i="7"/>
  <c r="AC14" i="7"/>
  <c r="AA14" i="7"/>
  <c r="Z14" i="7"/>
  <c r="Y14" i="7"/>
  <c r="X14" i="7"/>
  <c r="W14" i="7"/>
  <c r="V14" i="7"/>
  <c r="U14" i="7"/>
  <c r="T14" i="7"/>
  <c r="S14" i="7"/>
  <c r="R14" i="7"/>
  <c r="Q14" i="7"/>
  <c r="P14" i="7"/>
  <c r="O14" i="7"/>
  <c r="N14" i="7"/>
  <c r="M14" i="7"/>
  <c r="L14" i="7"/>
  <c r="K14" i="7"/>
  <c r="J14" i="7"/>
  <c r="I14" i="7"/>
  <c r="H14" i="7"/>
  <c r="G14" i="7"/>
  <c r="F14" i="7"/>
  <c r="E14" i="7"/>
  <c r="AD14" i="7" s="1"/>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M9" i="7"/>
  <c r="V8" i="7"/>
  <c r="F8" i="7"/>
  <c r="O7" i="7"/>
  <c r="Y6" i="7"/>
  <c r="X6" i="7"/>
  <c r="W6" i="7"/>
  <c r="V6" i="7"/>
  <c r="U6" i="7"/>
  <c r="T6" i="7"/>
  <c r="S6" i="7"/>
  <c r="R6" i="7"/>
  <c r="Q6" i="7"/>
  <c r="P6" i="7"/>
  <c r="O6" i="7"/>
  <c r="N6" i="7"/>
  <c r="M6" i="7"/>
  <c r="L6" i="7"/>
  <c r="J6" i="7"/>
  <c r="I6" i="7"/>
  <c r="H6" i="7"/>
  <c r="F6" i="7"/>
  <c r="E6" i="7"/>
  <c r="D6" i="7"/>
  <c r="C6" i="7"/>
  <c r="AA5" i="7"/>
  <c r="Y5" i="7"/>
  <c r="X5" i="7"/>
  <c r="W5" i="7"/>
  <c r="V5" i="7"/>
  <c r="U5" i="7"/>
  <c r="T5" i="7"/>
  <c r="S5" i="7"/>
  <c r="R5" i="7"/>
  <c r="Q5" i="7"/>
  <c r="P5" i="7"/>
  <c r="O5" i="7"/>
  <c r="N5" i="7"/>
  <c r="M5" i="7"/>
  <c r="L5" i="7"/>
  <c r="J5" i="7"/>
  <c r="I5" i="7"/>
  <c r="H5" i="7"/>
  <c r="G5" i="7"/>
  <c r="F5" i="7"/>
  <c r="E5" i="7"/>
  <c r="D5" i="7"/>
  <c r="C5" i="7"/>
  <c r="AE4" i="7"/>
  <c r="AA4" i="7"/>
  <c r="Z4" i="7"/>
  <c r="Y4" i="7"/>
  <c r="X4" i="7"/>
  <c r="W4" i="7"/>
  <c r="V4" i="7"/>
  <c r="U4" i="7"/>
  <c r="T4" i="7"/>
  <c r="S4" i="7"/>
  <c r="R4" i="7"/>
  <c r="Q4" i="7"/>
  <c r="P4" i="7"/>
  <c r="O4" i="7"/>
  <c r="N4" i="7"/>
  <c r="M4" i="7"/>
  <c r="L4" i="7"/>
  <c r="K4" i="7"/>
  <c r="J4" i="7"/>
  <c r="I4" i="7"/>
  <c r="H4" i="7"/>
  <c r="G4" i="7"/>
  <c r="F4" i="7"/>
  <c r="E4" i="7"/>
  <c r="C4" i="7"/>
  <c r="AE3" i="7"/>
  <c r="AE2" i="7"/>
  <c r="S9" i="7" s="1"/>
  <c r="AC97" i="6"/>
  <c r="AD97" i="6"/>
  <c r="AD96" i="6"/>
  <c r="AC96" i="6"/>
  <c r="AE96" i="6"/>
  <c r="AC95" i="6"/>
  <c r="AC94" i="6"/>
  <c r="AE94" i="6"/>
  <c r="AE93" i="6"/>
  <c r="AC93" i="6"/>
  <c r="AC92" i="6"/>
  <c r="AC91" i="6"/>
  <c r="AC90" i="6"/>
  <c r="AA5" i="6"/>
  <c r="W6" i="6"/>
  <c r="O6" i="6"/>
  <c r="K5" i="6"/>
  <c r="G6" i="6"/>
  <c r="C4" i="6"/>
  <c r="AC89" i="6"/>
  <c r="AD89" i="6"/>
  <c r="AD88" i="6"/>
  <c r="AC88" i="6"/>
  <c r="AE88" i="6"/>
  <c r="AC87" i="6"/>
  <c r="AC86" i="6"/>
  <c r="AE86" i="6"/>
  <c r="AE85" i="6"/>
  <c r="AC85" i="6"/>
  <c r="AD84" i="6"/>
  <c r="AC84" i="6"/>
  <c r="AC83" i="6"/>
  <c r="AD83" i="6"/>
  <c r="AC82" i="6"/>
  <c r="AC81" i="6"/>
  <c r="AD81" i="6"/>
  <c r="AD80" i="6"/>
  <c r="AC80" i="6"/>
  <c r="AE80" i="6"/>
  <c r="AC79" i="6"/>
  <c r="AC78" i="6"/>
  <c r="AE78" i="6"/>
  <c r="AE77" i="6"/>
  <c r="AC77" i="6"/>
  <c r="AD76" i="6"/>
  <c r="AC76" i="6"/>
  <c r="AC75" i="6"/>
  <c r="AD75" i="6"/>
  <c r="AC74" i="6"/>
  <c r="AC73" i="6"/>
  <c r="AD73" i="6"/>
  <c r="AD72" i="6"/>
  <c r="AC72" i="6"/>
  <c r="AE72" i="6"/>
  <c r="AC71"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9" i="6" s="1"/>
  <c r="AC68" i="6"/>
  <c r="AA68" i="6"/>
  <c r="Z68" i="6"/>
  <c r="Y68" i="6"/>
  <c r="X68" i="6"/>
  <c r="W68" i="6"/>
  <c r="V68" i="6"/>
  <c r="U68" i="6"/>
  <c r="T68" i="6"/>
  <c r="S68" i="6"/>
  <c r="R68" i="6"/>
  <c r="Q68" i="6"/>
  <c r="P68" i="6"/>
  <c r="O68" i="6"/>
  <c r="N68" i="6"/>
  <c r="M68" i="6"/>
  <c r="L68" i="6"/>
  <c r="K68" i="6"/>
  <c r="J68" i="6"/>
  <c r="I68" i="6"/>
  <c r="H68" i="6"/>
  <c r="G68" i="6"/>
  <c r="F68" i="6"/>
  <c r="E68" i="6"/>
  <c r="D68" i="6"/>
  <c r="C68" i="6"/>
  <c r="AE68" i="6" s="1"/>
  <c r="AE67" i="6"/>
  <c r="AD67" i="6"/>
  <c r="AC67" i="6"/>
  <c r="AA67" i="6"/>
  <c r="Z67" i="6"/>
  <c r="Y67" i="6"/>
  <c r="X67" i="6"/>
  <c r="W67" i="6"/>
  <c r="V67" i="6"/>
  <c r="U67" i="6"/>
  <c r="T67" i="6"/>
  <c r="S67" i="6"/>
  <c r="R67" i="6"/>
  <c r="Q67" i="6"/>
  <c r="P67" i="6"/>
  <c r="O67" i="6"/>
  <c r="N67" i="6"/>
  <c r="M67" i="6"/>
  <c r="L67" i="6"/>
  <c r="K67" i="6"/>
  <c r="J67" i="6"/>
  <c r="I67" i="6"/>
  <c r="H67" i="6"/>
  <c r="G67" i="6"/>
  <c r="F67" i="6"/>
  <c r="E67" i="6"/>
  <c r="D67" i="6"/>
  <c r="C67" i="6"/>
  <c r="AD66" i="6"/>
  <c r="AC66" i="6"/>
  <c r="AA66" i="6"/>
  <c r="Z66" i="6"/>
  <c r="Y66" i="6"/>
  <c r="X66" i="6"/>
  <c r="W66" i="6"/>
  <c r="V66" i="6"/>
  <c r="U66" i="6"/>
  <c r="T66" i="6"/>
  <c r="S66" i="6"/>
  <c r="R66" i="6"/>
  <c r="Q66" i="6"/>
  <c r="P66" i="6"/>
  <c r="O66" i="6"/>
  <c r="N66" i="6"/>
  <c r="M66" i="6"/>
  <c r="L66" i="6"/>
  <c r="K66" i="6"/>
  <c r="J66" i="6"/>
  <c r="I66" i="6"/>
  <c r="H66" i="6"/>
  <c r="G66" i="6"/>
  <c r="F66" i="6"/>
  <c r="E66" i="6"/>
  <c r="D66" i="6"/>
  <c r="C66" i="6"/>
  <c r="AE65" i="6"/>
  <c r="AD65" i="6"/>
  <c r="AC65" i="6"/>
  <c r="AA65" i="6"/>
  <c r="Z65" i="6"/>
  <c r="Y65" i="6"/>
  <c r="X65" i="6"/>
  <c r="W65" i="6"/>
  <c r="V65" i="6"/>
  <c r="U65" i="6"/>
  <c r="T65" i="6"/>
  <c r="S65" i="6"/>
  <c r="R65" i="6"/>
  <c r="Q65" i="6"/>
  <c r="P65" i="6"/>
  <c r="O65" i="6"/>
  <c r="N65" i="6"/>
  <c r="M65" i="6"/>
  <c r="L65" i="6"/>
  <c r="K65" i="6"/>
  <c r="J65" i="6"/>
  <c r="I65" i="6"/>
  <c r="H65" i="6"/>
  <c r="G65" i="6"/>
  <c r="F65" i="6"/>
  <c r="E65" i="6"/>
  <c r="D65" i="6"/>
  <c r="C65" i="6"/>
  <c r="AC64" i="6"/>
  <c r="AA64" i="6"/>
  <c r="Z64" i="6"/>
  <c r="Y64" i="6"/>
  <c r="X64" i="6"/>
  <c r="W64" i="6"/>
  <c r="V64" i="6"/>
  <c r="U64" i="6"/>
  <c r="T64" i="6"/>
  <c r="S64" i="6"/>
  <c r="R64" i="6"/>
  <c r="Q64" i="6"/>
  <c r="P64" i="6"/>
  <c r="O64" i="6"/>
  <c r="N64" i="6"/>
  <c r="M64" i="6"/>
  <c r="L64" i="6"/>
  <c r="K64" i="6"/>
  <c r="J64" i="6"/>
  <c r="I64" i="6"/>
  <c r="H64" i="6"/>
  <c r="G64" i="6"/>
  <c r="F64" i="6"/>
  <c r="E64" i="6"/>
  <c r="D64" i="6"/>
  <c r="C64" i="6"/>
  <c r="AC63" i="6"/>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D60" i="6"/>
  <c r="AC60" i="6"/>
  <c r="AA60" i="6"/>
  <c r="Z60" i="6"/>
  <c r="Y60" i="6"/>
  <c r="X60" i="6"/>
  <c r="W60" i="6"/>
  <c r="V60" i="6"/>
  <c r="U60" i="6"/>
  <c r="T60" i="6"/>
  <c r="S60" i="6"/>
  <c r="R60" i="6"/>
  <c r="Q60" i="6"/>
  <c r="P60" i="6"/>
  <c r="O60" i="6"/>
  <c r="N60" i="6"/>
  <c r="M60" i="6"/>
  <c r="L60" i="6"/>
  <c r="K60" i="6"/>
  <c r="J60" i="6"/>
  <c r="I60" i="6"/>
  <c r="H60" i="6"/>
  <c r="G60" i="6"/>
  <c r="F60" i="6"/>
  <c r="E60" i="6"/>
  <c r="D60" i="6"/>
  <c r="C60" i="6"/>
  <c r="AC59" i="6"/>
  <c r="AA59" i="6"/>
  <c r="Z59" i="6"/>
  <c r="Y59" i="6"/>
  <c r="X59" i="6"/>
  <c r="W59" i="6"/>
  <c r="V59" i="6"/>
  <c r="U59" i="6"/>
  <c r="T59" i="6"/>
  <c r="S59" i="6"/>
  <c r="R59" i="6"/>
  <c r="Q59" i="6"/>
  <c r="P59" i="6"/>
  <c r="O59" i="6"/>
  <c r="N59" i="6"/>
  <c r="M59" i="6"/>
  <c r="L59" i="6"/>
  <c r="K59" i="6"/>
  <c r="J59" i="6"/>
  <c r="I59" i="6"/>
  <c r="H59" i="6"/>
  <c r="G59" i="6"/>
  <c r="F59" i="6"/>
  <c r="E59" i="6"/>
  <c r="D59" i="6"/>
  <c r="C59" i="6"/>
  <c r="AD58" i="6"/>
  <c r="AC58" i="6"/>
  <c r="AA58" i="6"/>
  <c r="Z58" i="6"/>
  <c r="Y58" i="6"/>
  <c r="X58" i="6"/>
  <c r="W58" i="6"/>
  <c r="V58" i="6"/>
  <c r="U58" i="6"/>
  <c r="T58" i="6"/>
  <c r="S58" i="6"/>
  <c r="R58" i="6"/>
  <c r="Q58" i="6"/>
  <c r="P58" i="6"/>
  <c r="O58" i="6"/>
  <c r="N58" i="6"/>
  <c r="M58" i="6"/>
  <c r="L58" i="6"/>
  <c r="K58" i="6"/>
  <c r="J58" i="6"/>
  <c r="I58" i="6"/>
  <c r="H58" i="6"/>
  <c r="G58" i="6"/>
  <c r="F58" i="6"/>
  <c r="E58" i="6"/>
  <c r="D58" i="6"/>
  <c r="C58" i="6"/>
  <c r="AE58" i="6" s="1"/>
  <c r="AD57" i="6"/>
  <c r="AC57" i="6"/>
  <c r="AA57" i="6"/>
  <c r="Z57" i="6"/>
  <c r="Y57" i="6"/>
  <c r="X57" i="6"/>
  <c r="W57" i="6"/>
  <c r="V57" i="6"/>
  <c r="U57" i="6"/>
  <c r="T57" i="6"/>
  <c r="S57" i="6"/>
  <c r="R57" i="6"/>
  <c r="Q57" i="6"/>
  <c r="P57" i="6"/>
  <c r="O57" i="6"/>
  <c r="N57" i="6"/>
  <c r="M57" i="6"/>
  <c r="L57" i="6"/>
  <c r="K57" i="6"/>
  <c r="J57" i="6"/>
  <c r="I57" i="6"/>
  <c r="H57" i="6"/>
  <c r="G57" i="6"/>
  <c r="F57" i="6"/>
  <c r="E57" i="6"/>
  <c r="D57" i="6"/>
  <c r="C57" i="6"/>
  <c r="AE57" i="6" s="1"/>
  <c r="AD56" i="6"/>
  <c r="AC56" i="6"/>
  <c r="AA56" i="6"/>
  <c r="Z56" i="6"/>
  <c r="Y56" i="6"/>
  <c r="X56" i="6"/>
  <c r="W56" i="6"/>
  <c r="V56" i="6"/>
  <c r="U56" i="6"/>
  <c r="T56" i="6"/>
  <c r="S56" i="6"/>
  <c r="R56" i="6"/>
  <c r="Q56" i="6"/>
  <c r="P56" i="6"/>
  <c r="O56" i="6"/>
  <c r="N56" i="6"/>
  <c r="M56" i="6"/>
  <c r="L56" i="6"/>
  <c r="K56" i="6"/>
  <c r="J56" i="6"/>
  <c r="I56" i="6"/>
  <c r="H56" i="6"/>
  <c r="G56" i="6"/>
  <c r="F56" i="6"/>
  <c r="E56" i="6"/>
  <c r="D56" i="6"/>
  <c r="C56" i="6"/>
  <c r="AE56" i="6" s="1"/>
  <c r="AC55" i="6"/>
  <c r="AA55" i="6"/>
  <c r="Z55" i="6"/>
  <c r="Y55" i="6"/>
  <c r="X55" i="6"/>
  <c r="W55" i="6"/>
  <c r="V55" i="6"/>
  <c r="U55" i="6"/>
  <c r="T55" i="6"/>
  <c r="S55" i="6"/>
  <c r="R55" i="6"/>
  <c r="Q55" i="6"/>
  <c r="P55" i="6"/>
  <c r="O55" i="6"/>
  <c r="N55" i="6"/>
  <c r="M55" i="6"/>
  <c r="L55" i="6"/>
  <c r="K55" i="6"/>
  <c r="J55" i="6"/>
  <c r="I55" i="6"/>
  <c r="H55" i="6"/>
  <c r="G55" i="6"/>
  <c r="AE55" i="6" s="1"/>
  <c r="F55" i="6"/>
  <c r="E55" i="6"/>
  <c r="D55" i="6"/>
  <c r="C55" i="6"/>
  <c r="AC54" i="6"/>
  <c r="AA54" i="6"/>
  <c r="Z54" i="6"/>
  <c r="Y54" i="6"/>
  <c r="X54" i="6"/>
  <c r="W54" i="6"/>
  <c r="V54" i="6"/>
  <c r="U54" i="6"/>
  <c r="T54" i="6"/>
  <c r="S54" i="6"/>
  <c r="R54" i="6"/>
  <c r="Q54" i="6"/>
  <c r="P54" i="6"/>
  <c r="O54" i="6"/>
  <c r="N54" i="6"/>
  <c r="M54" i="6"/>
  <c r="L54" i="6"/>
  <c r="K54" i="6"/>
  <c r="J54" i="6"/>
  <c r="I54" i="6"/>
  <c r="H54" i="6"/>
  <c r="G54" i="6"/>
  <c r="F54" i="6"/>
  <c r="E54" i="6"/>
  <c r="D54" i="6"/>
  <c r="C54" i="6"/>
  <c r="AC53" i="6"/>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F52" i="6"/>
  <c r="E52" i="6"/>
  <c r="D52" i="6"/>
  <c r="C52" i="6"/>
  <c r="AD51" i="6"/>
  <c r="AC51" i="6"/>
  <c r="AA51" i="6"/>
  <c r="Z51" i="6"/>
  <c r="Y51" i="6"/>
  <c r="X51" i="6"/>
  <c r="W51" i="6"/>
  <c r="V51" i="6"/>
  <c r="U51" i="6"/>
  <c r="T51" i="6"/>
  <c r="S51" i="6"/>
  <c r="R51" i="6"/>
  <c r="Q51" i="6"/>
  <c r="P51" i="6"/>
  <c r="O51" i="6"/>
  <c r="N51" i="6"/>
  <c r="M51" i="6"/>
  <c r="L51" i="6"/>
  <c r="K51" i="6"/>
  <c r="J51" i="6"/>
  <c r="I51" i="6"/>
  <c r="H51" i="6"/>
  <c r="G51" i="6"/>
  <c r="AE51" i="6" s="1"/>
  <c r="F51" i="6"/>
  <c r="E51" i="6"/>
  <c r="D51" i="6"/>
  <c r="C51" i="6"/>
  <c r="AD50" i="6"/>
  <c r="AC50" i="6"/>
  <c r="AA50" i="6"/>
  <c r="Z50" i="6"/>
  <c r="Y50" i="6"/>
  <c r="X50" i="6"/>
  <c r="W50" i="6"/>
  <c r="V50" i="6"/>
  <c r="U50" i="6"/>
  <c r="T50" i="6"/>
  <c r="S50" i="6"/>
  <c r="R50" i="6"/>
  <c r="Q50" i="6"/>
  <c r="P50" i="6"/>
  <c r="O50" i="6"/>
  <c r="N50" i="6"/>
  <c r="M50" i="6"/>
  <c r="L50" i="6"/>
  <c r="K50" i="6"/>
  <c r="J50" i="6"/>
  <c r="I50" i="6"/>
  <c r="H50" i="6"/>
  <c r="G50" i="6"/>
  <c r="F50" i="6"/>
  <c r="E50" i="6"/>
  <c r="D50" i="6"/>
  <c r="C50" i="6"/>
  <c r="AE49" i="6"/>
  <c r="AC49" i="6"/>
  <c r="AD49" i="6" s="1"/>
  <c r="AA49" i="6"/>
  <c r="Z49" i="6"/>
  <c r="Y49" i="6"/>
  <c r="X49" i="6"/>
  <c r="W49" i="6"/>
  <c r="V49" i="6"/>
  <c r="U49" i="6"/>
  <c r="T49" i="6"/>
  <c r="S49" i="6"/>
  <c r="R49" i="6"/>
  <c r="Q49" i="6"/>
  <c r="P49" i="6"/>
  <c r="O49" i="6"/>
  <c r="N49" i="6"/>
  <c r="M49" i="6"/>
  <c r="L49" i="6"/>
  <c r="K49" i="6"/>
  <c r="J49" i="6"/>
  <c r="I49" i="6"/>
  <c r="H49" i="6"/>
  <c r="G49" i="6"/>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D48" i="6"/>
  <c r="C48" i="6"/>
  <c r="AD47" i="6"/>
  <c r="AC47" i="6"/>
  <c r="AA47" i="6"/>
  <c r="Z47" i="6"/>
  <c r="Y47" i="6"/>
  <c r="X47" i="6"/>
  <c r="W47" i="6"/>
  <c r="V47" i="6"/>
  <c r="U47" i="6"/>
  <c r="T47" i="6"/>
  <c r="S47" i="6"/>
  <c r="R47" i="6"/>
  <c r="Q47" i="6"/>
  <c r="P47" i="6"/>
  <c r="O47" i="6"/>
  <c r="N47" i="6"/>
  <c r="M47" i="6"/>
  <c r="L47" i="6"/>
  <c r="K47" i="6"/>
  <c r="J47" i="6"/>
  <c r="I47" i="6"/>
  <c r="H47" i="6"/>
  <c r="G47" i="6"/>
  <c r="F47" i="6"/>
  <c r="E47" i="6"/>
  <c r="D47" i="6"/>
  <c r="C47" i="6"/>
  <c r="AE47" i="6" s="1"/>
  <c r="AC46" i="6"/>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F45" i="6"/>
  <c r="E45" i="6"/>
  <c r="D45" i="6"/>
  <c r="C45" i="6"/>
  <c r="AE45" i="6" s="1"/>
  <c r="AD44" i="6"/>
  <c r="AC44" i="6"/>
  <c r="AA44" i="6"/>
  <c r="Z44" i="6"/>
  <c r="Y44" i="6"/>
  <c r="X44" i="6"/>
  <c r="W44" i="6"/>
  <c r="V44" i="6"/>
  <c r="U44" i="6"/>
  <c r="T44" i="6"/>
  <c r="S44" i="6"/>
  <c r="R44" i="6"/>
  <c r="Q44" i="6"/>
  <c r="P44" i="6"/>
  <c r="O44" i="6"/>
  <c r="N44" i="6"/>
  <c r="M44" i="6"/>
  <c r="L44" i="6"/>
  <c r="K44" i="6"/>
  <c r="J44" i="6"/>
  <c r="I44" i="6"/>
  <c r="H44" i="6"/>
  <c r="G44" i="6"/>
  <c r="F44" i="6"/>
  <c r="E44" i="6"/>
  <c r="D44" i="6"/>
  <c r="C44" i="6"/>
  <c r="AC43" i="6"/>
  <c r="AA43" i="6"/>
  <c r="Z43" i="6"/>
  <c r="Y43" i="6"/>
  <c r="X43" i="6"/>
  <c r="W43" i="6"/>
  <c r="V43" i="6"/>
  <c r="U43" i="6"/>
  <c r="T43" i="6"/>
  <c r="S43" i="6"/>
  <c r="R43" i="6"/>
  <c r="Q43" i="6"/>
  <c r="P43" i="6"/>
  <c r="O43" i="6"/>
  <c r="N43" i="6"/>
  <c r="M43" i="6"/>
  <c r="L43" i="6"/>
  <c r="K43" i="6"/>
  <c r="J43" i="6"/>
  <c r="I43" i="6"/>
  <c r="H43" i="6"/>
  <c r="G43" i="6"/>
  <c r="F43" i="6"/>
  <c r="E43" i="6"/>
  <c r="D43" i="6"/>
  <c r="C43" i="6"/>
  <c r="AD43" i="6" s="1"/>
  <c r="AD42" i="6"/>
  <c r="AC42" i="6"/>
  <c r="AA42" i="6"/>
  <c r="Z42" i="6"/>
  <c r="Y42" i="6"/>
  <c r="X42" i="6"/>
  <c r="W42" i="6"/>
  <c r="V42" i="6"/>
  <c r="U42" i="6"/>
  <c r="T42" i="6"/>
  <c r="S42" i="6"/>
  <c r="R42" i="6"/>
  <c r="Q42" i="6"/>
  <c r="P42" i="6"/>
  <c r="O42" i="6"/>
  <c r="N42" i="6"/>
  <c r="M42" i="6"/>
  <c r="L42" i="6"/>
  <c r="K42" i="6"/>
  <c r="J42" i="6"/>
  <c r="I42" i="6"/>
  <c r="H42" i="6"/>
  <c r="G42" i="6"/>
  <c r="F42" i="6"/>
  <c r="E42" i="6"/>
  <c r="D42" i="6"/>
  <c r="C42" i="6"/>
  <c r="AE42" i="6" s="1"/>
  <c r="AD41" i="6"/>
  <c r="AC41" i="6"/>
  <c r="AA41" i="6"/>
  <c r="Z41" i="6"/>
  <c r="Y41" i="6"/>
  <c r="X41" i="6"/>
  <c r="W41" i="6"/>
  <c r="V41" i="6"/>
  <c r="U41" i="6"/>
  <c r="T41" i="6"/>
  <c r="S41" i="6"/>
  <c r="R41" i="6"/>
  <c r="Q41" i="6"/>
  <c r="P41" i="6"/>
  <c r="O41" i="6"/>
  <c r="N41" i="6"/>
  <c r="M41" i="6"/>
  <c r="L41" i="6"/>
  <c r="K41" i="6"/>
  <c r="J41" i="6"/>
  <c r="I41" i="6"/>
  <c r="H41" i="6"/>
  <c r="G41" i="6"/>
  <c r="F41" i="6"/>
  <c r="E41" i="6"/>
  <c r="D41" i="6"/>
  <c r="C41" i="6"/>
  <c r="AE41" i="6" s="1"/>
  <c r="AE40" i="6"/>
  <c r="AD40" i="6"/>
  <c r="AC40" i="6"/>
  <c r="AA40" i="6"/>
  <c r="Z40" i="6"/>
  <c r="Y40" i="6"/>
  <c r="X40" i="6"/>
  <c r="W40" i="6"/>
  <c r="V40" i="6"/>
  <c r="U40" i="6"/>
  <c r="T40" i="6"/>
  <c r="S40" i="6"/>
  <c r="R40" i="6"/>
  <c r="Q40" i="6"/>
  <c r="P40" i="6"/>
  <c r="O40" i="6"/>
  <c r="N40" i="6"/>
  <c r="M40" i="6"/>
  <c r="L40" i="6"/>
  <c r="K40" i="6"/>
  <c r="J40" i="6"/>
  <c r="I40" i="6"/>
  <c r="H40" i="6"/>
  <c r="G40" i="6"/>
  <c r="F40" i="6"/>
  <c r="E40" i="6"/>
  <c r="D40" i="6"/>
  <c r="C40" i="6"/>
  <c r="AD39" i="6"/>
  <c r="AC39" i="6"/>
  <c r="AA39" i="6"/>
  <c r="Z39" i="6"/>
  <c r="Y39" i="6"/>
  <c r="X39" i="6"/>
  <c r="W39" i="6"/>
  <c r="V39" i="6"/>
  <c r="U39" i="6"/>
  <c r="T39" i="6"/>
  <c r="S39" i="6"/>
  <c r="R39" i="6"/>
  <c r="Q39" i="6"/>
  <c r="P39" i="6"/>
  <c r="O39" i="6"/>
  <c r="N39" i="6"/>
  <c r="M39" i="6"/>
  <c r="L39" i="6"/>
  <c r="K39" i="6"/>
  <c r="J39" i="6"/>
  <c r="I39" i="6"/>
  <c r="H39" i="6"/>
  <c r="G39" i="6"/>
  <c r="F39" i="6"/>
  <c r="E39" i="6"/>
  <c r="D39" i="6"/>
  <c r="C39" i="6"/>
  <c r="AE39" i="6" s="1"/>
  <c r="AE38" i="6"/>
  <c r="AC38" i="6"/>
  <c r="AD38" i="6" s="1"/>
  <c r="AA38" i="6"/>
  <c r="Z38" i="6"/>
  <c r="Y38" i="6"/>
  <c r="X38" i="6"/>
  <c r="W38" i="6"/>
  <c r="V38" i="6"/>
  <c r="U38" i="6"/>
  <c r="T38" i="6"/>
  <c r="S38" i="6"/>
  <c r="R38" i="6"/>
  <c r="Q38" i="6"/>
  <c r="P38" i="6"/>
  <c r="O38" i="6"/>
  <c r="N38" i="6"/>
  <c r="M38" i="6"/>
  <c r="L38" i="6"/>
  <c r="K38" i="6"/>
  <c r="J38" i="6"/>
  <c r="I38" i="6"/>
  <c r="H38" i="6"/>
  <c r="G38" i="6"/>
  <c r="F38" i="6"/>
  <c r="E38" i="6"/>
  <c r="D38" i="6"/>
  <c r="C38" i="6"/>
  <c r="AD37" i="6"/>
  <c r="AC37" i="6"/>
  <c r="AA37" i="6"/>
  <c r="Z37" i="6"/>
  <c r="Y37" i="6"/>
  <c r="X37" i="6"/>
  <c r="W37" i="6"/>
  <c r="V37" i="6"/>
  <c r="U37" i="6"/>
  <c r="T37" i="6"/>
  <c r="S37" i="6"/>
  <c r="R37" i="6"/>
  <c r="Q37" i="6"/>
  <c r="P37" i="6"/>
  <c r="O37" i="6"/>
  <c r="N37" i="6"/>
  <c r="M37" i="6"/>
  <c r="L37" i="6"/>
  <c r="K37" i="6"/>
  <c r="J37" i="6"/>
  <c r="I37" i="6"/>
  <c r="H37" i="6"/>
  <c r="G37" i="6"/>
  <c r="F37" i="6"/>
  <c r="E37" i="6"/>
  <c r="D37" i="6"/>
  <c r="C37" i="6"/>
  <c r="AE37" i="6" s="1"/>
  <c r="AE36" i="6"/>
  <c r="AD36" i="6"/>
  <c r="AC36" i="6"/>
  <c r="AA36" i="6"/>
  <c r="Z36" i="6"/>
  <c r="Y36" i="6"/>
  <c r="X36" i="6"/>
  <c r="W36" i="6"/>
  <c r="V36" i="6"/>
  <c r="U36" i="6"/>
  <c r="T36" i="6"/>
  <c r="S36" i="6"/>
  <c r="R36" i="6"/>
  <c r="Q36" i="6"/>
  <c r="P36" i="6"/>
  <c r="O36" i="6"/>
  <c r="N36" i="6"/>
  <c r="M36" i="6"/>
  <c r="L36" i="6"/>
  <c r="K36" i="6"/>
  <c r="J36" i="6"/>
  <c r="I36" i="6"/>
  <c r="H36" i="6"/>
  <c r="G36" i="6"/>
  <c r="F36" i="6"/>
  <c r="E36" i="6"/>
  <c r="D36" i="6"/>
  <c r="C36" i="6"/>
  <c r="AD35" i="6"/>
  <c r="AC35" i="6"/>
  <c r="AA35" i="6"/>
  <c r="Z35" i="6"/>
  <c r="Y35" i="6"/>
  <c r="X35" i="6"/>
  <c r="W35" i="6"/>
  <c r="V35" i="6"/>
  <c r="U35" i="6"/>
  <c r="T35" i="6"/>
  <c r="S35" i="6"/>
  <c r="R35" i="6"/>
  <c r="Q35" i="6"/>
  <c r="P35" i="6"/>
  <c r="O35" i="6"/>
  <c r="N35" i="6"/>
  <c r="M35" i="6"/>
  <c r="L35" i="6"/>
  <c r="K35" i="6"/>
  <c r="J35" i="6"/>
  <c r="I35" i="6"/>
  <c r="H35" i="6"/>
  <c r="G35" i="6"/>
  <c r="F35" i="6"/>
  <c r="E35" i="6"/>
  <c r="D35" i="6"/>
  <c r="C35" i="6"/>
  <c r="AE35" i="6" s="1"/>
  <c r="AE34" i="6"/>
  <c r="AC34" i="6"/>
  <c r="AD34" i="6" s="1"/>
  <c r="AA34" i="6"/>
  <c r="Z34" i="6"/>
  <c r="Y34" i="6"/>
  <c r="X34" i="6"/>
  <c r="W34" i="6"/>
  <c r="V34" i="6"/>
  <c r="U34" i="6"/>
  <c r="T34" i="6"/>
  <c r="S34" i="6"/>
  <c r="R34" i="6"/>
  <c r="Q34" i="6"/>
  <c r="P34" i="6"/>
  <c r="O34" i="6"/>
  <c r="N34" i="6"/>
  <c r="M34" i="6"/>
  <c r="L34" i="6"/>
  <c r="K34" i="6"/>
  <c r="J34" i="6"/>
  <c r="I34" i="6"/>
  <c r="H34" i="6"/>
  <c r="G34" i="6"/>
  <c r="F34" i="6"/>
  <c r="E34" i="6"/>
  <c r="D34" i="6"/>
  <c r="C34" i="6"/>
  <c r="AD33" i="6"/>
  <c r="AC33" i="6"/>
  <c r="AA33" i="6"/>
  <c r="Z33" i="6"/>
  <c r="Y33" i="6"/>
  <c r="X33" i="6"/>
  <c r="W33" i="6"/>
  <c r="V33" i="6"/>
  <c r="U33" i="6"/>
  <c r="T33" i="6"/>
  <c r="S33" i="6"/>
  <c r="R33" i="6"/>
  <c r="Q33" i="6"/>
  <c r="P33" i="6"/>
  <c r="O33" i="6"/>
  <c r="N33" i="6"/>
  <c r="M33" i="6"/>
  <c r="L33" i="6"/>
  <c r="K33" i="6"/>
  <c r="J33" i="6"/>
  <c r="I33" i="6"/>
  <c r="H33" i="6"/>
  <c r="G33" i="6"/>
  <c r="F33" i="6"/>
  <c r="E33" i="6"/>
  <c r="D33" i="6"/>
  <c r="C33" i="6"/>
  <c r="AE33" i="6" s="1"/>
  <c r="AE32" i="6"/>
  <c r="AD32" i="6"/>
  <c r="AC32" i="6"/>
  <c r="AA32" i="6"/>
  <c r="Z32" i="6"/>
  <c r="Y32" i="6"/>
  <c r="X32" i="6"/>
  <c r="W32" i="6"/>
  <c r="V32" i="6"/>
  <c r="U32" i="6"/>
  <c r="T32" i="6"/>
  <c r="S32" i="6"/>
  <c r="R32" i="6"/>
  <c r="Q32" i="6"/>
  <c r="P32" i="6"/>
  <c r="O32" i="6"/>
  <c r="N32" i="6"/>
  <c r="M32" i="6"/>
  <c r="L32" i="6"/>
  <c r="K32" i="6"/>
  <c r="J32" i="6"/>
  <c r="I32" i="6"/>
  <c r="H32" i="6"/>
  <c r="G32" i="6"/>
  <c r="F32" i="6"/>
  <c r="E32" i="6"/>
  <c r="D32" i="6"/>
  <c r="C32" i="6"/>
  <c r="AD31" i="6"/>
  <c r="AC31" i="6"/>
  <c r="AA31" i="6"/>
  <c r="Z31" i="6"/>
  <c r="Y31" i="6"/>
  <c r="X31" i="6"/>
  <c r="W31" i="6"/>
  <c r="V31" i="6"/>
  <c r="U31" i="6"/>
  <c r="T31" i="6"/>
  <c r="S31" i="6"/>
  <c r="R31" i="6"/>
  <c r="Q31" i="6"/>
  <c r="P31" i="6"/>
  <c r="O31" i="6"/>
  <c r="N31" i="6"/>
  <c r="M31" i="6"/>
  <c r="L31" i="6"/>
  <c r="K31" i="6"/>
  <c r="J31" i="6"/>
  <c r="I31" i="6"/>
  <c r="H31" i="6"/>
  <c r="G31" i="6"/>
  <c r="F31" i="6"/>
  <c r="E31" i="6"/>
  <c r="D31" i="6"/>
  <c r="C31" i="6"/>
  <c r="AE31" i="6" s="1"/>
  <c r="AE30" i="6"/>
  <c r="AD30" i="6"/>
  <c r="AC30" i="6"/>
  <c r="AA30" i="6"/>
  <c r="Z30" i="6"/>
  <c r="Y30" i="6"/>
  <c r="X30" i="6"/>
  <c r="W30" i="6"/>
  <c r="V30" i="6"/>
  <c r="U30" i="6"/>
  <c r="T30" i="6"/>
  <c r="S30" i="6"/>
  <c r="R30" i="6"/>
  <c r="Q30" i="6"/>
  <c r="P30" i="6"/>
  <c r="O30" i="6"/>
  <c r="N30" i="6"/>
  <c r="M30" i="6"/>
  <c r="L30" i="6"/>
  <c r="K30" i="6"/>
  <c r="J30" i="6"/>
  <c r="I30" i="6"/>
  <c r="H30" i="6"/>
  <c r="G30" i="6"/>
  <c r="F30" i="6"/>
  <c r="E30" i="6"/>
  <c r="D30" i="6"/>
  <c r="C30" i="6"/>
  <c r="AD29" i="6"/>
  <c r="AC29" i="6"/>
  <c r="AA29" i="6"/>
  <c r="Z29" i="6"/>
  <c r="Y29" i="6"/>
  <c r="X29" i="6"/>
  <c r="W29" i="6"/>
  <c r="V29" i="6"/>
  <c r="U29" i="6"/>
  <c r="T29" i="6"/>
  <c r="S29" i="6"/>
  <c r="R29" i="6"/>
  <c r="Q29" i="6"/>
  <c r="P29" i="6"/>
  <c r="O29" i="6"/>
  <c r="N29" i="6"/>
  <c r="M29" i="6"/>
  <c r="L29" i="6"/>
  <c r="K29" i="6"/>
  <c r="J29" i="6"/>
  <c r="I29" i="6"/>
  <c r="H29" i="6"/>
  <c r="G29" i="6"/>
  <c r="F29" i="6"/>
  <c r="E29" i="6"/>
  <c r="D29" i="6"/>
  <c r="C29" i="6"/>
  <c r="AE29" i="6" s="1"/>
  <c r="AE28"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D27" i="6"/>
  <c r="AC27" i="6"/>
  <c r="AA27" i="6"/>
  <c r="Z27" i="6"/>
  <c r="Y27" i="6"/>
  <c r="X27" i="6"/>
  <c r="W27" i="6"/>
  <c r="V27" i="6"/>
  <c r="U27" i="6"/>
  <c r="T27" i="6"/>
  <c r="S27" i="6"/>
  <c r="R27" i="6"/>
  <c r="Q27" i="6"/>
  <c r="P27" i="6"/>
  <c r="O27" i="6"/>
  <c r="N27" i="6"/>
  <c r="M27" i="6"/>
  <c r="L27" i="6"/>
  <c r="K27" i="6"/>
  <c r="J27" i="6"/>
  <c r="I27" i="6"/>
  <c r="H27" i="6"/>
  <c r="G27" i="6"/>
  <c r="F27" i="6"/>
  <c r="E27" i="6"/>
  <c r="D27" i="6"/>
  <c r="C27" i="6"/>
  <c r="AE27" i="6" s="1"/>
  <c r="AE26" i="6"/>
  <c r="AC26" i="6"/>
  <c r="AD26" i="6" s="1"/>
  <c r="AA26" i="6"/>
  <c r="Z26" i="6"/>
  <c r="Y26" i="6"/>
  <c r="X26" i="6"/>
  <c r="W26" i="6"/>
  <c r="V26" i="6"/>
  <c r="U26" i="6"/>
  <c r="T26" i="6"/>
  <c r="S26" i="6"/>
  <c r="R26" i="6"/>
  <c r="Q26" i="6"/>
  <c r="P26" i="6"/>
  <c r="O26" i="6"/>
  <c r="N26" i="6"/>
  <c r="M26" i="6"/>
  <c r="L26" i="6"/>
  <c r="K26" i="6"/>
  <c r="J26" i="6"/>
  <c r="I26" i="6"/>
  <c r="H26" i="6"/>
  <c r="G26" i="6"/>
  <c r="F26" i="6"/>
  <c r="E26" i="6"/>
  <c r="D26" i="6"/>
  <c r="C26" i="6"/>
  <c r="AD25" i="6"/>
  <c r="AC25" i="6"/>
  <c r="AA25" i="6"/>
  <c r="Z25" i="6"/>
  <c r="Y25" i="6"/>
  <c r="X25" i="6"/>
  <c r="W25" i="6"/>
  <c r="V25" i="6"/>
  <c r="U25" i="6"/>
  <c r="T25" i="6"/>
  <c r="S25" i="6"/>
  <c r="R25" i="6"/>
  <c r="Q25" i="6"/>
  <c r="P25" i="6"/>
  <c r="O25" i="6"/>
  <c r="N25" i="6"/>
  <c r="M25" i="6"/>
  <c r="L25" i="6"/>
  <c r="K25" i="6"/>
  <c r="J25" i="6"/>
  <c r="I25" i="6"/>
  <c r="H25" i="6"/>
  <c r="G25" i="6"/>
  <c r="F25" i="6"/>
  <c r="E25" i="6"/>
  <c r="D25" i="6"/>
  <c r="C25" i="6"/>
  <c r="AE25" i="6" s="1"/>
  <c r="AE24" i="6"/>
  <c r="AD24" i="6"/>
  <c r="AC24" i="6"/>
  <c r="AA24" i="6"/>
  <c r="Z24" i="6"/>
  <c r="Y24" i="6"/>
  <c r="X24" i="6"/>
  <c r="W24" i="6"/>
  <c r="V24" i="6"/>
  <c r="U24" i="6"/>
  <c r="T24" i="6"/>
  <c r="S24" i="6"/>
  <c r="R24" i="6"/>
  <c r="Q24" i="6"/>
  <c r="P24" i="6"/>
  <c r="O24" i="6"/>
  <c r="N24" i="6"/>
  <c r="M24" i="6"/>
  <c r="L24" i="6"/>
  <c r="K24" i="6"/>
  <c r="J24" i="6"/>
  <c r="I24" i="6"/>
  <c r="H24" i="6"/>
  <c r="G24" i="6"/>
  <c r="F24" i="6"/>
  <c r="E24" i="6"/>
  <c r="D24" i="6"/>
  <c r="C24" i="6"/>
  <c r="AD23" i="6"/>
  <c r="AC23" i="6"/>
  <c r="AA23" i="6"/>
  <c r="Z23" i="6"/>
  <c r="Y23" i="6"/>
  <c r="X23" i="6"/>
  <c r="W23" i="6"/>
  <c r="V23" i="6"/>
  <c r="U23" i="6"/>
  <c r="T23" i="6"/>
  <c r="S23" i="6"/>
  <c r="R23" i="6"/>
  <c r="Q23" i="6"/>
  <c r="P23" i="6"/>
  <c r="O23" i="6"/>
  <c r="N23" i="6"/>
  <c r="M23" i="6"/>
  <c r="L23" i="6"/>
  <c r="K23" i="6"/>
  <c r="J23" i="6"/>
  <c r="I23" i="6"/>
  <c r="H23" i="6"/>
  <c r="G23" i="6"/>
  <c r="F23" i="6"/>
  <c r="E23" i="6"/>
  <c r="D23" i="6"/>
  <c r="C23" i="6"/>
  <c r="AE23" i="6" s="1"/>
  <c r="AE22" i="6"/>
  <c r="AC22" i="6"/>
  <c r="AD22" i="6" s="1"/>
  <c r="AA22" i="6"/>
  <c r="Z22" i="6"/>
  <c r="Y22" i="6"/>
  <c r="X22" i="6"/>
  <c r="W22" i="6"/>
  <c r="V22" i="6"/>
  <c r="U22" i="6"/>
  <c r="T22" i="6"/>
  <c r="S22" i="6"/>
  <c r="R22" i="6"/>
  <c r="Q22" i="6"/>
  <c r="P22" i="6"/>
  <c r="O22" i="6"/>
  <c r="N22" i="6"/>
  <c r="M22" i="6"/>
  <c r="L22" i="6"/>
  <c r="K22" i="6"/>
  <c r="J22" i="6"/>
  <c r="I22" i="6"/>
  <c r="H22" i="6"/>
  <c r="G22" i="6"/>
  <c r="F22" i="6"/>
  <c r="E22" i="6"/>
  <c r="D22" i="6"/>
  <c r="C22" i="6"/>
  <c r="AD21" i="6"/>
  <c r="AC21" i="6"/>
  <c r="AA21" i="6"/>
  <c r="Z21" i="6"/>
  <c r="Y21" i="6"/>
  <c r="X21" i="6"/>
  <c r="W21" i="6"/>
  <c r="V21" i="6"/>
  <c r="U21" i="6"/>
  <c r="T21" i="6"/>
  <c r="S21" i="6"/>
  <c r="R21" i="6"/>
  <c r="Q21" i="6"/>
  <c r="P21" i="6"/>
  <c r="O21" i="6"/>
  <c r="N21" i="6"/>
  <c r="M21" i="6"/>
  <c r="L21" i="6"/>
  <c r="K21" i="6"/>
  <c r="J21" i="6"/>
  <c r="I21" i="6"/>
  <c r="H21" i="6"/>
  <c r="G21" i="6"/>
  <c r="F21" i="6"/>
  <c r="E21" i="6"/>
  <c r="D21" i="6"/>
  <c r="C21" i="6"/>
  <c r="AE21" i="6" s="1"/>
  <c r="AE20" i="6"/>
  <c r="AD20" i="6"/>
  <c r="AC20" i="6"/>
  <c r="AA20" i="6"/>
  <c r="Z20" i="6"/>
  <c r="Y20" i="6"/>
  <c r="X20" i="6"/>
  <c r="W20" i="6"/>
  <c r="V20" i="6"/>
  <c r="U20" i="6"/>
  <c r="T20" i="6"/>
  <c r="S20" i="6"/>
  <c r="R20" i="6"/>
  <c r="Q20" i="6"/>
  <c r="P20" i="6"/>
  <c r="O20" i="6"/>
  <c r="N20" i="6"/>
  <c r="M20" i="6"/>
  <c r="L20" i="6"/>
  <c r="K20" i="6"/>
  <c r="J20" i="6"/>
  <c r="I20" i="6"/>
  <c r="H20" i="6"/>
  <c r="G20" i="6"/>
  <c r="F20" i="6"/>
  <c r="E20" i="6"/>
  <c r="D20" i="6"/>
  <c r="C20" i="6"/>
  <c r="AD19" i="6"/>
  <c r="AC19" i="6"/>
  <c r="AA19" i="6"/>
  <c r="Z19" i="6"/>
  <c r="Y19" i="6"/>
  <c r="X19" i="6"/>
  <c r="W19" i="6"/>
  <c r="V19" i="6"/>
  <c r="U19" i="6"/>
  <c r="T19" i="6"/>
  <c r="S19" i="6"/>
  <c r="R19" i="6"/>
  <c r="Q19" i="6"/>
  <c r="P19" i="6"/>
  <c r="O19" i="6"/>
  <c r="N19" i="6"/>
  <c r="M19" i="6"/>
  <c r="L19" i="6"/>
  <c r="K19" i="6"/>
  <c r="J19" i="6"/>
  <c r="I19" i="6"/>
  <c r="H19" i="6"/>
  <c r="G19" i="6"/>
  <c r="F19" i="6"/>
  <c r="E19" i="6"/>
  <c r="D19" i="6"/>
  <c r="C19" i="6"/>
  <c r="AE19" i="6" s="1"/>
  <c r="AE18" i="6"/>
  <c r="AC18" i="6"/>
  <c r="AD18" i="6" s="1"/>
  <c r="AA18" i="6"/>
  <c r="Z18" i="6"/>
  <c r="Y18" i="6"/>
  <c r="X18" i="6"/>
  <c r="W18" i="6"/>
  <c r="V18" i="6"/>
  <c r="U18" i="6"/>
  <c r="T18" i="6"/>
  <c r="S18" i="6"/>
  <c r="R18" i="6"/>
  <c r="Q18" i="6"/>
  <c r="P18" i="6"/>
  <c r="O18" i="6"/>
  <c r="N18" i="6"/>
  <c r="M18" i="6"/>
  <c r="L18" i="6"/>
  <c r="K18" i="6"/>
  <c r="J18" i="6"/>
  <c r="I18" i="6"/>
  <c r="H18" i="6"/>
  <c r="G18" i="6"/>
  <c r="F18" i="6"/>
  <c r="E18" i="6"/>
  <c r="D18" i="6"/>
  <c r="C18" i="6"/>
  <c r="AD17" i="6"/>
  <c r="AC17" i="6"/>
  <c r="AA17" i="6"/>
  <c r="Z17" i="6"/>
  <c r="Y17" i="6"/>
  <c r="X17" i="6"/>
  <c r="W17" i="6"/>
  <c r="V17" i="6"/>
  <c r="U17" i="6"/>
  <c r="T17" i="6"/>
  <c r="S17" i="6"/>
  <c r="R17" i="6"/>
  <c r="Q17" i="6"/>
  <c r="P17" i="6"/>
  <c r="O17" i="6"/>
  <c r="N17" i="6"/>
  <c r="M17" i="6"/>
  <c r="L17" i="6"/>
  <c r="K17" i="6"/>
  <c r="J17" i="6"/>
  <c r="I17" i="6"/>
  <c r="H17" i="6"/>
  <c r="G17" i="6"/>
  <c r="F17" i="6"/>
  <c r="E17" i="6"/>
  <c r="D17" i="6"/>
  <c r="C17" i="6"/>
  <c r="AE17" i="6" s="1"/>
  <c r="AE16" i="6"/>
  <c r="AD16" i="6"/>
  <c r="AC16" i="6"/>
  <c r="AA16" i="6"/>
  <c r="Z16" i="6"/>
  <c r="Y16" i="6"/>
  <c r="X16" i="6"/>
  <c r="W16" i="6"/>
  <c r="V16" i="6"/>
  <c r="U16" i="6"/>
  <c r="T16" i="6"/>
  <c r="S16" i="6"/>
  <c r="R16" i="6"/>
  <c r="Q16" i="6"/>
  <c r="P16" i="6"/>
  <c r="O16" i="6"/>
  <c r="N16" i="6"/>
  <c r="M16" i="6"/>
  <c r="L16" i="6"/>
  <c r="K16" i="6"/>
  <c r="J16" i="6"/>
  <c r="I16" i="6"/>
  <c r="H16" i="6"/>
  <c r="G16" i="6"/>
  <c r="F16" i="6"/>
  <c r="E16" i="6"/>
  <c r="D16" i="6"/>
  <c r="C16" i="6"/>
  <c r="AD15" i="6"/>
  <c r="AC15" i="6"/>
  <c r="AA15" i="6"/>
  <c r="Z15" i="6"/>
  <c r="Y15" i="6"/>
  <c r="X15" i="6"/>
  <c r="W15" i="6"/>
  <c r="V15" i="6"/>
  <c r="U15" i="6"/>
  <c r="T15" i="6"/>
  <c r="S15" i="6"/>
  <c r="R15" i="6"/>
  <c r="Q15" i="6"/>
  <c r="P15" i="6"/>
  <c r="O15" i="6"/>
  <c r="N15" i="6"/>
  <c r="M15" i="6"/>
  <c r="L15" i="6"/>
  <c r="K15" i="6"/>
  <c r="J15" i="6"/>
  <c r="I15" i="6"/>
  <c r="H15" i="6"/>
  <c r="G15" i="6"/>
  <c r="F15" i="6"/>
  <c r="E15" i="6"/>
  <c r="D15" i="6"/>
  <c r="C15" i="6"/>
  <c r="AE15" i="6" s="1"/>
  <c r="AE14" i="6"/>
  <c r="AD14" i="6"/>
  <c r="AC14" i="6"/>
  <c r="AA14" i="6"/>
  <c r="Z14" i="6"/>
  <c r="Y14" i="6"/>
  <c r="X14" i="6"/>
  <c r="W14" i="6"/>
  <c r="V14" i="6"/>
  <c r="U14" i="6"/>
  <c r="T14" i="6"/>
  <c r="S14" i="6"/>
  <c r="R14" i="6"/>
  <c r="Q14" i="6"/>
  <c r="P14" i="6"/>
  <c r="O14" i="6"/>
  <c r="N14" i="6"/>
  <c r="M14" i="6"/>
  <c r="L14" i="6"/>
  <c r="K14" i="6"/>
  <c r="J14" i="6"/>
  <c r="I14" i="6"/>
  <c r="H14" i="6"/>
  <c r="G14" i="6"/>
  <c r="F14" i="6"/>
  <c r="E14" i="6"/>
  <c r="D14" i="6"/>
  <c r="C14" i="6"/>
  <c r="AD13" i="6"/>
  <c r="AC13" i="6"/>
  <c r="AA13" i="6"/>
  <c r="Z13" i="6"/>
  <c r="Y13" i="6"/>
  <c r="X13" i="6"/>
  <c r="W13" i="6"/>
  <c r="V13" i="6"/>
  <c r="U13" i="6"/>
  <c r="T13" i="6"/>
  <c r="S13" i="6"/>
  <c r="R13" i="6"/>
  <c r="Q13" i="6"/>
  <c r="P13" i="6"/>
  <c r="O13" i="6"/>
  <c r="N13" i="6"/>
  <c r="M13" i="6"/>
  <c r="L13" i="6"/>
  <c r="K13" i="6"/>
  <c r="J13" i="6"/>
  <c r="I13" i="6"/>
  <c r="H13" i="6"/>
  <c r="G13" i="6"/>
  <c r="F13" i="6"/>
  <c r="E13" i="6"/>
  <c r="D13" i="6"/>
  <c r="C13" i="6"/>
  <c r="AE13" i="6" s="1"/>
  <c r="AE12" i="6"/>
  <c r="AC12" i="6"/>
  <c r="AD12" i="6" s="1"/>
  <c r="Z12" i="6"/>
  <c r="Y12" i="6"/>
  <c r="X12" i="6"/>
  <c r="W12" i="6"/>
  <c r="V12" i="6"/>
  <c r="U12" i="6"/>
  <c r="T12" i="6"/>
  <c r="S12" i="6"/>
  <c r="R12" i="6"/>
  <c r="Q12" i="6"/>
  <c r="P12" i="6"/>
  <c r="O12" i="6"/>
  <c r="N12" i="6"/>
  <c r="M12" i="6"/>
  <c r="L12" i="6"/>
  <c r="K12" i="6"/>
  <c r="J12" i="6"/>
  <c r="I12" i="6"/>
  <c r="H12" i="6"/>
  <c r="G12" i="6"/>
  <c r="F12" i="6"/>
  <c r="E12" i="6"/>
  <c r="D12" i="6"/>
  <c r="C12" i="6"/>
  <c r="AA12" i="6" s="1"/>
  <c r="AD11" i="6"/>
  <c r="AC11" i="6"/>
  <c r="Z11" i="6"/>
  <c r="Y11" i="6"/>
  <c r="X11" i="6"/>
  <c r="W11" i="6"/>
  <c r="V11" i="6"/>
  <c r="U11" i="6"/>
  <c r="T11" i="6"/>
  <c r="S11" i="6"/>
  <c r="R11" i="6"/>
  <c r="Q11" i="6"/>
  <c r="P11" i="6"/>
  <c r="O11" i="6"/>
  <c r="N11" i="6"/>
  <c r="M11" i="6"/>
  <c r="L11" i="6"/>
  <c r="K11" i="6"/>
  <c r="J11" i="6"/>
  <c r="I11" i="6"/>
  <c r="H11" i="6"/>
  <c r="G11" i="6"/>
  <c r="F11" i="6"/>
  <c r="E11" i="6"/>
  <c r="D11" i="6"/>
  <c r="C11" i="6"/>
  <c r="AE11" i="6" s="1"/>
  <c r="Y9" i="6"/>
  <c r="R9" i="6"/>
  <c r="Q9" i="6"/>
  <c r="I9" i="6"/>
  <c r="AA8" i="6"/>
  <c r="Z8" i="6"/>
  <c r="K8" i="6"/>
  <c r="J8" i="6"/>
  <c r="AA7" i="6"/>
  <c r="S7" i="6"/>
  <c r="K7" i="6"/>
  <c r="AA6" i="6"/>
  <c r="Z6" i="6"/>
  <c r="Y6" i="6"/>
  <c r="X6" i="6"/>
  <c r="V6" i="6"/>
  <c r="U6" i="6"/>
  <c r="T6" i="6"/>
  <c r="T7" i="6" s="1"/>
  <c r="S6" i="6"/>
  <c r="R6" i="6"/>
  <c r="Q6" i="6"/>
  <c r="P6" i="6"/>
  <c r="N6" i="6"/>
  <c r="M6" i="6"/>
  <c r="L6" i="6"/>
  <c r="K6" i="6"/>
  <c r="J6" i="6"/>
  <c r="I6" i="6"/>
  <c r="H6" i="6"/>
  <c r="F6" i="6"/>
  <c r="E6" i="6"/>
  <c r="C6" i="6"/>
  <c r="C7" i="6" s="1"/>
  <c r="Z5" i="6"/>
  <c r="Y5" i="6"/>
  <c r="X5" i="6"/>
  <c r="W5" i="6"/>
  <c r="V5" i="6"/>
  <c r="U5" i="6"/>
  <c r="T5" i="6"/>
  <c r="R5" i="6"/>
  <c r="Q5" i="6"/>
  <c r="P5" i="6"/>
  <c r="N5" i="6"/>
  <c r="M5" i="6"/>
  <c r="L5" i="6"/>
  <c r="J5" i="6"/>
  <c r="I5" i="6"/>
  <c r="H5" i="6"/>
  <c r="G5" i="6"/>
  <c r="F5" i="6"/>
  <c r="E5" i="6"/>
  <c r="D5" i="6"/>
  <c r="AE4" i="6"/>
  <c r="R8" i="6" s="1"/>
  <c r="Z4" i="6"/>
  <c r="Y4" i="6"/>
  <c r="X4" i="6"/>
  <c r="W4" i="6"/>
  <c r="V4" i="6"/>
  <c r="T4" i="6"/>
  <c r="R4" i="6"/>
  <c r="Q4" i="6"/>
  <c r="P4" i="6"/>
  <c r="L4" i="6"/>
  <c r="J4" i="6"/>
  <c r="I4" i="6"/>
  <c r="H4" i="6"/>
  <c r="G4" i="6"/>
  <c r="AE3" i="6"/>
  <c r="AE2" i="6"/>
  <c r="AD98" i="5"/>
  <c r="AC98" i="5"/>
  <c r="AD97" i="5"/>
  <c r="AC97" i="5"/>
  <c r="U9" i="5"/>
  <c r="S9" i="5"/>
  <c r="M9" i="5"/>
  <c r="K9" i="5"/>
  <c r="E9" i="5"/>
  <c r="C9" i="5"/>
  <c r="AD96" i="5"/>
  <c r="AC96" i="5"/>
  <c r="AE96" i="5" s="1"/>
  <c r="AD95" i="5"/>
  <c r="AC95" i="5"/>
  <c r="AE95" i="5"/>
  <c r="AC94" i="5"/>
  <c r="AC93" i="5"/>
  <c r="AC92" i="5"/>
  <c r="AE92" i="5" s="1"/>
  <c r="AE91" i="5"/>
  <c r="AC91" i="5"/>
  <c r="AD91" i="5" s="1"/>
  <c r="AE90" i="5"/>
  <c r="AD90" i="5"/>
  <c r="AC90" i="5"/>
  <c r="AC89" i="5"/>
  <c r="AE89" i="5" s="1"/>
  <c r="AC88" i="5"/>
  <c r="AD88" i="5"/>
  <c r="AE87" i="5"/>
  <c r="AD87" i="5"/>
  <c r="AC87" i="5"/>
  <c r="AC86" i="5"/>
  <c r="AC85" i="5"/>
  <c r="AC84" i="5"/>
  <c r="AC83" i="5"/>
  <c r="AD83" i="5" s="1"/>
  <c r="AE82" i="5"/>
  <c r="AD82" i="5"/>
  <c r="AC82" i="5"/>
  <c r="AC81" i="5"/>
  <c r="AE81" i="5" s="1"/>
  <c r="AC80" i="5"/>
  <c r="AE80" i="5" s="1"/>
  <c r="AD80" i="5"/>
  <c r="AC79" i="5"/>
  <c r="AE79" i="5"/>
  <c r="AC78" i="5"/>
  <c r="AC77" i="5"/>
  <c r="AD76" i="5"/>
  <c r="AC76" i="5"/>
  <c r="AE76" i="5"/>
  <c r="AE75" i="5"/>
  <c r="AC75" i="5"/>
  <c r="AE74" i="5"/>
  <c r="AD74" i="5"/>
  <c r="AC74" i="5"/>
  <c r="AC73" i="5"/>
  <c r="AE73" i="5" s="1"/>
  <c r="AD72" i="5"/>
  <c r="AC72" i="5"/>
  <c r="AE72" i="5" s="1"/>
  <c r="AD71" i="5"/>
  <c r="AC71" i="5"/>
  <c r="AE71" i="5" s="1"/>
  <c r="AD70" i="5"/>
  <c r="AC70" i="5"/>
  <c r="AA70" i="5"/>
  <c r="Z70" i="5"/>
  <c r="Y70" i="5"/>
  <c r="X70" i="5"/>
  <c r="W70" i="5"/>
  <c r="V70" i="5"/>
  <c r="U70" i="5"/>
  <c r="T70" i="5"/>
  <c r="S70" i="5"/>
  <c r="R70" i="5"/>
  <c r="Q70" i="5"/>
  <c r="P70" i="5"/>
  <c r="O70" i="5"/>
  <c r="N70" i="5"/>
  <c r="M70" i="5"/>
  <c r="L70" i="5"/>
  <c r="K70" i="5"/>
  <c r="J70" i="5"/>
  <c r="I70" i="5"/>
  <c r="H70" i="5"/>
  <c r="G70" i="5"/>
  <c r="F70" i="5"/>
  <c r="E70" i="5"/>
  <c r="D70" i="5"/>
  <c r="C70" i="5"/>
  <c r="AE69" i="5"/>
  <c r="AC69" i="5"/>
  <c r="AA69" i="5"/>
  <c r="Z69" i="5"/>
  <c r="Y69" i="5"/>
  <c r="X69" i="5"/>
  <c r="W69" i="5"/>
  <c r="V69" i="5"/>
  <c r="U69" i="5"/>
  <c r="T69" i="5"/>
  <c r="S69" i="5"/>
  <c r="R69" i="5"/>
  <c r="Q69" i="5"/>
  <c r="P69" i="5"/>
  <c r="O69" i="5"/>
  <c r="N69" i="5"/>
  <c r="M69" i="5"/>
  <c r="L69" i="5"/>
  <c r="K69" i="5"/>
  <c r="J69" i="5"/>
  <c r="I69" i="5"/>
  <c r="H69" i="5"/>
  <c r="G69" i="5"/>
  <c r="F69" i="5"/>
  <c r="E69" i="5"/>
  <c r="D69" i="5"/>
  <c r="C69" i="5"/>
  <c r="AE68" i="5"/>
  <c r="AC68" i="5"/>
  <c r="AD68" i="5" s="1"/>
  <c r="AA68" i="5"/>
  <c r="Z68" i="5"/>
  <c r="Y68" i="5"/>
  <c r="X68" i="5"/>
  <c r="W68" i="5"/>
  <c r="V68" i="5"/>
  <c r="U68" i="5"/>
  <c r="T68" i="5"/>
  <c r="S68" i="5"/>
  <c r="R68" i="5"/>
  <c r="Q68" i="5"/>
  <c r="P68" i="5"/>
  <c r="O68" i="5"/>
  <c r="N68" i="5"/>
  <c r="M68" i="5"/>
  <c r="L68" i="5"/>
  <c r="K68" i="5"/>
  <c r="J68" i="5"/>
  <c r="I68" i="5"/>
  <c r="H68" i="5"/>
  <c r="G68" i="5"/>
  <c r="F68" i="5"/>
  <c r="E68" i="5"/>
  <c r="D68" i="5"/>
  <c r="C68" i="5"/>
  <c r="AE67" i="5"/>
  <c r="AC67" i="5"/>
  <c r="AA67" i="5"/>
  <c r="Z67" i="5"/>
  <c r="Y67" i="5"/>
  <c r="X67" i="5"/>
  <c r="W67" i="5"/>
  <c r="V67" i="5"/>
  <c r="U67" i="5"/>
  <c r="T67" i="5"/>
  <c r="S67" i="5"/>
  <c r="R67" i="5"/>
  <c r="Q67" i="5"/>
  <c r="P67" i="5"/>
  <c r="O67" i="5"/>
  <c r="N67" i="5"/>
  <c r="M67" i="5"/>
  <c r="L67" i="5"/>
  <c r="K67" i="5"/>
  <c r="J67" i="5"/>
  <c r="I67" i="5"/>
  <c r="H67" i="5"/>
  <c r="G67" i="5"/>
  <c r="F67" i="5"/>
  <c r="E67" i="5"/>
  <c r="D67" i="5"/>
  <c r="C67" i="5"/>
  <c r="AE66" i="5"/>
  <c r="AC66" i="5"/>
  <c r="AA66" i="5"/>
  <c r="Z66" i="5"/>
  <c r="Y66" i="5"/>
  <c r="X66" i="5"/>
  <c r="W66" i="5"/>
  <c r="V66" i="5"/>
  <c r="U66" i="5"/>
  <c r="T66" i="5"/>
  <c r="S66" i="5"/>
  <c r="R66" i="5"/>
  <c r="Q66" i="5"/>
  <c r="P66" i="5"/>
  <c r="O66" i="5"/>
  <c r="N66" i="5"/>
  <c r="M66" i="5"/>
  <c r="L66" i="5"/>
  <c r="K66" i="5"/>
  <c r="J66" i="5"/>
  <c r="I66" i="5"/>
  <c r="AD66" i="5" s="1"/>
  <c r="H66" i="5"/>
  <c r="G66" i="5"/>
  <c r="F66" i="5"/>
  <c r="E66" i="5"/>
  <c r="D66" i="5"/>
  <c r="C66" i="5"/>
  <c r="AC65" i="5"/>
  <c r="AE65" i="5" s="1"/>
  <c r="AA65" i="5"/>
  <c r="Z65" i="5"/>
  <c r="Y65" i="5"/>
  <c r="X65" i="5"/>
  <c r="W65" i="5"/>
  <c r="V65" i="5"/>
  <c r="U65" i="5"/>
  <c r="T65" i="5"/>
  <c r="S65" i="5"/>
  <c r="R65" i="5"/>
  <c r="Q65" i="5"/>
  <c r="P65" i="5"/>
  <c r="O65" i="5"/>
  <c r="N65" i="5"/>
  <c r="M65" i="5"/>
  <c r="L65" i="5"/>
  <c r="K65" i="5"/>
  <c r="J65" i="5"/>
  <c r="I65" i="5"/>
  <c r="H65" i="5"/>
  <c r="G65" i="5"/>
  <c r="F65" i="5"/>
  <c r="E65" i="5"/>
  <c r="D65" i="5"/>
  <c r="C65" i="5"/>
  <c r="AC64" i="5"/>
  <c r="AE64" i="5" s="1"/>
  <c r="AA64" i="5"/>
  <c r="Z64" i="5"/>
  <c r="Y64" i="5"/>
  <c r="X64" i="5"/>
  <c r="W64" i="5"/>
  <c r="V64" i="5"/>
  <c r="U64" i="5"/>
  <c r="T64" i="5"/>
  <c r="S64" i="5"/>
  <c r="R64" i="5"/>
  <c r="Q64" i="5"/>
  <c r="P64" i="5"/>
  <c r="O64" i="5"/>
  <c r="N64" i="5"/>
  <c r="M64" i="5"/>
  <c r="L64" i="5"/>
  <c r="K64" i="5"/>
  <c r="J64" i="5"/>
  <c r="I64" i="5"/>
  <c r="AD64" i="5" s="1"/>
  <c r="H64" i="5"/>
  <c r="G64" i="5"/>
  <c r="F64" i="5"/>
  <c r="E64" i="5"/>
  <c r="D64" i="5"/>
  <c r="C64" i="5"/>
  <c r="AC63" i="5"/>
  <c r="AE63" i="5" s="1"/>
  <c r="AA63" i="5"/>
  <c r="Z63" i="5"/>
  <c r="Y63" i="5"/>
  <c r="X63" i="5"/>
  <c r="W63" i="5"/>
  <c r="V63" i="5"/>
  <c r="U63" i="5"/>
  <c r="T63" i="5"/>
  <c r="S63" i="5"/>
  <c r="R63" i="5"/>
  <c r="Q63" i="5"/>
  <c r="P63" i="5"/>
  <c r="O63" i="5"/>
  <c r="N63" i="5"/>
  <c r="M63" i="5"/>
  <c r="L63" i="5"/>
  <c r="K63" i="5"/>
  <c r="J63" i="5"/>
  <c r="I63" i="5"/>
  <c r="H63" i="5"/>
  <c r="G63" i="5"/>
  <c r="F63" i="5"/>
  <c r="E63" i="5"/>
  <c r="D63" i="5"/>
  <c r="C63" i="5"/>
  <c r="AC62" i="5"/>
  <c r="AA62" i="5"/>
  <c r="Z62" i="5"/>
  <c r="Y62" i="5"/>
  <c r="X62" i="5"/>
  <c r="W62" i="5"/>
  <c r="V62" i="5"/>
  <c r="U62" i="5"/>
  <c r="T62" i="5"/>
  <c r="S62" i="5"/>
  <c r="R62" i="5"/>
  <c r="Q62" i="5"/>
  <c r="P62" i="5"/>
  <c r="O62" i="5"/>
  <c r="N62" i="5"/>
  <c r="M62" i="5"/>
  <c r="L62" i="5"/>
  <c r="K62" i="5"/>
  <c r="J62" i="5"/>
  <c r="I62" i="5"/>
  <c r="AD62" i="5" s="1"/>
  <c r="H62" i="5"/>
  <c r="G62" i="5"/>
  <c r="F62" i="5"/>
  <c r="E62" i="5"/>
  <c r="D62" i="5"/>
  <c r="C62" i="5"/>
  <c r="AC61" i="5"/>
  <c r="AD61" i="5" s="1"/>
  <c r="AA61" i="5"/>
  <c r="Z61" i="5"/>
  <c r="Y61" i="5"/>
  <c r="X61" i="5"/>
  <c r="W61" i="5"/>
  <c r="V61" i="5"/>
  <c r="U61" i="5"/>
  <c r="T61" i="5"/>
  <c r="S61" i="5"/>
  <c r="R61" i="5"/>
  <c r="Q61" i="5"/>
  <c r="P61" i="5"/>
  <c r="O61" i="5"/>
  <c r="N61" i="5"/>
  <c r="M61" i="5"/>
  <c r="L61" i="5"/>
  <c r="K61" i="5"/>
  <c r="J61" i="5"/>
  <c r="I61" i="5"/>
  <c r="H61" i="5"/>
  <c r="G61" i="5"/>
  <c r="F61" i="5"/>
  <c r="E61" i="5"/>
  <c r="D61" i="5"/>
  <c r="C61" i="5"/>
  <c r="AC60" i="5"/>
  <c r="AE60" i="5" s="1"/>
  <c r="AA60" i="5"/>
  <c r="Z60" i="5"/>
  <c r="Y60" i="5"/>
  <c r="X60" i="5"/>
  <c r="W60" i="5"/>
  <c r="V60" i="5"/>
  <c r="U60" i="5"/>
  <c r="T60" i="5"/>
  <c r="S60" i="5"/>
  <c r="R60" i="5"/>
  <c r="Q60" i="5"/>
  <c r="P60" i="5"/>
  <c r="O60" i="5"/>
  <c r="N60" i="5"/>
  <c r="M60" i="5"/>
  <c r="L60" i="5"/>
  <c r="K60" i="5"/>
  <c r="J60" i="5"/>
  <c r="I60" i="5"/>
  <c r="H60" i="5"/>
  <c r="G60" i="5"/>
  <c r="F60" i="5"/>
  <c r="E60" i="5"/>
  <c r="D60" i="5"/>
  <c r="C60" i="5"/>
  <c r="AC59" i="5"/>
  <c r="AD59" i="5" s="1"/>
  <c r="AA59" i="5"/>
  <c r="Z59" i="5"/>
  <c r="Y59" i="5"/>
  <c r="X59" i="5"/>
  <c r="W59" i="5"/>
  <c r="V59" i="5"/>
  <c r="U59" i="5"/>
  <c r="T59" i="5"/>
  <c r="S59" i="5"/>
  <c r="R59" i="5"/>
  <c r="Q59" i="5"/>
  <c r="P59" i="5"/>
  <c r="O59" i="5"/>
  <c r="N59" i="5"/>
  <c r="M59" i="5"/>
  <c r="L59" i="5"/>
  <c r="K59" i="5"/>
  <c r="J59" i="5"/>
  <c r="I59" i="5"/>
  <c r="H59" i="5"/>
  <c r="G59" i="5"/>
  <c r="F59" i="5"/>
  <c r="E59" i="5"/>
  <c r="D59" i="5"/>
  <c r="C59" i="5"/>
  <c r="AE58" i="5"/>
  <c r="AC58" i="5"/>
  <c r="AA58" i="5"/>
  <c r="Z58" i="5"/>
  <c r="Y58" i="5"/>
  <c r="X58" i="5"/>
  <c r="W58" i="5"/>
  <c r="V58" i="5"/>
  <c r="U58" i="5"/>
  <c r="T58" i="5"/>
  <c r="S58" i="5"/>
  <c r="R58" i="5"/>
  <c r="Q58" i="5"/>
  <c r="P58" i="5"/>
  <c r="O58" i="5"/>
  <c r="N58" i="5"/>
  <c r="M58" i="5"/>
  <c r="L58" i="5"/>
  <c r="K58" i="5"/>
  <c r="J58" i="5"/>
  <c r="I58" i="5"/>
  <c r="AD58" i="5" s="1"/>
  <c r="H58" i="5"/>
  <c r="G58" i="5"/>
  <c r="F58" i="5"/>
  <c r="E58" i="5"/>
  <c r="D58" i="5"/>
  <c r="C58" i="5"/>
  <c r="AC57" i="5"/>
  <c r="AE57" i="5" s="1"/>
  <c r="AA57" i="5"/>
  <c r="Z57" i="5"/>
  <c r="Y57" i="5"/>
  <c r="X57" i="5"/>
  <c r="W57" i="5"/>
  <c r="V57" i="5"/>
  <c r="U57" i="5"/>
  <c r="T57" i="5"/>
  <c r="S57" i="5"/>
  <c r="R57" i="5"/>
  <c r="Q57" i="5"/>
  <c r="P57" i="5"/>
  <c r="O57" i="5"/>
  <c r="N57" i="5"/>
  <c r="M57" i="5"/>
  <c r="L57" i="5"/>
  <c r="K57" i="5"/>
  <c r="J57" i="5"/>
  <c r="I57" i="5"/>
  <c r="H57" i="5"/>
  <c r="G57" i="5"/>
  <c r="F57" i="5"/>
  <c r="E57" i="5"/>
  <c r="D57" i="5"/>
  <c r="C57" i="5"/>
  <c r="AC56" i="5"/>
  <c r="AE56" i="5" s="1"/>
  <c r="AA56" i="5"/>
  <c r="Z56" i="5"/>
  <c r="Y56" i="5"/>
  <c r="X56" i="5"/>
  <c r="W56" i="5"/>
  <c r="V56" i="5"/>
  <c r="U56" i="5"/>
  <c r="T56" i="5"/>
  <c r="S56" i="5"/>
  <c r="R56" i="5"/>
  <c r="Q56" i="5"/>
  <c r="P56" i="5"/>
  <c r="O56" i="5"/>
  <c r="N56" i="5"/>
  <c r="M56" i="5"/>
  <c r="L56" i="5"/>
  <c r="K56" i="5"/>
  <c r="J56" i="5"/>
  <c r="I56" i="5"/>
  <c r="AD56" i="5" s="1"/>
  <c r="H56" i="5"/>
  <c r="G56" i="5"/>
  <c r="F56" i="5"/>
  <c r="E56" i="5"/>
  <c r="D56" i="5"/>
  <c r="C56" i="5"/>
  <c r="AD55" i="5"/>
  <c r="AC55" i="5"/>
  <c r="AA55" i="5"/>
  <c r="Z55" i="5"/>
  <c r="Y55" i="5"/>
  <c r="X55" i="5"/>
  <c r="W55" i="5"/>
  <c r="V55" i="5"/>
  <c r="U55" i="5"/>
  <c r="T55" i="5"/>
  <c r="S55" i="5"/>
  <c r="R55" i="5"/>
  <c r="Q55" i="5"/>
  <c r="P55" i="5"/>
  <c r="O55" i="5"/>
  <c r="N55" i="5"/>
  <c r="M55" i="5"/>
  <c r="L55" i="5"/>
  <c r="K55" i="5"/>
  <c r="J55" i="5"/>
  <c r="I55" i="5"/>
  <c r="H55" i="5"/>
  <c r="G55" i="5"/>
  <c r="F55" i="5"/>
  <c r="E55" i="5"/>
  <c r="AE55" i="5" s="1"/>
  <c r="D55" i="5"/>
  <c r="C55" i="5"/>
  <c r="AC54" i="5"/>
  <c r="AA54" i="5"/>
  <c r="Z54" i="5"/>
  <c r="Y54" i="5"/>
  <c r="X54" i="5"/>
  <c r="W54" i="5"/>
  <c r="V54" i="5"/>
  <c r="U54" i="5"/>
  <c r="T54" i="5"/>
  <c r="S54" i="5"/>
  <c r="R54" i="5"/>
  <c r="Q54" i="5"/>
  <c r="P54" i="5"/>
  <c r="O54" i="5"/>
  <c r="N54" i="5"/>
  <c r="M54" i="5"/>
  <c r="L54" i="5"/>
  <c r="K54" i="5"/>
  <c r="J54" i="5"/>
  <c r="I54" i="5"/>
  <c r="AD54" i="5" s="1"/>
  <c r="H54" i="5"/>
  <c r="G54" i="5"/>
  <c r="F54" i="5"/>
  <c r="E54" i="5"/>
  <c r="D54" i="5"/>
  <c r="C54" i="5"/>
  <c r="AE53" i="5"/>
  <c r="AC53" i="5"/>
  <c r="AA53" i="5"/>
  <c r="Z53" i="5"/>
  <c r="Y53" i="5"/>
  <c r="X53" i="5"/>
  <c r="W53" i="5"/>
  <c r="V53" i="5"/>
  <c r="U53" i="5"/>
  <c r="T53" i="5"/>
  <c r="S53" i="5"/>
  <c r="R53" i="5"/>
  <c r="Q53" i="5"/>
  <c r="P53" i="5"/>
  <c r="O53" i="5"/>
  <c r="N53" i="5"/>
  <c r="M53" i="5"/>
  <c r="L53" i="5"/>
  <c r="K53" i="5"/>
  <c r="J53" i="5"/>
  <c r="I53" i="5"/>
  <c r="H53" i="5"/>
  <c r="G53" i="5"/>
  <c r="F53" i="5"/>
  <c r="E53" i="5"/>
  <c r="D53" i="5"/>
  <c r="C53" i="5"/>
  <c r="AC52" i="5"/>
  <c r="AE52" i="5" s="1"/>
  <c r="AA52" i="5"/>
  <c r="Z52" i="5"/>
  <c r="Y52" i="5"/>
  <c r="X52" i="5"/>
  <c r="W52" i="5"/>
  <c r="V52" i="5"/>
  <c r="U52" i="5"/>
  <c r="T52" i="5"/>
  <c r="S52" i="5"/>
  <c r="R52" i="5"/>
  <c r="Q52" i="5"/>
  <c r="P52" i="5"/>
  <c r="O52" i="5"/>
  <c r="N52" i="5"/>
  <c r="M52" i="5"/>
  <c r="L52" i="5"/>
  <c r="K52" i="5"/>
  <c r="J52" i="5"/>
  <c r="I52" i="5"/>
  <c r="H52" i="5"/>
  <c r="G52" i="5"/>
  <c r="F52" i="5"/>
  <c r="E52" i="5"/>
  <c r="D52" i="5"/>
  <c r="C52" i="5"/>
  <c r="AE51" i="5"/>
  <c r="AC51" i="5"/>
  <c r="AA51" i="5"/>
  <c r="Z51" i="5"/>
  <c r="Y51" i="5"/>
  <c r="X51" i="5"/>
  <c r="W51" i="5"/>
  <c r="V51" i="5"/>
  <c r="U51" i="5"/>
  <c r="T51" i="5"/>
  <c r="S51" i="5"/>
  <c r="R51" i="5"/>
  <c r="Q51" i="5"/>
  <c r="P51" i="5"/>
  <c r="O51" i="5"/>
  <c r="N51" i="5"/>
  <c r="M51" i="5"/>
  <c r="L51" i="5"/>
  <c r="K51" i="5"/>
  <c r="J51" i="5"/>
  <c r="I51" i="5"/>
  <c r="H51" i="5"/>
  <c r="G51" i="5"/>
  <c r="F51" i="5"/>
  <c r="E51" i="5"/>
  <c r="D51" i="5"/>
  <c r="C51" i="5"/>
  <c r="AE50" i="5"/>
  <c r="AD50" i="5"/>
  <c r="AC50" i="5"/>
  <c r="AA50" i="5"/>
  <c r="Z50" i="5"/>
  <c r="Y50" i="5"/>
  <c r="X50" i="5"/>
  <c r="W50" i="5"/>
  <c r="V50" i="5"/>
  <c r="U50" i="5"/>
  <c r="T50" i="5"/>
  <c r="S50" i="5"/>
  <c r="R50" i="5"/>
  <c r="Q50" i="5"/>
  <c r="P50" i="5"/>
  <c r="O50" i="5"/>
  <c r="N50" i="5"/>
  <c r="M50" i="5"/>
  <c r="L50" i="5"/>
  <c r="K50" i="5"/>
  <c r="J50" i="5"/>
  <c r="I50" i="5"/>
  <c r="H50" i="5"/>
  <c r="G50" i="5"/>
  <c r="F50" i="5"/>
  <c r="E50" i="5"/>
  <c r="D50" i="5"/>
  <c r="C50" i="5"/>
  <c r="AE49" i="5"/>
  <c r="AC49" i="5"/>
  <c r="AD49" i="5" s="1"/>
  <c r="AA49" i="5"/>
  <c r="Z49" i="5"/>
  <c r="Y49" i="5"/>
  <c r="X49" i="5"/>
  <c r="W49" i="5"/>
  <c r="V49" i="5"/>
  <c r="U49" i="5"/>
  <c r="T49" i="5"/>
  <c r="S49" i="5"/>
  <c r="R49" i="5"/>
  <c r="Q49" i="5"/>
  <c r="P49" i="5"/>
  <c r="O49" i="5"/>
  <c r="N49" i="5"/>
  <c r="M49" i="5"/>
  <c r="L49" i="5"/>
  <c r="K49" i="5"/>
  <c r="J49" i="5"/>
  <c r="I49" i="5"/>
  <c r="H49" i="5"/>
  <c r="G49" i="5"/>
  <c r="F49" i="5"/>
  <c r="E49" i="5"/>
  <c r="D49" i="5"/>
  <c r="C49" i="5"/>
  <c r="AD48" i="5"/>
  <c r="AC48" i="5"/>
  <c r="AE48" i="5" s="1"/>
  <c r="AA48" i="5"/>
  <c r="Z48" i="5"/>
  <c r="Y48" i="5"/>
  <c r="X48" i="5"/>
  <c r="W48" i="5"/>
  <c r="V48" i="5"/>
  <c r="U48" i="5"/>
  <c r="T48" i="5"/>
  <c r="S48" i="5"/>
  <c r="R48" i="5"/>
  <c r="Q48" i="5"/>
  <c r="P48" i="5"/>
  <c r="O48" i="5"/>
  <c r="N48" i="5"/>
  <c r="M48" i="5"/>
  <c r="L48" i="5"/>
  <c r="K48" i="5"/>
  <c r="J48" i="5"/>
  <c r="I48" i="5"/>
  <c r="H48" i="5"/>
  <c r="G48" i="5"/>
  <c r="F48" i="5"/>
  <c r="E48" i="5"/>
  <c r="D48" i="5"/>
  <c r="C48" i="5"/>
  <c r="AD47" i="5"/>
  <c r="AC47" i="5"/>
  <c r="AE47" i="5" s="1"/>
  <c r="AA47" i="5"/>
  <c r="Z47" i="5"/>
  <c r="Y47" i="5"/>
  <c r="X47" i="5"/>
  <c r="W47" i="5"/>
  <c r="V47" i="5"/>
  <c r="U47" i="5"/>
  <c r="T47" i="5"/>
  <c r="S47" i="5"/>
  <c r="R47" i="5"/>
  <c r="Q47" i="5"/>
  <c r="P47" i="5"/>
  <c r="O47" i="5"/>
  <c r="N47" i="5"/>
  <c r="M47" i="5"/>
  <c r="L47" i="5"/>
  <c r="K47" i="5"/>
  <c r="J47" i="5"/>
  <c r="I47" i="5"/>
  <c r="H47" i="5"/>
  <c r="G47" i="5"/>
  <c r="F47" i="5"/>
  <c r="E47" i="5"/>
  <c r="D47" i="5"/>
  <c r="C47" i="5"/>
  <c r="AC46" i="5"/>
  <c r="AE46" i="5" s="1"/>
  <c r="AA46" i="5"/>
  <c r="Z46" i="5"/>
  <c r="Y46" i="5"/>
  <c r="X46" i="5"/>
  <c r="W46" i="5"/>
  <c r="V46" i="5"/>
  <c r="U46" i="5"/>
  <c r="T46" i="5"/>
  <c r="S46" i="5"/>
  <c r="R46" i="5"/>
  <c r="Q46" i="5"/>
  <c r="P46" i="5"/>
  <c r="O46" i="5"/>
  <c r="N46" i="5"/>
  <c r="M46" i="5"/>
  <c r="L46" i="5"/>
  <c r="K46" i="5"/>
  <c r="J46" i="5"/>
  <c r="I46" i="5"/>
  <c r="H46" i="5"/>
  <c r="G46" i="5"/>
  <c r="F46" i="5"/>
  <c r="E46" i="5"/>
  <c r="D46" i="5"/>
  <c r="C46" i="5"/>
  <c r="AC45" i="5"/>
  <c r="Z45" i="5"/>
  <c r="Y45" i="5"/>
  <c r="X45" i="5"/>
  <c r="W45" i="5"/>
  <c r="V45" i="5"/>
  <c r="U45" i="5"/>
  <c r="T45" i="5"/>
  <c r="S45" i="5"/>
  <c r="R45" i="5"/>
  <c r="Q45" i="5"/>
  <c r="P45" i="5"/>
  <c r="O45" i="5"/>
  <c r="N45" i="5"/>
  <c r="M45" i="5"/>
  <c r="L45" i="5"/>
  <c r="K45" i="5"/>
  <c r="J45" i="5"/>
  <c r="I45" i="5"/>
  <c r="AD45" i="5" s="1"/>
  <c r="H45" i="5"/>
  <c r="G45" i="5"/>
  <c r="F45" i="5"/>
  <c r="E45" i="5"/>
  <c r="AE45" i="5" s="1"/>
  <c r="D45" i="5"/>
  <c r="C45" i="5"/>
  <c r="AA45" i="5" s="1"/>
  <c r="AC44" i="5"/>
  <c r="AE44" i="5" s="1"/>
  <c r="Z44" i="5"/>
  <c r="Y44" i="5"/>
  <c r="X44" i="5"/>
  <c r="W44" i="5"/>
  <c r="V44" i="5"/>
  <c r="U44" i="5"/>
  <c r="T44" i="5"/>
  <c r="S44" i="5"/>
  <c r="R44" i="5"/>
  <c r="Q44" i="5"/>
  <c r="P44" i="5"/>
  <c r="O44" i="5"/>
  <c r="N44" i="5"/>
  <c r="M44" i="5"/>
  <c r="L44" i="5"/>
  <c r="K44" i="5"/>
  <c r="J44" i="5"/>
  <c r="I44" i="5"/>
  <c r="H44" i="5"/>
  <c r="G44" i="5"/>
  <c r="F44" i="5"/>
  <c r="E44" i="5"/>
  <c r="D44" i="5"/>
  <c r="C44" i="5"/>
  <c r="AA44" i="5" s="1"/>
  <c r="AE43" i="5"/>
  <c r="AC43" i="5"/>
  <c r="Z43" i="5"/>
  <c r="Y43" i="5"/>
  <c r="X43" i="5"/>
  <c r="W43" i="5"/>
  <c r="V43" i="5"/>
  <c r="U43" i="5"/>
  <c r="T43" i="5"/>
  <c r="S43" i="5"/>
  <c r="R43" i="5"/>
  <c r="Q43" i="5"/>
  <c r="P43" i="5"/>
  <c r="O43" i="5"/>
  <c r="N43" i="5"/>
  <c r="M43" i="5"/>
  <c r="L43" i="5"/>
  <c r="K43" i="5"/>
  <c r="J43" i="5"/>
  <c r="I43" i="5"/>
  <c r="AD43" i="5" s="1"/>
  <c r="H43" i="5"/>
  <c r="G43" i="5"/>
  <c r="F43" i="5"/>
  <c r="E43" i="5"/>
  <c r="D43" i="5"/>
  <c r="C43" i="5"/>
  <c r="AA43" i="5" s="1"/>
  <c r="AC42" i="5"/>
  <c r="Z42" i="5"/>
  <c r="Y42" i="5"/>
  <c r="X42" i="5"/>
  <c r="W42" i="5"/>
  <c r="V42" i="5"/>
  <c r="U42" i="5"/>
  <c r="T42" i="5"/>
  <c r="S42" i="5"/>
  <c r="R42" i="5"/>
  <c r="Q42" i="5"/>
  <c r="P42" i="5"/>
  <c r="O42" i="5"/>
  <c r="N42" i="5"/>
  <c r="M42" i="5"/>
  <c r="L42" i="5"/>
  <c r="K42" i="5"/>
  <c r="J42" i="5"/>
  <c r="I42" i="5"/>
  <c r="AD42" i="5" s="1"/>
  <c r="H42" i="5"/>
  <c r="G42" i="5"/>
  <c r="F42" i="5"/>
  <c r="E42" i="5"/>
  <c r="D42" i="5"/>
  <c r="C42" i="5"/>
  <c r="AA42" i="5" s="1"/>
  <c r="AD41" i="5"/>
  <c r="AC41" i="5"/>
  <c r="Z41" i="5"/>
  <c r="Y41" i="5"/>
  <c r="X41" i="5"/>
  <c r="W41" i="5"/>
  <c r="V41" i="5"/>
  <c r="U41" i="5"/>
  <c r="T41" i="5"/>
  <c r="S41" i="5"/>
  <c r="R41" i="5"/>
  <c r="Q41" i="5"/>
  <c r="P41" i="5"/>
  <c r="O41" i="5"/>
  <c r="N41" i="5"/>
  <c r="M41" i="5"/>
  <c r="L41" i="5"/>
  <c r="K41" i="5"/>
  <c r="J41" i="5"/>
  <c r="I41" i="5"/>
  <c r="H41" i="5"/>
  <c r="G41" i="5"/>
  <c r="F41" i="5"/>
  <c r="E41" i="5"/>
  <c r="AE41" i="5" s="1"/>
  <c r="D41" i="5"/>
  <c r="C41" i="5"/>
  <c r="AA41" i="5" s="1"/>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D39" i="5"/>
  <c r="AC39" i="5"/>
  <c r="Z39" i="5"/>
  <c r="Y39" i="5"/>
  <c r="X39" i="5"/>
  <c r="W39" i="5"/>
  <c r="V39" i="5"/>
  <c r="U39" i="5"/>
  <c r="T39" i="5"/>
  <c r="S39" i="5"/>
  <c r="R39" i="5"/>
  <c r="Q39" i="5"/>
  <c r="P39" i="5"/>
  <c r="O39" i="5"/>
  <c r="N39" i="5"/>
  <c r="M39" i="5"/>
  <c r="L39" i="5"/>
  <c r="K39" i="5"/>
  <c r="J39" i="5"/>
  <c r="I39" i="5"/>
  <c r="H39" i="5"/>
  <c r="G39" i="5"/>
  <c r="F39" i="5"/>
  <c r="E39" i="5"/>
  <c r="AE39" i="5" s="1"/>
  <c r="D39" i="5"/>
  <c r="C39" i="5"/>
  <c r="AA39" i="5" s="1"/>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D37" i="5"/>
  <c r="AC37" i="5"/>
  <c r="Z37" i="5"/>
  <c r="Y37" i="5"/>
  <c r="X37" i="5"/>
  <c r="W37" i="5"/>
  <c r="V37" i="5"/>
  <c r="U37" i="5"/>
  <c r="T37" i="5"/>
  <c r="S37" i="5"/>
  <c r="R37" i="5"/>
  <c r="Q37" i="5"/>
  <c r="P37" i="5"/>
  <c r="O37" i="5"/>
  <c r="N37" i="5"/>
  <c r="M37" i="5"/>
  <c r="L37" i="5"/>
  <c r="K37" i="5"/>
  <c r="J37" i="5"/>
  <c r="I37" i="5"/>
  <c r="H37" i="5"/>
  <c r="G37" i="5"/>
  <c r="F37" i="5"/>
  <c r="E37" i="5"/>
  <c r="AE37" i="5" s="1"/>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E35" i="5"/>
  <c r="AD35" i="5"/>
  <c r="AC35" i="5"/>
  <c r="Z35" i="5"/>
  <c r="Y35" i="5"/>
  <c r="X35" i="5"/>
  <c r="W35" i="5"/>
  <c r="V35" i="5"/>
  <c r="U35" i="5"/>
  <c r="T35" i="5"/>
  <c r="S35" i="5"/>
  <c r="R35" i="5"/>
  <c r="Q35" i="5"/>
  <c r="P35" i="5"/>
  <c r="O35" i="5"/>
  <c r="N35" i="5"/>
  <c r="M35" i="5"/>
  <c r="L35" i="5"/>
  <c r="K35" i="5"/>
  <c r="J35" i="5"/>
  <c r="I35" i="5"/>
  <c r="H35" i="5"/>
  <c r="G35" i="5"/>
  <c r="F35" i="5"/>
  <c r="E35" i="5"/>
  <c r="D35" i="5"/>
  <c r="C35" i="5"/>
  <c r="AA35" i="5" s="1"/>
  <c r="AD34" i="5"/>
  <c r="AC34" i="5"/>
  <c r="Z34" i="5"/>
  <c r="Y34" i="5"/>
  <c r="X34" i="5"/>
  <c r="W34" i="5"/>
  <c r="V34" i="5"/>
  <c r="U34" i="5"/>
  <c r="T34" i="5"/>
  <c r="S34" i="5"/>
  <c r="R34" i="5"/>
  <c r="Q34" i="5"/>
  <c r="P34" i="5"/>
  <c r="O34" i="5"/>
  <c r="N34" i="5"/>
  <c r="M34" i="5"/>
  <c r="L34" i="5"/>
  <c r="K34" i="5"/>
  <c r="J34" i="5"/>
  <c r="I34" i="5"/>
  <c r="H34" i="5"/>
  <c r="G34" i="5"/>
  <c r="F34" i="5"/>
  <c r="E34" i="5"/>
  <c r="D34" i="5"/>
  <c r="C34" i="5"/>
  <c r="AA34" i="5" s="1"/>
  <c r="AC33" i="5"/>
  <c r="Z33" i="5"/>
  <c r="Y33" i="5"/>
  <c r="X33" i="5"/>
  <c r="W33" i="5"/>
  <c r="V33" i="5"/>
  <c r="U33" i="5"/>
  <c r="T33" i="5"/>
  <c r="S33" i="5"/>
  <c r="R33" i="5"/>
  <c r="Q33" i="5"/>
  <c r="P33" i="5"/>
  <c r="O33" i="5"/>
  <c r="N33" i="5"/>
  <c r="M33" i="5"/>
  <c r="L33" i="5"/>
  <c r="K33" i="5"/>
  <c r="J33" i="5"/>
  <c r="I33" i="5"/>
  <c r="AD33" i="5" s="1"/>
  <c r="H33" i="5"/>
  <c r="G33" i="5"/>
  <c r="F33" i="5"/>
  <c r="E33" i="5"/>
  <c r="AE33" i="5" s="1"/>
  <c r="D33" i="5"/>
  <c r="C33" i="5"/>
  <c r="AA33" i="5" s="1"/>
  <c r="AC32" i="5"/>
  <c r="AE32" i="5" s="1"/>
  <c r="Z32" i="5"/>
  <c r="Y32" i="5"/>
  <c r="X32" i="5"/>
  <c r="W32" i="5"/>
  <c r="V32" i="5"/>
  <c r="U32" i="5"/>
  <c r="T32" i="5"/>
  <c r="S32" i="5"/>
  <c r="R32" i="5"/>
  <c r="Q32" i="5"/>
  <c r="P32" i="5"/>
  <c r="O32" i="5"/>
  <c r="N32" i="5"/>
  <c r="M32" i="5"/>
  <c r="L32" i="5"/>
  <c r="K32" i="5"/>
  <c r="J32" i="5"/>
  <c r="I32" i="5"/>
  <c r="H32" i="5"/>
  <c r="G32" i="5"/>
  <c r="F32" i="5"/>
  <c r="E32" i="5"/>
  <c r="D32" i="5"/>
  <c r="C32" i="5"/>
  <c r="AA32" i="5" s="1"/>
  <c r="AE31" i="5"/>
  <c r="AC31" i="5"/>
  <c r="Z31" i="5"/>
  <c r="Y31" i="5"/>
  <c r="X31" i="5"/>
  <c r="W31" i="5"/>
  <c r="V31" i="5"/>
  <c r="U31" i="5"/>
  <c r="T31" i="5"/>
  <c r="S31" i="5"/>
  <c r="R31" i="5"/>
  <c r="Q31" i="5"/>
  <c r="P31" i="5"/>
  <c r="O31" i="5"/>
  <c r="N31" i="5"/>
  <c r="M31" i="5"/>
  <c r="L31" i="5"/>
  <c r="K31" i="5"/>
  <c r="J31" i="5"/>
  <c r="I31" i="5"/>
  <c r="AD31" i="5" s="1"/>
  <c r="H31" i="5"/>
  <c r="G31" i="5"/>
  <c r="F31" i="5"/>
  <c r="E31" i="5"/>
  <c r="D31" i="5"/>
  <c r="C31" i="5"/>
  <c r="AA31" i="5" s="1"/>
  <c r="AC30" i="5"/>
  <c r="AE30" i="5" s="1"/>
  <c r="Z30" i="5"/>
  <c r="Y30" i="5"/>
  <c r="X30" i="5"/>
  <c r="W30" i="5"/>
  <c r="V30" i="5"/>
  <c r="U30" i="5"/>
  <c r="T30" i="5"/>
  <c r="S30" i="5"/>
  <c r="R30" i="5"/>
  <c r="Q30" i="5"/>
  <c r="P30" i="5"/>
  <c r="O30" i="5"/>
  <c r="N30" i="5"/>
  <c r="M30" i="5"/>
  <c r="L30" i="5"/>
  <c r="K30" i="5"/>
  <c r="J30" i="5"/>
  <c r="I30" i="5"/>
  <c r="H30" i="5"/>
  <c r="G30" i="5"/>
  <c r="F30" i="5"/>
  <c r="E30" i="5"/>
  <c r="D30" i="5"/>
  <c r="C30" i="5"/>
  <c r="AA30" i="5" s="1"/>
  <c r="AC29" i="5"/>
  <c r="Z29" i="5"/>
  <c r="Y29" i="5"/>
  <c r="X29" i="5"/>
  <c r="W29" i="5"/>
  <c r="V29" i="5"/>
  <c r="U29" i="5"/>
  <c r="T29" i="5"/>
  <c r="S29" i="5"/>
  <c r="R29" i="5"/>
  <c r="Q29" i="5"/>
  <c r="P29" i="5"/>
  <c r="O29" i="5"/>
  <c r="N29" i="5"/>
  <c r="M29" i="5"/>
  <c r="L29" i="5"/>
  <c r="K29" i="5"/>
  <c r="J29" i="5"/>
  <c r="I29" i="5"/>
  <c r="AD29" i="5" s="1"/>
  <c r="H29" i="5"/>
  <c r="G29" i="5"/>
  <c r="F29" i="5"/>
  <c r="E29" i="5"/>
  <c r="AE29" i="5" s="1"/>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E27" i="5"/>
  <c r="AC27" i="5"/>
  <c r="Z27" i="5"/>
  <c r="Y27" i="5"/>
  <c r="X27" i="5"/>
  <c r="W27" i="5"/>
  <c r="V27" i="5"/>
  <c r="U27" i="5"/>
  <c r="T27" i="5"/>
  <c r="S27" i="5"/>
  <c r="R27" i="5"/>
  <c r="Q27" i="5"/>
  <c r="P27" i="5"/>
  <c r="O27" i="5"/>
  <c r="N27" i="5"/>
  <c r="M27" i="5"/>
  <c r="L27" i="5"/>
  <c r="K27" i="5"/>
  <c r="J27" i="5"/>
  <c r="I27" i="5"/>
  <c r="AD27" i="5" s="1"/>
  <c r="H27" i="5"/>
  <c r="G27" i="5"/>
  <c r="F27" i="5"/>
  <c r="E27" i="5"/>
  <c r="D27" i="5"/>
  <c r="C27" i="5"/>
  <c r="AA27" i="5" s="1"/>
  <c r="AC26" i="5"/>
  <c r="Z26" i="5"/>
  <c r="Y26" i="5"/>
  <c r="X26" i="5"/>
  <c r="W26" i="5"/>
  <c r="V26" i="5"/>
  <c r="U26" i="5"/>
  <c r="T26" i="5"/>
  <c r="S26" i="5"/>
  <c r="R26" i="5"/>
  <c r="Q26" i="5"/>
  <c r="P26" i="5"/>
  <c r="O26" i="5"/>
  <c r="N26" i="5"/>
  <c r="M26" i="5"/>
  <c r="L26" i="5"/>
  <c r="K26" i="5"/>
  <c r="J26" i="5"/>
  <c r="I26" i="5"/>
  <c r="AD26" i="5" s="1"/>
  <c r="H26" i="5"/>
  <c r="G26" i="5"/>
  <c r="F26" i="5"/>
  <c r="E26" i="5"/>
  <c r="D26" i="5"/>
  <c r="C26" i="5"/>
  <c r="AA26" i="5" s="1"/>
  <c r="AD25" i="5"/>
  <c r="AC25" i="5"/>
  <c r="Z25" i="5"/>
  <c r="Y25" i="5"/>
  <c r="X25" i="5"/>
  <c r="W25" i="5"/>
  <c r="V25" i="5"/>
  <c r="U25" i="5"/>
  <c r="T25" i="5"/>
  <c r="S25" i="5"/>
  <c r="R25" i="5"/>
  <c r="Q25" i="5"/>
  <c r="P25" i="5"/>
  <c r="O25" i="5"/>
  <c r="N25" i="5"/>
  <c r="M25" i="5"/>
  <c r="L25" i="5"/>
  <c r="K25" i="5"/>
  <c r="J25" i="5"/>
  <c r="I25" i="5"/>
  <c r="H25" i="5"/>
  <c r="G25" i="5"/>
  <c r="F25" i="5"/>
  <c r="E25" i="5"/>
  <c r="AE25" i="5" s="1"/>
  <c r="D25" i="5"/>
  <c r="C25" i="5"/>
  <c r="AA25" i="5" s="1"/>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D23" i="5"/>
  <c r="AC23" i="5"/>
  <c r="Z23" i="5"/>
  <c r="Y23" i="5"/>
  <c r="X23" i="5"/>
  <c r="W23" i="5"/>
  <c r="V23" i="5"/>
  <c r="U23" i="5"/>
  <c r="T23" i="5"/>
  <c r="S23" i="5"/>
  <c r="R23" i="5"/>
  <c r="Q23" i="5"/>
  <c r="P23" i="5"/>
  <c r="O23" i="5"/>
  <c r="N23" i="5"/>
  <c r="M23" i="5"/>
  <c r="L23" i="5"/>
  <c r="K23" i="5"/>
  <c r="J23" i="5"/>
  <c r="I23" i="5"/>
  <c r="H23" i="5"/>
  <c r="G23" i="5"/>
  <c r="F23" i="5"/>
  <c r="E23" i="5"/>
  <c r="AE23" i="5" s="1"/>
  <c r="D23" i="5"/>
  <c r="C23" i="5"/>
  <c r="AA23" i="5" s="1"/>
  <c r="AC22" i="5"/>
  <c r="Z22" i="5"/>
  <c r="Y22" i="5"/>
  <c r="X22" i="5"/>
  <c r="W22" i="5"/>
  <c r="V22" i="5"/>
  <c r="U22" i="5"/>
  <c r="T22" i="5"/>
  <c r="S22" i="5"/>
  <c r="R22" i="5"/>
  <c r="Q22" i="5"/>
  <c r="P22" i="5"/>
  <c r="O22" i="5"/>
  <c r="N22" i="5"/>
  <c r="M22" i="5"/>
  <c r="L22" i="5"/>
  <c r="K22" i="5"/>
  <c r="J22" i="5"/>
  <c r="I22" i="5"/>
  <c r="AD22" i="5" s="1"/>
  <c r="H22" i="5"/>
  <c r="G22" i="5"/>
  <c r="F22" i="5"/>
  <c r="E22" i="5"/>
  <c r="D22" i="5"/>
  <c r="C22" i="5"/>
  <c r="AA22" i="5" s="1"/>
  <c r="AD21" i="5"/>
  <c r="AC21" i="5"/>
  <c r="Z21" i="5"/>
  <c r="Y21" i="5"/>
  <c r="X21" i="5"/>
  <c r="W21" i="5"/>
  <c r="V21" i="5"/>
  <c r="U21" i="5"/>
  <c r="T21" i="5"/>
  <c r="S21" i="5"/>
  <c r="R21" i="5"/>
  <c r="Q21" i="5"/>
  <c r="P21" i="5"/>
  <c r="O21" i="5"/>
  <c r="N21" i="5"/>
  <c r="M21" i="5"/>
  <c r="L21" i="5"/>
  <c r="K21" i="5"/>
  <c r="J21" i="5"/>
  <c r="I21" i="5"/>
  <c r="H21" i="5"/>
  <c r="G21" i="5"/>
  <c r="F21" i="5"/>
  <c r="E21" i="5"/>
  <c r="AE21" i="5" s="1"/>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E19" i="5"/>
  <c r="AD19" i="5"/>
  <c r="AC19" i="5"/>
  <c r="Z19" i="5"/>
  <c r="Y19" i="5"/>
  <c r="X19" i="5"/>
  <c r="W19" i="5"/>
  <c r="V19" i="5"/>
  <c r="U19" i="5"/>
  <c r="T19" i="5"/>
  <c r="S19" i="5"/>
  <c r="R19" i="5"/>
  <c r="Q19" i="5"/>
  <c r="P19" i="5"/>
  <c r="O19" i="5"/>
  <c r="N19" i="5"/>
  <c r="M19" i="5"/>
  <c r="L19" i="5"/>
  <c r="K19" i="5"/>
  <c r="J19" i="5"/>
  <c r="I19" i="5"/>
  <c r="H19" i="5"/>
  <c r="G19" i="5"/>
  <c r="F19" i="5"/>
  <c r="E19" i="5"/>
  <c r="D19" i="5"/>
  <c r="C19" i="5"/>
  <c r="AA19" i="5" s="1"/>
  <c r="AD18" i="5"/>
  <c r="AC18" i="5"/>
  <c r="Z18" i="5"/>
  <c r="Y18" i="5"/>
  <c r="X18" i="5"/>
  <c r="W18" i="5"/>
  <c r="V18" i="5"/>
  <c r="U18" i="5"/>
  <c r="T18" i="5"/>
  <c r="S18" i="5"/>
  <c r="R18" i="5"/>
  <c r="Q18" i="5"/>
  <c r="P18" i="5"/>
  <c r="O18" i="5"/>
  <c r="N18" i="5"/>
  <c r="M18" i="5"/>
  <c r="L18" i="5"/>
  <c r="K18" i="5"/>
  <c r="J18" i="5"/>
  <c r="I18" i="5"/>
  <c r="H18" i="5"/>
  <c r="G18" i="5"/>
  <c r="F18" i="5"/>
  <c r="E18" i="5"/>
  <c r="D18" i="5"/>
  <c r="C18" i="5"/>
  <c r="AA18" i="5" s="1"/>
  <c r="AC17" i="5"/>
  <c r="Z17" i="5"/>
  <c r="Y17" i="5"/>
  <c r="X17" i="5"/>
  <c r="W17" i="5"/>
  <c r="V17" i="5"/>
  <c r="U17" i="5"/>
  <c r="T17" i="5"/>
  <c r="S17" i="5"/>
  <c r="R17" i="5"/>
  <c r="Q17" i="5"/>
  <c r="P17" i="5"/>
  <c r="O17" i="5"/>
  <c r="N17" i="5"/>
  <c r="M17" i="5"/>
  <c r="L17" i="5"/>
  <c r="K17" i="5"/>
  <c r="J17" i="5"/>
  <c r="I17" i="5"/>
  <c r="AD17" i="5" s="1"/>
  <c r="H17" i="5"/>
  <c r="G17" i="5"/>
  <c r="F17" i="5"/>
  <c r="E17" i="5"/>
  <c r="AE17" i="5" s="1"/>
  <c r="D17" i="5"/>
  <c r="C17" i="5"/>
  <c r="AA17" i="5" s="1"/>
  <c r="AC16" i="5"/>
  <c r="AE16" i="5" s="1"/>
  <c r="Z16" i="5"/>
  <c r="Y16" i="5"/>
  <c r="X16" i="5"/>
  <c r="W16" i="5"/>
  <c r="V16" i="5"/>
  <c r="U16" i="5"/>
  <c r="T16" i="5"/>
  <c r="S16" i="5"/>
  <c r="R16" i="5"/>
  <c r="Q16" i="5"/>
  <c r="P16" i="5"/>
  <c r="O16" i="5"/>
  <c r="N16" i="5"/>
  <c r="M16" i="5"/>
  <c r="L16" i="5"/>
  <c r="K16" i="5"/>
  <c r="J16" i="5"/>
  <c r="I16" i="5"/>
  <c r="H16" i="5"/>
  <c r="G16" i="5"/>
  <c r="F16" i="5"/>
  <c r="E16" i="5"/>
  <c r="D16" i="5"/>
  <c r="C16" i="5"/>
  <c r="AA16" i="5" s="1"/>
  <c r="AE15" i="5"/>
  <c r="AC15" i="5"/>
  <c r="Z15" i="5"/>
  <c r="Y15" i="5"/>
  <c r="X15" i="5"/>
  <c r="W15" i="5"/>
  <c r="V15" i="5"/>
  <c r="U15" i="5"/>
  <c r="T15" i="5"/>
  <c r="S15" i="5"/>
  <c r="R15" i="5"/>
  <c r="Q15" i="5"/>
  <c r="P15" i="5"/>
  <c r="O15" i="5"/>
  <c r="N15" i="5"/>
  <c r="M15" i="5"/>
  <c r="L15" i="5"/>
  <c r="K15" i="5"/>
  <c r="J15" i="5"/>
  <c r="I15" i="5"/>
  <c r="AD15" i="5" s="1"/>
  <c r="H15" i="5"/>
  <c r="G15" i="5"/>
  <c r="F15" i="5"/>
  <c r="E15" i="5"/>
  <c r="D15" i="5"/>
  <c r="C15" i="5"/>
  <c r="AA15" i="5" s="1"/>
  <c r="AC14" i="5"/>
  <c r="AE14" i="5" s="1"/>
  <c r="Z14" i="5"/>
  <c r="Y14" i="5"/>
  <c r="X14" i="5"/>
  <c r="W14" i="5"/>
  <c r="V14" i="5"/>
  <c r="U14" i="5"/>
  <c r="T14" i="5"/>
  <c r="S14" i="5"/>
  <c r="R14" i="5"/>
  <c r="Q14" i="5"/>
  <c r="P14" i="5"/>
  <c r="O14" i="5"/>
  <c r="N14" i="5"/>
  <c r="M14" i="5"/>
  <c r="L14" i="5"/>
  <c r="K14" i="5"/>
  <c r="J14" i="5"/>
  <c r="I14" i="5"/>
  <c r="H14" i="5"/>
  <c r="G14" i="5"/>
  <c r="F14" i="5"/>
  <c r="E14" i="5"/>
  <c r="D14" i="5"/>
  <c r="C14" i="5"/>
  <c r="AA14" i="5" s="1"/>
  <c r="AC13" i="5"/>
  <c r="Z13" i="5"/>
  <c r="Y13" i="5"/>
  <c r="X13" i="5"/>
  <c r="W13" i="5"/>
  <c r="V13" i="5"/>
  <c r="U13" i="5"/>
  <c r="T13" i="5"/>
  <c r="S13" i="5"/>
  <c r="R13" i="5"/>
  <c r="Q13" i="5"/>
  <c r="P13" i="5"/>
  <c r="O13" i="5"/>
  <c r="N13" i="5"/>
  <c r="M13" i="5"/>
  <c r="L13" i="5"/>
  <c r="K13" i="5"/>
  <c r="J13" i="5"/>
  <c r="I13" i="5"/>
  <c r="AD13" i="5" s="1"/>
  <c r="H13" i="5"/>
  <c r="G13" i="5"/>
  <c r="F13" i="5"/>
  <c r="E13" i="5"/>
  <c r="AE13" i="5" s="1"/>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E11" i="5"/>
  <c r="AC11" i="5"/>
  <c r="Z11" i="5"/>
  <c r="Y11" i="5"/>
  <c r="X11" i="5"/>
  <c r="W11" i="5"/>
  <c r="V11" i="5"/>
  <c r="U11" i="5"/>
  <c r="T11" i="5"/>
  <c r="S11" i="5"/>
  <c r="R11" i="5"/>
  <c r="Q11" i="5"/>
  <c r="P11" i="5"/>
  <c r="O11" i="5"/>
  <c r="N11" i="5"/>
  <c r="M11" i="5"/>
  <c r="L11" i="5"/>
  <c r="K11" i="5"/>
  <c r="J11" i="5"/>
  <c r="I11" i="5"/>
  <c r="AD11" i="5" s="1"/>
  <c r="H11" i="5"/>
  <c r="G11" i="5"/>
  <c r="F11" i="5"/>
  <c r="E11" i="5"/>
  <c r="D11" i="5"/>
  <c r="C11" i="5"/>
  <c r="AA11" i="5" s="1"/>
  <c r="AA9" i="5"/>
  <c r="Z9" i="5"/>
  <c r="Y9" i="5"/>
  <c r="X9" i="5"/>
  <c r="W9" i="5"/>
  <c r="V9" i="5"/>
  <c r="T9" i="5"/>
  <c r="R9" i="5"/>
  <c r="Q9" i="5"/>
  <c r="P9" i="5"/>
  <c r="O9" i="5"/>
  <c r="N9" i="5"/>
  <c r="L9" i="5"/>
  <c r="J9" i="5"/>
  <c r="I9" i="5"/>
  <c r="H9" i="5"/>
  <c r="G9" i="5"/>
  <c r="F9" i="5"/>
  <c r="D9" i="5"/>
  <c r="AA8" i="5"/>
  <c r="Z8" i="5"/>
  <c r="Y8" i="5"/>
  <c r="X8" i="5"/>
  <c r="W8" i="5"/>
  <c r="V8" i="5"/>
  <c r="S8" i="5"/>
  <c r="R8" i="5"/>
  <c r="Q8" i="5"/>
  <c r="O8" i="5"/>
  <c r="N8" i="5"/>
  <c r="M8" i="5"/>
  <c r="J8" i="5"/>
  <c r="I8" i="5"/>
  <c r="H8" i="5"/>
  <c r="G8" i="5"/>
  <c r="F8" i="5"/>
  <c r="C8" i="5"/>
  <c r="M7" i="5"/>
  <c r="AG6" i="5"/>
  <c r="U7" i="5"/>
  <c r="Z6" i="7" l="1"/>
  <c r="K5" i="7"/>
  <c r="AD98" i="7"/>
  <c r="AD85" i="7"/>
  <c r="AD83" i="7"/>
  <c r="AD82" i="7"/>
  <c r="O5" i="6"/>
  <c r="AD92" i="6"/>
  <c r="D6" i="6"/>
  <c r="D7" i="6" s="1"/>
  <c r="Z5" i="5"/>
  <c r="Y6" i="5"/>
  <c r="X4" i="5"/>
  <c r="X6" i="5"/>
  <c r="S6" i="5"/>
  <c r="R4" i="5"/>
  <c r="P6" i="5"/>
  <c r="P4" i="5"/>
  <c r="O5" i="5"/>
  <c r="N4" i="5"/>
  <c r="N5" i="5"/>
  <c r="L6" i="5"/>
  <c r="L7" i="5" s="1"/>
  <c r="L5" i="5"/>
  <c r="K6" i="5"/>
  <c r="K5" i="5"/>
  <c r="J6" i="5"/>
  <c r="I4" i="5"/>
  <c r="H5" i="5"/>
  <c r="H6" i="5"/>
  <c r="G7" i="5"/>
  <c r="G6" i="5"/>
  <c r="F6" i="5"/>
  <c r="E4" i="5"/>
  <c r="AE84" i="5"/>
  <c r="D6" i="5"/>
  <c r="D7" i="5" s="1"/>
  <c r="D5" i="5"/>
  <c r="AF83" i="5"/>
  <c r="C5" i="5"/>
  <c r="AF56" i="5"/>
  <c r="AF90" i="5"/>
  <c r="AF71" i="5"/>
  <c r="AF64" i="5"/>
  <c r="AF58" i="5"/>
  <c r="AF68" i="5"/>
  <c r="AF91" i="5"/>
  <c r="AF47" i="5"/>
  <c r="AF66" i="5"/>
  <c r="AF80" i="5"/>
  <c r="AF82" i="5"/>
  <c r="AF49" i="5"/>
  <c r="AF74" i="5"/>
  <c r="AF98" i="5"/>
  <c r="AF50" i="5"/>
  <c r="AF72" i="5"/>
  <c r="AF87" i="5"/>
  <c r="AF48" i="5"/>
  <c r="AF79" i="5"/>
  <c r="AF95" i="5"/>
  <c r="AF55" i="5"/>
  <c r="AD53" i="6"/>
  <c r="AE59" i="6"/>
  <c r="AD59" i="6"/>
  <c r="AF76" i="5"/>
  <c r="AE63" i="6"/>
  <c r="AD63" i="6"/>
  <c r="AD63" i="5"/>
  <c r="AF63" i="5" s="1"/>
  <c r="AE53" i="6"/>
  <c r="V7" i="5"/>
  <c r="AD57" i="5"/>
  <c r="AF57" i="5" s="1"/>
  <c r="AE59" i="5"/>
  <c r="AF59" i="5" s="1"/>
  <c r="AD81" i="5"/>
  <c r="AF81" i="5" s="1"/>
  <c r="AD92" i="5"/>
  <c r="AF92" i="5" s="1"/>
  <c r="X9" i="6"/>
  <c r="P9" i="6"/>
  <c r="H9" i="6"/>
  <c r="Y8" i="6"/>
  <c r="Q8" i="6"/>
  <c r="I8" i="6"/>
  <c r="Z7" i="6"/>
  <c r="R7" i="6"/>
  <c r="J7" i="6"/>
  <c r="W9" i="6"/>
  <c r="O9" i="6"/>
  <c r="G9" i="6"/>
  <c r="X8" i="6"/>
  <c r="P8" i="6"/>
  <c r="H8" i="6"/>
  <c r="Y7" i="6"/>
  <c r="Q7" i="6"/>
  <c r="I7" i="6"/>
  <c r="U9" i="6"/>
  <c r="M9" i="6"/>
  <c r="E9" i="6"/>
  <c r="V8" i="6"/>
  <c r="N8" i="6"/>
  <c r="F8" i="6"/>
  <c r="W7" i="6"/>
  <c r="O7" i="6"/>
  <c r="G7" i="6"/>
  <c r="T9" i="6"/>
  <c r="L9" i="6"/>
  <c r="D9" i="6"/>
  <c r="U8" i="6"/>
  <c r="M8" i="6"/>
  <c r="E8" i="6"/>
  <c r="V7" i="6"/>
  <c r="N7" i="6"/>
  <c r="F7" i="6"/>
  <c r="E7" i="6"/>
  <c r="U7" i="6"/>
  <c r="L8" i="6"/>
  <c r="C9" i="6"/>
  <c r="S9" i="6"/>
  <c r="F7" i="5"/>
  <c r="O7" i="5"/>
  <c r="X7" i="5"/>
  <c r="K8" i="5"/>
  <c r="U8" i="5"/>
  <c r="AD12" i="5"/>
  <c r="AE26" i="5"/>
  <c r="AD28" i="5"/>
  <c r="AE42" i="5"/>
  <c r="AD44" i="5"/>
  <c r="AD52" i="5"/>
  <c r="AF52" i="5" s="1"/>
  <c r="AE54" i="5"/>
  <c r="AF54" i="5" s="1"/>
  <c r="AD65" i="5"/>
  <c r="AF65" i="5" s="1"/>
  <c r="AD67" i="5"/>
  <c r="AF67" i="5" s="1"/>
  <c r="AD69" i="5"/>
  <c r="AF69" i="5" s="1"/>
  <c r="AE77" i="5"/>
  <c r="AD77" i="5"/>
  <c r="AE86" i="5"/>
  <c r="AD86" i="5"/>
  <c r="AE88" i="5"/>
  <c r="AF88" i="5" s="1"/>
  <c r="I7" i="5"/>
  <c r="Q7" i="5"/>
  <c r="Y7" i="5"/>
  <c r="D8" i="5"/>
  <c r="L8" i="5"/>
  <c r="T8" i="5"/>
  <c r="AE97" i="5"/>
  <c r="AF97" i="5" s="1"/>
  <c r="H7" i="6"/>
  <c r="X7" i="6"/>
  <c r="O8" i="6"/>
  <c r="F9" i="6"/>
  <c r="V9" i="6"/>
  <c r="AD45" i="6"/>
  <c r="AE54" i="6"/>
  <c r="AD54" i="6"/>
  <c r="AE85" i="5"/>
  <c r="AD85" i="5"/>
  <c r="AE94" i="5"/>
  <c r="AD94" i="5"/>
  <c r="AD16" i="5"/>
  <c r="AF96" i="5"/>
  <c r="AE46" i="6"/>
  <c r="AD46" i="6"/>
  <c r="AE70" i="6"/>
  <c r="AD70" i="6"/>
  <c r="AD32" i="5"/>
  <c r="AD46" i="5"/>
  <c r="AF46" i="5" s="1"/>
  <c r="H7" i="5"/>
  <c r="R7" i="5"/>
  <c r="AA7" i="5"/>
  <c r="E8" i="5"/>
  <c r="AE22" i="5"/>
  <c r="AD24" i="5"/>
  <c r="AE38" i="5"/>
  <c r="AD40" i="5"/>
  <c r="AD60" i="5"/>
  <c r="AF60" i="5" s="1"/>
  <c r="AE62" i="5"/>
  <c r="AF62" i="5" s="1"/>
  <c r="AD73" i="5"/>
  <c r="AF73" i="5" s="1"/>
  <c r="AD84" i="5"/>
  <c r="AE93" i="5"/>
  <c r="AD93" i="5"/>
  <c r="L7" i="6"/>
  <c r="C8" i="6"/>
  <c r="S8" i="6"/>
  <c r="J9" i="6"/>
  <c r="Z9" i="6"/>
  <c r="AE61" i="6"/>
  <c r="AD61" i="6"/>
  <c r="AD14" i="5"/>
  <c r="AD30" i="5"/>
  <c r="AE61" i="5"/>
  <c r="AF61" i="5" s="1"/>
  <c r="P7" i="5"/>
  <c r="J7" i="5"/>
  <c r="S7" i="5"/>
  <c r="AE78" i="5"/>
  <c r="AD78" i="5"/>
  <c r="M7" i="6"/>
  <c r="D8" i="6"/>
  <c r="T8" i="6"/>
  <c r="K9" i="6"/>
  <c r="AA9" i="6"/>
  <c r="AE43" i="6"/>
  <c r="AE52" i="6"/>
  <c r="AD52" i="6"/>
  <c r="AD55" i="6"/>
  <c r="AD75" i="5"/>
  <c r="AF75" i="5" s="1"/>
  <c r="K7" i="5"/>
  <c r="AE18" i="5"/>
  <c r="AD20" i="5"/>
  <c r="AE34" i="5"/>
  <c r="AD36" i="5"/>
  <c r="AD51" i="5"/>
  <c r="AF51" i="5" s="1"/>
  <c r="AD53" i="5"/>
  <c r="AF53" i="5" s="1"/>
  <c r="AE70" i="5"/>
  <c r="AF70" i="5" s="1"/>
  <c r="AD89" i="5"/>
  <c r="AF89" i="5" s="1"/>
  <c r="P7" i="6"/>
  <c r="G8" i="6"/>
  <c r="W8" i="6"/>
  <c r="N9" i="6"/>
  <c r="AE69" i="6"/>
  <c r="M7" i="7"/>
  <c r="D8" i="7"/>
  <c r="T8" i="7"/>
  <c r="K9" i="7"/>
  <c r="AA9" i="7"/>
  <c r="AD59" i="7"/>
  <c r="AE75" i="6"/>
  <c r="AE83" i="6"/>
  <c r="AE91" i="6"/>
  <c r="Q7" i="7"/>
  <c r="H8" i="7"/>
  <c r="X8" i="7"/>
  <c r="O9" i="7"/>
  <c r="AA11" i="6"/>
  <c r="AE50" i="6"/>
  <c r="AE66" i="6"/>
  <c r="AE76" i="6"/>
  <c r="AD78" i="6"/>
  <c r="AE84" i="6"/>
  <c r="AD86" i="6"/>
  <c r="AE92" i="6"/>
  <c r="AD94" i="6"/>
  <c r="D7" i="7"/>
  <c r="T7" i="7"/>
  <c r="K8" i="7"/>
  <c r="AA8" i="7"/>
  <c r="R9" i="7"/>
  <c r="AD50" i="7"/>
  <c r="K4" i="6"/>
  <c r="S4" i="6"/>
  <c r="AA4" i="6"/>
  <c r="AE48" i="6"/>
  <c r="AE64" i="6"/>
  <c r="AD68" i="6"/>
  <c r="AD71" i="6"/>
  <c r="AE73" i="6"/>
  <c r="AD79" i="6"/>
  <c r="AE81" i="6"/>
  <c r="AD87" i="6"/>
  <c r="AE89" i="6"/>
  <c r="AD95" i="6"/>
  <c r="AE97" i="6"/>
  <c r="E7" i="7"/>
  <c r="U7" i="7"/>
  <c r="L8" i="7"/>
  <c r="C9" i="7"/>
  <c r="AD68" i="7"/>
  <c r="AE82" i="6"/>
  <c r="AE90" i="6"/>
  <c r="T9" i="7"/>
  <c r="L9" i="7"/>
  <c r="D9" i="7"/>
  <c r="U8" i="7"/>
  <c r="M8" i="7"/>
  <c r="E8" i="7"/>
  <c r="V7" i="7"/>
  <c r="N7" i="7"/>
  <c r="F7" i="7"/>
  <c r="Y9" i="7"/>
  <c r="Q9" i="7"/>
  <c r="I9" i="7"/>
  <c r="Z8" i="7"/>
  <c r="R8" i="7"/>
  <c r="J8" i="7"/>
  <c r="AA7" i="7"/>
  <c r="S7" i="7"/>
  <c r="K7" i="7"/>
  <c r="C7" i="7"/>
  <c r="X9" i="7"/>
  <c r="P9" i="7"/>
  <c r="H9" i="7"/>
  <c r="Y8" i="7"/>
  <c r="Q8" i="7"/>
  <c r="I8" i="7"/>
  <c r="Z7" i="7"/>
  <c r="R7" i="7"/>
  <c r="J7" i="7"/>
  <c r="V9" i="7"/>
  <c r="N9" i="7"/>
  <c r="F9" i="7"/>
  <c r="W8" i="7"/>
  <c r="O8" i="7"/>
  <c r="G8" i="7"/>
  <c r="X7" i="7"/>
  <c r="P7" i="7"/>
  <c r="H7" i="7"/>
  <c r="G7" i="7"/>
  <c r="W7" i="7"/>
  <c r="N8" i="7"/>
  <c r="E9" i="7"/>
  <c r="U9" i="7"/>
  <c r="AD12" i="7"/>
  <c r="AD28" i="7"/>
  <c r="AD44" i="7"/>
  <c r="AD51" i="7"/>
  <c r="AE62" i="6"/>
  <c r="AE74" i="6"/>
  <c r="C5" i="6"/>
  <c r="AE44" i="6"/>
  <c r="AD48" i="6"/>
  <c r="AE60" i="6"/>
  <c r="AD64" i="6"/>
  <c r="AE71" i="6"/>
  <c r="AD77" i="6"/>
  <c r="AE79" i="6"/>
  <c r="AD85" i="6"/>
  <c r="AE87" i="6"/>
  <c r="AD93" i="6"/>
  <c r="AE95" i="6"/>
  <c r="I7" i="7"/>
  <c r="Y7" i="7"/>
  <c r="P8" i="7"/>
  <c r="G9" i="7"/>
  <c r="W9" i="7"/>
  <c r="AD19" i="7"/>
  <c r="AD35" i="7"/>
  <c r="AD62" i="6"/>
  <c r="AD74" i="6"/>
  <c r="AD82" i="6"/>
  <c r="AD90" i="6"/>
  <c r="L7" i="7"/>
  <c r="C8" i="7"/>
  <c r="S8" i="7"/>
  <c r="J9" i="7"/>
  <c r="Z9" i="7"/>
  <c r="D16" i="10"/>
  <c r="C16" i="10"/>
  <c r="C71" i="10"/>
  <c r="D70" i="10"/>
  <c r="C84" i="10"/>
  <c r="D83" i="10"/>
  <c r="C116" i="10"/>
  <c r="D115" i="10"/>
  <c r="C148" i="10"/>
  <c r="D147" i="10"/>
  <c r="C172" i="10"/>
  <c r="D171" i="10"/>
  <c r="C193" i="10"/>
  <c r="D192" i="10"/>
  <c r="C192" i="10"/>
  <c r="C209" i="10"/>
  <c r="D208" i="10"/>
  <c r="C208" i="10"/>
  <c r="C9" i="8"/>
  <c r="C17" i="8"/>
  <c r="C25" i="8"/>
  <c r="C96" i="9"/>
  <c r="C102" i="9"/>
  <c r="C105" i="9"/>
  <c r="C119" i="9"/>
  <c r="C128" i="9"/>
  <c r="C134" i="9"/>
  <c r="C137" i="9"/>
  <c r="C151" i="9"/>
  <c r="C160" i="9"/>
  <c r="C166" i="9"/>
  <c r="C169" i="9"/>
  <c r="C183" i="9"/>
  <c r="C192" i="9"/>
  <c r="C198" i="9"/>
  <c r="C201" i="9"/>
  <c r="C215" i="9"/>
  <c r="C224" i="9"/>
  <c r="C230" i="9"/>
  <c r="C233" i="9"/>
  <c r="C247" i="9"/>
  <c r="C256" i="9"/>
  <c r="C267" i="9"/>
  <c r="C275" i="9"/>
  <c r="C280" i="9"/>
  <c r="C5" i="10"/>
  <c r="D12" i="10"/>
  <c r="C13" i="10"/>
  <c r="C21" i="10"/>
  <c r="D25" i="10"/>
  <c r="C26" i="10"/>
  <c r="C39" i="10"/>
  <c r="D38" i="10"/>
  <c r="C59" i="10"/>
  <c r="C83" i="10"/>
  <c r="C94" i="10"/>
  <c r="D93" i="10"/>
  <c r="C93" i="10"/>
  <c r="C115" i="10"/>
  <c r="C126" i="10"/>
  <c r="D125" i="10"/>
  <c r="C125" i="10"/>
  <c r="C147" i="10"/>
  <c r="C171" i="10"/>
  <c r="C188" i="10"/>
  <c r="D187" i="10"/>
  <c r="C204" i="10"/>
  <c r="D203" i="10"/>
  <c r="C98" i="9"/>
  <c r="C130" i="9"/>
  <c r="C162" i="9"/>
  <c r="C194" i="9"/>
  <c r="C226" i="9"/>
  <c r="C258" i="9"/>
  <c r="C277" i="9"/>
  <c r="D5" i="10"/>
  <c r="D9" i="10"/>
  <c r="C10" i="10"/>
  <c r="C17" i="10"/>
  <c r="D21" i="10"/>
  <c r="C44" i="10"/>
  <c r="C57" i="10"/>
  <c r="D59" i="10"/>
  <c r="C76" i="10"/>
  <c r="D75" i="10"/>
  <c r="C108" i="10"/>
  <c r="D107" i="10"/>
  <c r="C112" i="10"/>
  <c r="C140" i="10"/>
  <c r="D139" i="10"/>
  <c r="C144" i="10"/>
  <c r="C169" i="10"/>
  <c r="D168" i="10"/>
  <c r="C187" i="10"/>
  <c r="C203" i="10"/>
  <c r="C94" i="9"/>
  <c r="C126" i="9"/>
  <c r="C158" i="9"/>
  <c r="C190" i="9"/>
  <c r="C222" i="9"/>
  <c r="C254" i="9"/>
  <c r="C296" i="9"/>
  <c r="C7" i="10"/>
  <c r="D6" i="10"/>
  <c r="C23" i="10"/>
  <c r="D22" i="10"/>
  <c r="D60" i="10"/>
  <c r="C61" i="10"/>
  <c r="C86" i="10"/>
  <c r="D85" i="10"/>
  <c r="C85" i="10"/>
  <c r="C118" i="10"/>
  <c r="D117" i="10"/>
  <c r="C117" i="10"/>
  <c r="C139" i="10"/>
  <c r="D144" i="10"/>
  <c r="C150" i="10"/>
  <c r="D149" i="10"/>
  <c r="C149" i="10"/>
  <c r="C164" i="10"/>
  <c r="D163" i="10"/>
  <c r="C168" i="10"/>
  <c r="C282" i="9"/>
  <c r="C14" i="10"/>
  <c r="D43" i="10"/>
  <c r="D56" i="10"/>
  <c r="C72" i="10"/>
  <c r="C100" i="10"/>
  <c r="D99" i="10"/>
  <c r="C104" i="10"/>
  <c r="C132" i="10"/>
  <c r="D131" i="10"/>
  <c r="C136" i="10"/>
  <c r="C185" i="10"/>
  <c r="D184" i="10"/>
  <c r="C184" i="10"/>
  <c r="C201" i="10"/>
  <c r="D200" i="10"/>
  <c r="C200" i="10"/>
  <c r="C217" i="10"/>
  <c r="D216" i="10"/>
  <c r="C216" i="10"/>
  <c r="C103" i="9"/>
  <c r="C112" i="9"/>
  <c r="C121" i="9"/>
  <c r="C135" i="9"/>
  <c r="C144" i="9"/>
  <c r="C153" i="9"/>
  <c r="C167" i="9"/>
  <c r="C176" i="9"/>
  <c r="C185" i="9"/>
  <c r="C199" i="9"/>
  <c r="C208" i="9"/>
  <c r="C217" i="9"/>
  <c r="C231" i="9"/>
  <c r="D44" i="10"/>
  <c r="C45" i="10"/>
  <c r="D57" i="10"/>
  <c r="C58" i="10"/>
  <c r="C70" i="10"/>
  <c r="C78" i="10"/>
  <c r="D77" i="10"/>
  <c r="C77" i="10"/>
  <c r="C110" i="10"/>
  <c r="D109" i="10"/>
  <c r="C109" i="10"/>
  <c r="C142" i="10"/>
  <c r="D141" i="10"/>
  <c r="C141" i="10"/>
  <c r="C161" i="10"/>
  <c r="D160" i="10"/>
  <c r="C180" i="10"/>
  <c r="D179" i="10"/>
  <c r="C196" i="10"/>
  <c r="D195" i="10"/>
  <c r="C212" i="10"/>
  <c r="D211" i="10"/>
  <c r="C8" i="8"/>
  <c r="C16" i="8"/>
  <c r="C24" i="8"/>
  <c r="C114" i="9"/>
  <c r="C146" i="9"/>
  <c r="C178" i="9"/>
  <c r="C210" i="9"/>
  <c r="C242" i="9"/>
  <c r="C265" i="9"/>
  <c r="C289" i="9"/>
  <c r="C298" i="9"/>
  <c r="C4" i="10"/>
  <c r="D3" i="10"/>
  <c r="C3" i="10"/>
  <c r="C12" i="10"/>
  <c r="C20" i="10"/>
  <c r="C25" i="10"/>
  <c r="D27" i="10"/>
  <c r="C38" i="10"/>
  <c r="D40" i="10"/>
  <c r="C49" i="10"/>
  <c r="D53" i="10"/>
  <c r="C65" i="10"/>
  <c r="C69" i="10"/>
  <c r="C92" i="10"/>
  <c r="D91" i="10"/>
  <c r="C96" i="10"/>
  <c r="C124" i="10"/>
  <c r="D123" i="10"/>
  <c r="C128" i="10"/>
  <c r="C156" i="10"/>
  <c r="D155" i="10"/>
  <c r="C160" i="10"/>
  <c r="C179" i="10"/>
  <c r="C3" i="8"/>
  <c r="C11" i="8"/>
  <c r="C19" i="8"/>
  <c r="C110" i="9"/>
  <c r="C142" i="9"/>
  <c r="C174" i="9"/>
  <c r="C206" i="9"/>
  <c r="C238" i="9"/>
  <c r="C261" i="9"/>
  <c r="D28" i="10"/>
  <c r="C29" i="10"/>
  <c r="C37" i="10"/>
  <c r="D41" i="10"/>
  <c r="C42" i="10"/>
  <c r="C55" i="10"/>
  <c r="D54" i="10"/>
  <c r="D69" i="10"/>
  <c r="D96" i="10"/>
  <c r="C102" i="10"/>
  <c r="D101" i="10"/>
  <c r="C101" i="10"/>
  <c r="D128" i="10"/>
  <c r="C134" i="10"/>
  <c r="D133" i="10"/>
  <c r="C133" i="10"/>
  <c r="C155" i="10"/>
  <c r="C177" i="10"/>
  <c r="D176" i="10"/>
  <c r="C262" i="10"/>
  <c r="D261" i="10"/>
  <c r="C261" i="10"/>
  <c r="C220" i="10"/>
  <c r="D219" i="10"/>
  <c r="C228" i="10"/>
  <c r="D227" i="10"/>
  <c r="C236" i="10"/>
  <c r="D235" i="10"/>
  <c r="C246" i="10"/>
  <c r="D245" i="10"/>
  <c r="C245" i="10"/>
  <c r="C286" i="10"/>
  <c r="D285" i="10"/>
  <c r="C285" i="10"/>
  <c r="C224" i="10"/>
  <c r="C232" i="10"/>
  <c r="C270" i="10"/>
  <c r="D269" i="10"/>
  <c r="C269" i="10"/>
  <c r="D224" i="10"/>
  <c r="D232" i="10"/>
  <c r="C36" i="10"/>
  <c r="C52" i="10"/>
  <c r="C68" i="10"/>
  <c r="C157" i="10"/>
  <c r="C165" i="10"/>
  <c r="C173" i="10"/>
  <c r="C181" i="10"/>
  <c r="C189" i="10"/>
  <c r="C197" i="10"/>
  <c r="C205" i="10"/>
  <c r="C213" i="10"/>
  <c r="C221" i="10"/>
  <c r="C229" i="10"/>
  <c r="C254" i="10"/>
  <c r="D253" i="10"/>
  <c r="C253" i="10"/>
  <c r="C273" i="9"/>
  <c r="C19" i="10"/>
  <c r="C32" i="10"/>
  <c r="C35" i="10"/>
  <c r="C48" i="10"/>
  <c r="C51" i="10"/>
  <c r="C67" i="10"/>
  <c r="D157" i="10"/>
  <c r="D165" i="10"/>
  <c r="D173" i="10"/>
  <c r="D181" i="10"/>
  <c r="D189" i="10"/>
  <c r="D197" i="10"/>
  <c r="D205" i="10"/>
  <c r="D213" i="10"/>
  <c r="D221" i="10"/>
  <c r="D229" i="10"/>
  <c r="C278" i="10"/>
  <c r="D277" i="10"/>
  <c r="C277" i="10"/>
  <c r="D19" i="10"/>
  <c r="D35" i="10"/>
  <c r="D51" i="10"/>
  <c r="C79" i="10"/>
  <c r="D78" i="10"/>
  <c r="C87" i="10"/>
  <c r="D86" i="10"/>
  <c r="C95" i="10"/>
  <c r="D94" i="10"/>
  <c r="C103" i="10"/>
  <c r="D102" i="10"/>
  <c r="C111" i="10"/>
  <c r="D110" i="10"/>
  <c r="C119" i="10"/>
  <c r="D118" i="10"/>
  <c r="C127" i="10"/>
  <c r="D126" i="10"/>
  <c r="C135" i="10"/>
  <c r="D134" i="10"/>
  <c r="C143" i="10"/>
  <c r="D142" i="10"/>
  <c r="C151" i="10"/>
  <c r="D150" i="10"/>
  <c r="C159" i="10"/>
  <c r="D158" i="10"/>
  <c r="C167" i="10"/>
  <c r="D166" i="10"/>
  <c r="C175" i="10"/>
  <c r="D174" i="10"/>
  <c r="C183" i="10"/>
  <c r="D182" i="10"/>
  <c r="C191" i="10"/>
  <c r="D190" i="10"/>
  <c r="C199" i="10"/>
  <c r="D198" i="10"/>
  <c r="C207" i="10"/>
  <c r="D206" i="10"/>
  <c r="C215" i="10"/>
  <c r="D214" i="10"/>
  <c r="C223" i="10"/>
  <c r="D222" i="10"/>
  <c r="C231" i="10"/>
  <c r="D230" i="10"/>
  <c r="C298" i="10"/>
  <c r="C293" i="10"/>
  <c r="D298" i="10"/>
  <c r="C248" i="10"/>
  <c r="C256" i="10"/>
  <c r="C264" i="10"/>
  <c r="C272" i="10"/>
  <c r="D293" i="10"/>
  <c r="D240" i="10"/>
  <c r="C243" i="10"/>
  <c r="D248" i="10"/>
  <c r="C251" i="10"/>
  <c r="D256" i="10"/>
  <c r="C259" i="10"/>
  <c r="D264" i="10"/>
  <c r="C267" i="10"/>
  <c r="D272" i="10"/>
  <c r="C275" i="10"/>
  <c r="D280" i="10"/>
  <c r="C283" i="10"/>
  <c r="D288" i="10"/>
  <c r="C291" i="10"/>
  <c r="D296" i="10"/>
  <c r="D243" i="10"/>
  <c r="D251" i="10"/>
  <c r="D259" i="10"/>
  <c r="D267" i="10"/>
  <c r="D275" i="10"/>
  <c r="D283" i="10"/>
  <c r="D291" i="10"/>
  <c r="D299" i="10"/>
  <c r="D238" i="10"/>
  <c r="D246" i="10"/>
  <c r="D254" i="10"/>
  <c r="D262" i="10"/>
  <c r="D270" i="10"/>
  <c r="D278" i="10"/>
  <c r="D286" i="10"/>
  <c r="D294" i="10"/>
  <c r="AF84" i="5" l="1"/>
  <c r="AF93" i="5"/>
  <c r="AF86" i="5"/>
  <c r="AF77" i="5"/>
  <c r="AF94" i="5"/>
  <c r="AF78" i="5"/>
  <c r="AF85" i="5"/>
</calcChain>
</file>

<file path=xl/sharedStrings.xml><?xml version="1.0" encoding="utf-8"?>
<sst xmlns="http://schemas.openxmlformats.org/spreadsheetml/2006/main" count="1505" uniqueCount="599">
  <si>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</si>
  <si>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</si>
  <si>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</si>
  <si>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</si>
  <si>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</si>
  <si>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</si>
  <si>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</si>
  <si>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</si>
  <si>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</si>
  <si>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</si>
  <si>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</si>
  <si>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</si>
  <si>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</si>
  <si>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</si>
  <si>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</si>
  <si>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</si>
  <si>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</si>
  <si>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</si>
  <si>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</si>
  <si>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</si>
  <si>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</si>
  <si>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</si>
  <si>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</si>
  <si>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</si>
  <si>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</si>
  <si>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</si>
  <si>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</si>
  <si>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</si>
  <si>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</si>
  <si>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</si>
  <si>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</si>
  <si>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</si>
  <si>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</si>
  <si>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</si>
  <si>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</si>
  <si>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</si>
  <si>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</si>
  <si>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</si>
  <si>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</si>
  <si>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</si>
  <si>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</si>
  <si>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</si>
  <si>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</si>
  <si>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</si>
  <si>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</si>
  <si>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</si>
  <si>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</si>
  <si>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</si>
  <si>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</si>
  <si>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</si>
  <si>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</si>
  <si>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</si>
  <si>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</si>
  <si>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</si>
  <si>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</si>
  <si>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</si>
  <si>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</si>
  <si>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</si>
  <si>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</si>
  <si>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</si>
  <si>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</si>
  <si>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</si>
  <si>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</si>
  <si>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</si>
  <si>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</si>
  <si>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</si>
  <si>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</si>
  <si>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</si>
  <si>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</si>
  <si>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</si>
  <si>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</si>
  <si>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</si>
  <si>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</si>
  <si>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</si>
  <si>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</si>
  <si>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</si>
  <si>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</si>
  <si>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</si>
  <si>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</si>
  <si>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</si>
  <si>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</si>
  <si>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</si>
  <si>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</si>
  <si>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</si>
  <si>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</si>
  <si>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</si>
  <si>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</si>
  <si>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</si>
  <si>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</si>
  <si>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</si>
  <si>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</si>
  <si>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</si>
  <si>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</si>
  <si>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</si>
  <si>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</si>
  <si>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</si>
  <si>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</si>
  <si>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</si>
  <si>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</si>
  <si>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</si>
  <si>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</si>
  <si>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</si>
  <si>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</si>
  <si>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</si>
  <si>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</si>
  <si>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</si>
  <si>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</si>
  <si>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</si>
  <si>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</si>
  <si>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</si>
  <si>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</si>
  <si>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</si>
  <si>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</si>
  <si>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</si>
  <si>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</si>
  <si>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</si>
  <si>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</si>
  <si>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</si>
  <si>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</si>
  <si>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</si>
  <si>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</si>
  <si>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</si>
  <si>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</si>
  <si>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</si>
  <si>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</si>
  <si>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</si>
  <si>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</si>
  <si>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</si>
  <si>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</si>
  <si>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</si>
  <si>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</si>
  <si>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</si>
  <si>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</si>
  <si>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</si>
  <si>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</si>
  <si>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</si>
  <si>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</si>
  <si>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</si>
  <si>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</si>
  <si>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</si>
  <si>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</si>
  <si>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</si>
  <si>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</si>
  <si>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</si>
  <si>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</si>
  <si>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</si>
  <si>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</si>
  <si>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</si>
  <si>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</si>
  <si>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</si>
  <si>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</si>
  <si>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</si>
  <si>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</si>
  <si>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</si>
  <si>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</si>
  <si>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</si>
  <si>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</si>
  <si>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</si>
  <si>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</si>
  <si>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</si>
  <si>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</si>
  <si>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</si>
  <si>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</si>
  <si>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</si>
  <si>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</si>
  <si>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</si>
  <si>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</si>
  <si>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</si>
  <si>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</si>
  <si>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</si>
  <si>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</si>
  <si>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</si>
  <si>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</si>
  <si>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</si>
  <si>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</si>
  <si>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</si>
  <si>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</si>
  <si>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</si>
  <si>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</si>
  <si>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</si>
  <si>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</si>
  <si>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</si>
  <si>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</si>
  <si>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</si>
  <si>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</si>
  <si>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</si>
  <si>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</si>
  <si>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</si>
  <si>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</si>
  <si>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</si>
  <si>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</si>
  <si>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</si>
  <si>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</si>
  <si>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</si>
  <si>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</si>
  <si>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</si>
  <si>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</si>
  <si>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</si>
  <si>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</si>
  <si>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</si>
  <si>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</si>
  <si>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</si>
  <si>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</si>
  <si>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</si>
  <si>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</si>
  <si>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</si>
  <si>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</si>
  <si>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</si>
  <si>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</si>
  <si>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</si>
  <si>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</si>
  <si>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</si>
  <si>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</si>
  <si>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</si>
  <si>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</si>
  <si>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</si>
  <si>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</si>
  <si>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</si>
  <si>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</si>
  <si>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</si>
  <si>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</si>
  <si>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</si>
  <si>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</si>
  <si>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</si>
  <si>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</si>
  <si>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</si>
  <si>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</si>
  <si>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</si>
  <si>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</si>
  <si>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</si>
  <si>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</si>
  <si>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</si>
  <si>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</si>
  <si>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</si>
  <si>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</si>
  <si>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</si>
  <si>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</si>
  <si>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</si>
  <si>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</si>
  <si>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</si>
  <si>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</si>
  <si>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</si>
  <si>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</si>
  <si>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</si>
  <si>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</si>
  <si>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</si>
  <si>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</si>
  <si>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</si>
  <si>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</si>
  <si>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</si>
  <si>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</si>
  <si>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</si>
  <si>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</si>
  <si>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</si>
  <si>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</si>
  <si>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</si>
  <si>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</si>
  <si>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</si>
  <si>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</si>
  <si>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</si>
  <si>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</si>
  <si>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</si>
  <si>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</si>
  <si>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</si>
  <si>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</si>
  <si>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</si>
  <si>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</si>
  <si>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</si>
  <si>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</si>
  <si>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</si>
  <si>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</si>
  <si>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</si>
  <si>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</si>
  <si>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</si>
  <si>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</si>
  <si>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</si>
  <si>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</si>
  <si>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</si>
  <si>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</si>
  <si>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</si>
  <si>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</si>
  <si>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</si>
  <si>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</si>
  <si>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</si>
  <si>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</si>
  <si>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</si>
  <si>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</si>
  <si>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</si>
  <si>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</si>
  <si>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</si>
  <si>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</si>
  <si>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</si>
  <si>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</si>
  <si>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</si>
  <si>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</si>
  <si>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</si>
  <si>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</si>
  <si>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</si>
  <si>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</si>
  <si>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</si>
  <si>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</si>
  <si>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</si>
  <si>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</si>
  <si>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</si>
  <si>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</si>
  <si>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</si>
  <si>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</si>
  <si>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</si>
  <si>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</si>
  <si>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</si>
  <si>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</si>
  <si>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</si>
  <si>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</si>
  <si>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</si>
  <si>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</si>
  <si>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</si>
  <si>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</si>
  <si>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</si>
  <si>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</si>
  <si>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</si>
  <si>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</si>
  <si>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</si>
  <si>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</si>
  <si>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</si>
  <si>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</si>
  <si>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</si>
  <si>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</si>
  <si>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</si>
  <si>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</si>
  <si>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</si>
  <si>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</si>
  <si>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</si>
  <si>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</si>
  <si>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</si>
  <si>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</si>
  <si>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</si>
  <si>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</si>
  <si>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</si>
  <si>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</si>
  <si>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</si>
  <si>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</si>
  <si>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</si>
  <si>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</si>
  <si>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</si>
  <si>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</si>
  <si>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</si>
  <si>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</si>
  <si>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</si>
  <si>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</si>
  <si>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</si>
  <si>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</si>
  <si>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</si>
  <si>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</si>
  <si>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</si>
  <si>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</si>
  <si>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</si>
  <si>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</si>
  <si>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</si>
  <si>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</si>
  <si>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</si>
  <si>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</si>
  <si>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</si>
  <si>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</si>
  <si>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</si>
  <si>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</si>
  <si>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</si>
  <si>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</si>
  <si>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</si>
  <si>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</si>
  <si>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</si>
  <si>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</si>
  <si>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</si>
  <si>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GDP</t>
  </si>
  <si>
    <t>GDP YoY</t>
  </si>
  <si>
    <t>GDP QoQ</t>
  </si>
  <si>
    <t>Interest rate</t>
  </si>
  <si>
    <t>Inflation rate</t>
  </si>
  <si>
    <t>Jobless rate</t>
  </si>
  <si>
    <t>Gov. Budget</t>
  </si>
  <si>
    <t>Debt/GDP</t>
  </si>
  <si>
    <t>Current Account</t>
  </si>
  <si>
    <t>Currency</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</si>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</sst>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horizontal="center" vertical="center"/>
    </xf>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164" fontId="9" fillId="2" borderId="0" xfId="0" applyNumberFormat="1" applyFont="1" applyFill="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7D65-7B45-B9BF-937BDF78927A}"/>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7D65-7B45-B9BF-937BDF78927A}"/>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7D65-7B45-B9BF-937BDF78927A}"/>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7D65-7B45-B9BF-937BDF78927A}"/>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7D65-7B45-B9BF-937BDF78927A}"/>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7D65-7B45-B9BF-937BDF78927A}"/>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7D65-7B45-B9BF-937BDF78927A}"/>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7D65-7B45-B9BF-937BDF78927A}"/>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7D65-7B45-B9BF-937BDF78927A}"/>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12.226677108000001</c:v>
                </c:pt>
                <c:pt idx="199">
                  <c:v>4.946555569</c:v>
                </c:pt>
                <c:pt idx="200">
                  <c:v>5.5317363620000002</c:v>
                </c:pt>
              </c:numCache>
            </c:numRef>
          </c:val>
          <c:smooth val="0"/>
          <c:extLst>
            <c:ext xmlns:c16="http://schemas.microsoft.com/office/drawing/2014/chart" uri="{C3380CC4-5D6E-409C-BE32-E72D297353CC}">
              <c16:uniqueId val="{00000000-B5C2-D745-8228-88634F22B40D}"/>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pt idx="199">
                  <c:v>0.57094811099999998</c:v>
                </c:pt>
                <c:pt idx="200">
                  <c:v>1.6790943920000001</c:v>
                </c:pt>
              </c:numCache>
            </c:numRef>
          </c:val>
          <c:smooth val="0"/>
          <c:extLst>
            <c:ext xmlns:c16="http://schemas.microsoft.com/office/drawing/2014/chart" uri="{C3380CC4-5D6E-409C-BE32-E72D297353CC}">
              <c16:uniqueId val="{00000000-ADA7-4D45-B874-328D5E1B9482}"/>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pt idx="59">
                  <c:v>2.303425902456091E-2</c:v>
                </c:pt>
                <c:pt idx="60">
                  <c:v>6.8874405826816254E-2</c:v>
                </c:pt>
              </c:numCache>
            </c:numRef>
          </c:val>
          <c:extLst>
            <c:ext xmlns:c16="http://schemas.microsoft.com/office/drawing/2014/chart" uri="{C3380CC4-5D6E-409C-BE32-E72D297353CC}">
              <c16:uniqueId val="{00000000-EF56-9041-9D12-FE90F688CF8D}"/>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329710</xdr:colOff>
      <xdr:row>258</xdr:row>
      <xdr:rowOff>86457</xdr:rowOff>
    </xdr:from>
    <xdr:to>
      <xdr:col>12</xdr:col>
      <xdr:colOff>320185</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253511</xdr:colOff>
      <xdr:row>279</xdr:row>
      <xdr:rowOff>29307</xdr:rowOff>
    </xdr:from>
    <xdr:to>
      <xdr:col>12</xdr:col>
      <xdr:colOff>243986</xdr:colOff>
      <xdr:row>299</xdr:row>
      <xdr:rowOff>5372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0" totalsRowShown="0" headerRowDxfId="10" dataDxfId="9">
  <autoFilter ref="A1:C300"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0" totalsRowShown="0" headerRowDxfId="5" dataDxfId="4">
  <autoFilter ref="A1:D300"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baseColWidth="10" defaultColWidth="9.1640625" defaultRowHeight="15" x14ac:dyDescent="0.2"/>
  <cols>
    <col min="1" max="1" width="5.1640625" style="72" customWidth="1"/>
    <col min="2" max="10" width="12.83203125" style="72" customWidth="1"/>
    <col min="11" max="11" width="6.6640625" style="72" customWidth="1"/>
    <col min="12" max="27" width="9.1640625" style="72" customWidth="1"/>
    <col min="28" max="16384" width="9.1640625" style="72"/>
  </cols>
  <sheetData>
    <row r="1" spans="2:10" ht="16" customHeight="1" thickBot="1" x14ac:dyDescent="0.25">
      <c r="B1" s="77"/>
      <c r="C1" s="74"/>
      <c r="D1" s="74"/>
      <c r="E1" s="74"/>
      <c r="F1" s="74"/>
      <c r="G1" s="74"/>
      <c r="H1" s="74"/>
      <c r="I1" s="74"/>
      <c r="J1" s="74"/>
    </row>
    <row r="2" spans="2:10" ht="16" customHeight="1" thickBot="1" x14ac:dyDescent="0.25">
      <c r="B2" s="78"/>
      <c r="C2" s="78"/>
      <c r="D2" s="78"/>
      <c r="E2" s="78"/>
      <c r="F2" s="78"/>
      <c r="G2" s="78"/>
      <c r="H2" s="78"/>
      <c r="I2" s="78"/>
      <c r="J2" s="78"/>
    </row>
    <row r="3" spans="2:10" ht="16" customHeight="1" thickBot="1" x14ac:dyDescent="0.25">
      <c r="B3" s="79" t="s">
        <v>0</v>
      </c>
      <c r="C3" s="80"/>
      <c r="D3" s="80"/>
      <c r="E3" s="80"/>
      <c r="F3" s="80"/>
      <c r="G3" s="80"/>
      <c r="H3" s="80"/>
      <c r="I3" s="80"/>
      <c r="J3" s="81"/>
    </row>
    <row r="5" spans="2:10" x14ac:dyDescent="0.2">
      <c r="B5" s="82" t="s">
        <v>1</v>
      </c>
      <c r="C5" s="83"/>
      <c r="D5" s="83"/>
      <c r="E5" s="83"/>
      <c r="F5" s="83"/>
      <c r="G5" s="83"/>
      <c r="H5" s="83"/>
      <c r="I5" s="83"/>
      <c r="J5" s="84"/>
    </row>
    <row r="7" spans="2:10" ht="132" customHeight="1" x14ac:dyDescent="0.2">
      <c r="B7" s="85" t="s">
        <v>2</v>
      </c>
      <c r="C7" s="74"/>
      <c r="D7" s="74"/>
      <c r="E7" s="74"/>
      <c r="F7" s="74"/>
      <c r="G7" s="74"/>
      <c r="H7" s="74"/>
      <c r="I7" s="74"/>
      <c r="J7" s="74"/>
    </row>
    <row r="8" spans="2:10" x14ac:dyDescent="0.2">
      <c r="B8" s="59"/>
      <c r="C8" s="57"/>
      <c r="D8" s="57"/>
      <c r="E8" s="57"/>
    </row>
    <row r="9" spans="2:10" x14ac:dyDescent="0.2">
      <c r="B9" s="82" t="s">
        <v>3</v>
      </c>
      <c r="C9" s="83"/>
      <c r="D9" s="83"/>
      <c r="E9" s="83"/>
      <c r="F9" s="83"/>
      <c r="G9" s="83"/>
      <c r="H9" s="83"/>
      <c r="I9" s="83"/>
      <c r="J9" s="84"/>
    </row>
    <row r="10" spans="2:10" ht="16" customHeight="1" x14ac:dyDescent="0.2"/>
    <row r="11" spans="2:10" ht="17" customHeight="1" x14ac:dyDescent="0.2">
      <c r="B11" s="82" t="s">
        <v>4</v>
      </c>
      <c r="C11" s="83"/>
      <c r="D11" s="83"/>
      <c r="E11" s="83"/>
      <c r="F11" s="84"/>
      <c r="G11" s="82" t="s">
        <v>5</v>
      </c>
      <c r="H11" s="83"/>
      <c r="I11" s="83"/>
      <c r="J11" s="84"/>
    </row>
    <row r="12" spans="2:10" ht="16" customHeight="1" x14ac:dyDescent="0.2"/>
    <row r="13" spans="2:10" ht="16" customHeight="1" x14ac:dyDescent="0.2">
      <c r="B13" s="76" t="s">
        <v>6</v>
      </c>
      <c r="C13" s="74"/>
      <c r="D13" s="74"/>
      <c r="E13" s="74"/>
      <c r="F13" s="74"/>
      <c r="G13" s="74" t="s">
        <v>7</v>
      </c>
      <c r="H13" s="74"/>
      <c r="I13" s="74"/>
      <c r="J13" s="74"/>
    </row>
    <row r="14" spans="2:10" ht="16" customHeight="1" x14ac:dyDescent="0.2">
      <c r="B14" s="74" t="s">
        <v>8</v>
      </c>
      <c r="C14" s="74"/>
      <c r="D14" s="74"/>
      <c r="E14" s="74"/>
      <c r="F14" s="74"/>
      <c r="G14" s="74" t="s">
        <v>9</v>
      </c>
      <c r="H14" s="74"/>
      <c r="I14" s="74"/>
      <c r="J14" s="74"/>
    </row>
    <row r="15" spans="2:10" ht="16" customHeight="1" x14ac:dyDescent="0.2">
      <c r="B15" s="74" t="s">
        <v>10</v>
      </c>
      <c r="C15" s="74"/>
      <c r="D15" s="74"/>
      <c r="E15" s="74"/>
      <c r="F15" s="74"/>
      <c r="G15" s="74" t="s">
        <v>11</v>
      </c>
      <c r="H15" s="74"/>
      <c r="I15" s="74"/>
      <c r="J15" s="74"/>
    </row>
    <row r="16" spans="2:10" ht="16" customHeight="1" x14ac:dyDescent="0.2">
      <c r="B16" s="74" t="s">
        <v>12</v>
      </c>
      <c r="C16" s="74"/>
      <c r="D16" s="74"/>
      <c r="E16" s="74"/>
      <c r="F16" s="74"/>
    </row>
    <row r="17" spans="2:10" ht="16" customHeight="1" x14ac:dyDescent="0.2">
      <c r="B17" s="74" t="s">
        <v>13</v>
      </c>
      <c r="C17" s="74"/>
      <c r="D17" s="74"/>
      <c r="E17" s="74"/>
      <c r="F17" s="74"/>
    </row>
    <row r="18" spans="2:10" ht="16" customHeight="1" x14ac:dyDescent="0.2"/>
    <row r="19" spans="2:10" ht="16" customHeight="1" x14ac:dyDescent="0.2">
      <c r="B19" s="76" t="s">
        <v>6</v>
      </c>
      <c r="C19" s="74"/>
      <c r="D19" s="74"/>
      <c r="E19" s="74"/>
      <c r="F19" s="74"/>
      <c r="G19" s="74" t="s">
        <v>14</v>
      </c>
      <c r="H19" s="74"/>
      <c r="I19" s="74"/>
      <c r="J19" s="74"/>
    </row>
    <row r="20" spans="2:10" ht="16" customHeight="1" x14ac:dyDescent="0.2">
      <c r="B20" s="74" t="s">
        <v>8</v>
      </c>
      <c r="C20" s="74"/>
      <c r="D20" s="74"/>
      <c r="E20" s="74"/>
      <c r="F20" s="74"/>
      <c r="G20" s="74" t="s">
        <v>9</v>
      </c>
      <c r="H20" s="74"/>
      <c r="I20" s="74"/>
      <c r="J20" s="74"/>
    </row>
    <row r="21" spans="2:10" ht="16" customHeight="1" x14ac:dyDescent="0.2">
      <c r="B21" s="74" t="s">
        <v>10</v>
      </c>
      <c r="C21" s="74"/>
      <c r="D21" s="74"/>
      <c r="E21" s="74"/>
      <c r="F21" s="74"/>
      <c r="G21" s="74" t="s">
        <v>15</v>
      </c>
      <c r="H21" s="74"/>
      <c r="I21" s="74"/>
      <c r="J21" s="74"/>
    </row>
    <row r="22" spans="2:10" ht="16" customHeight="1" x14ac:dyDescent="0.2">
      <c r="B22" s="74" t="s">
        <v>16</v>
      </c>
      <c r="C22" s="74"/>
      <c r="D22" s="74"/>
      <c r="E22" s="74"/>
      <c r="F22" s="74"/>
    </row>
    <row r="23" spans="2:10" ht="16" customHeight="1" x14ac:dyDescent="0.2">
      <c r="B23" s="74" t="s">
        <v>13</v>
      </c>
      <c r="C23" s="74"/>
      <c r="D23" s="74"/>
      <c r="E23" s="74"/>
      <c r="F23" s="74"/>
    </row>
    <row r="24" spans="2:10" ht="16" customHeight="1" x14ac:dyDescent="0.2"/>
    <row r="25" spans="2:10" ht="16" customHeight="1" x14ac:dyDescent="0.2">
      <c r="B25" s="72" t="s">
        <v>17</v>
      </c>
    </row>
    <row r="26" spans="2:10" ht="16" customHeight="1" x14ac:dyDescent="0.2"/>
    <row r="27" spans="2:10" ht="16" customHeight="1" x14ac:dyDescent="0.2">
      <c r="B27" s="72" t="s">
        <v>0</v>
      </c>
      <c r="G27" s="63" t="s">
        <v>18</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75"/>
      <c r="C39" s="74"/>
      <c r="D39" s="74"/>
      <c r="E39" s="74"/>
      <c r="F39" s="74"/>
      <c r="G39" s="74"/>
      <c r="H39" s="74"/>
      <c r="I39" s="74"/>
      <c r="J39" s="74"/>
    </row>
    <row r="40" spans="2:10" x14ac:dyDescent="0.2">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x14ac:dyDescent="0.2"/>
  <cols>
    <col min="1" max="1" width="9.1640625" style="68" customWidth="1"/>
    <col min="2" max="2" width="16.1640625" style="68" customWidth="1"/>
    <col min="3" max="5" width="9.1640625" style="2" customWidth="1"/>
    <col min="6" max="6" width="10.6640625" style="2" bestFit="1" customWidth="1"/>
    <col min="7" max="7" width="10.6640625" style="2" customWidth="1"/>
    <col min="8" max="46" width="9.1640625" style="2" customWidth="1"/>
    <col min="47" max="62" width="9.1640625" style="68" customWidth="1"/>
    <col min="63" max="16384" width="9.1640625" style="68"/>
  </cols>
  <sheetData>
    <row r="1" spans="1:47"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2">
      <c r="A2" t="s">
        <v>66</v>
      </c>
      <c r="B2" s="73">
        <v>17349</v>
      </c>
      <c r="AT2">
        <v>-0.26670598899999998</v>
      </c>
    </row>
    <row r="3" spans="1:47" x14ac:dyDescent="0.2">
      <c r="A3" t="s">
        <v>67</v>
      </c>
      <c r="B3" s="73">
        <v>17441</v>
      </c>
      <c r="AT3">
        <v>-0.20650322500000001</v>
      </c>
    </row>
    <row r="4" spans="1:47" x14ac:dyDescent="0.2">
      <c r="A4" t="s">
        <v>68</v>
      </c>
      <c r="B4" s="73">
        <v>17533</v>
      </c>
      <c r="AT4">
        <v>1.5642763799999999</v>
      </c>
    </row>
    <row r="5" spans="1:47" x14ac:dyDescent="0.2">
      <c r="A5" t="s">
        <v>69</v>
      </c>
      <c r="B5" s="73">
        <v>17624</v>
      </c>
      <c r="AT5">
        <v>1.5042003239999999</v>
      </c>
    </row>
    <row r="6" spans="1:47" x14ac:dyDescent="0.2">
      <c r="A6" t="s">
        <v>70</v>
      </c>
      <c r="B6" s="73">
        <v>17715</v>
      </c>
      <c r="AT6">
        <v>1.650680594</v>
      </c>
    </row>
    <row r="7" spans="1:47" x14ac:dyDescent="0.2">
      <c r="A7" t="s">
        <v>71</v>
      </c>
      <c r="B7" s="73">
        <v>17807</v>
      </c>
      <c r="AT7">
        <v>0.57293019099999998</v>
      </c>
    </row>
    <row r="8" spans="1:47" x14ac:dyDescent="0.2">
      <c r="A8" t="s">
        <v>72</v>
      </c>
      <c r="B8" s="73">
        <v>17899</v>
      </c>
      <c r="AT8">
        <v>0.11171215800000001</v>
      </c>
    </row>
    <row r="9" spans="1:47" x14ac:dyDescent="0.2">
      <c r="A9" t="s">
        <v>73</v>
      </c>
      <c r="B9" s="73">
        <v>17989</v>
      </c>
      <c r="AT9">
        <v>-1.37794649</v>
      </c>
    </row>
    <row r="10" spans="1:47" x14ac:dyDescent="0.2">
      <c r="A10" t="s">
        <v>74</v>
      </c>
      <c r="B10" s="73">
        <v>18080</v>
      </c>
      <c r="AT10">
        <v>-0.34110093000000002</v>
      </c>
    </row>
    <row r="11" spans="1:47" x14ac:dyDescent="0.2">
      <c r="A11" t="s">
        <v>75</v>
      </c>
      <c r="B11" s="73">
        <v>18172</v>
      </c>
      <c r="AT11">
        <v>1.0324247769999999</v>
      </c>
    </row>
    <row r="12" spans="1:47" x14ac:dyDescent="0.2">
      <c r="A12" t="s">
        <v>76</v>
      </c>
      <c r="B12" s="73">
        <v>18264</v>
      </c>
      <c r="AT12">
        <v>-0.83926743999999998</v>
      </c>
    </row>
    <row r="13" spans="1:47" x14ac:dyDescent="0.2">
      <c r="A13" t="s">
        <v>77</v>
      </c>
      <c r="B13" s="73">
        <v>18354</v>
      </c>
      <c r="AT13">
        <v>3.930097999</v>
      </c>
    </row>
    <row r="14" spans="1:47" x14ac:dyDescent="0.2">
      <c r="A14" t="s">
        <v>78</v>
      </c>
      <c r="B14" s="73">
        <v>18445</v>
      </c>
      <c r="AT14">
        <v>3.0498109879999999</v>
      </c>
    </row>
    <row r="15" spans="1:47" x14ac:dyDescent="0.2">
      <c r="A15" t="s">
        <v>79</v>
      </c>
      <c r="B15" s="73">
        <v>18537</v>
      </c>
      <c r="AT15">
        <v>3.8644146030000002</v>
      </c>
    </row>
    <row r="16" spans="1:47" x14ac:dyDescent="0.2">
      <c r="A16" t="s">
        <v>80</v>
      </c>
      <c r="B16" s="73">
        <v>18629</v>
      </c>
      <c r="AT16">
        <v>1.9147801470000001</v>
      </c>
    </row>
    <row r="17" spans="1:46" x14ac:dyDescent="0.2">
      <c r="A17" t="s">
        <v>81</v>
      </c>
      <c r="B17" s="73">
        <v>18719</v>
      </c>
      <c r="AT17">
        <v>1.3581587639999999</v>
      </c>
    </row>
    <row r="18" spans="1:46" x14ac:dyDescent="0.2">
      <c r="A18" t="s">
        <v>82</v>
      </c>
      <c r="B18" s="73">
        <v>18810</v>
      </c>
      <c r="AT18">
        <v>1.7327104369999999</v>
      </c>
    </row>
    <row r="19" spans="1:46" x14ac:dyDescent="0.2">
      <c r="A19" t="s">
        <v>83</v>
      </c>
      <c r="B19" s="73">
        <v>18902</v>
      </c>
      <c r="AT19">
        <v>2.060998798</v>
      </c>
    </row>
    <row r="20" spans="1:46" x14ac:dyDescent="0.2">
      <c r="A20" t="s">
        <v>84</v>
      </c>
      <c r="B20" s="73">
        <v>18994</v>
      </c>
      <c r="AT20">
        <v>0.220249574</v>
      </c>
    </row>
    <row r="21" spans="1:46" x14ac:dyDescent="0.2">
      <c r="A21" t="s">
        <v>85</v>
      </c>
      <c r="B21" s="73">
        <v>19085</v>
      </c>
      <c r="AT21">
        <v>1.068534409</v>
      </c>
    </row>
    <row r="22" spans="1:46" x14ac:dyDescent="0.2">
      <c r="A22" t="s">
        <v>86</v>
      </c>
      <c r="B22" s="73">
        <v>19176</v>
      </c>
      <c r="AT22">
        <v>0.215396694</v>
      </c>
    </row>
    <row r="23" spans="1:46" x14ac:dyDescent="0.2">
      <c r="A23" t="s">
        <v>87</v>
      </c>
      <c r="B23" s="73">
        <v>19268</v>
      </c>
      <c r="AT23">
        <v>0.72184921499999999</v>
      </c>
    </row>
    <row r="24" spans="1:46" x14ac:dyDescent="0.2">
      <c r="A24" t="s">
        <v>88</v>
      </c>
      <c r="B24" s="73">
        <v>19360</v>
      </c>
      <c r="AT24">
        <v>3.2842157109999999</v>
      </c>
    </row>
    <row r="25" spans="1:46" x14ac:dyDescent="0.2">
      <c r="A25" t="s">
        <v>89</v>
      </c>
      <c r="B25" s="73">
        <v>19450</v>
      </c>
      <c r="AT25">
        <v>1.858867482</v>
      </c>
    </row>
    <row r="26" spans="1:46" x14ac:dyDescent="0.2">
      <c r="A26" t="s">
        <v>90</v>
      </c>
      <c r="B26" s="73">
        <v>19541</v>
      </c>
      <c r="AT26">
        <v>0.77293802</v>
      </c>
    </row>
    <row r="27" spans="1:46" x14ac:dyDescent="0.2">
      <c r="A27" t="s">
        <v>91</v>
      </c>
      <c r="B27" s="73">
        <v>19633</v>
      </c>
      <c r="AT27">
        <v>-0.56267703099999999</v>
      </c>
    </row>
    <row r="28" spans="1:46" x14ac:dyDescent="0.2">
      <c r="A28" t="s">
        <v>92</v>
      </c>
      <c r="B28" s="73">
        <v>19725</v>
      </c>
      <c r="AT28">
        <v>-1.51394063</v>
      </c>
    </row>
    <row r="29" spans="1:46" x14ac:dyDescent="0.2">
      <c r="A29" t="s">
        <v>93</v>
      </c>
      <c r="B29" s="73">
        <v>19815</v>
      </c>
      <c r="AT29">
        <v>-0.47802388800000001</v>
      </c>
    </row>
    <row r="30" spans="1:46" x14ac:dyDescent="0.2">
      <c r="A30" t="s">
        <v>94</v>
      </c>
      <c r="B30" s="73">
        <v>19906</v>
      </c>
      <c r="AT30">
        <v>0.108992196</v>
      </c>
    </row>
    <row r="31" spans="1:46" x14ac:dyDescent="0.2">
      <c r="A31" t="s">
        <v>95</v>
      </c>
      <c r="B31" s="73">
        <v>19998</v>
      </c>
      <c r="AT31">
        <v>1.129346277</v>
      </c>
    </row>
    <row r="32" spans="1:46" x14ac:dyDescent="0.2">
      <c r="A32" t="s">
        <v>96</v>
      </c>
      <c r="B32" s="73">
        <v>20090</v>
      </c>
      <c r="AT32">
        <v>1.9566880769999999</v>
      </c>
    </row>
    <row r="33" spans="1:46" x14ac:dyDescent="0.2">
      <c r="A33" t="s">
        <v>97</v>
      </c>
      <c r="B33" s="73">
        <v>20180</v>
      </c>
      <c r="AT33">
        <v>2.8562346550000002</v>
      </c>
    </row>
    <row r="34" spans="1:46" x14ac:dyDescent="0.2">
      <c r="A34" t="s">
        <v>98</v>
      </c>
      <c r="B34" s="73">
        <v>20271</v>
      </c>
      <c r="V34">
        <v>8.7361201999999999E-2</v>
      </c>
      <c r="AT34">
        <v>1.627204957</v>
      </c>
    </row>
    <row r="35" spans="1:46" x14ac:dyDescent="0.2">
      <c r="A35" t="s">
        <v>99</v>
      </c>
      <c r="B35" s="73">
        <v>20363</v>
      </c>
      <c r="V35">
        <v>2.0214215210000002</v>
      </c>
      <c r="AT35">
        <v>1.350464288</v>
      </c>
    </row>
    <row r="36" spans="1:46" x14ac:dyDescent="0.2">
      <c r="A36" t="s">
        <v>100</v>
      </c>
      <c r="B36" s="73">
        <v>20455</v>
      </c>
      <c r="V36">
        <v>-0.543717267</v>
      </c>
      <c r="AT36">
        <v>0.600328737</v>
      </c>
    </row>
    <row r="37" spans="1:46" x14ac:dyDescent="0.2">
      <c r="A37" t="s">
        <v>101</v>
      </c>
      <c r="B37" s="73">
        <v>20546</v>
      </c>
      <c r="V37">
        <v>1.149656309</v>
      </c>
      <c r="AT37">
        <v>-0.38838046799999998</v>
      </c>
    </row>
    <row r="38" spans="1:46" x14ac:dyDescent="0.2">
      <c r="A38" t="s">
        <v>102</v>
      </c>
      <c r="B38" s="73">
        <v>20637</v>
      </c>
      <c r="V38">
        <v>-0.17644954900000001</v>
      </c>
      <c r="AT38">
        <v>0.82631942700000005</v>
      </c>
    </row>
    <row r="39" spans="1:46" x14ac:dyDescent="0.2">
      <c r="A39" t="s">
        <v>103</v>
      </c>
      <c r="B39" s="73">
        <v>20729</v>
      </c>
      <c r="V39">
        <v>-0.116248517</v>
      </c>
      <c r="AT39">
        <v>-8.9839592999999995E-2</v>
      </c>
    </row>
    <row r="40" spans="1:46" x14ac:dyDescent="0.2">
      <c r="A40" t="s">
        <v>104</v>
      </c>
      <c r="B40" s="73">
        <v>20821</v>
      </c>
      <c r="V40">
        <v>0.447997959</v>
      </c>
      <c r="AT40">
        <v>1.645864038</v>
      </c>
    </row>
    <row r="41" spans="1:46" x14ac:dyDescent="0.2">
      <c r="A41" t="s">
        <v>105</v>
      </c>
      <c r="B41" s="73">
        <v>20911</v>
      </c>
      <c r="V41">
        <v>1.999857153</v>
      </c>
      <c r="AT41">
        <v>0.64029115299999995</v>
      </c>
    </row>
    <row r="42" spans="1:46" x14ac:dyDescent="0.2">
      <c r="A42" t="s">
        <v>106</v>
      </c>
      <c r="B42" s="73">
        <v>21002</v>
      </c>
      <c r="V42">
        <v>1.0114448999999999E-2</v>
      </c>
      <c r="AT42">
        <v>-0.21908592399999999</v>
      </c>
    </row>
    <row r="43" spans="1:46" x14ac:dyDescent="0.2">
      <c r="A43" t="s">
        <v>107</v>
      </c>
      <c r="B43" s="73">
        <v>21094</v>
      </c>
      <c r="V43">
        <v>-0.61458511599999999</v>
      </c>
      <c r="AT43">
        <v>0.98001840200000001</v>
      </c>
    </row>
    <row r="44" spans="1:46" x14ac:dyDescent="0.2">
      <c r="A44" t="s">
        <v>108</v>
      </c>
      <c r="B44" s="73">
        <v>21186</v>
      </c>
      <c r="V44">
        <v>0.18081908699999999</v>
      </c>
      <c r="AT44">
        <v>-1.034279655</v>
      </c>
    </row>
    <row r="45" spans="1:46" x14ac:dyDescent="0.2">
      <c r="A45" t="s">
        <v>109</v>
      </c>
      <c r="B45" s="73">
        <v>21276</v>
      </c>
      <c r="V45">
        <v>2.2002922260000002</v>
      </c>
      <c r="AT45">
        <v>-2.5954400450000001</v>
      </c>
    </row>
    <row r="46" spans="1:46" x14ac:dyDescent="0.2">
      <c r="A46" t="s">
        <v>110</v>
      </c>
      <c r="B46" s="73">
        <v>21367</v>
      </c>
      <c r="V46">
        <v>-2.3761649550000001</v>
      </c>
      <c r="AT46">
        <v>0.65722672599999998</v>
      </c>
    </row>
    <row r="47" spans="1:46" x14ac:dyDescent="0.2">
      <c r="A47" t="s">
        <v>111</v>
      </c>
      <c r="B47" s="73">
        <v>21459</v>
      </c>
      <c r="V47">
        <v>2.2256854439999998</v>
      </c>
      <c r="AT47">
        <v>2.3132170410000001</v>
      </c>
    </row>
    <row r="48" spans="1:46" x14ac:dyDescent="0.2">
      <c r="A48" t="s">
        <v>112</v>
      </c>
      <c r="B48" s="73">
        <v>21551</v>
      </c>
      <c r="V48">
        <v>0.10265603299999999</v>
      </c>
      <c r="AT48">
        <v>2.3381095599999999</v>
      </c>
    </row>
    <row r="49" spans="1:47" x14ac:dyDescent="0.2">
      <c r="A49" t="s">
        <v>113</v>
      </c>
      <c r="B49" s="73">
        <v>21641</v>
      </c>
      <c r="V49">
        <v>0.652804457</v>
      </c>
      <c r="AT49">
        <v>1.9195528040000001</v>
      </c>
    </row>
    <row r="50" spans="1:47" x14ac:dyDescent="0.2">
      <c r="A50" t="s">
        <v>114</v>
      </c>
      <c r="B50" s="73">
        <v>21732</v>
      </c>
      <c r="V50">
        <v>1.6628649639999999</v>
      </c>
      <c r="AT50">
        <v>2.2551695309999999</v>
      </c>
    </row>
    <row r="51" spans="1:47" x14ac:dyDescent="0.2">
      <c r="A51" t="s">
        <v>115</v>
      </c>
      <c r="B51" s="73">
        <v>21824</v>
      </c>
      <c r="V51">
        <v>2.1494760930000001</v>
      </c>
      <c r="AT51">
        <v>7.0560340999999999E-2</v>
      </c>
    </row>
    <row r="52" spans="1:47" x14ac:dyDescent="0.2">
      <c r="A52" t="s">
        <v>116</v>
      </c>
      <c r="B52" s="73">
        <v>21916</v>
      </c>
      <c r="V52">
        <v>2.5611175789999998</v>
      </c>
      <c r="AT52">
        <v>0.284889055</v>
      </c>
    </row>
    <row r="53" spans="1:47" x14ac:dyDescent="0.2">
      <c r="A53" t="s">
        <v>117</v>
      </c>
      <c r="B53" s="73">
        <v>22007</v>
      </c>
      <c r="V53">
        <v>2.492165135</v>
      </c>
      <c r="AT53">
        <v>2.2477142919999999</v>
      </c>
    </row>
    <row r="54" spans="1:47" x14ac:dyDescent="0.2">
      <c r="A54" t="s">
        <v>118</v>
      </c>
      <c r="B54" s="73">
        <v>22098</v>
      </c>
      <c r="D54">
        <v>2.7593721470000001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119</v>
      </c>
      <c r="B55" s="73">
        <v>22190</v>
      </c>
      <c r="D55">
        <v>0.23356451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120</v>
      </c>
      <c r="B56" s="73">
        <v>22282</v>
      </c>
      <c r="D56">
        <v>-0.190133093</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121</v>
      </c>
      <c r="B57" s="73">
        <v>22372</v>
      </c>
      <c r="D57">
        <v>0.29075596599999998</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122</v>
      </c>
      <c r="B58" s="73">
        <v>22463</v>
      </c>
      <c r="D58">
        <v>-1.1068108139999999</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123</v>
      </c>
      <c r="B59" s="73">
        <v>22555</v>
      </c>
      <c r="D59">
        <v>-0.70617797400000004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124</v>
      </c>
      <c r="B60" s="73">
        <v>22647</v>
      </c>
      <c r="D60">
        <v>1.146065128</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125</v>
      </c>
      <c r="B61" s="73">
        <v>22737</v>
      </c>
      <c r="D61">
        <v>2.7981882229999999</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126</v>
      </c>
      <c r="B62" s="73">
        <v>22828</v>
      </c>
      <c r="D62">
        <v>1.9093312440000001</v>
      </c>
      <c r="E62">
        <v>-2.1812204000000002E-2</v>
      </c>
      <c r="F62">
        <v>1.322267863</v>
      </c>
      <c r="H62">
        <v>0.73585614200000005</v>
      </c>
      <c r="I62">
        <v>1.155195043</v>
      </c>
      <c r="M62">
        <v>1.0423439720000001</v>
      </c>
      <c r="N62">
        <v>1.1233471610000001</v>
      </c>
      <c r="P62">
        <v>2.3261759519999998</v>
      </c>
      <c r="S62">
        <v>-2.5335643710000002</v>
      </c>
      <c r="T62">
        <v>1.615682117</v>
      </c>
      <c r="U62">
        <v>1.0337350000000001</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1.072472299</v>
      </c>
      <c r="AN62">
        <v>1.6258781019999999</v>
      </c>
      <c r="AR62">
        <v>1.761047311</v>
      </c>
      <c r="AT62">
        <v>0.90366382300000003</v>
      </c>
      <c r="AU62">
        <v>0.64057107599999996</v>
      </c>
    </row>
    <row r="63" spans="1:47" x14ac:dyDescent="0.2">
      <c r="A63" t="s">
        <v>127</v>
      </c>
      <c r="B63" s="73">
        <v>22920</v>
      </c>
      <c r="D63">
        <v>0.81667947699999999</v>
      </c>
      <c r="E63">
        <v>0.83915841400000002</v>
      </c>
      <c r="F63">
        <v>1.1163253390000001</v>
      </c>
      <c r="H63">
        <v>1.3168748219999999</v>
      </c>
      <c r="I63">
        <v>1.3707409500000001</v>
      </c>
      <c r="M63">
        <v>2.395209581</v>
      </c>
      <c r="N63">
        <v>0.42381070900000001</v>
      </c>
      <c r="P63">
        <v>2.449012722</v>
      </c>
      <c r="S63">
        <v>1.952450944</v>
      </c>
      <c r="T63">
        <v>1.4397853279999999</v>
      </c>
      <c r="U63">
        <v>1.298646</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1.3847052950000001</v>
      </c>
      <c r="AN63">
        <v>1.5393379</v>
      </c>
      <c r="AR63">
        <v>2.4472096310000002</v>
      </c>
      <c r="AT63">
        <v>1.2285130479999999</v>
      </c>
      <c r="AU63">
        <v>1.9520276400000001</v>
      </c>
    </row>
    <row r="64" spans="1:47" x14ac:dyDescent="0.2">
      <c r="A64" t="s">
        <v>128</v>
      </c>
      <c r="B64" s="73">
        <v>23012</v>
      </c>
      <c r="D64">
        <v>1.803923704</v>
      </c>
      <c r="E64">
        <v>9.0983335999999998E-2</v>
      </c>
      <c r="F64">
        <v>0.89689485300000005</v>
      </c>
      <c r="H64">
        <v>2.037445365</v>
      </c>
      <c r="I64">
        <v>0.64523920999999995</v>
      </c>
      <c r="M64">
        <v>-0.216173587</v>
      </c>
      <c r="N64">
        <v>-0.26218625800000001</v>
      </c>
      <c r="P64">
        <v>0.26826245900000001</v>
      </c>
      <c r="S64">
        <v>1.7781521179999999</v>
      </c>
      <c r="T64">
        <v>1.2517969550000001</v>
      </c>
      <c r="U64">
        <v>0.58925099999999997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0.71315590799999995</v>
      </c>
      <c r="AN64">
        <v>1.4563907970000001</v>
      </c>
      <c r="AR64">
        <v>0.82405230500000004</v>
      </c>
      <c r="AT64">
        <v>0.32890157599999997</v>
      </c>
      <c r="AU64">
        <v>1.280861445</v>
      </c>
    </row>
    <row r="65" spans="1:47" x14ac:dyDescent="0.2">
      <c r="A65" t="s">
        <v>129</v>
      </c>
      <c r="B65" s="73">
        <v>23102</v>
      </c>
      <c r="D65">
        <v>2.3002032739999998</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0.16136900000000001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0.37559963600000001</v>
      </c>
      <c r="AN65">
        <v>1.3766938440000001</v>
      </c>
      <c r="AR65">
        <v>-1.027403198</v>
      </c>
      <c r="AT65">
        <v>1.091574332</v>
      </c>
      <c r="AU65">
        <v>1.32273788</v>
      </c>
    </row>
    <row r="66" spans="1:47" x14ac:dyDescent="0.2">
      <c r="A66" t="s">
        <v>130</v>
      </c>
      <c r="B66" s="73">
        <v>23193</v>
      </c>
      <c r="D66">
        <v>-1.3072578960000001</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2.4551259999999999</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2.3779533970000002</v>
      </c>
      <c r="AN66">
        <v>1.411943883</v>
      </c>
      <c r="AR66">
        <v>3.823815287</v>
      </c>
      <c r="AT66">
        <v>1.1221214530000001</v>
      </c>
      <c r="AU66">
        <v>2.6442269810000001</v>
      </c>
    </row>
    <row r="67" spans="1:47" x14ac:dyDescent="0.2">
      <c r="A67" t="s">
        <v>131</v>
      </c>
      <c r="B67" s="73">
        <v>23285</v>
      </c>
      <c r="D67">
        <v>4.1154498249999998</v>
      </c>
      <c r="E67">
        <v>1.0874852580000001</v>
      </c>
      <c r="F67">
        <v>1.4497469430000001</v>
      </c>
      <c r="H67">
        <v>0.77788355499999995</v>
      </c>
      <c r="I67">
        <v>2.2287377739999998</v>
      </c>
      <c r="M67">
        <v>3.469247781</v>
      </c>
      <c r="N67">
        <v>1.2337917309999999</v>
      </c>
      <c r="P67">
        <v>2.1577354479999999</v>
      </c>
      <c r="S67">
        <v>1.0447611670000001</v>
      </c>
      <c r="T67">
        <v>3.2988024330000001</v>
      </c>
      <c r="U67">
        <v>2.2585039999999998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2.2312154020000001</v>
      </c>
      <c r="AN67">
        <v>1.445410635</v>
      </c>
      <c r="AR67">
        <v>1.8545470420000001</v>
      </c>
      <c r="AT67">
        <v>2.198434459</v>
      </c>
      <c r="AU67">
        <v>2.639167193</v>
      </c>
    </row>
    <row r="68" spans="1:47" x14ac:dyDescent="0.2">
      <c r="A68" t="s">
        <v>132</v>
      </c>
      <c r="B68" s="73">
        <v>23377</v>
      </c>
      <c r="D68">
        <v>2.1475007320000001</v>
      </c>
      <c r="E68">
        <v>2.0387431110000001</v>
      </c>
      <c r="F68">
        <v>2.0444995229999998</v>
      </c>
      <c r="H68">
        <v>3.138726959</v>
      </c>
      <c r="I68">
        <v>1.086477559</v>
      </c>
      <c r="M68">
        <v>0.48396588200000001</v>
      </c>
      <c r="N68">
        <v>2.3006000329999998</v>
      </c>
      <c r="P68">
        <v>1.861635924</v>
      </c>
      <c r="S68">
        <v>2.1161555860000001</v>
      </c>
      <c r="T68">
        <v>0.311286644</v>
      </c>
      <c r="U68">
        <v>1.1724939999999999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1.303563043</v>
      </c>
      <c r="AN68">
        <v>1.4772527090000001</v>
      </c>
      <c r="AR68">
        <v>0.877163154</v>
      </c>
      <c r="AT68">
        <v>0.65560243699999998</v>
      </c>
      <c r="AU68">
        <v>1.762170542</v>
      </c>
    </row>
    <row r="69" spans="1:47" x14ac:dyDescent="0.2">
      <c r="A69" t="s">
        <v>133</v>
      </c>
      <c r="B69" s="73">
        <v>23468</v>
      </c>
      <c r="D69">
        <v>-0.16938386599999999</v>
      </c>
      <c r="E69">
        <v>1.006058114</v>
      </c>
      <c r="F69">
        <v>1.987689142</v>
      </c>
      <c r="H69">
        <v>2.4806515450000002</v>
      </c>
      <c r="I69">
        <v>0.124762743</v>
      </c>
      <c r="M69">
        <v>1.375907483</v>
      </c>
      <c r="N69">
        <v>3.3064032700000001</v>
      </c>
      <c r="P69">
        <v>0.56548538199999998</v>
      </c>
      <c r="S69">
        <v>1.2626088579999999</v>
      </c>
      <c r="T69">
        <v>1.882604425</v>
      </c>
      <c r="U69">
        <v>1.9265939999999999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1.824062436</v>
      </c>
      <c r="AN69">
        <v>1.5074208140000001</v>
      </c>
      <c r="AR69">
        <v>2.477562222</v>
      </c>
      <c r="AT69">
        <v>2.108252099</v>
      </c>
      <c r="AU69">
        <v>1.8730916129999999</v>
      </c>
    </row>
    <row r="70" spans="1:47" x14ac:dyDescent="0.2">
      <c r="A70" t="s">
        <v>134</v>
      </c>
      <c r="B70" s="73">
        <v>23559</v>
      </c>
      <c r="D70">
        <v>2.4577381319999998</v>
      </c>
      <c r="E70">
        <v>1.4478989170000001</v>
      </c>
      <c r="F70">
        <v>1.9432856510000001</v>
      </c>
      <c r="H70">
        <v>0.36854719000000002</v>
      </c>
      <c r="I70">
        <v>3.5262488479999998</v>
      </c>
      <c r="M70">
        <v>1.2217754919999999</v>
      </c>
      <c r="N70">
        <v>2.6094881129999998</v>
      </c>
      <c r="P70">
        <v>1.648014179</v>
      </c>
      <c r="S70">
        <v>0.86741083799999996</v>
      </c>
      <c r="T70">
        <v>0.95892052900000002</v>
      </c>
      <c r="U70">
        <v>1.1132470000000001</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1.2410769989999999</v>
      </c>
      <c r="AN70">
        <v>1.692709544</v>
      </c>
      <c r="AR70">
        <v>0.54184420200000005</v>
      </c>
      <c r="AT70">
        <v>1.08873369</v>
      </c>
      <c r="AU70">
        <v>1.8098666830000001</v>
      </c>
    </row>
    <row r="71" spans="1:47" x14ac:dyDescent="0.2">
      <c r="A71" t="s">
        <v>135</v>
      </c>
      <c r="B71" s="73">
        <v>23651</v>
      </c>
      <c r="D71">
        <v>0.63074581399999996</v>
      </c>
      <c r="E71">
        <v>0.90052762399999997</v>
      </c>
      <c r="F71">
        <v>1.3443383069999999</v>
      </c>
      <c r="H71">
        <v>1.0420620970000001</v>
      </c>
      <c r="I71">
        <v>-0.54606104600000005</v>
      </c>
      <c r="M71">
        <v>1.039093942</v>
      </c>
      <c r="N71">
        <v>1.9670666409999999</v>
      </c>
      <c r="P71">
        <v>0.75129305000000002</v>
      </c>
      <c r="S71">
        <v>1.6049473320000001</v>
      </c>
      <c r="T71">
        <v>1.226254685</v>
      </c>
      <c r="U71">
        <v>1.195554</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1.2194481070000001</v>
      </c>
      <c r="AN71">
        <v>1.868849429</v>
      </c>
      <c r="AR71">
        <v>1.9957499569999999</v>
      </c>
      <c r="AT71">
        <v>1.5623006660000001</v>
      </c>
      <c r="AU71">
        <v>0.93956852700000004</v>
      </c>
    </row>
    <row r="72" spans="1:47" x14ac:dyDescent="0.2">
      <c r="A72" t="s">
        <v>136</v>
      </c>
      <c r="B72" s="73">
        <v>23743</v>
      </c>
      <c r="D72">
        <v>2.845976066</v>
      </c>
      <c r="E72">
        <v>2.854332243</v>
      </c>
      <c r="F72">
        <v>0.74716173900000005</v>
      </c>
      <c r="H72">
        <v>0.53989243899999995</v>
      </c>
      <c r="I72">
        <v>-0.61158205499999996</v>
      </c>
      <c r="M72">
        <v>1.360335531</v>
      </c>
      <c r="N72">
        <v>1.3641735260000001</v>
      </c>
      <c r="P72">
        <v>2.1741603089999999</v>
      </c>
      <c r="S72">
        <v>-0.64068973600000001</v>
      </c>
      <c r="T72">
        <v>0.90373870199999995</v>
      </c>
      <c r="U72">
        <v>0.66530299999999998</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0.81079742700000001</v>
      </c>
      <c r="AN72">
        <v>2.0350353289999998</v>
      </c>
      <c r="AR72">
        <v>1.0701503729999999</v>
      </c>
      <c r="AT72">
        <v>0.308871858</v>
      </c>
      <c r="AU72">
        <v>2.9242725599999999</v>
      </c>
    </row>
    <row r="73" spans="1:47" x14ac:dyDescent="0.2">
      <c r="A73" t="s">
        <v>137</v>
      </c>
      <c r="B73" s="73">
        <v>23833</v>
      </c>
      <c r="D73">
        <v>0.83416671600000003</v>
      </c>
      <c r="E73">
        <v>-1.0317158500000001</v>
      </c>
      <c r="F73">
        <v>0.73346515499999998</v>
      </c>
      <c r="H73">
        <v>3.1479153449999999</v>
      </c>
      <c r="I73">
        <v>2.4858689969999999</v>
      </c>
      <c r="M73">
        <v>1.63656424</v>
      </c>
      <c r="N73">
        <v>0.78847136100000004</v>
      </c>
      <c r="P73">
        <v>2.1281627489999999</v>
      </c>
      <c r="S73">
        <v>3.226251832</v>
      </c>
      <c r="T73">
        <v>0.22199487300000001</v>
      </c>
      <c r="U73">
        <v>1.658182</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1.6219003249999999</v>
      </c>
      <c r="AN73">
        <v>2.1910147129999999</v>
      </c>
      <c r="AR73">
        <v>1.9709185090000001</v>
      </c>
      <c r="AT73">
        <v>2.4197518790000001</v>
      </c>
      <c r="AU73">
        <v>1.9239982840000001</v>
      </c>
    </row>
    <row r="74" spans="1:47" x14ac:dyDescent="0.2">
      <c r="A74" t="s">
        <v>138</v>
      </c>
      <c r="B74" s="73">
        <v>23924</v>
      </c>
      <c r="D74">
        <v>1.558853729</v>
      </c>
      <c r="E74">
        <v>0.52812923300000003</v>
      </c>
      <c r="F74">
        <v>0.72415100499999996</v>
      </c>
      <c r="H74">
        <v>0.95802062700000001</v>
      </c>
      <c r="I74">
        <v>0.120876874</v>
      </c>
      <c r="M74">
        <v>1.5780708649999999</v>
      </c>
      <c r="N74">
        <v>0.73890616499999995</v>
      </c>
      <c r="P74">
        <v>0.42662027000000002</v>
      </c>
      <c r="S74">
        <v>1.382899031</v>
      </c>
      <c r="T74">
        <v>2.4880954179999999</v>
      </c>
      <c r="U74">
        <v>1.328122</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1.177136915</v>
      </c>
      <c r="AN74">
        <v>1.7505410589999999</v>
      </c>
      <c r="AR74">
        <v>-0.73941296000000001</v>
      </c>
      <c r="AT74">
        <v>1.263298249</v>
      </c>
      <c r="AU74">
        <v>0.96739433699999999</v>
      </c>
    </row>
    <row r="75" spans="1:47" x14ac:dyDescent="0.2">
      <c r="A75" t="s">
        <v>139</v>
      </c>
      <c r="B75" s="73">
        <v>24016</v>
      </c>
      <c r="D75">
        <v>-0.286075368</v>
      </c>
      <c r="E75">
        <v>2.0212884839999998</v>
      </c>
      <c r="F75">
        <v>0.73643261500000001</v>
      </c>
      <c r="H75">
        <v>1.3618159910000001</v>
      </c>
      <c r="I75">
        <v>1.0595628530000001</v>
      </c>
      <c r="M75">
        <v>0.66587561900000003</v>
      </c>
      <c r="N75">
        <v>0.690385637</v>
      </c>
      <c r="P75">
        <v>1.018033046</v>
      </c>
      <c r="S75">
        <v>1.2227839659999999</v>
      </c>
      <c r="T75">
        <v>1.4450189659999999</v>
      </c>
      <c r="U75">
        <v>1.7230760000000001</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1.5781062210000001</v>
      </c>
      <c r="AN75">
        <v>1.3337269089999999</v>
      </c>
      <c r="AR75">
        <v>-0.10296211700000001</v>
      </c>
      <c r="AT75">
        <v>2.2232522819999998</v>
      </c>
      <c r="AU75">
        <v>-0.315747202</v>
      </c>
    </row>
    <row r="76" spans="1:47" x14ac:dyDescent="0.2">
      <c r="A76" t="s">
        <v>140</v>
      </c>
      <c r="B76" s="73">
        <v>24108</v>
      </c>
      <c r="D76">
        <v>0.24887373099999999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1.7149700000000001</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1.7025168989999999</v>
      </c>
      <c r="AN76">
        <v>0.93459476500000005</v>
      </c>
      <c r="AR76">
        <v>1.9894289329999999</v>
      </c>
      <c r="AT76">
        <v>2.304040466</v>
      </c>
      <c r="AU76">
        <v>1.663322974</v>
      </c>
    </row>
    <row r="77" spans="1:47" x14ac:dyDescent="0.2">
      <c r="A77" t="s">
        <v>141</v>
      </c>
      <c r="B77" s="73">
        <v>24198</v>
      </c>
      <c r="D77">
        <v>-0.295378533</v>
      </c>
      <c r="E77">
        <v>3.1966661589999998</v>
      </c>
      <c r="F77">
        <v>0.73286567400000002</v>
      </c>
      <c r="H77">
        <v>1.9142215460000001</v>
      </c>
      <c r="I77">
        <v>-1.34631725</v>
      </c>
      <c r="M77">
        <v>1.81592055</v>
      </c>
      <c r="N77">
        <v>0.59623050399999999</v>
      </c>
      <c r="P77">
        <v>-0.68051761899999996</v>
      </c>
      <c r="S77">
        <v>-0.91294424500000004</v>
      </c>
      <c r="T77">
        <v>0.902205649</v>
      </c>
      <c r="U77">
        <v>1.91923</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1.6612206860000001</v>
      </c>
      <c r="AN77">
        <v>0.547837083</v>
      </c>
      <c r="AR77">
        <v>1.383376129</v>
      </c>
      <c r="AT77">
        <v>2.4342287589999998</v>
      </c>
      <c r="AU77">
        <v>1.4043375380000001</v>
      </c>
    </row>
    <row r="78" spans="1:47" x14ac:dyDescent="0.2">
      <c r="A78" t="s">
        <v>142</v>
      </c>
      <c r="B78" s="73">
        <v>24289</v>
      </c>
      <c r="D78">
        <v>1.3625360230000001</v>
      </c>
      <c r="E78">
        <v>-0.12343989</v>
      </c>
      <c r="F78">
        <v>0.72223703699999997</v>
      </c>
      <c r="H78">
        <v>2.1199830899999998</v>
      </c>
      <c r="I78">
        <v>5.1304244859999999</v>
      </c>
      <c r="M78">
        <v>0.30748494199999998</v>
      </c>
      <c r="N78">
        <v>0.68115885499999995</v>
      </c>
      <c r="P78">
        <v>5.1675256760000003</v>
      </c>
      <c r="S78">
        <v>2.0591017580000002</v>
      </c>
      <c r="T78">
        <v>1.5125215869999999</v>
      </c>
      <c r="U78">
        <v>0.98660599999999998</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1.2742817479999999</v>
      </c>
      <c r="AN78">
        <v>0.89069494400000004</v>
      </c>
      <c r="AR78">
        <v>-0.65978203000000002</v>
      </c>
      <c r="AT78">
        <v>0.34160196199999998</v>
      </c>
      <c r="AU78">
        <v>1.0882422460000001</v>
      </c>
    </row>
    <row r="79" spans="1:47" x14ac:dyDescent="0.2">
      <c r="A79" t="s">
        <v>143</v>
      </c>
      <c r="B79" s="73">
        <v>24381</v>
      </c>
      <c r="D79">
        <v>2.83514534</v>
      </c>
      <c r="E79">
        <v>0.27664030499999998</v>
      </c>
      <c r="F79">
        <v>0.86768351200000005</v>
      </c>
      <c r="H79">
        <v>-2.3977179000000001E-2</v>
      </c>
      <c r="I79">
        <v>-1.256225564</v>
      </c>
      <c r="M79">
        <v>0.122676937</v>
      </c>
      <c r="N79">
        <v>0.76439263400000002</v>
      </c>
      <c r="P79">
        <v>1.98369138</v>
      </c>
      <c r="S79">
        <v>1.0738815850000001</v>
      </c>
      <c r="T79">
        <v>1.140425464</v>
      </c>
      <c r="U79">
        <v>1.0131680000000001</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1.025439631</v>
      </c>
      <c r="AN79">
        <v>1.2255920410000001</v>
      </c>
      <c r="AR79">
        <v>-2.5602851539999998</v>
      </c>
      <c r="AT79">
        <v>0.84690505199999999</v>
      </c>
      <c r="AU79">
        <v>1.473290107</v>
      </c>
    </row>
    <row r="80" spans="1:47" x14ac:dyDescent="0.2">
      <c r="A80" t="s">
        <v>144</v>
      </c>
      <c r="B80" s="73">
        <v>24473</v>
      </c>
      <c r="D80">
        <v>0.66353331500000001</v>
      </c>
      <c r="E80">
        <v>0.88997646500000005</v>
      </c>
      <c r="F80">
        <v>1.015039977</v>
      </c>
      <c r="H80">
        <v>1.2233343649999999</v>
      </c>
      <c r="I80">
        <v>1.15061795</v>
      </c>
      <c r="M80">
        <v>-1.56154042</v>
      </c>
      <c r="N80">
        <v>0.845812538</v>
      </c>
      <c r="P80">
        <v>0.27089692599999998</v>
      </c>
      <c r="S80">
        <v>3.0710270290000001</v>
      </c>
      <c r="T80">
        <v>0.54594664599999998</v>
      </c>
      <c r="U80">
        <v>0.50054100000000001</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0.62902379100000005</v>
      </c>
      <c r="AN80">
        <v>1.5493923650000001</v>
      </c>
      <c r="AR80">
        <v>5.0669721499999998</v>
      </c>
      <c r="AT80">
        <v>0.82040710900000002</v>
      </c>
      <c r="AU80">
        <v>0.32904126500000003</v>
      </c>
    </row>
    <row r="81" spans="1:47" x14ac:dyDescent="0.2">
      <c r="A81" t="s">
        <v>145</v>
      </c>
      <c r="B81" s="73">
        <v>24563</v>
      </c>
      <c r="D81">
        <v>3.8967316670000001</v>
      </c>
      <c r="E81">
        <v>0.87689693300000005</v>
      </c>
      <c r="F81">
        <v>0.99532012599999997</v>
      </c>
      <c r="H81">
        <v>-0.21992041600000001</v>
      </c>
      <c r="I81">
        <v>2.805190353</v>
      </c>
      <c r="M81">
        <v>-0.49772895</v>
      </c>
      <c r="N81">
        <v>0.92514199600000002</v>
      </c>
      <c r="P81">
        <v>0.27549265000000001</v>
      </c>
      <c r="S81">
        <v>-1.2988756779999999</v>
      </c>
      <c r="T81">
        <v>1.7136395639999999</v>
      </c>
      <c r="U81">
        <v>1.052298</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1.1034077529999999</v>
      </c>
      <c r="AN81">
        <v>1.8592248950000001</v>
      </c>
      <c r="AR81">
        <v>1.0607375939999999</v>
      </c>
      <c r="AT81">
        <v>0.88555258699999995</v>
      </c>
      <c r="AU81">
        <v>3.6355161690000002</v>
      </c>
    </row>
    <row r="82" spans="1:47" x14ac:dyDescent="0.2">
      <c r="A82" t="s">
        <v>146</v>
      </c>
      <c r="B82" s="73">
        <v>24654</v>
      </c>
      <c r="D82">
        <v>-0.151207546</v>
      </c>
      <c r="E82">
        <v>0.856198071</v>
      </c>
      <c r="F82">
        <v>0.97875329499999997</v>
      </c>
      <c r="H82">
        <v>2.1041992660000002</v>
      </c>
      <c r="I82">
        <v>-0.97919837700000001</v>
      </c>
      <c r="M82">
        <v>-0.31257932999999999</v>
      </c>
      <c r="N82">
        <v>0.87575680600000005</v>
      </c>
      <c r="P82">
        <v>1.201427228</v>
      </c>
      <c r="S82">
        <v>0.82948297500000001</v>
      </c>
      <c r="T82">
        <v>1.094577234</v>
      </c>
      <c r="U82">
        <v>0.76426899999999998</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0.76392353400000002</v>
      </c>
      <c r="AN82">
        <v>2.136933499</v>
      </c>
      <c r="AR82">
        <v>0.33586673299999997</v>
      </c>
      <c r="AT82">
        <v>6.1297813E-2</v>
      </c>
      <c r="AU82">
        <v>0.15892629599999999</v>
      </c>
    </row>
    <row r="83" spans="1:47" x14ac:dyDescent="0.2">
      <c r="A83" t="s">
        <v>147</v>
      </c>
      <c r="B83" s="73">
        <v>24746</v>
      </c>
      <c r="D83">
        <v>1.8850141380000001</v>
      </c>
      <c r="E83">
        <v>-0.65888987399999999</v>
      </c>
      <c r="F83">
        <v>0.95427643699999998</v>
      </c>
      <c r="H83">
        <v>0.35778388700000002</v>
      </c>
      <c r="I83">
        <v>-1.163088589</v>
      </c>
      <c r="M83">
        <v>2.4145918659999999</v>
      </c>
      <c r="N83">
        <v>0.82758342200000001</v>
      </c>
      <c r="P83">
        <v>1.715238061</v>
      </c>
      <c r="S83">
        <v>-0.60382306299999999</v>
      </c>
      <c r="T83">
        <v>0.95619009700000002</v>
      </c>
      <c r="U83">
        <v>1.402614</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1.3219312670000001</v>
      </c>
      <c r="AN83">
        <v>2.3974302669999998</v>
      </c>
      <c r="AR83">
        <v>-1.597445134</v>
      </c>
      <c r="AT83">
        <v>0.94612091700000001</v>
      </c>
      <c r="AU83">
        <v>5.0283374009999999</v>
      </c>
    </row>
    <row r="84" spans="1:47" x14ac:dyDescent="0.2">
      <c r="A84" t="s">
        <v>148</v>
      </c>
      <c r="B84" s="73">
        <v>24838</v>
      </c>
      <c r="D84">
        <v>0.87621740199999998</v>
      </c>
      <c r="E84">
        <v>1.6101192719999999</v>
      </c>
      <c r="F84">
        <v>0.92340842899999998</v>
      </c>
      <c r="H84">
        <v>0.404636985</v>
      </c>
      <c r="I84">
        <v>0.51321928500000003</v>
      </c>
      <c r="M84">
        <v>1.285930408</v>
      </c>
      <c r="N84">
        <v>0.78055322500000002</v>
      </c>
      <c r="P84">
        <v>-0.71910330099999997</v>
      </c>
      <c r="S84">
        <v>-0.60775826399999999</v>
      </c>
      <c r="T84">
        <v>0.97472745699999996</v>
      </c>
      <c r="U84">
        <v>1.0382150000000001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1.0374248370000001</v>
      </c>
      <c r="AN84">
        <v>2.6392798900000001</v>
      </c>
      <c r="AR84">
        <v>2.331611251</v>
      </c>
      <c r="AT84">
        <v>0.75401712700000001</v>
      </c>
      <c r="AU84">
        <v>-1.8157478659999999</v>
      </c>
    </row>
    <row r="85" spans="1:47" x14ac:dyDescent="0.2">
      <c r="A85" t="s">
        <v>149</v>
      </c>
      <c r="B85" s="73">
        <v>24929</v>
      </c>
      <c r="D85">
        <v>-0.89539628199999999</v>
      </c>
      <c r="E85">
        <v>1.264305303</v>
      </c>
      <c r="F85">
        <v>0.90842949399999995</v>
      </c>
      <c r="H85">
        <v>0.82909219999999995</v>
      </c>
      <c r="I85">
        <v>1.5885295779999999</v>
      </c>
      <c r="M85">
        <v>1.170303986</v>
      </c>
      <c r="N85">
        <v>0.73458195299999995</v>
      </c>
      <c r="P85">
        <v>2.1339450210000002</v>
      </c>
      <c r="S85">
        <v>1.016885402</v>
      </c>
      <c r="T85">
        <v>2.9096183990000002</v>
      </c>
      <c r="U85">
        <v>1.9886349999999999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1.8826961369999999</v>
      </c>
      <c r="AN85">
        <v>2.8617832430000001</v>
      </c>
      <c r="AR85">
        <v>-1.6841020170000001</v>
      </c>
      <c r="AT85">
        <v>2.039507129</v>
      </c>
      <c r="AU85">
        <v>1.641868589</v>
      </c>
    </row>
    <row r="86" spans="1:47" x14ac:dyDescent="0.2">
      <c r="A86" t="s">
        <v>150</v>
      </c>
      <c r="B86" s="73">
        <v>25020</v>
      </c>
      <c r="D86">
        <v>3.8416352159999998</v>
      </c>
      <c r="E86">
        <v>1.182700351</v>
      </c>
      <c r="F86">
        <v>0.89686020499999997</v>
      </c>
      <c r="H86">
        <v>2.717634791</v>
      </c>
      <c r="I86">
        <v>0.55338376499999997</v>
      </c>
      <c r="M86">
        <v>0.77727952199999994</v>
      </c>
      <c r="N86">
        <v>1.0821751529999999</v>
      </c>
      <c r="P86">
        <v>3.034022523</v>
      </c>
      <c r="S86">
        <v>1.6238918440000001</v>
      </c>
      <c r="T86">
        <v>-7.5809563649999996</v>
      </c>
      <c r="U86">
        <v>0.94420700000000002</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1.156347789</v>
      </c>
      <c r="AN86">
        <v>1.9413338280000001</v>
      </c>
      <c r="AR86">
        <v>5.4954567709999997</v>
      </c>
      <c r="AT86">
        <v>1.6707995499999999</v>
      </c>
      <c r="AU86">
        <v>0.44336943899999998</v>
      </c>
    </row>
    <row r="87" spans="1:47" x14ac:dyDescent="0.2">
      <c r="A87" t="s">
        <v>151</v>
      </c>
      <c r="B87" s="73">
        <v>25112</v>
      </c>
      <c r="D87">
        <v>1.3286209179999999</v>
      </c>
      <c r="E87">
        <v>1.811362605</v>
      </c>
      <c r="F87">
        <v>1.3318043150000001</v>
      </c>
      <c r="H87">
        <v>1.3677209480000001</v>
      </c>
      <c r="I87">
        <v>2.761789356</v>
      </c>
      <c r="M87">
        <v>2.1951943040000002</v>
      </c>
      <c r="N87">
        <v>1.419760811</v>
      </c>
      <c r="P87">
        <v>0.80629749299999998</v>
      </c>
      <c r="S87">
        <v>0.27727920099999998</v>
      </c>
      <c r="T87">
        <v>11.373243098</v>
      </c>
      <c r="U87">
        <v>2.1479840000000001</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1.999489563</v>
      </c>
      <c r="AN87">
        <v>1.0794968970000001</v>
      </c>
      <c r="AR87">
        <v>0.72661108799999996</v>
      </c>
      <c r="AT87">
        <v>0.77495566299999996</v>
      </c>
      <c r="AU87">
        <v>1.0793265299999999</v>
      </c>
    </row>
    <row r="88" spans="1:47" x14ac:dyDescent="0.2">
      <c r="A88" t="s">
        <v>152</v>
      </c>
      <c r="B88" s="73">
        <v>25204</v>
      </c>
      <c r="D88">
        <v>3.7340052369999999</v>
      </c>
      <c r="E88">
        <v>0.89583529799999995</v>
      </c>
      <c r="F88">
        <v>1.770448655</v>
      </c>
      <c r="H88">
        <v>1.3808329340000001</v>
      </c>
      <c r="I88">
        <v>2.4320738959999999</v>
      </c>
      <c r="M88">
        <v>1.5094339619999999</v>
      </c>
      <c r="N88">
        <v>1.744169093</v>
      </c>
      <c r="P88">
        <v>4.0534074799999997</v>
      </c>
      <c r="S88">
        <v>1.87516964</v>
      </c>
      <c r="T88">
        <v>1.0245901639999999</v>
      </c>
      <c r="U88">
        <v>1.4372339999999999</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1.5645314400000001</v>
      </c>
      <c r="AN88">
        <v>0.25193510000000002</v>
      </c>
      <c r="AR88">
        <v>-0.54202259399999997</v>
      </c>
      <c r="AT88">
        <v>0.39332004100000001</v>
      </c>
      <c r="AU88">
        <v>1.890612969</v>
      </c>
    </row>
    <row r="89" spans="1:47" x14ac:dyDescent="0.2">
      <c r="A89" t="s">
        <v>153</v>
      </c>
      <c r="B89" s="73">
        <v>25294</v>
      </c>
      <c r="D89">
        <v>-0.69724910500000004</v>
      </c>
      <c r="E89">
        <v>0.97363511300000005</v>
      </c>
      <c r="F89">
        <v>1.7302537920000001</v>
      </c>
      <c r="H89">
        <v>1.3080932009999999</v>
      </c>
      <c r="I89">
        <v>-2.393514965</v>
      </c>
      <c r="M89">
        <v>2.516442665</v>
      </c>
      <c r="N89">
        <v>2.0526702029999999</v>
      </c>
      <c r="P89">
        <v>3.548013804</v>
      </c>
      <c r="S89">
        <v>4.8897955770000001</v>
      </c>
      <c r="T89">
        <v>0.18374518300000001</v>
      </c>
      <c r="U89">
        <v>1.3187070000000001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1.306493259</v>
      </c>
      <c r="AN89">
        <v>-0.59196282300000003</v>
      </c>
      <c r="AR89">
        <v>-0.43319199000000003</v>
      </c>
      <c r="AT89">
        <v>1.565115509</v>
      </c>
      <c r="AU89">
        <v>0.71868768900000002</v>
      </c>
    </row>
    <row r="90" spans="1:47" x14ac:dyDescent="0.2">
      <c r="A90" t="s">
        <v>154</v>
      </c>
      <c r="B90" s="73">
        <v>25385</v>
      </c>
      <c r="D90">
        <v>1.9731036340000001</v>
      </c>
      <c r="E90">
        <v>1.8923453649999999</v>
      </c>
      <c r="F90">
        <v>1.682228847</v>
      </c>
      <c r="H90">
        <v>0.49284514699999998</v>
      </c>
      <c r="I90">
        <v>3.518600422</v>
      </c>
      <c r="M90">
        <v>1.2830879049999999</v>
      </c>
      <c r="N90">
        <v>1.5477394959999999</v>
      </c>
      <c r="P90">
        <v>-0.33786048299999999</v>
      </c>
      <c r="S90">
        <v>0.94234938499999998</v>
      </c>
      <c r="T90">
        <v>2.4530371180000001</v>
      </c>
      <c r="U90">
        <v>1.0980749999999999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1.1785429359999999</v>
      </c>
      <c r="AN90">
        <v>-0.183559099</v>
      </c>
      <c r="AR90">
        <v>2.6426031769999998</v>
      </c>
      <c r="AT90">
        <v>0.30399532099999999</v>
      </c>
      <c r="AU90">
        <v>-8.4331489999999995E-2</v>
      </c>
    </row>
    <row r="91" spans="1:47" x14ac:dyDescent="0.2">
      <c r="A91" t="s">
        <v>155</v>
      </c>
      <c r="B91" s="73">
        <v>25477</v>
      </c>
      <c r="D91">
        <v>1.6640171580000001</v>
      </c>
      <c r="E91">
        <v>2.4060259639999999</v>
      </c>
      <c r="F91">
        <v>1.6726515989999999</v>
      </c>
      <c r="H91">
        <v>1.0736989269999999</v>
      </c>
      <c r="I91">
        <v>4.1585568479999999</v>
      </c>
      <c r="M91">
        <v>2.148261051</v>
      </c>
      <c r="N91">
        <v>1.0675537960000001</v>
      </c>
      <c r="P91">
        <v>1.8654529500000001</v>
      </c>
      <c r="S91">
        <v>2.7720648959999998</v>
      </c>
      <c r="T91">
        <v>0.94538381999999999</v>
      </c>
      <c r="U91">
        <v>1.072646</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1.309055442</v>
      </c>
      <c r="AN91">
        <v>1.9477467129999999</v>
      </c>
      <c r="AR91">
        <v>3.838758903</v>
      </c>
      <c r="AT91">
        <v>0.66051420500000002</v>
      </c>
      <c r="AU91">
        <v>4.5667663090000001</v>
      </c>
    </row>
    <row r="92" spans="1:47" x14ac:dyDescent="0.2">
      <c r="A92" t="s">
        <v>156</v>
      </c>
      <c r="B92" s="73">
        <v>25569</v>
      </c>
      <c r="D92">
        <v>2.3103684379999998</v>
      </c>
      <c r="E92">
        <v>1.0178090500000001</v>
      </c>
      <c r="F92">
        <v>1.6540957270000001</v>
      </c>
      <c r="H92">
        <v>1.431339988</v>
      </c>
      <c r="I92">
        <v>-0.22332619300000001</v>
      </c>
      <c r="M92">
        <v>1.536742829</v>
      </c>
      <c r="N92">
        <v>0.60450455000000003</v>
      </c>
      <c r="P92">
        <v>1.1194782139999999</v>
      </c>
      <c r="S92">
        <v>1.4877672</v>
      </c>
      <c r="T92">
        <v>0.79025171500000002</v>
      </c>
      <c r="U92">
        <v>0.49333399999999999</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0.69919435500000005</v>
      </c>
      <c r="AN92">
        <v>2.6376832270000001</v>
      </c>
      <c r="AR92">
        <v>0.71857372799999997</v>
      </c>
      <c r="AT92">
        <v>-0.48769458799999998</v>
      </c>
      <c r="AU92">
        <v>-1.349816884</v>
      </c>
    </row>
    <row r="93" spans="1:47" x14ac:dyDescent="0.2">
      <c r="A93" t="s">
        <v>157</v>
      </c>
      <c r="B93" s="73">
        <v>25659</v>
      </c>
      <c r="D93">
        <v>2.0764187199999999</v>
      </c>
      <c r="E93">
        <v>1.8876402640000001</v>
      </c>
      <c r="F93">
        <v>1.606117273</v>
      </c>
      <c r="H93">
        <v>0.64617400700000005</v>
      </c>
      <c r="I93">
        <v>1.9961423780000001</v>
      </c>
      <c r="M93">
        <v>-1.595662151</v>
      </c>
      <c r="N93">
        <v>0.151850918</v>
      </c>
      <c r="P93">
        <v>1.869665315</v>
      </c>
      <c r="S93">
        <v>0.86833875100000002</v>
      </c>
      <c r="T93">
        <v>1.9113744450000001</v>
      </c>
      <c r="U93">
        <v>0.736317</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0.83610879500000002</v>
      </c>
      <c r="AN93">
        <v>2.917470963</v>
      </c>
      <c r="AR93">
        <v>1.3351543320000001</v>
      </c>
      <c r="AT93">
        <v>-0.14847070100000001</v>
      </c>
      <c r="AU93">
        <v>2.1524906399999999</v>
      </c>
    </row>
    <row r="94" spans="1:47" x14ac:dyDescent="0.2">
      <c r="A94" t="s">
        <v>158</v>
      </c>
      <c r="B94" s="73">
        <v>25750</v>
      </c>
      <c r="D94">
        <v>2.003171762</v>
      </c>
      <c r="E94">
        <v>2.5910391829999999</v>
      </c>
      <c r="F94">
        <v>1.575348532</v>
      </c>
      <c r="H94">
        <v>-4.0578690000000004E-3</v>
      </c>
      <c r="I94">
        <v>1.1864406780000001</v>
      </c>
      <c r="M94">
        <v>3.9758176989999998</v>
      </c>
      <c r="N94">
        <v>0.25888395199999997</v>
      </c>
      <c r="P94">
        <v>0.15886402399999999</v>
      </c>
      <c r="S94">
        <v>3.4618527710000002</v>
      </c>
      <c r="T94">
        <v>1.2620384549999999</v>
      </c>
      <c r="U94">
        <v>1.0915680000000001</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1.1974781759999999</v>
      </c>
      <c r="AN94">
        <v>2.9933256770000001</v>
      </c>
      <c r="AR94">
        <v>0.76995841300000001</v>
      </c>
      <c r="AT94">
        <v>0.141930001</v>
      </c>
      <c r="AU94">
        <v>2.0405876059999999</v>
      </c>
    </row>
    <row r="95" spans="1:47" x14ac:dyDescent="0.2">
      <c r="A95" t="s">
        <v>159</v>
      </c>
      <c r="B95" s="73">
        <v>25842</v>
      </c>
      <c r="D95">
        <v>-0.20585067600000001</v>
      </c>
      <c r="E95">
        <v>1.9357299699999999</v>
      </c>
      <c r="F95">
        <v>1.176552013</v>
      </c>
      <c r="H95">
        <v>1.0325048480000001</v>
      </c>
      <c r="I95">
        <v>1.3967687900000001</v>
      </c>
      <c r="M95">
        <v>1.867836292</v>
      </c>
      <c r="N95">
        <v>0.36522020199999999</v>
      </c>
      <c r="P95">
        <v>0.51108326199999998</v>
      </c>
      <c r="S95">
        <v>1.8677330539999999</v>
      </c>
      <c r="T95">
        <v>1.3772386089999999</v>
      </c>
      <c r="U95">
        <v>1.427322</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1.3593556179999999</v>
      </c>
      <c r="AN95">
        <v>0.64610706299999998</v>
      </c>
      <c r="AR95">
        <v>2.9206831489999998</v>
      </c>
      <c r="AT95">
        <v>0.92155083000000004</v>
      </c>
      <c r="AU95">
        <v>-1.154461151</v>
      </c>
    </row>
    <row r="96" spans="1:47" x14ac:dyDescent="0.2">
      <c r="A96" t="s">
        <v>160</v>
      </c>
      <c r="B96" s="73">
        <v>25934</v>
      </c>
      <c r="D96">
        <v>0.48217938100000002</v>
      </c>
      <c r="E96">
        <v>1.2421643689999999</v>
      </c>
      <c r="F96">
        <v>0.75863011000000002</v>
      </c>
      <c r="H96">
        <v>0.17830043500000001</v>
      </c>
      <c r="I96">
        <v>0.40499853499999999</v>
      </c>
      <c r="M96">
        <v>0.84760664399999996</v>
      </c>
      <c r="N96">
        <v>0.470506545</v>
      </c>
      <c r="P96">
        <v>0.789027645</v>
      </c>
      <c r="S96">
        <v>1.012939233</v>
      </c>
      <c r="T96">
        <v>1.570186063</v>
      </c>
      <c r="U96">
        <v>-0.19517999999999999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7.0128804000000003E-2</v>
      </c>
      <c r="AN96">
        <v>1.772498017</v>
      </c>
      <c r="AR96">
        <v>0.46252098800000002</v>
      </c>
      <c r="AT96">
        <v>-1.071638106</v>
      </c>
      <c r="AU96">
        <v>3.5184989799999999</v>
      </c>
    </row>
    <row r="97" spans="1:47" x14ac:dyDescent="0.2">
      <c r="A97" t="s">
        <v>161</v>
      </c>
      <c r="B97" s="73">
        <v>26024</v>
      </c>
      <c r="D97">
        <v>1.207459571</v>
      </c>
      <c r="E97">
        <v>0.171116297</v>
      </c>
      <c r="F97">
        <v>0.74286229299999995</v>
      </c>
      <c r="H97">
        <v>-0.57369476200000002</v>
      </c>
      <c r="I97">
        <v>1.1145609430000001</v>
      </c>
      <c r="M97">
        <v>-1.9211025230000001</v>
      </c>
      <c r="N97">
        <v>0.57441921200000001</v>
      </c>
      <c r="P97">
        <v>0.78091777200000001</v>
      </c>
      <c r="S97">
        <v>-4.6504485730000003</v>
      </c>
      <c r="T97">
        <v>0.12908329599999999</v>
      </c>
      <c r="U97">
        <v>0.96737899999999999</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0.89731944200000002</v>
      </c>
      <c r="AN97">
        <v>-2.2926399E-2</v>
      </c>
      <c r="AR97">
        <v>-1.089008897</v>
      </c>
      <c r="AT97">
        <v>2.715992789</v>
      </c>
      <c r="AU97">
        <v>1.4811279150000001</v>
      </c>
    </row>
    <row r="98" spans="1:47" x14ac:dyDescent="0.2">
      <c r="A98" t="s">
        <v>162</v>
      </c>
      <c r="B98" s="73">
        <v>26115</v>
      </c>
      <c r="D98">
        <v>0.42450125399999999</v>
      </c>
      <c r="E98">
        <v>2.1548485529999999</v>
      </c>
      <c r="F98">
        <v>0.73507800599999995</v>
      </c>
      <c r="H98">
        <v>2.900629253</v>
      </c>
      <c r="I98">
        <v>1.5904259510000001</v>
      </c>
      <c r="M98">
        <v>2.0986408280000002</v>
      </c>
      <c r="N98">
        <v>0.816535071</v>
      </c>
      <c r="P98">
        <v>1.9505926579999999</v>
      </c>
      <c r="S98">
        <v>6.0944927499999997</v>
      </c>
      <c r="T98">
        <v>1.821986785</v>
      </c>
      <c r="U98">
        <v>1.1880219999999999</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1.219313329</v>
      </c>
      <c r="AN98">
        <v>3.9647319780000001</v>
      </c>
      <c r="AR98">
        <v>-1.1759942759999999</v>
      </c>
      <c r="AT98">
        <v>0.54112008</v>
      </c>
      <c r="AU98">
        <v>-0.81523000199999995</v>
      </c>
    </row>
    <row r="99" spans="1:47" x14ac:dyDescent="0.2">
      <c r="A99" t="s">
        <v>163</v>
      </c>
      <c r="B99" s="73">
        <v>26207</v>
      </c>
      <c r="D99">
        <v>3.1438822559999999</v>
      </c>
      <c r="E99">
        <v>1.60398934</v>
      </c>
      <c r="F99">
        <v>1.0411394759999999</v>
      </c>
      <c r="H99">
        <v>2.780357231</v>
      </c>
      <c r="I99">
        <v>0.61742747099999995</v>
      </c>
      <c r="M99">
        <v>1.730037193</v>
      </c>
      <c r="N99">
        <v>1.0533128220000001</v>
      </c>
      <c r="P99">
        <v>1.839902173</v>
      </c>
      <c r="S99">
        <v>-2.5945737999999999E-2</v>
      </c>
      <c r="T99">
        <v>1.6306014069999999</v>
      </c>
      <c r="U99">
        <v>1.2741089999999999</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1.341039439</v>
      </c>
      <c r="AN99">
        <v>0.58097699899999999</v>
      </c>
      <c r="AR99">
        <v>1.8275422400000001</v>
      </c>
      <c r="AT99">
        <v>0.82296708500000004</v>
      </c>
      <c r="AU99">
        <v>1.3026591190000001</v>
      </c>
    </row>
    <row r="100" spans="1:47" x14ac:dyDescent="0.2">
      <c r="A100" t="s">
        <v>164</v>
      </c>
      <c r="B100" s="73">
        <v>26299</v>
      </c>
      <c r="D100">
        <v>-0.31645569600000001</v>
      </c>
      <c r="E100">
        <v>-0.36443544700000002</v>
      </c>
      <c r="F100">
        <v>1.354625558</v>
      </c>
      <c r="H100">
        <v>1.1057307359999999</v>
      </c>
      <c r="I100">
        <v>0.749717572</v>
      </c>
      <c r="M100">
        <v>-8.4182123999999997E-2</v>
      </c>
      <c r="N100">
        <v>1.2832057189999999</v>
      </c>
      <c r="P100">
        <v>2.0135591970000002</v>
      </c>
      <c r="S100">
        <v>-0.61189449100000004</v>
      </c>
      <c r="T100">
        <v>0.85678106600000004</v>
      </c>
      <c r="U100">
        <v>0.41770299999999999</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0.52859962900000002</v>
      </c>
      <c r="AN100">
        <v>3.4214536610000001</v>
      </c>
      <c r="AR100">
        <v>-0.98052384699999995</v>
      </c>
      <c r="AT100">
        <v>0.235783839</v>
      </c>
      <c r="AU100">
        <v>0.71876223699999997</v>
      </c>
    </row>
    <row r="101" spans="1:47" x14ac:dyDescent="0.2">
      <c r="A101" t="s">
        <v>165</v>
      </c>
      <c r="B101" s="73">
        <v>26390</v>
      </c>
      <c r="D101">
        <v>-1.2159641919999999</v>
      </c>
      <c r="E101">
        <v>3.2570676409999999</v>
      </c>
      <c r="F101">
        <v>1.328109516</v>
      </c>
      <c r="H101">
        <v>-0.34940669699999999</v>
      </c>
      <c r="I101">
        <v>0.91743119299999998</v>
      </c>
      <c r="M101">
        <v>0.101102707</v>
      </c>
      <c r="N101">
        <v>1.5047507689999999</v>
      </c>
      <c r="P101">
        <v>1.6225123589999999</v>
      </c>
      <c r="S101">
        <v>4.9092106759999998</v>
      </c>
      <c r="T101">
        <v>1.309796145</v>
      </c>
      <c r="U101">
        <v>1.484048</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1.5389783210000001</v>
      </c>
      <c r="AN101">
        <v>-5.2890599000000003E-2</v>
      </c>
      <c r="AR101">
        <v>0.47354708299999998</v>
      </c>
      <c r="AT101">
        <v>1.838958884</v>
      </c>
      <c r="AU101">
        <v>-0.58951997499999997</v>
      </c>
    </row>
    <row r="102" spans="1:47" x14ac:dyDescent="0.2">
      <c r="A102" t="s">
        <v>166</v>
      </c>
      <c r="B102" s="73">
        <v>26481</v>
      </c>
      <c r="D102">
        <v>2.2336337240000002</v>
      </c>
      <c r="E102">
        <v>-3.7419386999999998E-2</v>
      </c>
      <c r="F102">
        <v>1.304745354</v>
      </c>
      <c r="H102">
        <v>2.8300644990000001</v>
      </c>
      <c r="I102">
        <v>0.28535353600000002</v>
      </c>
      <c r="M102">
        <v>1.6329990889999999</v>
      </c>
      <c r="N102">
        <v>1.389444007</v>
      </c>
      <c r="P102">
        <v>2.362836116</v>
      </c>
      <c r="S102">
        <v>-3.9025583000000003E-2</v>
      </c>
      <c r="T102">
        <v>0.38417729</v>
      </c>
      <c r="U102">
        <v>1.8499030000000001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1.798725825</v>
      </c>
      <c r="AN102">
        <v>1.9422763080000001</v>
      </c>
      <c r="AR102">
        <v>0.18998918400000001</v>
      </c>
      <c r="AT102">
        <v>2.2697723540000001</v>
      </c>
      <c r="AU102">
        <v>1.046169957</v>
      </c>
    </row>
    <row r="103" spans="1:47" x14ac:dyDescent="0.2">
      <c r="A103" t="s">
        <v>167</v>
      </c>
      <c r="B103" s="73">
        <v>26573</v>
      </c>
      <c r="D103">
        <v>-0.50229809599999997</v>
      </c>
      <c r="E103">
        <v>1.352706757</v>
      </c>
      <c r="F103">
        <v>1.448760528</v>
      </c>
      <c r="H103">
        <v>0.27873783899999999</v>
      </c>
      <c r="I103">
        <v>0.841034422</v>
      </c>
      <c r="M103">
        <v>2.335604225</v>
      </c>
      <c r="N103">
        <v>1.2786778160000001</v>
      </c>
      <c r="P103">
        <v>2.1968839760000001</v>
      </c>
      <c r="S103">
        <v>2.143043783</v>
      </c>
      <c r="T103">
        <v>0.88796016099999997</v>
      </c>
      <c r="U103">
        <v>1.2400580000000001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1.2830735200000001</v>
      </c>
      <c r="AN103">
        <v>4.9003837710000004</v>
      </c>
      <c r="AR103">
        <v>2.848964976</v>
      </c>
      <c r="AT103">
        <v>0.944381888</v>
      </c>
      <c r="AU103">
        <v>6.1773481999999998E-2</v>
      </c>
    </row>
    <row r="104" spans="1:47" x14ac:dyDescent="0.2">
      <c r="A104" t="s">
        <v>168</v>
      </c>
      <c r="B104" s="73">
        <v>26665</v>
      </c>
      <c r="D104">
        <v>1.0649354929999999</v>
      </c>
      <c r="E104">
        <v>4.5113120770000004</v>
      </c>
      <c r="F104">
        <v>1.593273827</v>
      </c>
      <c r="H104">
        <v>2.3693876829999998</v>
      </c>
      <c r="I104">
        <v>1.765425625</v>
      </c>
      <c r="M104">
        <v>1.5538962949999999</v>
      </c>
      <c r="N104">
        <v>1.171983819</v>
      </c>
      <c r="P104">
        <v>1.981024409</v>
      </c>
      <c r="S104">
        <v>2.0660122049999998</v>
      </c>
      <c r="T104">
        <v>1.6602363849999999</v>
      </c>
      <c r="U104">
        <v>1.7092879999999999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1.7576927769999999</v>
      </c>
      <c r="AN104">
        <v>0.54074560800000004</v>
      </c>
      <c r="AR104">
        <v>1.704581047</v>
      </c>
      <c r="AT104">
        <v>1.674458738</v>
      </c>
      <c r="AU104">
        <v>1.770998777</v>
      </c>
    </row>
    <row r="105" spans="1:47" x14ac:dyDescent="0.2">
      <c r="A105" t="s">
        <v>169</v>
      </c>
      <c r="B105" s="73">
        <v>26755</v>
      </c>
      <c r="D105">
        <v>2.5783755990000001</v>
      </c>
      <c r="E105">
        <v>-1.4171313780000001</v>
      </c>
      <c r="F105">
        <v>1.5577433709999999</v>
      </c>
      <c r="H105">
        <v>2.6113278599999998</v>
      </c>
      <c r="I105">
        <v>0.49811061499999998</v>
      </c>
      <c r="M105">
        <v>1.3827236789999999</v>
      </c>
      <c r="N105">
        <v>1.0688894609999999</v>
      </c>
      <c r="P105">
        <v>1.8406547520000001</v>
      </c>
      <c r="S105">
        <v>3.574796133</v>
      </c>
      <c r="T105">
        <v>1.99228223</v>
      </c>
      <c r="U105">
        <v>2.5237039999999999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2.3320916220000001</v>
      </c>
      <c r="AN105">
        <v>3.9965673129999999</v>
      </c>
      <c r="AR105">
        <v>0.66499909599999996</v>
      </c>
      <c r="AT105">
        <v>2.4748063770000002</v>
      </c>
      <c r="AU105">
        <v>1.289677636</v>
      </c>
    </row>
    <row r="106" spans="1:47" x14ac:dyDescent="0.2">
      <c r="A106" t="s">
        <v>170</v>
      </c>
      <c r="B106" s="73">
        <v>26846</v>
      </c>
      <c r="D106">
        <v>0.185394421</v>
      </c>
      <c r="E106">
        <v>2.047167789</v>
      </c>
      <c r="F106">
        <v>1.5190713199999999</v>
      </c>
      <c r="H106">
        <v>1.084605289</v>
      </c>
      <c r="I106">
        <v>-8.7897062999999998E-2</v>
      </c>
      <c r="M106">
        <v>0.73887746200000004</v>
      </c>
      <c r="N106">
        <v>0.68814978699999996</v>
      </c>
      <c r="P106">
        <v>1.782785541</v>
      </c>
      <c r="S106">
        <v>-3.086633172</v>
      </c>
      <c r="T106">
        <v>1.0803821689999999</v>
      </c>
      <c r="U106">
        <v>1.07972</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1.101061506</v>
      </c>
      <c r="AN106">
        <v>2.1144615230000001</v>
      </c>
      <c r="AR106">
        <v>3.6354188000000003E-2</v>
      </c>
      <c r="AT106">
        <v>1.0886625299999999</v>
      </c>
      <c r="AU106">
        <v>-0.44474834099999999</v>
      </c>
    </row>
    <row r="107" spans="1:47" x14ac:dyDescent="0.2">
      <c r="A107" t="s">
        <v>171</v>
      </c>
      <c r="B107" s="73">
        <v>26938</v>
      </c>
      <c r="D107">
        <v>1.0126200249999999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0.10367800000000001</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0.36593110400000001</v>
      </c>
      <c r="AN107">
        <v>2.9849937820000001</v>
      </c>
      <c r="AR107">
        <v>0.78153996599999997</v>
      </c>
      <c r="AT107">
        <v>-0.52589853600000003</v>
      </c>
      <c r="AU107">
        <v>2.892126309</v>
      </c>
    </row>
    <row r="108" spans="1:47" x14ac:dyDescent="0.2">
      <c r="A108" t="s">
        <v>172</v>
      </c>
      <c r="B108" s="73">
        <v>27030</v>
      </c>
      <c r="D108">
        <v>2.5018476879999998</v>
      </c>
      <c r="E108">
        <v>2.1149166660000001</v>
      </c>
      <c r="F108">
        <v>1.324668226</v>
      </c>
      <c r="H108">
        <v>1.8688244270000001</v>
      </c>
      <c r="I108">
        <v>1.762754546</v>
      </c>
      <c r="M108">
        <v>0.24886881999999999</v>
      </c>
      <c r="N108">
        <v>-5.0231497E-2</v>
      </c>
      <c r="P108">
        <v>1.6454251470000001</v>
      </c>
      <c r="S108">
        <v>1.8793849579999999</v>
      </c>
      <c r="T108">
        <v>1.2783191350000001</v>
      </c>
      <c r="U108">
        <v>0.97073200000000004</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1.134730258</v>
      </c>
      <c r="AN108">
        <v>1.5937907609999999</v>
      </c>
      <c r="AR108">
        <v>1.3654840109999999</v>
      </c>
      <c r="AT108">
        <v>0.94921604299999995</v>
      </c>
      <c r="AU108">
        <v>1.9262149900000001</v>
      </c>
    </row>
    <row r="109" spans="1:47" x14ac:dyDescent="0.2">
      <c r="A109" t="s">
        <v>173</v>
      </c>
      <c r="B109" s="73">
        <v>27120</v>
      </c>
      <c r="D109">
        <v>1.3807069E-2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-0.85084700000000002</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-0.44263064099999999</v>
      </c>
      <c r="AN109">
        <v>0.54724524399999996</v>
      </c>
      <c r="AR109">
        <v>-0.53207444400000004</v>
      </c>
      <c r="AT109">
        <v>-0.85977257399999996</v>
      </c>
      <c r="AU109">
        <v>1.868574967</v>
      </c>
    </row>
    <row r="110" spans="1:47" x14ac:dyDescent="0.2">
      <c r="A110" t="s">
        <v>174</v>
      </c>
      <c r="B110" s="73">
        <v>27211</v>
      </c>
      <c r="D110">
        <v>-2.032426794</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0.484956</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0.46373820700000001</v>
      </c>
      <c r="AN110">
        <v>-2.0335644780000002</v>
      </c>
      <c r="AR110">
        <v>1.7026330110000001</v>
      </c>
      <c r="AT110">
        <v>0.237683227</v>
      </c>
      <c r="AU110">
        <v>1.3744174680000001</v>
      </c>
    </row>
    <row r="111" spans="1:47" x14ac:dyDescent="0.2">
      <c r="A111" t="s">
        <v>175</v>
      </c>
      <c r="B111" s="73">
        <v>27303</v>
      </c>
      <c r="D111">
        <v>1.196217198</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-7.9321000000000003E-2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2.1198254E-2</v>
      </c>
      <c r="AN111">
        <v>-1.6588354460000001</v>
      </c>
      <c r="AR111">
        <v>1.4086702120000001</v>
      </c>
      <c r="AT111">
        <v>-0.94514277800000002</v>
      </c>
      <c r="AU111">
        <v>1.1325671960000001</v>
      </c>
    </row>
    <row r="112" spans="1:47" x14ac:dyDescent="0.2">
      <c r="A112" t="s">
        <v>176</v>
      </c>
      <c r="B112" s="73">
        <v>27395</v>
      </c>
      <c r="D112">
        <v>0.105984652</v>
      </c>
      <c r="E112">
        <v>-1.2241990140000001</v>
      </c>
      <c r="F112">
        <v>-1.000723354</v>
      </c>
      <c r="H112">
        <v>-0.46383703399999998</v>
      </c>
      <c r="I112">
        <v>-3.5727122420000001</v>
      </c>
      <c r="M112">
        <v>-1.262707459</v>
      </c>
      <c r="N112">
        <v>-0.64142359800000004</v>
      </c>
      <c r="P112">
        <v>6.6164419000000002E-2</v>
      </c>
      <c r="S112">
        <v>2.3032177000000001E-2</v>
      </c>
      <c r="T112">
        <v>-1.510183316</v>
      </c>
      <c r="U112">
        <v>-0.84958999999999996</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-0.610967335</v>
      </c>
      <c r="AN112">
        <v>-0.77274609400000005</v>
      </c>
      <c r="AR112">
        <v>1.3609915239999999</v>
      </c>
      <c r="AT112">
        <v>-0.38814078299999999</v>
      </c>
      <c r="AU112">
        <v>-0.943914052</v>
      </c>
    </row>
    <row r="113" spans="1:47" x14ac:dyDescent="0.2">
      <c r="A113" t="s">
        <v>177</v>
      </c>
      <c r="B113" s="73">
        <v>27485</v>
      </c>
      <c r="D113">
        <v>0.389486944</v>
      </c>
      <c r="E113">
        <v>0.13912638999999999</v>
      </c>
      <c r="F113">
        <v>-1.0001485539999999</v>
      </c>
      <c r="H113">
        <v>-0.628394126</v>
      </c>
      <c r="I113">
        <v>-2.1271308580000001</v>
      </c>
      <c r="M113">
        <v>-0.57700535100000006</v>
      </c>
      <c r="N113">
        <v>-0.71904517800000001</v>
      </c>
      <c r="P113">
        <v>-0.501915997</v>
      </c>
      <c r="S113">
        <v>1.603501804</v>
      </c>
      <c r="T113">
        <v>-0.44990402000000002</v>
      </c>
      <c r="U113">
        <v>-0.77900800000000003</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-0.51882493600000001</v>
      </c>
      <c r="AN113">
        <v>-1.987540613</v>
      </c>
      <c r="AR113">
        <v>0.63873113599999998</v>
      </c>
      <c r="AT113">
        <v>-1.217285876</v>
      </c>
      <c r="AU113">
        <v>-0.40046615200000002</v>
      </c>
    </row>
    <row r="114" spans="1:47" x14ac:dyDescent="0.2">
      <c r="A114" t="s">
        <v>178</v>
      </c>
      <c r="B114" s="73">
        <v>27576</v>
      </c>
      <c r="D114">
        <v>3.15076402</v>
      </c>
      <c r="E114">
        <v>-1.0301836419999999</v>
      </c>
      <c r="F114">
        <v>-1.0047068079999999</v>
      </c>
      <c r="H114">
        <v>1.299640149</v>
      </c>
      <c r="I114">
        <v>-1.071446707</v>
      </c>
      <c r="M114">
        <v>-0.50195451499999999</v>
      </c>
      <c r="N114">
        <v>9.2145803999999998E-2</v>
      </c>
      <c r="P114">
        <v>-8.3067768E-2</v>
      </c>
      <c r="S114">
        <v>-0.71006589399999998</v>
      </c>
      <c r="T114">
        <v>0.25275012200000002</v>
      </c>
      <c r="U114">
        <v>0.51669399999999999</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0.534131303</v>
      </c>
      <c r="AN114">
        <v>-1.4921001439999999</v>
      </c>
      <c r="AR114">
        <v>-1.1544527529999999</v>
      </c>
      <c r="AT114">
        <v>0.71453621599999995</v>
      </c>
      <c r="AU114">
        <v>1.723782844</v>
      </c>
    </row>
    <row r="115" spans="1:47" x14ac:dyDescent="0.2">
      <c r="A115" t="s">
        <v>179</v>
      </c>
      <c r="B115" s="73">
        <v>27668</v>
      </c>
      <c r="D115">
        <v>-1.0918073399999999</v>
      </c>
      <c r="E115">
        <v>0.96033855099999998</v>
      </c>
      <c r="F115">
        <v>0.50786645900000005</v>
      </c>
      <c r="H115">
        <v>1.877954578</v>
      </c>
      <c r="I115">
        <v>-1.1369469249999999</v>
      </c>
      <c r="M115">
        <v>1.087808729</v>
      </c>
      <c r="N115">
        <v>0.90769125399999995</v>
      </c>
      <c r="P115">
        <v>0.436846242</v>
      </c>
      <c r="S115">
        <v>-0.91538417500000002</v>
      </c>
      <c r="T115">
        <v>0.38735227999999999</v>
      </c>
      <c r="U115">
        <v>1.247843</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1.097339206</v>
      </c>
      <c r="AN115">
        <v>0.10498070700000001</v>
      </c>
      <c r="AR115">
        <v>0.91162099699999999</v>
      </c>
      <c r="AT115">
        <v>1.7116519670000001</v>
      </c>
      <c r="AU115">
        <v>0.80066534600000006</v>
      </c>
    </row>
    <row r="116" spans="1:47" x14ac:dyDescent="0.2">
      <c r="A116" t="s">
        <v>180</v>
      </c>
      <c r="B116" s="73">
        <v>27760</v>
      </c>
      <c r="D116">
        <v>-1.5022446899999999</v>
      </c>
      <c r="E116">
        <v>2.3762622449999999</v>
      </c>
      <c r="F116">
        <v>2.127560608</v>
      </c>
      <c r="H116">
        <v>1.1664848240000001</v>
      </c>
      <c r="I116">
        <v>-0.71389631600000003</v>
      </c>
      <c r="M116">
        <v>1.965054968</v>
      </c>
      <c r="N116">
        <v>1.707836474</v>
      </c>
      <c r="P116">
        <v>0.70283693300000005</v>
      </c>
      <c r="S116">
        <v>-0.97003291199999997</v>
      </c>
      <c r="T116">
        <v>1.350335463</v>
      </c>
      <c r="U116">
        <v>1.3353919999999999</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1.3715494370000001</v>
      </c>
      <c r="AN116">
        <v>2.344304561</v>
      </c>
      <c r="AR116">
        <v>1.2766893070000001</v>
      </c>
      <c r="AT116">
        <v>1.346524152</v>
      </c>
      <c r="AU116">
        <v>0.82446640900000001</v>
      </c>
    </row>
    <row r="117" spans="1:47" x14ac:dyDescent="0.2">
      <c r="A117" t="s">
        <v>181</v>
      </c>
      <c r="B117" s="73">
        <v>27851</v>
      </c>
      <c r="D117">
        <v>4.4107733790000001</v>
      </c>
      <c r="E117">
        <v>-0.36383930399999997</v>
      </c>
      <c r="F117">
        <v>2.0742985489999999</v>
      </c>
      <c r="H117">
        <v>1.7328394620000001</v>
      </c>
      <c r="I117">
        <v>-8.8898186000000004E-2</v>
      </c>
      <c r="M117">
        <v>0.89850334099999996</v>
      </c>
      <c r="N117">
        <v>2.4738965089999998</v>
      </c>
      <c r="P117">
        <v>0.99384265900000002</v>
      </c>
      <c r="S117">
        <v>0.373156084</v>
      </c>
      <c r="T117">
        <v>1.467728516</v>
      </c>
      <c r="U117">
        <v>1.688234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1.6376707829999999</v>
      </c>
      <c r="AN117">
        <v>2.4043695430000001</v>
      </c>
      <c r="AR117">
        <v>-1.6661947100000001</v>
      </c>
      <c r="AT117">
        <v>2.2487601210000001</v>
      </c>
      <c r="AU117">
        <v>1.314343738</v>
      </c>
    </row>
    <row r="118" spans="1:47" x14ac:dyDescent="0.2">
      <c r="A118" t="s">
        <v>182</v>
      </c>
      <c r="B118" s="73">
        <v>27942</v>
      </c>
      <c r="D118">
        <v>0.30447095400000002</v>
      </c>
      <c r="E118">
        <v>1.8459804909999999</v>
      </c>
      <c r="F118">
        <v>2.0191180989999999</v>
      </c>
      <c r="H118">
        <v>2.1638039610000002</v>
      </c>
      <c r="I118">
        <v>0.512927876</v>
      </c>
      <c r="M118">
        <v>1.4855149990000001</v>
      </c>
      <c r="N118">
        <v>1.8102854150000001</v>
      </c>
      <c r="P118">
        <v>1.154238868</v>
      </c>
      <c r="S118">
        <v>0.53441765900000004</v>
      </c>
      <c r="T118">
        <v>1.192260978</v>
      </c>
      <c r="U118">
        <v>0.92021500000000001</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1.024552575</v>
      </c>
      <c r="AN118">
        <v>2.4879701220000001</v>
      </c>
      <c r="AR118">
        <v>1.766900116</v>
      </c>
      <c r="AT118">
        <v>0.73370057700000002</v>
      </c>
      <c r="AU118">
        <v>-1.995152109</v>
      </c>
    </row>
    <row r="119" spans="1:47" x14ac:dyDescent="0.2">
      <c r="A119" t="s">
        <v>183</v>
      </c>
      <c r="B119" s="73">
        <v>28034</v>
      </c>
      <c r="D119">
        <v>0.81262754400000003</v>
      </c>
      <c r="E119">
        <v>2.2955401480000002</v>
      </c>
      <c r="F119">
        <v>0.87367084800000006</v>
      </c>
      <c r="H119">
        <v>0.44534407500000001</v>
      </c>
      <c r="I119">
        <v>1.6585086440000001</v>
      </c>
      <c r="M119">
        <v>2.9868819000000001E-2</v>
      </c>
      <c r="N119">
        <v>1.184947516</v>
      </c>
      <c r="P119">
        <v>0.96990798300000003</v>
      </c>
      <c r="S119">
        <v>1.1151557169999999</v>
      </c>
      <c r="T119">
        <v>0.472915631</v>
      </c>
      <c r="U119">
        <v>0.825098</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0.88591152500000003</v>
      </c>
      <c r="AN119">
        <v>0.46368765099999998</v>
      </c>
      <c r="AR119">
        <v>-0.54132572499999998</v>
      </c>
      <c r="AT119">
        <v>0.54870576400000004</v>
      </c>
      <c r="AU119">
        <v>2.3792481489999999</v>
      </c>
    </row>
    <row r="120" spans="1:47" x14ac:dyDescent="0.2">
      <c r="A120" t="s">
        <v>184</v>
      </c>
      <c r="B120" s="73">
        <v>28126</v>
      </c>
      <c r="D120">
        <v>0.87935688000000001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0.98699800000000004</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0.95107675000000003</v>
      </c>
      <c r="AN120">
        <v>3.207685852</v>
      </c>
      <c r="AR120">
        <v>-0.46299633200000001</v>
      </c>
      <c r="AT120">
        <v>0.72485097799999998</v>
      </c>
      <c r="AU120">
        <v>-0.73083682400000005</v>
      </c>
    </row>
    <row r="121" spans="1:47" x14ac:dyDescent="0.2">
      <c r="A121" t="s">
        <v>185</v>
      </c>
      <c r="B121" s="73">
        <v>28216</v>
      </c>
      <c r="D121">
        <v>-0.55020138100000004</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1.1085910000000001</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0.909735772</v>
      </c>
      <c r="AN121">
        <v>0.92198202600000001</v>
      </c>
      <c r="AR121">
        <v>-2.0328634829999999</v>
      </c>
      <c r="AT121">
        <v>1.181483598</v>
      </c>
      <c r="AU121">
        <v>-0.21838829300000001</v>
      </c>
    </row>
    <row r="122" spans="1:47" x14ac:dyDescent="0.2">
      <c r="A122" t="s">
        <v>186</v>
      </c>
      <c r="B122" s="73">
        <v>28307</v>
      </c>
      <c r="D122">
        <v>1.4109564269999999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0.97347899999999998</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0.87193962300000005</v>
      </c>
      <c r="AN122">
        <v>0.889026235</v>
      </c>
      <c r="AR122">
        <v>1.010680614</v>
      </c>
      <c r="AT122">
        <v>1.944113078</v>
      </c>
      <c r="AU122">
        <v>9.6063880000000004E-2</v>
      </c>
    </row>
    <row r="123" spans="1:47" x14ac:dyDescent="0.2">
      <c r="A123" t="s">
        <v>187</v>
      </c>
      <c r="B123" s="73">
        <v>28399</v>
      </c>
      <c r="D123">
        <v>-0.42431503399999998</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0.92669800000000002</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0.92133421299999996</v>
      </c>
      <c r="AN123">
        <v>1.0040164789999999</v>
      </c>
      <c r="AR123">
        <v>0.14307584200000001</v>
      </c>
      <c r="AT123">
        <v>1.8043558989999999</v>
      </c>
      <c r="AU123">
        <v>-0.385872981</v>
      </c>
    </row>
    <row r="124" spans="1:47" x14ac:dyDescent="0.2">
      <c r="A124" t="s">
        <v>188</v>
      </c>
      <c r="B124" s="73">
        <v>28491</v>
      </c>
      <c r="D124">
        <v>-0.30795453699999997</v>
      </c>
      <c r="E124">
        <v>2.305531958</v>
      </c>
      <c r="F124">
        <v>0.94035917000000002</v>
      </c>
      <c r="H124">
        <v>1.58111274</v>
      </c>
      <c r="I124">
        <v>-6.2869357000000001E-2</v>
      </c>
      <c r="M124">
        <v>1.7206367010000001</v>
      </c>
      <c r="N124">
        <v>-0.90590735499999997</v>
      </c>
      <c r="P124">
        <v>0.66805372699999999</v>
      </c>
      <c r="S124">
        <v>-0.233206302</v>
      </c>
      <c r="T124">
        <v>0.22825248200000001</v>
      </c>
      <c r="U124">
        <v>0.71223700000000001</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0.81701126300000004</v>
      </c>
      <c r="AN124">
        <v>0.70294707499999998</v>
      </c>
      <c r="AR124">
        <v>-0.59186844299999997</v>
      </c>
      <c r="AT124">
        <v>2.1857719999999999E-3</v>
      </c>
      <c r="AU124">
        <v>0.51350619099999995</v>
      </c>
    </row>
    <row r="125" spans="1:47" x14ac:dyDescent="0.2">
      <c r="A125" t="s">
        <v>189</v>
      </c>
      <c r="B125" s="73">
        <v>28581</v>
      </c>
      <c r="D125">
        <v>0.70042600300000002</v>
      </c>
      <c r="E125">
        <v>-4.375787184</v>
      </c>
      <c r="F125">
        <v>0.92598360999999996</v>
      </c>
      <c r="H125">
        <v>0.84085302699999998</v>
      </c>
      <c r="I125">
        <v>-1.2581782E-2</v>
      </c>
      <c r="M125">
        <v>0.41211537799999998</v>
      </c>
      <c r="N125">
        <v>-1.9078177039999999</v>
      </c>
      <c r="P125">
        <v>0.62425307600000002</v>
      </c>
      <c r="S125">
        <v>1.083238312</v>
      </c>
      <c r="T125">
        <v>1.389138596</v>
      </c>
      <c r="U125">
        <v>0.83294599999999996</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0.80660314300000002</v>
      </c>
      <c r="AN125">
        <v>0.48131377400000003</v>
      </c>
      <c r="AR125">
        <v>1.6226280049999999</v>
      </c>
      <c r="AT125">
        <v>0.31916324099999999</v>
      </c>
      <c r="AU125">
        <v>1.6443371369999999</v>
      </c>
    </row>
    <row r="126" spans="1:47" x14ac:dyDescent="0.2">
      <c r="A126" t="s">
        <v>190</v>
      </c>
      <c r="B126" s="73">
        <v>28672</v>
      </c>
      <c r="D126">
        <v>0.81683027100000005</v>
      </c>
      <c r="E126">
        <v>1.884672549</v>
      </c>
      <c r="F126">
        <v>0.90815840400000003</v>
      </c>
      <c r="H126">
        <v>0.68599647799999997</v>
      </c>
      <c r="I126">
        <v>0.22650056700000001</v>
      </c>
      <c r="M126">
        <v>0.39638214900000002</v>
      </c>
      <c r="N126">
        <v>2.178223156</v>
      </c>
      <c r="P126">
        <v>0.202601685</v>
      </c>
      <c r="S126">
        <v>0.70501974099999998</v>
      </c>
      <c r="T126">
        <v>1.662617478</v>
      </c>
      <c r="U126">
        <v>2.2770450000000002</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1.9784373710000001</v>
      </c>
      <c r="AN126">
        <v>0.47728099200000002</v>
      </c>
      <c r="AR126">
        <v>1.5578885659999999</v>
      </c>
      <c r="AT126">
        <v>3.8642701879999999</v>
      </c>
      <c r="AU126">
        <v>1.932724731</v>
      </c>
    </row>
    <row r="127" spans="1:47" x14ac:dyDescent="0.2">
      <c r="A127" t="s">
        <v>191</v>
      </c>
      <c r="B127" s="73">
        <v>28764</v>
      </c>
      <c r="D127">
        <v>1.5227743929999999</v>
      </c>
      <c r="E127">
        <v>0.65760703600000003</v>
      </c>
      <c r="F127">
        <v>0.64427288100000002</v>
      </c>
      <c r="H127">
        <v>0.95450935199999998</v>
      </c>
      <c r="I127">
        <v>3.5153798E-2</v>
      </c>
      <c r="M127">
        <v>1.311340647</v>
      </c>
      <c r="N127">
        <v>1.6222253339999999</v>
      </c>
      <c r="P127">
        <v>-0.122709652</v>
      </c>
      <c r="S127">
        <v>0.43685242200000002</v>
      </c>
      <c r="T127">
        <v>-8.7958221000000003E-2</v>
      </c>
      <c r="U127">
        <v>0.98817200000000005</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0.90248063300000003</v>
      </c>
      <c r="AN127">
        <v>0.53666714400000004</v>
      </c>
      <c r="AR127">
        <v>-2.0622517770000002</v>
      </c>
      <c r="AT127">
        <v>1.0055171270000001</v>
      </c>
      <c r="AU127">
        <v>-1.07584401</v>
      </c>
    </row>
    <row r="128" spans="1:47" x14ac:dyDescent="0.2">
      <c r="A128" t="s">
        <v>192</v>
      </c>
      <c r="B128" s="73">
        <v>28856</v>
      </c>
      <c r="D128">
        <v>0.83987928000000001</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1.258016</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1.3166910540000001</v>
      </c>
      <c r="AN128">
        <v>1.7168464240000001</v>
      </c>
      <c r="AR128">
        <v>1.628870517</v>
      </c>
      <c r="AT128">
        <v>1.3441430640000001</v>
      </c>
      <c r="AU128">
        <v>0.91014468100000001</v>
      </c>
    </row>
    <row r="129" spans="1:47" x14ac:dyDescent="0.2">
      <c r="A129" t="s">
        <v>193</v>
      </c>
      <c r="B129" s="73">
        <v>28946</v>
      </c>
      <c r="D129">
        <v>2.7329656199999999</v>
      </c>
      <c r="E129">
        <v>2.316319435</v>
      </c>
      <c r="F129">
        <v>0.36028048299999998</v>
      </c>
      <c r="H129">
        <v>0.83195171499999998</v>
      </c>
      <c r="I129">
        <v>0.72512689699999999</v>
      </c>
      <c r="M129">
        <v>0.12365559600000001</v>
      </c>
      <c r="N129">
        <v>0.92283557900000002</v>
      </c>
      <c r="P129">
        <v>-0.159395973</v>
      </c>
      <c r="S129">
        <v>2.030235223</v>
      </c>
      <c r="T129">
        <v>0.86005500899999998</v>
      </c>
      <c r="U129">
        <v>0.52732199999999996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0.586001522</v>
      </c>
      <c r="AN129">
        <v>1.0636691620000001</v>
      </c>
      <c r="AR129">
        <v>2.0640182729999998</v>
      </c>
      <c r="AT129">
        <v>0.17978728799999999</v>
      </c>
      <c r="AU129">
        <v>1.7503628760000001</v>
      </c>
    </row>
    <row r="130" spans="1:47" x14ac:dyDescent="0.2">
      <c r="A130" t="s">
        <v>194</v>
      </c>
      <c r="B130" s="73">
        <v>29037</v>
      </c>
      <c r="D130">
        <v>-1.609343883</v>
      </c>
      <c r="E130">
        <v>1.2889998330000001</v>
      </c>
      <c r="F130">
        <v>0.354987306</v>
      </c>
      <c r="H130">
        <v>1.347063852</v>
      </c>
      <c r="I130">
        <v>0.56103070799999999</v>
      </c>
      <c r="M130">
        <v>3.10525348</v>
      </c>
      <c r="N130">
        <v>1.7372390040000001</v>
      </c>
      <c r="P130">
        <v>0.155449122</v>
      </c>
      <c r="S130">
        <v>2.3749665690000001</v>
      </c>
      <c r="T130">
        <v>0.95599237199999998</v>
      </c>
      <c r="U130">
        <v>1.2509520000000001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1.230632331</v>
      </c>
      <c r="AN130">
        <v>2.1268714360000001</v>
      </c>
      <c r="AR130">
        <v>1.6055902769999999</v>
      </c>
      <c r="AT130">
        <v>0.10691983100000001</v>
      </c>
      <c r="AU130">
        <v>0.64603035900000005</v>
      </c>
    </row>
    <row r="131" spans="1:47" x14ac:dyDescent="0.2">
      <c r="A131" t="s">
        <v>195</v>
      </c>
      <c r="B131" s="73">
        <v>29129</v>
      </c>
      <c r="D131">
        <v>0.93202954000000005</v>
      </c>
      <c r="E131">
        <v>0.87943579100000002</v>
      </c>
      <c r="F131">
        <v>0.95392155700000003</v>
      </c>
      <c r="H131">
        <v>0.69198433299999995</v>
      </c>
      <c r="I131">
        <v>0.94053173400000001</v>
      </c>
      <c r="M131">
        <v>7.5299999999999999E-6</v>
      </c>
      <c r="N131">
        <v>-0.667477188</v>
      </c>
      <c r="P131">
        <v>0.240502258</v>
      </c>
      <c r="S131">
        <v>0.856889075</v>
      </c>
      <c r="T131">
        <v>1.1430987610000001</v>
      </c>
      <c r="U131">
        <v>0.51964699999999997</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0.48274799600000001</v>
      </c>
      <c r="AN131">
        <v>1.3294397710000001</v>
      </c>
      <c r="AR131">
        <v>0.275914039</v>
      </c>
      <c r="AT131">
        <v>0.74287146800000003</v>
      </c>
      <c r="AU131">
        <v>0.74638480799999996</v>
      </c>
    </row>
    <row r="132" spans="1:47" x14ac:dyDescent="0.2">
      <c r="A132" t="s">
        <v>196</v>
      </c>
      <c r="B132" s="73">
        <v>29221</v>
      </c>
      <c r="D132">
        <v>1.941694952</v>
      </c>
      <c r="E132">
        <v>1.3288760820000001</v>
      </c>
      <c r="F132">
        <v>1.576811915</v>
      </c>
      <c r="H132">
        <v>0.665624679</v>
      </c>
      <c r="I132">
        <v>1.530936659</v>
      </c>
      <c r="M132">
        <v>0.61299334000000005</v>
      </c>
      <c r="N132">
        <v>0.50633795500000001</v>
      </c>
      <c r="P132">
        <v>0.35151836400000003</v>
      </c>
      <c r="S132">
        <v>1.196705175</v>
      </c>
      <c r="T132">
        <v>0.190206929</v>
      </c>
      <c r="U132">
        <v>0.57014600000000004</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0.67965417299999997</v>
      </c>
      <c r="AN132">
        <v>2.064941605</v>
      </c>
      <c r="AR132">
        <v>0.106838671</v>
      </c>
      <c r="AT132">
        <v>0.25007503399999997</v>
      </c>
      <c r="AU132">
        <v>2.0521557920000002</v>
      </c>
    </row>
    <row r="133" spans="1:47" x14ac:dyDescent="0.2">
      <c r="A133" t="s">
        <v>197</v>
      </c>
      <c r="B133" s="73">
        <v>29312</v>
      </c>
      <c r="D133">
        <v>0.439293143</v>
      </c>
      <c r="E133">
        <v>1.069759922</v>
      </c>
      <c r="F133">
        <v>3.7624554510000001</v>
      </c>
      <c r="H133">
        <v>0.70018943499999997</v>
      </c>
      <c r="I133">
        <v>1.902427391</v>
      </c>
      <c r="M133">
        <v>0.80123501900000005</v>
      </c>
      <c r="N133">
        <v>1.5309836509999999</v>
      </c>
      <c r="P133">
        <v>0.66963796600000003</v>
      </c>
      <c r="S133">
        <v>1.6740043</v>
      </c>
      <c r="T133">
        <v>1.167721708</v>
      </c>
      <c r="U133">
        <v>0.32735199999999998</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0.57976762100000001</v>
      </c>
      <c r="AN133">
        <v>1.57446299</v>
      </c>
      <c r="AR133">
        <v>3.1278397259999999</v>
      </c>
      <c r="AT133">
        <v>0.31451907600000001</v>
      </c>
      <c r="AU133">
        <v>2.0544454669999999</v>
      </c>
    </row>
    <row r="134" spans="1:47" x14ac:dyDescent="0.2">
      <c r="A134" t="s">
        <v>198</v>
      </c>
      <c r="B134" s="73">
        <v>29403</v>
      </c>
      <c r="D134">
        <v>0.25673261400000003</v>
      </c>
      <c r="E134">
        <v>-1.0489995640000001</v>
      </c>
      <c r="F134">
        <v>-0.66623469800000001</v>
      </c>
      <c r="H134">
        <v>-3.1789498999999999E-2</v>
      </c>
      <c r="I134">
        <v>0.35872962400000002</v>
      </c>
      <c r="M134">
        <v>-0.64380221999999998</v>
      </c>
      <c r="N134">
        <v>-2.5489403209999999</v>
      </c>
      <c r="P134">
        <v>0.33990303500000002</v>
      </c>
      <c r="S134">
        <v>-0.46825436799999998</v>
      </c>
      <c r="T134">
        <v>-0.55232667999999996</v>
      </c>
      <c r="U134">
        <v>-1.1966019999999999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-1.055338356</v>
      </c>
      <c r="AN134">
        <v>-2.6077098E-2</v>
      </c>
      <c r="AR134">
        <v>-4.7673214609999999</v>
      </c>
      <c r="AT134">
        <v>-2.0604721640000001</v>
      </c>
      <c r="AU134">
        <v>1.901048713</v>
      </c>
    </row>
    <row r="135" spans="1:47" x14ac:dyDescent="0.2">
      <c r="A135" t="s">
        <v>199</v>
      </c>
      <c r="B135" s="73">
        <v>29495</v>
      </c>
      <c r="D135">
        <v>0.529970037</v>
      </c>
      <c r="E135">
        <v>0.52110801200000001</v>
      </c>
      <c r="F135">
        <v>-0.97938113000000004</v>
      </c>
      <c r="H135">
        <v>-0.114812067</v>
      </c>
      <c r="I135">
        <v>0.45963853199999999</v>
      </c>
      <c r="M135">
        <v>-0.39672236799999999</v>
      </c>
      <c r="N135">
        <v>-1.327637339</v>
      </c>
      <c r="P135">
        <v>-0.39652320099999999</v>
      </c>
      <c r="S135">
        <v>4.9878591659999998</v>
      </c>
      <c r="T135">
        <v>-8.9167220000000005E-2</v>
      </c>
      <c r="U135">
        <v>0.24196999999999999</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0.289952241</v>
      </c>
      <c r="AN135">
        <v>-0.342024614</v>
      </c>
      <c r="AR135">
        <v>3.7966277829999999</v>
      </c>
      <c r="AT135">
        <v>-0.118847117</v>
      </c>
      <c r="AU135">
        <v>1.7120136889999999</v>
      </c>
    </row>
    <row r="136" spans="1:47" x14ac:dyDescent="0.2">
      <c r="A136" t="s">
        <v>200</v>
      </c>
      <c r="B136" s="73">
        <v>29587</v>
      </c>
      <c r="D136">
        <v>1.7351514240000001</v>
      </c>
      <c r="E136">
        <v>5.5054767999999997E-2</v>
      </c>
      <c r="F136">
        <v>-0.20455512000000001</v>
      </c>
      <c r="H136">
        <v>1.3801630920000001</v>
      </c>
      <c r="I136">
        <v>0.61691880499999996</v>
      </c>
      <c r="M136">
        <v>-0.13276000600000001</v>
      </c>
      <c r="N136">
        <v>0.63582023099999996</v>
      </c>
      <c r="P136">
        <v>0.58001581899999999</v>
      </c>
      <c r="S136">
        <v>-2.7175484239999999</v>
      </c>
      <c r="T136">
        <v>-0.13836713</v>
      </c>
      <c r="U136">
        <v>1.1616850000000001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1.1633285840000001</v>
      </c>
      <c r="AN136">
        <v>1.670542679</v>
      </c>
      <c r="AR136">
        <v>-1.9569952660000001</v>
      </c>
      <c r="AT136">
        <v>1.864925605</v>
      </c>
      <c r="AU136">
        <v>0.22477212999999999</v>
      </c>
    </row>
    <row r="137" spans="1:47" x14ac:dyDescent="0.2">
      <c r="A137" t="s">
        <v>201</v>
      </c>
      <c r="B137" s="73">
        <v>29677</v>
      </c>
      <c r="D137">
        <v>0.376216412</v>
      </c>
      <c r="E137">
        <v>-0.69262949799999995</v>
      </c>
      <c r="F137">
        <v>2.2401138000000001E-2</v>
      </c>
      <c r="H137">
        <v>2.2039555700000002</v>
      </c>
      <c r="I137">
        <v>-0.107765661</v>
      </c>
      <c r="M137">
        <v>1.1898664919999999</v>
      </c>
      <c r="N137">
        <v>0.15638675899999999</v>
      </c>
      <c r="P137">
        <v>-0.56618610700000005</v>
      </c>
      <c r="S137">
        <v>-0.188211986</v>
      </c>
      <c r="T137">
        <v>0.44615949500000002</v>
      </c>
      <c r="U137">
        <v>1.1686430000000001</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1.0538425600000001</v>
      </c>
      <c r="AN137">
        <v>0.44706863499999999</v>
      </c>
      <c r="AR137">
        <v>0.61416171600000002</v>
      </c>
      <c r="AT137">
        <v>1.959429461</v>
      </c>
      <c r="AU137">
        <v>1.242016816</v>
      </c>
    </row>
    <row r="138" spans="1:47" x14ac:dyDescent="0.2">
      <c r="A138" t="s">
        <v>202</v>
      </c>
      <c r="B138" s="73">
        <v>29768</v>
      </c>
      <c r="D138">
        <v>1.545513575</v>
      </c>
      <c r="E138">
        <v>1.0063438549999999</v>
      </c>
      <c r="F138">
        <v>1.457925747</v>
      </c>
      <c r="H138">
        <v>1.123957546</v>
      </c>
      <c r="I138">
        <v>1.0381525039999999</v>
      </c>
      <c r="M138">
        <v>-0.24963233100000001</v>
      </c>
      <c r="N138">
        <v>-0.73448136600000002</v>
      </c>
      <c r="P138">
        <v>-0.11071861700000001</v>
      </c>
      <c r="S138">
        <v>1.171099643</v>
      </c>
      <c r="T138">
        <v>0.65212743200000001</v>
      </c>
      <c r="U138">
        <v>-1.9564999999999999E-2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0.21561733699999999</v>
      </c>
      <c r="AN138">
        <v>8.0633903000000007E-2</v>
      </c>
      <c r="AR138">
        <v>-6.2042613000000003E-2</v>
      </c>
      <c r="AT138">
        <v>-0.74106361300000001</v>
      </c>
      <c r="AU138">
        <v>2.1838548950000001</v>
      </c>
    </row>
    <row r="139" spans="1:47" x14ac:dyDescent="0.2">
      <c r="A139" t="s">
        <v>203</v>
      </c>
      <c r="B139" s="73">
        <v>29860</v>
      </c>
      <c r="D139">
        <v>2.010750169</v>
      </c>
      <c r="E139">
        <v>-6.9449232E-2</v>
      </c>
      <c r="F139">
        <v>-0.428832296</v>
      </c>
      <c r="H139">
        <v>-0.89775248900000004</v>
      </c>
      <c r="I139">
        <v>0.51756613399999996</v>
      </c>
      <c r="M139">
        <v>0.26343396200000002</v>
      </c>
      <c r="N139">
        <v>0.612585924</v>
      </c>
      <c r="P139">
        <v>0.444684894</v>
      </c>
      <c r="S139">
        <v>0.49538944499999998</v>
      </c>
      <c r="T139">
        <v>0.64276292099999999</v>
      </c>
      <c r="U139">
        <v>0.61048800000000003</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0.64184259399999999</v>
      </c>
      <c r="AN139">
        <v>-0.171095832</v>
      </c>
      <c r="AR139">
        <v>0.76728678100000003</v>
      </c>
      <c r="AT139">
        <v>1.19752521</v>
      </c>
      <c r="AU139">
        <v>1.455404361</v>
      </c>
    </row>
    <row r="140" spans="1:47" x14ac:dyDescent="0.2">
      <c r="A140" t="s">
        <v>204</v>
      </c>
      <c r="B140" s="73">
        <v>29952</v>
      </c>
      <c r="D140">
        <v>-0.38851340899999998</v>
      </c>
      <c r="E140">
        <v>-0.63144810500000004</v>
      </c>
      <c r="F140">
        <v>0.267780554</v>
      </c>
      <c r="H140">
        <v>-0.45782277500000002</v>
      </c>
      <c r="I140">
        <v>-0.436565019</v>
      </c>
      <c r="M140">
        <v>-7.8831450999999997E-2</v>
      </c>
      <c r="N140">
        <v>0.18666042699999999</v>
      </c>
      <c r="P140">
        <v>-9.9841043000000004E-2</v>
      </c>
      <c r="S140">
        <v>0.39533408199999998</v>
      </c>
      <c r="T140">
        <v>0.49805781300000002</v>
      </c>
      <c r="U140">
        <v>-0.26758700000000002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-6.3085846000000001E-2</v>
      </c>
      <c r="AN140">
        <v>0.48661910800000002</v>
      </c>
      <c r="AR140">
        <v>-1.122507363</v>
      </c>
      <c r="AT140">
        <v>-1.0895640870000001</v>
      </c>
      <c r="AU140">
        <v>0.62388485199999999</v>
      </c>
    </row>
    <row r="141" spans="1:47" x14ac:dyDescent="0.2">
      <c r="A141" t="s">
        <v>205</v>
      </c>
      <c r="B141" s="73">
        <v>30042</v>
      </c>
      <c r="D141">
        <v>-0.82367088099999997</v>
      </c>
      <c r="E141">
        <v>2.0282792930000002</v>
      </c>
      <c r="F141">
        <v>0.13352377500000001</v>
      </c>
      <c r="H141">
        <v>-1.1764108740000001</v>
      </c>
      <c r="I141">
        <v>-0.74449230099999997</v>
      </c>
      <c r="M141">
        <v>0.37467052000000001</v>
      </c>
      <c r="N141">
        <v>1.317726467</v>
      </c>
      <c r="P141">
        <v>0.41159839599999998</v>
      </c>
      <c r="S141">
        <v>0.62226543499999998</v>
      </c>
      <c r="T141">
        <v>0.87126190699999995</v>
      </c>
      <c r="U141">
        <v>-0.340117</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-0.28937234099999998</v>
      </c>
      <c r="AN141">
        <v>2.426235309</v>
      </c>
      <c r="AR141">
        <v>0.28403597800000002</v>
      </c>
      <c r="AT141">
        <v>-1.5535444789999999</v>
      </c>
      <c r="AU141">
        <v>-0.92637916399999998</v>
      </c>
    </row>
    <row r="142" spans="1:47" x14ac:dyDescent="0.2">
      <c r="A142" t="s">
        <v>206</v>
      </c>
      <c r="B142" s="73">
        <v>30133</v>
      </c>
      <c r="D142">
        <v>0.90150082600000003</v>
      </c>
      <c r="E142">
        <v>0.293478183</v>
      </c>
      <c r="F142">
        <v>0.26939992299999999</v>
      </c>
      <c r="H142">
        <v>-1.157146926</v>
      </c>
      <c r="I142">
        <v>-0.57406771599999995</v>
      </c>
      <c r="M142">
        <v>-0.615593473</v>
      </c>
      <c r="N142">
        <v>1.182819965</v>
      </c>
      <c r="P142">
        <v>0.37978993700000002</v>
      </c>
      <c r="S142">
        <v>0.98560247400000001</v>
      </c>
      <c r="T142">
        <v>0.64209338599999999</v>
      </c>
      <c r="U142">
        <v>0.29437400000000002</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0.25053565700000002</v>
      </c>
      <c r="AN142">
        <v>-1.3446465839999999</v>
      </c>
      <c r="AR142">
        <v>2.1122900250000001</v>
      </c>
      <c r="AT142">
        <v>0.45619851500000003</v>
      </c>
      <c r="AU142">
        <v>-0.83441653000000005</v>
      </c>
    </row>
    <row r="143" spans="1:47" x14ac:dyDescent="0.2">
      <c r="A143" t="s">
        <v>207</v>
      </c>
      <c r="B143" s="73">
        <v>30225</v>
      </c>
      <c r="D143">
        <v>-0.67241958999999996</v>
      </c>
      <c r="E143">
        <v>-6.7676746999999995E-2</v>
      </c>
      <c r="F143">
        <v>0.112673273</v>
      </c>
      <c r="H143">
        <v>-0.876514444</v>
      </c>
      <c r="I143">
        <v>-0.76339865299999998</v>
      </c>
      <c r="M143">
        <v>-0.98840377300000004</v>
      </c>
      <c r="N143">
        <v>1.0341163209999999</v>
      </c>
      <c r="P143">
        <v>0.67320738999999996</v>
      </c>
      <c r="S143">
        <v>1.0860204769999999</v>
      </c>
      <c r="T143">
        <v>6.2064546999999998E-2</v>
      </c>
      <c r="U143">
        <v>-0.225746</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-0.150230102</v>
      </c>
      <c r="AN143">
        <v>0.459236425</v>
      </c>
      <c r="AR143">
        <v>-1.2414885840000001</v>
      </c>
      <c r="AT143">
        <v>-0.38229927400000002</v>
      </c>
      <c r="AU143">
        <v>-2.5570618999999999E-2</v>
      </c>
    </row>
    <row r="144" spans="1:47" x14ac:dyDescent="0.2">
      <c r="A144" t="s">
        <v>208</v>
      </c>
      <c r="B144" s="73">
        <v>30317</v>
      </c>
      <c r="D144">
        <v>-1.5720786790000001</v>
      </c>
      <c r="E144">
        <v>-0.174900526</v>
      </c>
      <c r="F144">
        <v>-0.63330101900000002</v>
      </c>
      <c r="H144">
        <v>-0.92262858599999997</v>
      </c>
      <c r="I144">
        <v>-0.30059020400000003</v>
      </c>
      <c r="M144">
        <v>0.239588883</v>
      </c>
      <c r="N144">
        <v>1.9956407999999998E-2</v>
      </c>
      <c r="P144">
        <v>0.35249598300000001</v>
      </c>
      <c r="S144">
        <v>1.2683988829999999</v>
      </c>
      <c r="T144">
        <v>0.53789258200000001</v>
      </c>
      <c r="U144">
        <v>0.31731999999999999</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0.20245042299999999</v>
      </c>
      <c r="AN144">
        <v>0.810506112</v>
      </c>
      <c r="AR144">
        <v>1.9483841639999999</v>
      </c>
      <c r="AT144">
        <v>3.9946273999999997E-2</v>
      </c>
      <c r="AU144">
        <v>-2.1140404610000001</v>
      </c>
    </row>
    <row r="145" spans="1:47" x14ac:dyDescent="0.2">
      <c r="A145" t="s">
        <v>209</v>
      </c>
      <c r="B145" s="73">
        <v>30407</v>
      </c>
      <c r="D145">
        <v>-1.0100238180000001</v>
      </c>
      <c r="E145">
        <v>1.213791378</v>
      </c>
      <c r="F145">
        <v>1.8049094000000002E-2</v>
      </c>
      <c r="H145">
        <v>1.6728054569999999</v>
      </c>
      <c r="I145">
        <v>0.87861694700000004</v>
      </c>
      <c r="M145">
        <v>0.90626954800000004</v>
      </c>
      <c r="N145">
        <v>0.51385369700000005</v>
      </c>
      <c r="P145">
        <v>0.36546309199999999</v>
      </c>
      <c r="S145">
        <v>0.116838809</v>
      </c>
      <c r="T145">
        <v>0.54032180500000004</v>
      </c>
      <c r="U145">
        <v>0.96134799999999998</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0.80588090099999998</v>
      </c>
      <c r="AN145">
        <v>0.92271629700000002</v>
      </c>
      <c r="AR145">
        <v>-1.1314152660000001</v>
      </c>
      <c r="AT145">
        <v>1.3178475759999999</v>
      </c>
      <c r="AU145">
        <v>-1.5434806599999999</v>
      </c>
    </row>
    <row r="146" spans="1:47" x14ac:dyDescent="0.2">
      <c r="A146" t="s">
        <v>210</v>
      </c>
      <c r="B146" s="73">
        <v>30498</v>
      </c>
      <c r="D146">
        <v>-0.183993824</v>
      </c>
      <c r="E146">
        <v>1.3086015040000001</v>
      </c>
      <c r="F146">
        <v>4.7185122000000003E-2</v>
      </c>
      <c r="H146">
        <v>1.9654456259999999</v>
      </c>
      <c r="I146">
        <v>0.186722737</v>
      </c>
      <c r="M146">
        <v>1.0527775180000001</v>
      </c>
      <c r="N146">
        <v>1.6415189990000001</v>
      </c>
      <c r="P146">
        <v>0.61760959400000004</v>
      </c>
      <c r="S146">
        <v>1.050322099</v>
      </c>
      <c r="T146">
        <v>-3.3650484000000001E-2</v>
      </c>
      <c r="U146">
        <v>1.357138</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1.1036234570000001</v>
      </c>
      <c r="AN146">
        <v>-0.89468647800000001</v>
      </c>
      <c r="AR146">
        <v>0.78839974999999995</v>
      </c>
      <c r="AT146">
        <v>2.2756124390000001</v>
      </c>
      <c r="AU146">
        <v>0.41525426599999998</v>
      </c>
    </row>
    <row r="147" spans="1:47" x14ac:dyDescent="0.2">
      <c r="A147" t="s">
        <v>211</v>
      </c>
      <c r="B147" s="73">
        <v>30590</v>
      </c>
      <c r="D147">
        <v>2.788197533</v>
      </c>
      <c r="E147">
        <v>0.83842841899999998</v>
      </c>
      <c r="F147">
        <v>0.83463993199999997</v>
      </c>
      <c r="H147">
        <v>1.1183980069999999</v>
      </c>
      <c r="I147">
        <v>0.43553647499999998</v>
      </c>
      <c r="M147">
        <v>-0.20836780299999999</v>
      </c>
      <c r="N147">
        <v>-1.2903142649999999</v>
      </c>
      <c r="P147">
        <v>0.14706070399999999</v>
      </c>
      <c r="S147">
        <v>0.91929597600000001</v>
      </c>
      <c r="T147">
        <v>9.5375131000000002E-2</v>
      </c>
      <c r="U147">
        <v>1.376816</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1.3196762470000001</v>
      </c>
      <c r="AN147">
        <v>-1.500339839</v>
      </c>
      <c r="AR147">
        <v>1.1273302510000001</v>
      </c>
      <c r="AT147">
        <v>1.9990642940000001</v>
      </c>
      <c r="AU147">
        <v>1.152778503</v>
      </c>
    </row>
    <row r="148" spans="1:47" x14ac:dyDescent="0.2">
      <c r="A148" t="s">
        <v>212</v>
      </c>
      <c r="B148" s="73">
        <v>30682</v>
      </c>
      <c r="D148">
        <v>1.677953348</v>
      </c>
      <c r="E148">
        <v>1.0135891370000001</v>
      </c>
      <c r="F148">
        <v>1.1173000399999999</v>
      </c>
      <c r="H148">
        <v>1.2601976669999999</v>
      </c>
      <c r="I148">
        <v>0.34978306399999998</v>
      </c>
      <c r="M148">
        <v>1.383273921</v>
      </c>
      <c r="N148">
        <v>2.339343054</v>
      </c>
      <c r="P148">
        <v>0.64611691400000004</v>
      </c>
      <c r="S148">
        <v>-0.242607342</v>
      </c>
      <c r="T148">
        <v>0.576321368</v>
      </c>
      <c r="U148">
        <v>1.5499540000000001</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1.433655957</v>
      </c>
      <c r="AN148">
        <v>-0.65249084899999998</v>
      </c>
      <c r="AR148">
        <v>2.014711165</v>
      </c>
      <c r="AT148">
        <v>2.0862174790000001</v>
      </c>
      <c r="AU148">
        <v>2.5363717960000001</v>
      </c>
    </row>
    <row r="149" spans="1:47" x14ac:dyDescent="0.2">
      <c r="A149" t="s">
        <v>213</v>
      </c>
      <c r="B149" s="73">
        <v>30773</v>
      </c>
      <c r="D149">
        <v>2.5086953300000001</v>
      </c>
      <c r="E149">
        <v>-1.3176037410000001</v>
      </c>
      <c r="F149">
        <v>0.40455643600000002</v>
      </c>
      <c r="H149">
        <v>1.7202980670000001</v>
      </c>
      <c r="I149">
        <v>1.1947323700000001</v>
      </c>
      <c r="M149">
        <v>1.3225726010000001</v>
      </c>
      <c r="N149">
        <v>1.298158981</v>
      </c>
      <c r="P149">
        <v>0.82720121800000002</v>
      </c>
      <c r="S149">
        <v>1.5784885049999999</v>
      </c>
      <c r="T149">
        <v>0.61661820499999997</v>
      </c>
      <c r="U149">
        <v>1.3557429999999999</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1.4473696920000001</v>
      </c>
      <c r="AN149">
        <v>-0.77061182900000003</v>
      </c>
      <c r="AR149">
        <v>2.2568758149999999</v>
      </c>
      <c r="AT149">
        <v>1.954770289</v>
      </c>
      <c r="AU149">
        <v>1.6967664849999999</v>
      </c>
    </row>
    <row r="150" spans="1:47" x14ac:dyDescent="0.2">
      <c r="A150" t="s">
        <v>214</v>
      </c>
      <c r="B150" s="73">
        <v>30864</v>
      </c>
      <c r="D150">
        <v>1.1225815770000001</v>
      </c>
      <c r="E150">
        <v>-0.705957587</v>
      </c>
      <c r="F150">
        <v>0.152870268</v>
      </c>
      <c r="H150">
        <v>1.9559213310000001</v>
      </c>
      <c r="I150">
        <v>0.49764441399999998</v>
      </c>
      <c r="M150">
        <v>-1.5752064020000001</v>
      </c>
      <c r="N150">
        <v>1.2678044989999999</v>
      </c>
      <c r="P150">
        <v>-0.30828467900000001</v>
      </c>
      <c r="S150">
        <v>0.13551971800000001</v>
      </c>
      <c r="T150">
        <v>0.36718230699999999</v>
      </c>
      <c r="U150">
        <v>0.89074900000000001</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0.67077057600000001</v>
      </c>
      <c r="AN150">
        <v>-1.0343337560000001</v>
      </c>
      <c r="AR150">
        <v>-1.5135630959999999</v>
      </c>
      <c r="AT150">
        <v>1.727792663</v>
      </c>
      <c r="AU150">
        <v>2.077491808</v>
      </c>
    </row>
    <row r="151" spans="1:47" x14ac:dyDescent="0.2">
      <c r="A151" t="s">
        <v>215</v>
      </c>
      <c r="B151" s="73">
        <v>30956</v>
      </c>
      <c r="D151">
        <v>0.84835504799999994</v>
      </c>
      <c r="E151">
        <v>0.91992236999999999</v>
      </c>
      <c r="F151">
        <v>0.286767681</v>
      </c>
      <c r="H151">
        <v>0.42053384900000002</v>
      </c>
      <c r="I151">
        <v>1.7509007999999999</v>
      </c>
      <c r="M151">
        <v>2.7232875779999999</v>
      </c>
      <c r="N151">
        <v>0.91218748800000005</v>
      </c>
      <c r="P151">
        <v>0.87091521800000005</v>
      </c>
      <c r="S151">
        <v>0.893219651</v>
      </c>
      <c r="T151">
        <v>0.46354756699999999</v>
      </c>
      <c r="U151">
        <v>1.1386559999999999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1.2152570030000001</v>
      </c>
      <c r="AN151">
        <v>2.404084272</v>
      </c>
      <c r="AR151">
        <v>1.3220528330000001</v>
      </c>
      <c r="AT151">
        <v>0.96406362800000001</v>
      </c>
      <c r="AU151">
        <v>-1.657470107</v>
      </c>
    </row>
    <row r="152" spans="1:47" x14ac:dyDescent="0.2">
      <c r="A152" t="s">
        <v>216</v>
      </c>
      <c r="B152" s="73">
        <v>31048</v>
      </c>
      <c r="D152">
        <v>0.70199863100000004</v>
      </c>
      <c r="E152">
        <v>0.95028882999999997</v>
      </c>
      <c r="F152">
        <v>0.64433674799999996</v>
      </c>
      <c r="H152">
        <v>1.584483871</v>
      </c>
      <c r="I152">
        <v>0.81125848099999998</v>
      </c>
      <c r="M152">
        <v>0.841814285</v>
      </c>
      <c r="N152">
        <v>0.46510026500000001</v>
      </c>
      <c r="P152">
        <v>0.127632419</v>
      </c>
      <c r="S152">
        <v>1.1804158279999999</v>
      </c>
      <c r="T152">
        <v>0.283695276</v>
      </c>
      <c r="U152">
        <v>0.72799899999999995</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0.64339996600000005</v>
      </c>
      <c r="AN152">
        <v>-0.23164779999999999</v>
      </c>
      <c r="AR152">
        <v>0.92983250799999995</v>
      </c>
      <c r="AT152">
        <v>0.82085714600000004</v>
      </c>
      <c r="AU152">
        <v>0.15461264699999999</v>
      </c>
    </row>
    <row r="153" spans="1:47" x14ac:dyDescent="0.2">
      <c r="A153" t="s">
        <v>217</v>
      </c>
      <c r="B153" s="73">
        <v>31138</v>
      </c>
      <c r="D153">
        <v>1.44634635</v>
      </c>
      <c r="E153">
        <v>0.48031977100000001</v>
      </c>
      <c r="F153">
        <v>0.42765625899999998</v>
      </c>
      <c r="H153">
        <v>1.51940209</v>
      </c>
      <c r="I153">
        <v>1.1747837999999999</v>
      </c>
      <c r="M153">
        <v>-0.54507092199999996</v>
      </c>
      <c r="N153">
        <v>0.31768604299999997</v>
      </c>
      <c r="P153">
        <v>1.115984954</v>
      </c>
      <c r="S153">
        <v>0.689380883</v>
      </c>
      <c r="T153">
        <v>0.13274692699999999</v>
      </c>
      <c r="U153">
        <v>0.95671399999999995</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0.97292332199999998</v>
      </c>
      <c r="AN153">
        <v>1.0888030870000001</v>
      </c>
      <c r="AR153">
        <v>0.138870664</v>
      </c>
      <c r="AT153">
        <v>0.96907230099999997</v>
      </c>
      <c r="AU153">
        <v>-0.59577559599999996</v>
      </c>
    </row>
    <row r="154" spans="1:47" x14ac:dyDescent="0.2">
      <c r="A154" t="s">
        <v>218</v>
      </c>
      <c r="B154" s="73">
        <v>31229</v>
      </c>
      <c r="D154">
        <v>2.2116356289999999</v>
      </c>
      <c r="E154">
        <v>0.155684194</v>
      </c>
      <c r="F154">
        <v>0.36521157700000001</v>
      </c>
      <c r="H154">
        <v>0.31873938699999999</v>
      </c>
      <c r="I154">
        <v>0.85500402200000003</v>
      </c>
      <c r="M154">
        <v>1.002247959</v>
      </c>
      <c r="N154">
        <v>1.6103715460000001</v>
      </c>
      <c r="P154">
        <v>-9.3929207000000001E-2</v>
      </c>
      <c r="S154">
        <v>1.1279350450000001</v>
      </c>
      <c r="T154">
        <v>0.627137787</v>
      </c>
      <c r="U154">
        <v>1.178623</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1.0726911939999999</v>
      </c>
      <c r="AN154">
        <v>0.97392293100000005</v>
      </c>
      <c r="AR154">
        <v>1.0569776790000001</v>
      </c>
      <c r="AT154">
        <v>0.88046635299999998</v>
      </c>
      <c r="AU154">
        <v>-0.727141963</v>
      </c>
    </row>
    <row r="155" spans="1:47" x14ac:dyDescent="0.2">
      <c r="A155" t="s">
        <v>219</v>
      </c>
      <c r="B155" s="73">
        <v>31321</v>
      </c>
      <c r="D155">
        <v>1.3513742550000001</v>
      </c>
      <c r="E155">
        <v>1.4844613390000001</v>
      </c>
      <c r="F155">
        <v>0.67714972799999995</v>
      </c>
      <c r="H155">
        <v>1.268698772</v>
      </c>
      <c r="I155">
        <v>0.13989832499999999</v>
      </c>
      <c r="M155">
        <v>1.3024081489999999</v>
      </c>
      <c r="N155">
        <v>2.1796522189999998</v>
      </c>
      <c r="P155">
        <v>1.0366668320000001</v>
      </c>
      <c r="S155">
        <v>0.49908862100000001</v>
      </c>
      <c r="T155">
        <v>0.74410186599999995</v>
      </c>
      <c r="U155">
        <v>1.2236229999999999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1.160708343</v>
      </c>
      <c r="AN155">
        <v>-0.37398831700000001</v>
      </c>
      <c r="AR155">
        <v>1.103460017</v>
      </c>
      <c r="AT155">
        <v>1.527121263</v>
      </c>
      <c r="AU155">
        <v>-0.263979032</v>
      </c>
    </row>
    <row r="156" spans="1:47" x14ac:dyDescent="0.2">
      <c r="A156" t="s">
        <v>220</v>
      </c>
      <c r="B156" s="73">
        <v>31413</v>
      </c>
      <c r="D156">
        <v>-0.245823509</v>
      </c>
      <c r="E156">
        <v>-0.41635875300000003</v>
      </c>
      <c r="F156">
        <v>0.51796841199999999</v>
      </c>
      <c r="H156">
        <v>1.534781494</v>
      </c>
      <c r="I156">
        <v>0.91325540000000005</v>
      </c>
      <c r="M156">
        <v>0.59997725099999999</v>
      </c>
      <c r="N156">
        <v>1.901622049</v>
      </c>
      <c r="P156">
        <v>1.1484683010000001</v>
      </c>
      <c r="S156">
        <v>0.168415598</v>
      </c>
      <c r="T156">
        <v>0.34946501099999999</v>
      </c>
      <c r="U156">
        <v>0.78629099999999996</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0.82268164600000004</v>
      </c>
      <c r="AN156">
        <v>1.5871316870000001</v>
      </c>
      <c r="AR156">
        <v>-1.004893611</v>
      </c>
      <c r="AT156">
        <v>0.743327344</v>
      </c>
      <c r="AU156">
        <v>1.0693403159999999</v>
      </c>
    </row>
    <row r="157" spans="1:47" x14ac:dyDescent="0.2">
      <c r="A157" t="s">
        <v>221</v>
      </c>
      <c r="B157" s="73">
        <v>31503</v>
      </c>
      <c r="D157">
        <v>0.63870448599999996</v>
      </c>
      <c r="E157">
        <v>0.89439608000000004</v>
      </c>
      <c r="F157">
        <v>0.54788962500000005</v>
      </c>
      <c r="H157">
        <v>-3.0061903000000001E-2</v>
      </c>
      <c r="I157">
        <v>0.53414939500000003</v>
      </c>
      <c r="M157">
        <v>-0.57204937</v>
      </c>
      <c r="N157">
        <v>0.86508181399999995</v>
      </c>
      <c r="P157">
        <v>0.28204135000000002</v>
      </c>
      <c r="S157">
        <v>6.0355234000000001E-2</v>
      </c>
      <c r="T157">
        <v>0.33812635600000002</v>
      </c>
      <c r="U157">
        <v>0.57392900000000002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0.44151332900000001</v>
      </c>
      <c r="AN157">
        <v>1.321063257</v>
      </c>
      <c r="AR157">
        <v>2.0234702859999998</v>
      </c>
      <c r="AT157">
        <v>0.93352470799999998</v>
      </c>
      <c r="AU157">
        <v>-1.1913956510000001</v>
      </c>
    </row>
    <row r="158" spans="1:47" x14ac:dyDescent="0.2">
      <c r="A158" t="s">
        <v>222</v>
      </c>
      <c r="B158" s="73">
        <v>31594</v>
      </c>
      <c r="D158">
        <v>-0.177680054</v>
      </c>
      <c r="E158">
        <v>1.2099216310000001</v>
      </c>
      <c r="F158">
        <v>0.203576123</v>
      </c>
      <c r="H158">
        <v>0.56848401500000001</v>
      </c>
      <c r="I158">
        <v>0.480621358</v>
      </c>
      <c r="M158">
        <v>1.150684662</v>
      </c>
      <c r="N158">
        <v>-0.29674130199999998</v>
      </c>
      <c r="P158">
        <v>2.3815559180000001</v>
      </c>
      <c r="S158">
        <v>0.43515725999999999</v>
      </c>
      <c r="T158">
        <v>1.1225541649999999</v>
      </c>
      <c r="U158">
        <v>0.50280800000000003</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0.63963888300000005</v>
      </c>
      <c r="AN158">
        <v>1.128379966</v>
      </c>
      <c r="AR158">
        <v>0.50052435299999998</v>
      </c>
      <c r="AT158">
        <v>0.45037736299999998</v>
      </c>
      <c r="AU158">
        <v>0.69041002600000001</v>
      </c>
    </row>
    <row r="159" spans="1:47" x14ac:dyDescent="0.2">
      <c r="A159" t="s">
        <v>223</v>
      </c>
      <c r="B159" s="73">
        <v>31686</v>
      </c>
      <c r="D159">
        <v>0.282012916</v>
      </c>
      <c r="E159">
        <v>8.1471991999999993E-2</v>
      </c>
      <c r="F159">
        <v>1.2309365290000001</v>
      </c>
      <c r="H159">
        <v>0.12621459900000001</v>
      </c>
      <c r="I159">
        <v>-8.8404836000000001E-2</v>
      </c>
      <c r="M159">
        <v>0.738239227</v>
      </c>
      <c r="N159">
        <v>-3.9017767000000002E-2</v>
      </c>
      <c r="P159">
        <v>-0.70503902500000004</v>
      </c>
      <c r="S159">
        <v>4.358457381</v>
      </c>
      <c r="T159">
        <v>0.34540376099999998</v>
      </c>
      <c r="U159">
        <v>0.75168800000000002</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0.67553252799999997</v>
      </c>
      <c r="AN159">
        <v>0.53523350700000005</v>
      </c>
      <c r="AR159">
        <v>0.48903576300000001</v>
      </c>
      <c r="AT159">
        <v>0.95699288599999999</v>
      </c>
      <c r="AU159">
        <v>0.22503509099999999</v>
      </c>
    </row>
    <row r="160" spans="1:47" x14ac:dyDescent="0.2">
      <c r="A160" t="s">
        <v>224</v>
      </c>
      <c r="B160" s="73">
        <v>31778</v>
      </c>
      <c r="D160">
        <v>1.657921303</v>
      </c>
      <c r="E160">
        <v>7.4006432999999996E-2</v>
      </c>
      <c r="F160">
        <v>-1.156201418</v>
      </c>
      <c r="H160">
        <v>-0.72210196800000004</v>
      </c>
      <c r="I160">
        <v>-0.13024883700000001</v>
      </c>
      <c r="M160">
        <v>0.99710821800000005</v>
      </c>
      <c r="N160">
        <v>0.36763258399999998</v>
      </c>
      <c r="P160">
        <v>0.63880313499999997</v>
      </c>
      <c r="S160">
        <v>-1.8744604760000001</v>
      </c>
      <c r="T160">
        <v>0.35819467399999999</v>
      </c>
      <c r="U160">
        <v>0.65253899999999998</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0.61458179400000001</v>
      </c>
      <c r="AN160">
        <v>1.600706368</v>
      </c>
      <c r="AR160">
        <v>0.30368230099999999</v>
      </c>
      <c r="AT160">
        <v>0.53698571799999995</v>
      </c>
      <c r="AU160">
        <v>0.41988258499999997</v>
      </c>
    </row>
    <row r="161" spans="1:47" x14ac:dyDescent="0.2">
      <c r="A161" t="s">
        <v>225</v>
      </c>
      <c r="B161" s="73">
        <v>31868</v>
      </c>
      <c r="D161">
        <v>0.95539489799999999</v>
      </c>
      <c r="E161">
        <v>-0.85282705700000005</v>
      </c>
      <c r="F161">
        <v>0.706357821</v>
      </c>
      <c r="H161">
        <v>2.3071933269999998</v>
      </c>
      <c r="I161">
        <v>0.175169724</v>
      </c>
      <c r="M161">
        <v>-2.509804892</v>
      </c>
      <c r="N161">
        <v>-1.5691744940000001</v>
      </c>
      <c r="P161">
        <v>2.048184242</v>
      </c>
      <c r="S161">
        <v>0.76662058600000005</v>
      </c>
      <c r="T161">
        <v>0.237118668</v>
      </c>
      <c r="U161">
        <v>0.25064599999999998</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0.324430522</v>
      </c>
      <c r="AN161">
        <v>1.8053965080000001</v>
      </c>
      <c r="AR161">
        <v>0.45626201</v>
      </c>
      <c r="AT161">
        <v>0.74501963000000004</v>
      </c>
      <c r="AU161">
        <v>0.72728254000000003</v>
      </c>
    </row>
    <row r="162" spans="1:47" x14ac:dyDescent="0.2">
      <c r="A162" t="s">
        <v>226</v>
      </c>
      <c r="B162" s="73">
        <v>31959</v>
      </c>
      <c r="D162">
        <v>1.5727519379999999</v>
      </c>
      <c r="E162">
        <v>1.764855166</v>
      </c>
      <c r="F162">
        <v>1.1111891780000001</v>
      </c>
      <c r="H162">
        <v>1.291592995</v>
      </c>
      <c r="I162">
        <v>0.75463332699999996</v>
      </c>
      <c r="M162">
        <v>2.2449939579999998</v>
      </c>
      <c r="N162">
        <v>3.0248369030000002</v>
      </c>
      <c r="P162">
        <v>1.4960575300000001</v>
      </c>
      <c r="S162">
        <v>1.741914027</v>
      </c>
      <c r="T162">
        <v>1.1608623549999999</v>
      </c>
      <c r="U162">
        <v>1.461495</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1.6348381279999999</v>
      </c>
      <c r="AN162">
        <v>1.60081077</v>
      </c>
      <c r="AR162">
        <v>2.212031342</v>
      </c>
      <c r="AT162">
        <v>1.078842316</v>
      </c>
      <c r="AU162">
        <v>0.35660318699999999</v>
      </c>
    </row>
    <row r="163" spans="1:47" x14ac:dyDescent="0.2">
      <c r="A163" t="s">
        <v>227</v>
      </c>
      <c r="B163" s="73">
        <v>32051</v>
      </c>
      <c r="D163">
        <v>1.813383279</v>
      </c>
      <c r="E163">
        <v>1.214960389</v>
      </c>
      <c r="F163">
        <v>1.3975127519999999</v>
      </c>
      <c r="H163">
        <v>1.5220522830000001</v>
      </c>
      <c r="I163">
        <v>1.2594342869999999</v>
      </c>
      <c r="M163">
        <v>0.69212070999999997</v>
      </c>
      <c r="N163">
        <v>-1.3814957349999999</v>
      </c>
      <c r="P163">
        <v>2.0652025329999999</v>
      </c>
      <c r="S163">
        <v>0.38818289499999997</v>
      </c>
      <c r="T163">
        <v>0.69389748799999995</v>
      </c>
      <c r="U163">
        <v>1.1342890000000001</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0.54274466600000004</v>
      </c>
      <c r="AL163">
        <v>1.1079347369999999</v>
      </c>
      <c r="AN163">
        <v>1.547363343</v>
      </c>
      <c r="AR163">
        <v>1.1365519340000001</v>
      </c>
      <c r="AT163">
        <v>0.86756685600000005</v>
      </c>
      <c r="AU163">
        <v>0.36492787599999998</v>
      </c>
    </row>
    <row r="164" spans="1:47" x14ac:dyDescent="0.2">
      <c r="A164" t="s">
        <v>228</v>
      </c>
      <c r="B164" s="73">
        <v>32143</v>
      </c>
      <c r="D164">
        <v>2.0288067559999998</v>
      </c>
      <c r="E164">
        <v>0.81018481099999995</v>
      </c>
      <c r="F164">
        <v>1.290633452</v>
      </c>
      <c r="H164">
        <v>1.2918924119999999</v>
      </c>
      <c r="I164">
        <v>0.78284669100000004</v>
      </c>
      <c r="M164">
        <v>1.599900168</v>
      </c>
      <c r="N164">
        <v>0.59597164400000002</v>
      </c>
      <c r="P164">
        <v>2.0457360969999998</v>
      </c>
      <c r="S164">
        <v>1.9700423309999999</v>
      </c>
      <c r="T164">
        <v>1.6938361580000001</v>
      </c>
      <c r="U164">
        <v>1.7339899999999999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0.46126320399999998</v>
      </c>
      <c r="AL164">
        <v>1.8224490090000001</v>
      </c>
      <c r="AN164">
        <v>1.1974914400000001</v>
      </c>
      <c r="AR164">
        <v>0.31107987199999998</v>
      </c>
      <c r="AT164">
        <v>1.717036096</v>
      </c>
      <c r="AU164">
        <v>1.2276316940000001</v>
      </c>
    </row>
    <row r="165" spans="1:47" x14ac:dyDescent="0.2">
      <c r="A165" t="s">
        <v>229</v>
      </c>
      <c r="B165" s="73">
        <v>32234</v>
      </c>
      <c r="D165">
        <v>0.42463606300000001</v>
      </c>
      <c r="E165">
        <v>-1.010978113</v>
      </c>
      <c r="F165">
        <v>0.99036001399999996</v>
      </c>
      <c r="H165">
        <v>1.4579330859999999</v>
      </c>
      <c r="I165">
        <v>0.24971337499999999</v>
      </c>
      <c r="M165">
        <v>-0.90697272200000001</v>
      </c>
      <c r="N165">
        <v>0.98007253999999999</v>
      </c>
      <c r="P165">
        <v>0.32154340799999998</v>
      </c>
      <c r="S165">
        <v>1.2733514290000001</v>
      </c>
      <c r="T165">
        <v>1.224398533</v>
      </c>
      <c r="U165">
        <v>0.94947800000000004</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-0.38780238700000003</v>
      </c>
      <c r="AL165">
        <v>0.83535428700000003</v>
      </c>
      <c r="AN165">
        <v>4.5566320009999997</v>
      </c>
      <c r="AR165">
        <v>0.47846825999999998</v>
      </c>
      <c r="AT165">
        <v>0.516654167</v>
      </c>
      <c r="AU165">
        <v>1.5029433089999999</v>
      </c>
    </row>
    <row r="166" spans="1:47" x14ac:dyDescent="0.2">
      <c r="A166" t="s">
        <v>230</v>
      </c>
      <c r="B166" s="73">
        <v>32325</v>
      </c>
      <c r="D166">
        <v>7.1918594000000002E-2</v>
      </c>
      <c r="E166">
        <v>1.835161278</v>
      </c>
      <c r="F166">
        <v>0.93207988600000002</v>
      </c>
      <c r="H166">
        <v>0.88565837199999997</v>
      </c>
      <c r="I166">
        <v>0.62640106900000003</v>
      </c>
      <c r="M166">
        <v>1.812832048</v>
      </c>
      <c r="N166">
        <v>5.5030685000000003E-2</v>
      </c>
      <c r="P166">
        <v>1.2231815800000001</v>
      </c>
      <c r="S166">
        <v>0.80406763599999997</v>
      </c>
      <c r="T166">
        <v>0.59964009799999995</v>
      </c>
      <c r="U166">
        <v>0.92360799999999998</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-0.47364359700000003</v>
      </c>
      <c r="AL166">
        <v>0.69951286000000001</v>
      </c>
      <c r="AN166">
        <v>0.45499446399999999</v>
      </c>
      <c r="AR166">
        <v>0.193406783</v>
      </c>
      <c r="AT166">
        <v>1.313900617</v>
      </c>
      <c r="AU166">
        <v>0.71005532699999996</v>
      </c>
    </row>
    <row r="167" spans="1:47" x14ac:dyDescent="0.2">
      <c r="A167" t="s">
        <v>231</v>
      </c>
      <c r="B167" s="73">
        <v>32417</v>
      </c>
      <c r="D167">
        <v>0.81704010299999996</v>
      </c>
      <c r="E167">
        <v>1.6612643419999999</v>
      </c>
      <c r="F167">
        <v>1.2289064649999999</v>
      </c>
      <c r="H167">
        <v>9.0986950000000004E-3</v>
      </c>
      <c r="I167">
        <v>1.1367375639999999</v>
      </c>
      <c r="M167">
        <v>1.1330757039999999</v>
      </c>
      <c r="N167">
        <v>-1.9012544499999999</v>
      </c>
      <c r="P167">
        <v>1.8029079160000001</v>
      </c>
      <c r="S167">
        <v>1.2316715540000001</v>
      </c>
      <c r="T167">
        <v>1.2998685489999999</v>
      </c>
      <c r="U167">
        <v>1.0912869999999999</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0.228717109</v>
      </c>
      <c r="AL167">
        <v>1.0629774679999999</v>
      </c>
      <c r="AN167">
        <v>0.762612717</v>
      </c>
      <c r="AR167">
        <v>0.165338555</v>
      </c>
      <c r="AT167">
        <v>0.58592831400000001</v>
      </c>
      <c r="AU167">
        <v>1.34491922</v>
      </c>
    </row>
    <row r="168" spans="1:47" x14ac:dyDescent="0.2">
      <c r="A168" t="s">
        <v>232</v>
      </c>
      <c r="B168" s="73">
        <v>32509</v>
      </c>
      <c r="D168">
        <v>1.5808977799999999</v>
      </c>
      <c r="E168">
        <v>1.1832997249999999</v>
      </c>
      <c r="F168">
        <v>0.97988492100000002</v>
      </c>
      <c r="H168">
        <v>0.69744059199999997</v>
      </c>
      <c r="I168">
        <v>1.7501116560000001</v>
      </c>
      <c r="M168">
        <v>1.1775465940000001</v>
      </c>
      <c r="N168">
        <v>2.460192868</v>
      </c>
      <c r="P168">
        <v>-0.22428166399999999</v>
      </c>
      <c r="S168">
        <v>1.850135187</v>
      </c>
      <c r="T168">
        <v>1.0511165769999999</v>
      </c>
      <c r="U168">
        <v>1.1674</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-0.87453043900000005</v>
      </c>
      <c r="AL168">
        <v>1.172235063</v>
      </c>
      <c r="AN168">
        <v>1.319190173</v>
      </c>
      <c r="AR168">
        <v>2.1167567940000001</v>
      </c>
      <c r="AT168">
        <v>1.332500553</v>
      </c>
      <c r="AU168">
        <v>0.93898047399999995</v>
      </c>
    </row>
    <row r="169" spans="1:47" x14ac:dyDescent="0.2">
      <c r="A169" t="s">
        <v>233</v>
      </c>
      <c r="B169" s="73">
        <v>32599</v>
      </c>
      <c r="D169">
        <v>1.014801469</v>
      </c>
      <c r="E169">
        <v>0.82313969799999998</v>
      </c>
      <c r="F169">
        <v>0.76019038999999999</v>
      </c>
      <c r="H169">
        <v>1.14072018</v>
      </c>
      <c r="I169">
        <v>0.31775637200000001</v>
      </c>
      <c r="M169">
        <v>1.045142904</v>
      </c>
      <c r="N169">
        <v>1.130299648</v>
      </c>
      <c r="P169">
        <v>2.358130461</v>
      </c>
      <c r="S169">
        <v>1.1945845500000001</v>
      </c>
      <c r="T169">
        <v>1.2715572719999999</v>
      </c>
      <c r="U169">
        <v>1.2613019999999999</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1.2754177149999999</v>
      </c>
      <c r="AL169">
        <v>1.226773146</v>
      </c>
      <c r="AN169">
        <v>3.7660291749999999</v>
      </c>
      <c r="AR169">
        <v>0.16471154700000001</v>
      </c>
      <c r="AT169">
        <v>1.016597674</v>
      </c>
      <c r="AU169">
        <v>0.61931594700000003</v>
      </c>
    </row>
    <row r="170" spans="1:47" x14ac:dyDescent="0.2">
      <c r="A170" t="s">
        <v>234</v>
      </c>
      <c r="B170" s="73">
        <v>32690</v>
      </c>
      <c r="D170">
        <v>2.10873796</v>
      </c>
      <c r="E170">
        <v>0.47564930100000002</v>
      </c>
      <c r="F170">
        <v>0.96112367899999995</v>
      </c>
      <c r="H170">
        <v>0.38218308499999998</v>
      </c>
      <c r="I170">
        <v>1.8097043349999999</v>
      </c>
      <c r="M170">
        <v>0.402547977</v>
      </c>
      <c r="N170">
        <v>-2.0015842990000001</v>
      </c>
      <c r="P170">
        <v>0.98408883700000005</v>
      </c>
      <c r="S170">
        <v>1.7576075550000001</v>
      </c>
      <c r="T170">
        <v>0.82322308099999997</v>
      </c>
      <c r="U170">
        <v>0.30474899999999999</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0.58014822300000002</v>
      </c>
      <c r="AL170">
        <v>0.38959064999999998</v>
      </c>
      <c r="AN170">
        <v>-1.41413539</v>
      </c>
      <c r="AR170">
        <v>0.67541214900000002</v>
      </c>
      <c r="AT170">
        <v>0.76326565700000004</v>
      </c>
      <c r="AU170">
        <v>0.433857416</v>
      </c>
    </row>
    <row r="171" spans="1:47" x14ac:dyDescent="0.2">
      <c r="A171" t="s">
        <v>235</v>
      </c>
      <c r="B171" s="73">
        <v>32782</v>
      </c>
      <c r="D171">
        <v>0.84248112100000005</v>
      </c>
      <c r="E171">
        <v>0.829097953</v>
      </c>
      <c r="F171">
        <v>0.37144843</v>
      </c>
      <c r="H171">
        <v>0.357792585</v>
      </c>
      <c r="I171">
        <v>0.71513268399999996</v>
      </c>
      <c r="M171">
        <v>0.91324525599999995</v>
      </c>
      <c r="N171">
        <v>-1.4863533769999999</v>
      </c>
      <c r="P171">
        <v>1.339679544</v>
      </c>
      <c r="S171">
        <v>1.178506979</v>
      </c>
      <c r="T171">
        <v>1.0778379380000001</v>
      </c>
      <c r="U171">
        <v>0.91670600000000002</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-1.1245227440000001</v>
      </c>
      <c r="AL171">
        <v>0.98603988499999995</v>
      </c>
      <c r="AN171">
        <v>1.9729542149999999</v>
      </c>
      <c r="AR171">
        <v>3.0821688999999999E-2</v>
      </c>
      <c r="AT171">
        <v>0.74087699399999996</v>
      </c>
      <c r="AU171">
        <v>8.0345161999999998E-2</v>
      </c>
    </row>
    <row r="172" spans="1:47" x14ac:dyDescent="0.2">
      <c r="A172" t="s">
        <v>236</v>
      </c>
      <c r="B172" s="73">
        <v>32874</v>
      </c>
      <c r="D172">
        <v>-0.26986808000000001</v>
      </c>
      <c r="E172">
        <v>1.3003958980000001</v>
      </c>
      <c r="F172">
        <v>1.2986382889999999</v>
      </c>
      <c r="H172">
        <v>-0.21345312299999999</v>
      </c>
      <c r="I172">
        <v>1.31966816</v>
      </c>
      <c r="M172">
        <v>1.158805549</v>
      </c>
      <c r="N172">
        <v>1.6576394000000001</v>
      </c>
      <c r="P172">
        <v>-0.166005345</v>
      </c>
      <c r="S172">
        <v>4.7319185999999999E-2</v>
      </c>
      <c r="T172">
        <v>1.525526591</v>
      </c>
      <c r="U172">
        <v>0.955341</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-0.193050362</v>
      </c>
      <c r="AL172">
        <v>0.97186936800000001</v>
      </c>
      <c r="AN172">
        <v>0.83261330099999997</v>
      </c>
      <c r="AR172">
        <v>1.307210199</v>
      </c>
      <c r="AT172">
        <v>0.19705097399999999</v>
      </c>
      <c r="AU172">
        <v>-0.61883212300000001</v>
      </c>
    </row>
    <row r="173" spans="1:47" x14ac:dyDescent="0.2">
      <c r="A173" t="s">
        <v>237</v>
      </c>
      <c r="B173" s="73">
        <v>32964</v>
      </c>
      <c r="D173">
        <v>0.794042998</v>
      </c>
      <c r="E173">
        <v>1.2323553650000001</v>
      </c>
      <c r="F173">
        <v>1.5632463169999999</v>
      </c>
      <c r="H173">
        <v>0.94276014100000005</v>
      </c>
      <c r="I173">
        <v>1.718724572</v>
      </c>
      <c r="M173">
        <v>2.0757065539999999</v>
      </c>
      <c r="N173">
        <v>-0.55573933200000003</v>
      </c>
      <c r="P173">
        <v>0.87601898</v>
      </c>
      <c r="S173">
        <v>1.354072902</v>
      </c>
      <c r="T173">
        <v>0.50387046800000002</v>
      </c>
      <c r="U173">
        <v>0.77679200000000004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-0.171716375</v>
      </c>
      <c r="AL173">
        <v>0.95087558299999997</v>
      </c>
      <c r="AN173">
        <v>1.017439357</v>
      </c>
      <c r="AR173">
        <v>0.212357079</v>
      </c>
      <c r="AT173">
        <v>1.092795416</v>
      </c>
      <c r="AU173">
        <v>8.0051423999999996E-2</v>
      </c>
    </row>
    <row r="174" spans="1:47" x14ac:dyDescent="0.2">
      <c r="A174" t="s">
        <v>238</v>
      </c>
      <c r="B174" s="73">
        <v>33055</v>
      </c>
      <c r="D174">
        <v>0.126141221</v>
      </c>
      <c r="E174">
        <v>1.078142771</v>
      </c>
      <c r="F174">
        <v>-0.353727874</v>
      </c>
      <c r="H174">
        <v>-0.41411305999999998</v>
      </c>
      <c r="I174">
        <v>0.58343410699999998</v>
      </c>
      <c r="M174">
        <v>0.491660084</v>
      </c>
      <c r="N174">
        <v>2.2486860489999998</v>
      </c>
      <c r="P174">
        <v>1.699634141</v>
      </c>
      <c r="S174">
        <v>-1.3762998390000001</v>
      </c>
      <c r="T174">
        <v>0.39135276099999999</v>
      </c>
      <c r="U174">
        <v>0.85352300000000003</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-1.4950672E-2</v>
      </c>
      <c r="AL174">
        <v>0.91986674099999999</v>
      </c>
      <c r="AN174">
        <v>1.8702967779999999</v>
      </c>
      <c r="AR174">
        <v>-0.30510945900000003</v>
      </c>
      <c r="AT174">
        <v>0.36291179000000001</v>
      </c>
      <c r="AU174">
        <v>-8.2522011000000006E-2</v>
      </c>
    </row>
    <row r="175" spans="1:47" x14ac:dyDescent="0.2">
      <c r="A175" t="s">
        <v>239</v>
      </c>
      <c r="B175" s="73">
        <v>33147</v>
      </c>
      <c r="D175">
        <v>-0.570961316</v>
      </c>
      <c r="E175">
        <v>0.82636261600000005</v>
      </c>
      <c r="F175">
        <v>0.13286498899999999</v>
      </c>
      <c r="H175">
        <v>-0.70754845899999996</v>
      </c>
      <c r="I175">
        <v>-0.36550624500000001</v>
      </c>
      <c r="M175">
        <v>2.1059349709999999</v>
      </c>
      <c r="N175">
        <v>0.28845945299999998</v>
      </c>
      <c r="P175">
        <v>-0.29846910999999998</v>
      </c>
      <c r="S175">
        <v>-2.1425953600000001</v>
      </c>
      <c r="T175">
        <v>0.45854062299999998</v>
      </c>
      <c r="U175">
        <v>0.50585100000000005</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0.91352468799999997</v>
      </c>
      <c r="AL175">
        <v>0.37103373099999998</v>
      </c>
      <c r="AN175">
        <v>0.698606862</v>
      </c>
      <c r="AR175">
        <v>-0.79288496600000002</v>
      </c>
      <c r="AT175">
        <v>6.6512431999999996E-2</v>
      </c>
      <c r="AU175">
        <v>-8.4042341000000007E-2</v>
      </c>
    </row>
    <row r="176" spans="1:47" x14ac:dyDescent="0.2">
      <c r="A176" t="s">
        <v>240</v>
      </c>
      <c r="B176" s="73">
        <v>33239</v>
      </c>
      <c r="D176">
        <v>0.592887265</v>
      </c>
      <c r="E176">
        <v>0.68375120199999995</v>
      </c>
      <c r="F176">
        <v>1.2133539419999999</v>
      </c>
      <c r="H176">
        <v>-0.89119688399999997</v>
      </c>
      <c r="I176">
        <v>-0.43218641800000002</v>
      </c>
      <c r="M176">
        <v>1.7604211329999999</v>
      </c>
      <c r="N176">
        <v>-1.0739619380000001</v>
      </c>
      <c r="P176">
        <v>3.7816833700000001</v>
      </c>
      <c r="S176">
        <v>-0.57330529200000002</v>
      </c>
      <c r="T176">
        <v>0.361657322</v>
      </c>
      <c r="U176">
        <v>-0.31748500000000002</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1.168901551</v>
      </c>
      <c r="AL176">
        <v>0.252043301</v>
      </c>
      <c r="AN176">
        <v>2.6589812319999999</v>
      </c>
      <c r="AR176">
        <v>1.13594325</v>
      </c>
      <c r="AT176">
        <v>-0.91039454099999995</v>
      </c>
      <c r="AU176">
        <v>9.2815014000000001E-2</v>
      </c>
    </row>
    <row r="177" spans="1:47" x14ac:dyDescent="0.2">
      <c r="A177" t="s">
        <v>241</v>
      </c>
      <c r="B177" s="73">
        <v>33329</v>
      </c>
      <c r="D177">
        <v>-1.291435742</v>
      </c>
      <c r="E177">
        <v>0.692705087</v>
      </c>
      <c r="F177">
        <v>-0.43152541300000002</v>
      </c>
      <c r="H177">
        <v>-1.427068555</v>
      </c>
      <c r="I177">
        <v>0.14597321999999999</v>
      </c>
      <c r="M177">
        <v>2.834538856</v>
      </c>
      <c r="N177">
        <v>0.29559123399999998</v>
      </c>
      <c r="P177">
        <v>-1.9217544129999999</v>
      </c>
      <c r="S177">
        <v>-1.9500463610000001</v>
      </c>
      <c r="T177">
        <v>-0.143014685</v>
      </c>
      <c r="U177">
        <v>0.344833</v>
      </c>
      <c r="V177">
        <v>-0.31503107800000002</v>
      </c>
      <c r="W177">
        <v>0.42565438700000002</v>
      </c>
      <c r="Z177">
        <v>2.4823379999999999E-2</v>
      </c>
      <c r="AA177">
        <v>0.148932074</v>
      </c>
      <c r="AC177">
        <v>1.9735554660000001</v>
      </c>
      <c r="AD177">
        <v>0.87131721399999995</v>
      </c>
      <c r="AE177">
        <v>3.7501762780000001</v>
      </c>
      <c r="AF177">
        <v>2.7080534639999998</v>
      </c>
      <c r="AH177">
        <v>0.27560826700000002</v>
      </c>
      <c r="AI177">
        <v>-0.40631757099999999</v>
      </c>
      <c r="AJ177">
        <v>0.84866048900000002</v>
      </c>
      <c r="AK177">
        <v>-2.422719941</v>
      </c>
      <c r="AL177">
        <v>0.11822772400000001</v>
      </c>
      <c r="AN177">
        <v>-2.3305769060000001</v>
      </c>
      <c r="AR177">
        <v>-0.31136663999999997</v>
      </c>
      <c r="AT177">
        <v>-0.467867584</v>
      </c>
      <c r="AU177">
        <v>-0.79542260300000001</v>
      </c>
    </row>
    <row r="178" spans="1:47" x14ac:dyDescent="0.2">
      <c r="A178" t="s">
        <v>242</v>
      </c>
      <c r="B178" s="73">
        <v>33420</v>
      </c>
      <c r="D178">
        <v>-0.164203612</v>
      </c>
      <c r="E178">
        <v>0.91216430000000004</v>
      </c>
      <c r="F178">
        <v>1.1675329860000001</v>
      </c>
      <c r="H178">
        <v>0.46626068900000001</v>
      </c>
      <c r="I178">
        <v>-0.95559205999999997</v>
      </c>
      <c r="M178">
        <v>-0.52930603899999995</v>
      </c>
      <c r="N178">
        <v>1.0787054119999999</v>
      </c>
      <c r="P178">
        <v>1.219274668</v>
      </c>
      <c r="S178">
        <v>-1.1968438779999999</v>
      </c>
      <c r="T178">
        <v>0.28751383800000002</v>
      </c>
      <c r="U178">
        <v>0.477711</v>
      </c>
      <c r="V178">
        <v>-0.14884855699999999</v>
      </c>
      <c r="W178">
        <v>-1.7180264569999999</v>
      </c>
      <c r="Z178">
        <v>2.2640761999999998E-2</v>
      </c>
      <c r="AA178">
        <v>-0.147785638</v>
      </c>
      <c r="AC178">
        <v>-0.54724095699999997</v>
      </c>
      <c r="AD178">
        <v>1.186411273</v>
      </c>
      <c r="AE178">
        <v>1.661478045</v>
      </c>
      <c r="AF178">
        <v>2.2458888290000001</v>
      </c>
      <c r="AH178">
        <v>1.5302257990000001</v>
      </c>
      <c r="AI178">
        <v>1.172009654</v>
      </c>
      <c r="AJ178">
        <v>0.52285082900000002</v>
      </c>
      <c r="AK178">
        <v>-0.67945540800000004</v>
      </c>
      <c r="AL178">
        <v>0.57910071100000005</v>
      </c>
      <c r="AN178">
        <v>1.962589301</v>
      </c>
      <c r="AR178">
        <v>-1.1471894659999999</v>
      </c>
      <c r="AT178">
        <v>0.77971803799999995</v>
      </c>
      <c r="AU178">
        <v>-0.225649346</v>
      </c>
    </row>
    <row r="179" spans="1:47" x14ac:dyDescent="0.2">
      <c r="A179" t="s">
        <v>243</v>
      </c>
      <c r="B179" s="73">
        <v>33512</v>
      </c>
      <c r="D179">
        <v>0.435059423</v>
      </c>
      <c r="E179">
        <v>1.1090972880000001</v>
      </c>
      <c r="F179">
        <v>0.67473200700000002</v>
      </c>
      <c r="H179">
        <v>0.13390824100000001</v>
      </c>
      <c r="I179">
        <v>1.20258E-4</v>
      </c>
      <c r="M179">
        <v>-0.21831766599999999</v>
      </c>
      <c r="N179">
        <v>0.74082392500000005</v>
      </c>
      <c r="P179">
        <v>0.75527247500000005</v>
      </c>
      <c r="S179">
        <v>-2.0577854879999999</v>
      </c>
      <c r="T179">
        <v>0.29445965699999999</v>
      </c>
      <c r="U179">
        <v>0.16108900000000001</v>
      </c>
      <c r="V179">
        <v>-0.242120788</v>
      </c>
      <c r="W179">
        <v>1.8493508089999999</v>
      </c>
      <c r="Z179">
        <v>0.38784026700000002</v>
      </c>
      <c r="AA179">
        <v>-0.59156399599999998</v>
      </c>
      <c r="AC179">
        <v>3.5820181E-2</v>
      </c>
      <c r="AD179">
        <v>-0.22137912000000001</v>
      </c>
      <c r="AE179">
        <v>2.1452970589999998</v>
      </c>
      <c r="AF179">
        <v>1.3452130259999999</v>
      </c>
      <c r="AH179">
        <v>0.18594327299999999</v>
      </c>
      <c r="AI179">
        <v>0.408864799</v>
      </c>
      <c r="AJ179">
        <v>-0.244288273</v>
      </c>
      <c r="AK179">
        <v>0.31863775999999999</v>
      </c>
      <c r="AL179">
        <v>0.28943275699999998</v>
      </c>
      <c r="AN179">
        <v>1.073590737</v>
      </c>
      <c r="AR179">
        <v>-0.48588832700000001</v>
      </c>
      <c r="AT179">
        <v>0.50533843099999998</v>
      </c>
      <c r="AU179">
        <v>-3.8785792999999999E-2</v>
      </c>
    </row>
    <row r="180" spans="1:47" x14ac:dyDescent="0.2">
      <c r="A180" t="s">
        <v>244</v>
      </c>
      <c r="B180" s="73">
        <v>33604</v>
      </c>
      <c r="D180">
        <v>6.0990251000000002E-2</v>
      </c>
      <c r="E180">
        <v>0.61183127699999995</v>
      </c>
      <c r="F180">
        <v>0.50590435600000006</v>
      </c>
      <c r="H180">
        <v>0.184531308</v>
      </c>
      <c r="I180">
        <v>0.35493498699999998</v>
      </c>
      <c r="M180">
        <v>1.299062392</v>
      </c>
      <c r="N180">
        <v>-0.98514616899999996</v>
      </c>
      <c r="P180">
        <v>0.497512438</v>
      </c>
      <c r="S180">
        <v>-1.17266231</v>
      </c>
      <c r="T180">
        <v>0.49475722999999999</v>
      </c>
      <c r="U180">
        <v>0.57842499999999997</v>
      </c>
      <c r="V180">
        <v>0.15101858200000001</v>
      </c>
      <c r="W180">
        <v>-0.378222805</v>
      </c>
      <c r="Z180">
        <v>0.84502496000000005</v>
      </c>
      <c r="AA180">
        <v>-0.98579377999999995</v>
      </c>
      <c r="AC180">
        <v>1.173646349</v>
      </c>
      <c r="AD180">
        <v>0.70233349599999995</v>
      </c>
      <c r="AE180">
        <v>2.5035720260000001</v>
      </c>
      <c r="AF180">
        <v>0.41994205200000001</v>
      </c>
      <c r="AH180">
        <v>1.806169428</v>
      </c>
      <c r="AI180">
        <v>1.1093368669999999</v>
      </c>
      <c r="AJ180">
        <v>0.73319311899999995</v>
      </c>
      <c r="AK180">
        <v>0.64546954199999995</v>
      </c>
      <c r="AL180">
        <v>0.63785798199999999</v>
      </c>
      <c r="AN180">
        <v>2.3666545000000001E-2</v>
      </c>
      <c r="AR180">
        <v>-0.15493615799999999</v>
      </c>
      <c r="AT180">
        <v>0.34856390199999998</v>
      </c>
      <c r="AU180">
        <v>-0.17206495399999999</v>
      </c>
    </row>
    <row r="181" spans="1:47" x14ac:dyDescent="0.2">
      <c r="A181" t="s">
        <v>245</v>
      </c>
      <c r="B181" s="73">
        <v>33695</v>
      </c>
      <c r="D181">
        <v>0.76359325600000005</v>
      </c>
      <c r="E181">
        <v>0.38370380500000001</v>
      </c>
      <c r="F181">
        <v>1.4019393389999999</v>
      </c>
      <c r="H181">
        <v>7.2893567000000006E-2</v>
      </c>
      <c r="I181">
        <v>0.75501926799999997</v>
      </c>
      <c r="M181">
        <v>1.5219809200000001</v>
      </c>
      <c r="N181">
        <v>1.4410560240000001</v>
      </c>
      <c r="P181">
        <v>0.99770053800000003</v>
      </c>
      <c r="S181">
        <v>0.32136456299999999</v>
      </c>
      <c r="T181">
        <v>0.98118704800000001</v>
      </c>
      <c r="U181">
        <v>0.79398100000000005</v>
      </c>
      <c r="V181">
        <v>-1.2037925999999999E-2</v>
      </c>
      <c r="W181">
        <v>2.2174491770000002</v>
      </c>
      <c r="Z181">
        <v>1.0788961450000001</v>
      </c>
      <c r="AA181">
        <v>-1.109030913</v>
      </c>
      <c r="AC181">
        <v>0.268945671</v>
      </c>
      <c r="AD181">
        <v>3.1100620999999998E-2</v>
      </c>
      <c r="AE181">
        <v>1.7803926029999999</v>
      </c>
      <c r="AF181">
        <v>-7.5740707000000004E-2</v>
      </c>
      <c r="AH181">
        <v>-8.7413649999999992E-3</v>
      </c>
      <c r="AI181">
        <v>0.70769819099999998</v>
      </c>
      <c r="AJ181">
        <v>2.1265888070000001</v>
      </c>
      <c r="AK181">
        <v>0.29790227200000002</v>
      </c>
      <c r="AL181">
        <v>0.87228080900000005</v>
      </c>
      <c r="AN181">
        <v>1.768950341</v>
      </c>
      <c r="AR181">
        <v>0.91757323999999996</v>
      </c>
      <c r="AT181">
        <v>1.197157574</v>
      </c>
      <c r="AU181">
        <v>-0.70074789699999995</v>
      </c>
    </row>
    <row r="182" spans="1:47" x14ac:dyDescent="0.2">
      <c r="A182" t="s">
        <v>246</v>
      </c>
      <c r="B182" s="73">
        <v>33786</v>
      </c>
      <c r="D182">
        <v>0.71636786299999999</v>
      </c>
      <c r="E182">
        <v>0.47917018900000002</v>
      </c>
      <c r="F182">
        <v>-1.2157340139999999</v>
      </c>
      <c r="H182">
        <v>0.12211490699999999</v>
      </c>
      <c r="I182">
        <v>-0.39892148599999999</v>
      </c>
      <c r="M182">
        <v>-0.77118032299999995</v>
      </c>
      <c r="N182">
        <v>-0.79803837200000005</v>
      </c>
      <c r="P182">
        <v>-1.303955142</v>
      </c>
      <c r="S182">
        <v>-1.124253065</v>
      </c>
      <c r="T182">
        <v>-6.3443090999999993E-2</v>
      </c>
      <c r="U182">
        <v>0.42612899999999998</v>
      </c>
      <c r="V182">
        <v>-0.137819162</v>
      </c>
      <c r="W182">
        <v>-3.0660865959999999</v>
      </c>
      <c r="Z182">
        <v>1.0706129090000001</v>
      </c>
      <c r="AA182">
        <v>-0.95095967999999997</v>
      </c>
      <c r="AC182">
        <v>-5.7245115999999999E-2</v>
      </c>
      <c r="AD182">
        <v>0.35015405999999999</v>
      </c>
      <c r="AE182">
        <v>0.70169498200000002</v>
      </c>
      <c r="AF182">
        <v>-7.3511390999999995E-2</v>
      </c>
      <c r="AH182">
        <v>1.639826199</v>
      </c>
      <c r="AI182">
        <v>-0.91896415399999998</v>
      </c>
      <c r="AJ182">
        <v>0.52149300499999995</v>
      </c>
      <c r="AK182">
        <v>7.2593479999999997E-3</v>
      </c>
      <c r="AL182">
        <v>0.29681729400000001</v>
      </c>
      <c r="AN182">
        <v>-0.91937203599999995</v>
      </c>
      <c r="AR182">
        <v>-0.51364764900000004</v>
      </c>
      <c r="AT182">
        <v>1.084320604</v>
      </c>
      <c r="AU182">
        <v>-0.61337261099999996</v>
      </c>
    </row>
    <row r="183" spans="1:47" x14ac:dyDescent="0.2">
      <c r="A183" t="s">
        <v>247</v>
      </c>
      <c r="B183" s="73">
        <v>33878</v>
      </c>
      <c r="D183">
        <v>0.98840398799999996</v>
      </c>
      <c r="E183">
        <v>7.9118778000000001E-2</v>
      </c>
      <c r="F183">
        <v>0.30894123299999998</v>
      </c>
      <c r="H183">
        <v>0.53698517999999995</v>
      </c>
      <c r="I183">
        <v>-1.0182334470000001</v>
      </c>
      <c r="M183">
        <v>-0.17418992899999999</v>
      </c>
      <c r="N183">
        <v>2.7126430350000001</v>
      </c>
      <c r="P183">
        <v>6.3866699999999998E-2</v>
      </c>
      <c r="S183">
        <v>-0.81617395100000001</v>
      </c>
      <c r="T183">
        <v>2.0809899999999999E-2</v>
      </c>
      <c r="U183">
        <v>0.48103299999999999</v>
      </c>
      <c r="V183">
        <v>0.61390372999999998</v>
      </c>
      <c r="W183">
        <v>1.5479498060000001</v>
      </c>
      <c r="Z183">
        <v>0.86266001299999995</v>
      </c>
      <c r="AA183">
        <v>-0.51906130500000003</v>
      </c>
      <c r="AC183">
        <v>-0.22205567800000001</v>
      </c>
      <c r="AD183">
        <v>0.11766494399999999</v>
      </c>
      <c r="AE183">
        <v>6.7624060999999999E-2</v>
      </c>
      <c r="AF183">
        <v>0.35716526599999998</v>
      </c>
      <c r="AH183">
        <v>0.928578032</v>
      </c>
      <c r="AI183">
        <v>0.30420956999999998</v>
      </c>
      <c r="AJ183">
        <v>1.310034822</v>
      </c>
      <c r="AK183">
        <v>-0.76866886099999998</v>
      </c>
      <c r="AL183">
        <v>0.50586112500000002</v>
      </c>
      <c r="AN183">
        <v>-0.345960037</v>
      </c>
      <c r="AR183">
        <v>-1.4474356420000001</v>
      </c>
      <c r="AT183">
        <v>0.98810718900000005</v>
      </c>
      <c r="AU183">
        <v>-1.157736308</v>
      </c>
    </row>
    <row r="184" spans="1:47" x14ac:dyDescent="0.2">
      <c r="A184" t="s">
        <v>248</v>
      </c>
      <c r="B184" s="73">
        <v>33970</v>
      </c>
      <c r="D184">
        <v>2.0698504280000001</v>
      </c>
      <c r="E184">
        <v>-0.302467443</v>
      </c>
      <c r="F184">
        <v>-1.232574249</v>
      </c>
      <c r="H184">
        <v>0.56891053800000002</v>
      </c>
      <c r="I184">
        <v>-0.76557585399999994</v>
      </c>
      <c r="M184">
        <v>-0.322148143</v>
      </c>
      <c r="N184">
        <v>-0.44045066199999999</v>
      </c>
      <c r="P184">
        <v>-0.65159612499999997</v>
      </c>
      <c r="S184">
        <v>-0.706680486</v>
      </c>
      <c r="T184">
        <v>-0.22043370400000001</v>
      </c>
      <c r="U184">
        <v>0.30263299999999999</v>
      </c>
      <c r="V184">
        <v>0.66754747999999997</v>
      </c>
      <c r="W184">
        <v>-0.53217077599999996</v>
      </c>
      <c r="Z184">
        <v>0.61684049299999999</v>
      </c>
      <c r="AA184">
        <v>3.4808005000000003E-2</v>
      </c>
      <c r="AC184">
        <v>-0.68930719900000004</v>
      </c>
      <c r="AD184">
        <v>-0.63750149</v>
      </c>
      <c r="AE184">
        <v>1.5606776440000001</v>
      </c>
      <c r="AF184">
        <v>0.92005303100000002</v>
      </c>
      <c r="AH184">
        <v>8.3307470999999994E-2</v>
      </c>
      <c r="AI184">
        <v>0.376704761</v>
      </c>
      <c r="AJ184">
        <v>-0.71583106399999996</v>
      </c>
      <c r="AK184">
        <v>1.2608722910000001</v>
      </c>
      <c r="AL184">
        <v>0.26226857399999998</v>
      </c>
      <c r="AN184">
        <v>-0.159542129</v>
      </c>
      <c r="AR184">
        <v>-1.3722997889999999</v>
      </c>
      <c r="AT184">
        <v>1.042879871</v>
      </c>
      <c r="AU184">
        <v>-0.84971449799999998</v>
      </c>
    </row>
    <row r="185" spans="1:47" x14ac:dyDescent="0.2">
      <c r="A185" t="s">
        <v>249</v>
      </c>
      <c r="B185" s="73">
        <v>34060</v>
      </c>
      <c r="D185">
        <v>0.70929795100000004</v>
      </c>
      <c r="E185">
        <v>-0.23948065399999999</v>
      </c>
      <c r="F185">
        <v>-0.759719272</v>
      </c>
      <c r="H185">
        <v>0.63994626499999996</v>
      </c>
      <c r="I185">
        <v>-0.15509368700000001</v>
      </c>
      <c r="M185">
        <v>-0.72049504600000003</v>
      </c>
      <c r="N185">
        <v>-1.2010420660000001</v>
      </c>
      <c r="P185">
        <v>-0.93298430300000001</v>
      </c>
      <c r="S185">
        <v>0.23407351200000001</v>
      </c>
      <c r="T185">
        <v>-0.553225521</v>
      </c>
      <c r="U185">
        <v>0.22144800000000001</v>
      </c>
      <c r="V185">
        <v>0.69005913900000004</v>
      </c>
      <c r="W185">
        <v>-2.6539310220000001</v>
      </c>
      <c r="Z185">
        <v>0.50061214799999998</v>
      </c>
      <c r="AA185">
        <v>0.53090806099999999</v>
      </c>
      <c r="AC185">
        <v>-0.13946523999999999</v>
      </c>
      <c r="AD185">
        <v>1.1268584660000001</v>
      </c>
      <c r="AE185">
        <v>1.9906578290000001</v>
      </c>
      <c r="AF185">
        <v>1.2771087809999999</v>
      </c>
      <c r="AH185">
        <v>-3.2187420000000001E-2</v>
      </c>
      <c r="AI185">
        <v>0.61591251700000005</v>
      </c>
      <c r="AJ185">
        <v>-0.65795568500000001</v>
      </c>
      <c r="AK185">
        <v>1.6460585320000001</v>
      </c>
      <c r="AL185">
        <v>0.21719468</v>
      </c>
      <c r="AN185">
        <v>-1.318634595</v>
      </c>
      <c r="AR185">
        <v>-1.828342023</v>
      </c>
      <c r="AT185">
        <v>0.166979092</v>
      </c>
      <c r="AU185">
        <v>1.2857332889999999</v>
      </c>
    </row>
    <row r="186" spans="1:47" x14ac:dyDescent="0.2">
      <c r="A186" t="s">
        <v>250</v>
      </c>
      <c r="B186" s="73">
        <v>34151</v>
      </c>
      <c r="C186">
        <v>2.8529592959999999</v>
      </c>
      <c r="D186">
        <v>0.58357781900000005</v>
      </c>
      <c r="E186">
        <v>0.57054866100000001</v>
      </c>
      <c r="F186">
        <v>1.0102583119999999</v>
      </c>
      <c r="H186">
        <v>0.91043322800000004</v>
      </c>
      <c r="I186">
        <v>1.105270328</v>
      </c>
      <c r="M186">
        <v>-2.7127149E-2</v>
      </c>
      <c r="N186">
        <v>-0.41351913400000001</v>
      </c>
      <c r="P186">
        <v>-6.7753300000000004E-3</v>
      </c>
      <c r="S186">
        <v>-0.19250189300000001</v>
      </c>
      <c r="T186">
        <v>4.1669653000000001E-2</v>
      </c>
      <c r="U186">
        <v>0.19200500000000001</v>
      </c>
      <c r="V186">
        <v>0.47472242999999997</v>
      </c>
      <c r="W186">
        <v>1.7093619</v>
      </c>
      <c r="Z186">
        <v>0.53079156699999996</v>
      </c>
      <c r="AA186">
        <v>0.90494383300000003</v>
      </c>
      <c r="AC186">
        <v>-0.241254257</v>
      </c>
      <c r="AD186">
        <v>-0.63314586299999998</v>
      </c>
      <c r="AE186">
        <v>2.5653316730000002</v>
      </c>
      <c r="AF186">
        <v>1.3923682449999999</v>
      </c>
      <c r="AH186">
        <v>0.26478812099999999</v>
      </c>
      <c r="AI186">
        <v>0.249895847</v>
      </c>
      <c r="AJ186">
        <v>1.7361653130000001</v>
      </c>
      <c r="AK186">
        <v>2.21149533</v>
      </c>
      <c r="AL186">
        <v>0.42580277999999999</v>
      </c>
      <c r="AN186">
        <v>5.0113557000000003E-2</v>
      </c>
      <c r="AP186">
        <v>1.3909376</v>
      </c>
      <c r="AR186">
        <v>1.306280455</v>
      </c>
      <c r="AT186">
        <v>0.58211345299999995</v>
      </c>
      <c r="AU186">
        <v>0.68276386200000005</v>
      </c>
    </row>
    <row r="187" spans="1:47" x14ac:dyDescent="0.2">
      <c r="A187" t="s">
        <v>251</v>
      </c>
      <c r="B187" s="73">
        <v>34243</v>
      </c>
      <c r="C187">
        <v>2.010235835</v>
      </c>
      <c r="D187">
        <v>0.12274162199999999</v>
      </c>
      <c r="E187">
        <v>1.0195569790000001</v>
      </c>
      <c r="F187">
        <v>0.31644803999999999</v>
      </c>
      <c r="H187">
        <v>0.95304709600000004</v>
      </c>
      <c r="I187">
        <v>0.35494089600000001</v>
      </c>
      <c r="M187">
        <v>0.59701302000000001</v>
      </c>
      <c r="N187">
        <v>0.165747008</v>
      </c>
      <c r="P187">
        <v>1.203186557</v>
      </c>
      <c r="S187">
        <v>0.57229582300000004</v>
      </c>
      <c r="T187">
        <v>0.124160985</v>
      </c>
      <c r="U187">
        <v>0.24115200000000001</v>
      </c>
      <c r="V187">
        <v>0.78488561099999998</v>
      </c>
      <c r="W187">
        <v>0.34040084900000001</v>
      </c>
      <c r="Z187">
        <v>0.71341299700000005</v>
      </c>
      <c r="AA187">
        <v>1.2106989290000001</v>
      </c>
      <c r="AC187">
        <v>-0.15770889099999999</v>
      </c>
      <c r="AD187">
        <v>-0.71786239100000004</v>
      </c>
      <c r="AE187">
        <v>1.843683328</v>
      </c>
      <c r="AF187">
        <v>1.336455741</v>
      </c>
      <c r="AH187">
        <v>1.018229373</v>
      </c>
      <c r="AI187">
        <v>0.81725829900000002</v>
      </c>
      <c r="AJ187">
        <v>1.9924875710000001</v>
      </c>
      <c r="AK187">
        <v>2.0264192759999999</v>
      </c>
      <c r="AL187">
        <v>0.39158796699999998</v>
      </c>
      <c r="AN187">
        <v>0.69552905099999995</v>
      </c>
      <c r="AP187">
        <v>1.1598247989999999</v>
      </c>
      <c r="AR187">
        <v>1.3725135820000001</v>
      </c>
      <c r="AT187">
        <v>0.47715658700000002</v>
      </c>
      <c r="AU187">
        <v>1.2823864279999999</v>
      </c>
    </row>
    <row r="188" spans="1:47" x14ac:dyDescent="0.2">
      <c r="A188" t="s">
        <v>252</v>
      </c>
      <c r="B188" s="73">
        <v>34335</v>
      </c>
      <c r="C188">
        <v>0.80545480000000003</v>
      </c>
      <c r="D188">
        <v>1.8366054460000001</v>
      </c>
      <c r="E188">
        <v>0.70270054000000004</v>
      </c>
      <c r="F188">
        <v>0.95239690899999996</v>
      </c>
      <c r="H188">
        <v>0.431683602</v>
      </c>
      <c r="I188">
        <v>0.59524025599999997</v>
      </c>
      <c r="M188">
        <v>-9.4412510000000005E-2</v>
      </c>
      <c r="N188">
        <v>2.188264271</v>
      </c>
      <c r="P188">
        <v>0.376845971</v>
      </c>
      <c r="S188">
        <v>0.754527163</v>
      </c>
      <c r="T188">
        <v>0.27557114799999999</v>
      </c>
      <c r="U188">
        <v>0.84633100000000006</v>
      </c>
      <c r="V188">
        <v>0.66848534000000004</v>
      </c>
      <c r="W188">
        <v>0.19928804</v>
      </c>
      <c r="Z188">
        <v>1.002046454</v>
      </c>
      <c r="AA188">
        <v>1.34170469</v>
      </c>
      <c r="AC188">
        <v>0.73313064999999999</v>
      </c>
      <c r="AD188">
        <v>0.63000248400000003</v>
      </c>
      <c r="AE188">
        <v>1.9136639879999999</v>
      </c>
      <c r="AF188">
        <v>1.1626443870000001</v>
      </c>
      <c r="AH188">
        <v>1.317613589</v>
      </c>
      <c r="AI188">
        <v>-0.62038722899999998</v>
      </c>
      <c r="AJ188">
        <v>3.557989504</v>
      </c>
      <c r="AK188">
        <v>0.93230610599999997</v>
      </c>
      <c r="AL188">
        <v>0.87050002199999998</v>
      </c>
      <c r="AN188">
        <v>0.335461909</v>
      </c>
      <c r="AP188">
        <v>1.5065066359999999</v>
      </c>
      <c r="AR188">
        <v>-0.177837307</v>
      </c>
      <c r="AT188">
        <v>1.3600755600000001</v>
      </c>
      <c r="AU188">
        <v>0.853492158</v>
      </c>
    </row>
    <row r="189" spans="1:47" x14ac:dyDescent="0.2">
      <c r="A189" t="s">
        <v>253</v>
      </c>
      <c r="B189" s="73">
        <v>34425</v>
      </c>
      <c r="C189">
        <v>1.4213392140000001</v>
      </c>
      <c r="D189">
        <v>1.633351102</v>
      </c>
      <c r="E189">
        <v>0.321515999</v>
      </c>
      <c r="F189">
        <v>0.70359508999999998</v>
      </c>
      <c r="H189">
        <v>1.4735686990000001</v>
      </c>
      <c r="I189">
        <v>0.49625609599999998</v>
      </c>
      <c r="M189">
        <v>1.3972990510000001</v>
      </c>
      <c r="N189">
        <v>1.222447407</v>
      </c>
      <c r="P189">
        <v>0.82709202800000003</v>
      </c>
      <c r="S189">
        <v>0.66462805800000002</v>
      </c>
      <c r="T189">
        <v>0.72904940799999995</v>
      </c>
      <c r="U189">
        <v>1.008184</v>
      </c>
      <c r="V189">
        <v>1.1651326870000001</v>
      </c>
      <c r="W189">
        <v>-0.792530175</v>
      </c>
      <c r="Z189">
        <v>1.3507575359999999</v>
      </c>
      <c r="AA189">
        <v>1.2024590740000001</v>
      </c>
      <c r="AC189">
        <v>0.76166861100000005</v>
      </c>
      <c r="AD189">
        <v>0.90132629399999997</v>
      </c>
      <c r="AE189">
        <v>2.916855703</v>
      </c>
      <c r="AF189">
        <v>0.94974912300000003</v>
      </c>
      <c r="AH189">
        <v>1.029432141</v>
      </c>
      <c r="AI189">
        <v>1.4965316099999999</v>
      </c>
      <c r="AJ189">
        <v>-1.1400918790000001</v>
      </c>
      <c r="AK189">
        <v>1.5158462180000001</v>
      </c>
      <c r="AL189">
        <v>0.94678411900000004</v>
      </c>
      <c r="AN189">
        <v>0.33869413999999998</v>
      </c>
      <c r="AP189">
        <v>1.7882290869999999</v>
      </c>
      <c r="AR189">
        <v>1.1466702289999999</v>
      </c>
      <c r="AT189">
        <v>0.97031283999999995</v>
      </c>
      <c r="AU189">
        <v>-4.7133474000000002E-2</v>
      </c>
    </row>
    <row r="190" spans="1:47" x14ac:dyDescent="0.2">
      <c r="A190" t="s">
        <v>254</v>
      </c>
      <c r="B190" s="73">
        <v>34516</v>
      </c>
      <c r="C190">
        <v>2.0682595699999999</v>
      </c>
      <c r="D190">
        <v>1.198442287</v>
      </c>
      <c r="E190">
        <v>0.172232155</v>
      </c>
      <c r="F190">
        <v>1.149795769</v>
      </c>
      <c r="H190">
        <v>1.461328599</v>
      </c>
      <c r="I190">
        <v>-1.0354448430000001</v>
      </c>
      <c r="L190">
        <v>0.96711012100000004</v>
      </c>
      <c r="M190">
        <v>0.239649208</v>
      </c>
      <c r="N190">
        <v>2.9288267920000002</v>
      </c>
      <c r="P190">
        <v>0.21925265099999999</v>
      </c>
      <c r="S190">
        <v>0.86792101899999996</v>
      </c>
      <c r="T190">
        <v>1.0850032919999999</v>
      </c>
      <c r="U190">
        <v>0.80196800000000001</v>
      </c>
      <c r="V190">
        <v>1.1426640850000001</v>
      </c>
      <c r="W190">
        <v>1.2181871049999999</v>
      </c>
      <c r="Z190">
        <v>1.7295238639999999</v>
      </c>
      <c r="AA190">
        <v>0.85341513400000002</v>
      </c>
      <c r="AC190">
        <v>0.72363909699999995</v>
      </c>
      <c r="AD190">
        <v>-0.57517943100000002</v>
      </c>
      <c r="AE190">
        <v>1.6315920960000001</v>
      </c>
      <c r="AF190">
        <v>0.75336469900000003</v>
      </c>
      <c r="AH190">
        <v>2.1032008449999999</v>
      </c>
      <c r="AI190">
        <v>1.150384582</v>
      </c>
      <c r="AJ190">
        <v>2.3288079050000001</v>
      </c>
      <c r="AK190">
        <v>0.66531655700000003</v>
      </c>
      <c r="AL190">
        <v>0.55083632800000004</v>
      </c>
      <c r="AN190">
        <v>1.295817808</v>
      </c>
      <c r="AP190">
        <v>1.2185340520000001</v>
      </c>
      <c r="AR190">
        <v>1.015110169</v>
      </c>
      <c r="AT190">
        <v>1.3550997520000001</v>
      </c>
      <c r="AU190">
        <v>0.97566196199999999</v>
      </c>
    </row>
    <row r="191" spans="1:47" x14ac:dyDescent="0.2">
      <c r="A191" t="s">
        <v>255</v>
      </c>
      <c r="B191" s="73">
        <v>34608</v>
      </c>
      <c r="C191">
        <v>0.25239057599999998</v>
      </c>
      <c r="D191">
        <v>0.77136033199999998</v>
      </c>
      <c r="E191">
        <v>0.906741452</v>
      </c>
      <c r="F191">
        <v>0.27973114799999999</v>
      </c>
      <c r="H191">
        <v>1.278408105</v>
      </c>
      <c r="I191">
        <v>1.0743045010000001</v>
      </c>
      <c r="L191">
        <v>1.3591444770000001</v>
      </c>
      <c r="M191">
        <v>0.70394540999999999</v>
      </c>
      <c r="N191">
        <v>-0.46887167800000001</v>
      </c>
      <c r="P191">
        <v>0.793995059</v>
      </c>
      <c r="S191">
        <v>2.283273409</v>
      </c>
      <c r="T191">
        <v>0.54083091800000005</v>
      </c>
      <c r="U191">
        <v>0.76838700000000004</v>
      </c>
      <c r="V191">
        <v>1.0882986269999999</v>
      </c>
      <c r="W191">
        <v>2.6822298490000001</v>
      </c>
      <c r="Z191">
        <v>2.1888918780000002</v>
      </c>
      <c r="AA191">
        <v>0.30634947600000001</v>
      </c>
      <c r="AC191">
        <v>0.62346925900000005</v>
      </c>
      <c r="AD191">
        <v>1.172157573</v>
      </c>
      <c r="AE191">
        <v>1.6821991110000001</v>
      </c>
      <c r="AF191">
        <v>0.55705723299999998</v>
      </c>
      <c r="AH191">
        <v>0.76644042099999998</v>
      </c>
      <c r="AI191">
        <v>0.75816823300000002</v>
      </c>
      <c r="AJ191">
        <v>-1.358435673</v>
      </c>
      <c r="AK191">
        <v>1.7119572350000001</v>
      </c>
      <c r="AL191">
        <v>0.89770330600000003</v>
      </c>
      <c r="AN191">
        <v>0.45218991800000002</v>
      </c>
      <c r="AP191">
        <v>1.899671272</v>
      </c>
      <c r="AR191">
        <v>1.164290394</v>
      </c>
      <c r="AT191">
        <v>0.58453601600000005</v>
      </c>
      <c r="AU191">
        <v>1.1245152570000001</v>
      </c>
    </row>
    <row r="192" spans="1:47" x14ac:dyDescent="0.2">
      <c r="A192" t="s">
        <v>256</v>
      </c>
      <c r="B192" s="73">
        <v>34700</v>
      </c>
      <c r="C192">
        <v>1.2409345759999999</v>
      </c>
      <c r="D192">
        <v>1.0448944609999999</v>
      </c>
      <c r="E192">
        <v>1.350074333</v>
      </c>
      <c r="F192">
        <v>1.682112024</v>
      </c>
      <c r="H192">
        <v>0.72964738900000004</v>
      </c>
      <c r="I192">
        <v>0.49572577000000001</v>
      </c>
      <c r="L192">
        <v>2.186255117</v>
      </c>
      <c r="M192">
        <v>1.17382955</v>
      </c>
      <c r="N192">
        <v>2.5089371059999999</v>
      </c>
      <c r="P192">
        <v>0.37422348599999999</v>
      </c>
      <c r="S192">
        <v>2.517726235</v>
      </c>
      <c r="T192">
        <v>0.88793212499999996</v>
      </c>
      <c r="U192">
        <v>0.77681900000000004</v>
      </c>
      <c r="V192">
        <v>0.54227407000000005</v>
      </c>
      <c r="W192">
        <v>-0.82163945000000005</v>
      </c>
      <c r="Z192">
        <v>2.5322760720000002</v>
      </c>
      <c r="AA192">
        <v>-0.18225076300000001</v>
      </c>
      <c r="AC192">
        <v>0.93894745300000004</v>
      </c>
      <c r="AD192">
        <v>-0.39597083999999999</v>
      </c>
      <c r="AE192">
        <v>3.930438208</v>
      </c>
      <c r="AF192">
        <v>0.383915746</v>
      </c>
      <c r="AH192">
        <v>1.1592172009999999</v>
      </c>
      <c r="AI192">
        <v>0.94689765800000003</v>
      </c>
      <c r="AJ192">
        <v>3.9520079560000001</v>
      </c>
      <c r="AK192">
        <v>1.3300663029999999</v>
      </c>
      <c r="AL192">
        <v>0.96748657800000004</v>
      </c>
      <c r="AN192">
        <v>1.201951322</v>
      </c>
      <c r="AP192">
        <v>1.4163547649999999</v>
      </c>
      <c r="AR192">
        <v>1.518112806</v>
      </c>
      <c r="AT192">
        <v>1.145518265</v>
      </c>
      <c r="AU192">
        <v>1.858295375</v>
      </c>
    </row>
    <row r="193" spans="1:47" x14ac:dyDescent="0.2">
      <c r="A193" t="s">
        <v>257</v>
      </c>
      <c r="B193" s="73">
        <v>34790</v>
      </c>
      <c r="C193">
        <v>-1.543121762</v>
      </c>
      <c r="D193">
        <v>3.9870547999999999E-2</v>
      </c>
      <c r="E193">
        <v>0.83618019099999996</v>
      </c>
      <c r="F193">
        <v>-5.5348256999999998E-2</v>
      </c>
      <c r="H193">
        <v>0.92948742500000003</v>
      </c>
      <c r="I193">
        <v>-0.38817846499999997</v>
      </c>
      <c r="L193">
        <v>1.7080415879999999</v>
      </c>
      <c r="M193">
        <v>-0.33240942200000001</v>
      </c>
      <c r="N193">
        <v>0.51421894800000001</v>
      </c>
      <c r="P193">
        <v>1.1420354989999999</v>
      </c>
      <c r="S193">
        <v>-0.82644628099999995</v>
      </c>
      <c r="T193">
        <v>0.57182038400000001</v>
      </c>
      <c r="U193">
        <v>0.517594</v>
      </c>
      <c r="V193">
        <v>0.36856514899999998</v>
      </c>
      <c r="W193">
        <v>-4.0633383000000002E-2</v>
      </c>
      <c r="Z193">
        <v>6.2979103209999998</v>
      </c>
      <c r="AA193">
        <v>-3.0044507340000002</v>
      </c>
      <c r="AC193">
        <v>1.2555749380000001</v>
      </c>
      <c r="AD193">
        <v>1.1068286190000001</v>
      </c>
      <c r="AE193">
        <v>2.0904894180000002</v>
      </c>
      <c r="AF193">
        <v>1.175591279</v>
      </c>
      <c r="AH193">
        <v>-5.746706155</v>
      </c>
      <c r="AI193">
        <v>0.68030274700000004</v>
      </c>
      <c r="AJ193">
        <v>-0.78115906199999996</v>
      </c>
      <c r="AK193">
        <v>1.2124180449999999</v>
      </c>
      <c r="AL193">
        <v>0.38445550499999998</v>
      </c>
      <c r="AN193">
        <v>0.17483652899999999</v>
      </c>
      <c r="AP193">
        <v>1.5161371189999999</v>
      </c>
      <c r="AR193">
        <v>1.2882988929999999</v>
      </c>
      <c r="AT193">
        <v>0.35469547000000001</v>
      </c>
      <c r="AU193">
        <v>0.24994674</v>
      </c>
    </row>
    <row r="194" spans="1:47" x14ac:dyDescent="0.2">
      <c r="A194" t="s">
        <v>258</v>
      </c>
      <c r="B194" s="73">
        <v>34881</v>
      </c>
      <c r="C194">
        <v>-3.790303996</v>
      </c>
      <c r="D194">
        <v>0.40193846300000002</v>
      </c>
      <c r="E194">
        <v>0.42404422600000002</v>
      </c>
      <c r="F194">
        <v>0.42061727999999998</v>
      </c>
      <c r="H194">
        <v>4.0377508999999999E-2</v>
      </c>
      <c r="I194">
        <v>6.0417015999999997E-2</v>
      </c>
      <c r="J194">
        <v>2.757814856</v>
      </c>
      <c r="L194">
        <v>0.395624855</v>
      </c>
      <c r="M194">
        <v>0.73250322899999998</v>
      </c>
      <c r="N194">
        <v>-0.28609833200000001</v>
      </c>
      <c r="O194">
        <v>0.55723400000000001</v>
      </c>
      <c r="P194">
        <v>0.62025722900000002</v>
      </c>
      <c r="Q194">
        <v>-0.988347898</v>
      </c>
      <c r="R194">
        <v>1.081356</v>
      </c>
      <c r="S194">
        <v>2.686170213</v>
      </c>
      <c r="T194">
        <v>0.48131226300000002</v>
      </c>
      <c r="U194">
        <v>0.44657200000000002</v>
      </c>
      <c r="V194">
        <v>0.36311861000000001</v>
      </c>
      <c r="W194">
        <v>0.94753337699999995</v>
      </c>
      <c r="X194">
        <v>-0.154806261</v>
      </c>
      <c r="Z194">
        <v>0.77267598000000004</v>
      </c>
      <c r="AA194">
        <v>2.721451777</v>
      </c>
      <c r="AB194">
        <v>2.433780552</v>
      </c>
      <c r="AC194">
        <v>7.0151350000000001E-2</v>
      </c>
      <c r="AD194">
        <v>0.91995711700000005</v>
      </c>
      <c r="AE194">
        <v>2.0218245910000001</v>
      </c>
      <c r="AF194">
        <v>1.049264784</v>
      </c>
      <c r="AG194">
        <v>0.56999776599999996</v>
      </c>
      <c r="AH194">
        <v>-4.893619964</v>
      </c>
      <c r="AI194">
        <v>0.78455015500000003</v>
      </c>
      <c r="AJ194">
        <v>0.872547564</v>
      </c>
      <c r="AK194">
        <v>1.277317515</v>
      </c>
      <c r="AL194">
        <v>0.36304826600000001</v>
      </c>
      <c r="AM194">
        <v>1.8078015190000001</v>
      </c>
      <c r="AN194">
        <v>1.1791211070000001</v>
      </c>
      <c r="AP194">
        <v>1.6652552249999999</v>
      </c>
      <c r="AQ194">
        <v>0.211693192</v>
      </c>
      <c r="AR194">
        <v>0.42674815599999999</v>
      </c>
      <c r="AT194">
        <v>0.29830569899999998</v>
      </c>
      <c r="AU194">
        <v>0.28748407500000001</v>
      </c>
    </row>
    <row r="195" spans="1:47" x14ac:dyDescent="0.2">
      <c r="A195" t="s">
        <v>259</v>
      </c>
      <c r="B195" s="73">
        <v>34973</v>
      </c>
      <c r="C195">
        <v>-0.38629951299999998</v>
      </c>
      <c r="D195">
        <v>2.256286818</v>
      </c>
      <c r="E195">
        <v>0.22681268900000001</v>
      </c>
      <c r="F195">
        <v>0.59956573499999999</v>
      </c>
      <c r="H195">
        <v>0.13178483299999999</v>
      </c>
      <c r="I195">
        <v>0.50523736399999997</v>
      </c>
      <c r="J195">
        <v>0.48926067099999998</v>
      </c>
      <c r="L195">
        <v>2.919067488</v>
      </c>
      <c r="M195">
        <v>0.194780866</v>
      </c>
      <c r="N195">
        <v>0.41705150000000002</v>
      </c>
      <c r="O195">
        <v>0.21967900000000001</v>
      </c>
      <c r="P195">
        <v>0.40367732699999997</v>
      </c>
      <c r="Q195">
        <v>-0.337690622</v>
      </c>
      <c r="R195">
        <v>0.39381100000000002</v>
      </c>
      <c r="S195">
        <v>-0.45181156300000003</v>
      </c>
      <c r="T195">
        <v>7.4939744000000003E-2</v>
      </c>
      <c r="U195">
        <v>0.73028999999999999</v>
      </c>
      <c r="V195">
        <v>0.98374791399999995</v>
      </c>
      <c r="W195">
        <v>0.537860114</v>
      </c>
      <c r="X195">
        <v>1.6070991E-2</v>
      </c>
      <c r="Z195">
        <v>0.97427232399999997</v>
      </c>
      <c r="AA195">
        <v>-1.114206821</v>
      </c>
      <c r="AB195">
        <v>1.2404072880000001</v>
      </c>
      <c r="AC195">
        <v>0.44480592800000002</v>
      </c>
      <c r="AD195">
        <v>1.1906332580000001</v>
      </c>
      <c r="AE195">
        <v>2.0758731149999998</v>
      </c>
      <c r="AF195">
        <v>1.0396086950000001</v>
      </c>
      <c r="AG195">
        <v>-1.053424836</v>
      </c>
      <c r="AH195">
        <v>1.89273498</v>
      </c>
      <c r="AI195">
        <v>0.78569619400000001</v>
      </c>
      <c r="AJ195">
        <v>2.356398183</v>
      </c>
      <c r="AK195">
        <v>0.92191631299999999</v>
      </c>
      <c r="AL195">
        <v>0.85222982700000005</v>
      </c>
      <c r="AM195">
        <v>3.5603913989999998</v>
      </c>
      <c r="AN195">
        <v>0.43383271699999998</v>
      </c>
      <c r="AP195">
        <v>0.58437533399999997</v>
      </c>
      <c r="AQ195">
        <v>0.199606322</v>
      </c>
      <c r="AR195">
        <v>0.50185047699999996</v>
      </c>
      <c r="AT195">
        <v>0.85066486799999996</v>
      </c>
      <c r="AU195">
        <v>0.66346294900000002</v>
      </c>
    </row>
    <row r="196" spans="1:47" x14ac:dyDescent="0.2">
      <c r="A196" t="s">
        <v>260</v>
      </c>
      <c r="B196" s="73">
        <v>35065</v>
      </c>
      <c r="C196">
        <v>0.76678466499999998</v>
      </c>
      <c r="D196">
        <v>-2.6017147000000001E-2</v>
      </c>
      <c r="E196">
        <v>0.34477217599999999</v>
      </c>
      <c r="F196">
        <v>0.20609081900000001</v>
      </c>
      <c r="H196">
        <v>0.40981295899999998</v>
      </c>
      <c r="I196">
        <v>6.7072839999999995E-2</v>
      </c>
      <c r="J196">
        <v>1.839741522</v>
      </c>
      <c r="L196">
        <v>-0.77060441800000001</v>
      </c>
      <c r="M196">
        <v>2.5917782E-2</v>
      </c>
      <c r="N196">
        <v>0.73168733399999997</v>
      </c>
      <c r="O196">
        <v>0.35427500000000001</v>
      </c>
      <c r="P196">
        <v>0.76005553999999997</v>
      </c>
      <c r="Q196">
        <v>1.170002692</v>
      </c>
      <c r="R196">
        <v>0.54544300000000001</v>
      </c>
      <c r="S196">
        <v>4.9144311000000003E-2</v>
      </c>
      <c r="T196">
        <v>0.17329488000000001</v>
      </c>
      <c r="U196">
        <v>0.45911400000000002</v>
      </c>
      <c r="V196">
        <v>0.231353272</v>
      </c>
      <c r="W196">
        <v>0.57916797399999997</v>
      </c>
      <c r="X196">
        <v>-0.42026733100000002</v>
      </c>
      <c r="Z196">
        <v>0.46629833500000001</v>
      </c>
      <c r="AA196">
        <v>9.2391406999999995E-2</v>
      </c>
      <c r="AB196">
        <v>0.88199602700000002</v>
      </c>
      <c r="AC196">
        <v>0.82815289800000003</v>
      </c>
      <c r="AD196">
        <v>0.24894371100000001</v>
      </c>
      <c r="AE196">
        <v>1.8705523159999999</v>
      </c>
      <c r="AF196">
        <v>1.070725294</v>
      </c>
      <c r="AG196">
        <v>0.167808491</v>
      </c>
      <c r="AH196">
        <v>1.9135104949999999</v>
      </c>
      <c r="AI196">
        <v>0.71237600300000004</v>
      </c>
      <c r="AJ196">
        <v>1.2337196589999999</v>
      </c>
      <c r="AK196">
        <v>0.671778973</v>
      </c>
      <c r="AL196">
        <v>0.56150445699999996</v>
      </c>
      <c r="AM196">
        <v>-0.14772930000000001</v>
      </c>
      <c r="AN196">
        <v>0.67752244100000003</v>
      </c>
      <c r="AP196">
        <v>1.902765321</v>
      </c>
      <c r="AQ196">
        <v>0.22918909000000001</v>
      </c>
      <c r="AR196">
        <v>1.022613913</v>
      </c>
      <c r="AT196">
        <v>0.67903653600000002</v>
      </c>
      <c r="AU196">
        <v>0.33636665500000001</v>
      </c>
    </row>
    <row r="197" spans="1:47" x14ac:dyDescent="0.2">
      <c r="A197" t="s">
        <v>261</v>
      </c>
      <c r="B197" s="73">
        <v>35156</v>
      </c>
      <c r="C197">
        <v>2.7496599580000001</v>
      </c>
      <c r="D197">
        <v>1.6436375649999999</v>
      </c>
      <c r="E197">
        <v>0.69842395899999998</v>
      </c>
      <c r="F197">
        <v>-0.20149803399999999</v>
      </c>
      <c r="H197">
        <v>6.880559E-2</v>
      </c>
      <c r="I197">
        <v>0.53896636499999995</v>
      </c>
      <c r="J197">
        <v>3.0792518950000001</v>
      </c>
      <c r="L197">
        <v>2.3875508829999998</v>
      </c>
      <c r="M197">
        <v>-0.82925859099999999</v>
      </c>
      <c r="N197">
        <v>1.5030293E-2</v>
      </c>
      <c r="O197">
        <v>0.19427</v>
      </c>
      <c r="P197">
        <v>0.59106103200000004</v>
      </c>
      <c r="Q197">
        <v>0.89931405799999997</v>
      </c>
      <c r="R197">
        <v>-2.4320000000000001E-3</v>
      </c>
      <c r="S197">
        <v>1.80299922</v>
      </c>
      <c r="T197">
        <v>0.62631798299999997</v>
      </c>
      <c r="U197">
        <v>0.49277199999999999</v>
      </c>
      <c r="V197">
        <v>0.55431160000000002</v>
      </c>
      <c r="W197">
        <v>0.542957052</v>
      </c>
      <c r="X197">
        <v>0.56436940700000005</v>
      </c>
      <c r="Z197">
        <v>5.5189538139999996</v>
      </c>
      <c r="AA197">
        <v>4.6069836390000001</v>
      </c>
      <c r="AB197">
        <v>1.686201474</v>
      </c>
      <c r="AC197">
        <v>0.220015719</v>
      </c>
      <c r="AD197">
        <v>0.813290925</v>
      </c>
      <c r="AE197">
        <v>1.9081351989999999</v>
      </c>
      <c r="AF197">
        <v>1.1867050889999999</v>
      </c>
      <c r="AG197">
        <v>-0.109835107</v>
      </c>
      <c r="AH197">
        <v>2.689485543</v>
      </c>
      <c r="AI197">
        <v>0.41082790899999999</v>
      </c>
      <c r="AJ197">
        <v>1.5103340030000001</v>
      </c>
      <c r="AK197">
        <v>1.4049399520000001</v>
      </c>
      <c r="AL197">
        <v>0.72683517600000003</v>
      </c>
      <c r="AM197">
        <v>2.9580973629999998</v>
      </c>
      <c r="AN197">
        <v>0.78990095000000005</v>
      </c>
      <c r="AP197">
        <v>1.6899704170000001</v>
      </c>
      <c r="AQ197">
        <v>0.67269544299999995</v>
      </c>
      <c r="AR197">
        <v>0.69663151700000003</v>
      </c>
      <c r="AT197">
        <v>0.74897132899999996</v>
      </c>
      <c r="AU197">
        <v>1.8524983070000001</v>
      </c>
    </row>
    <row r="198" spans="1:47" x14ac:dyDescent="0.2">
      <c r="A198" t="s">
        <v>262</v>
      </c>
      <c r="B198" s="73">
        <v>35247</v>
      </c>
      <c r="C198">
        <v>2.2287660229999999</v>
      </c>
      <c r="D198">
        <v>0.68640678799999999</v>
      </c>
      <c r="E198">
        <v>0.85696166100000004</v>
      </c>
      <c r="F198">
        <v>0.70179347199999997</v>
      </c>
      <c r="G198">
        <v>0.89419156600000005</v>
      </c>
      <c r="H198">
        <v>0.69629274799999996</v>
      </c>
      <c r="I198">
        <v>-0.40426072899999999</v>
      </c>
      <c r="J198">
        <v>1.1847461779999999</v>
      </c>
      <c r="L198">
        <v>0.70496434500000005</v>
      </c>
      <c r="M198">
        <v>1.3587698989999999</v>
      </c>
      <c r="N198">
        <v>2.708013266</v>
      </c>
      <c r="O198">
        <v>0.70770100000000002</v>
      </c>
      <c r="P198">
        <v>0.73833626799999996</v>
      </c>
      <c r="Q198">
        <v>1.7026379730000001</v>
      </c>
      <c r="R198">
        <v>0.72153699999999998</v>
      </c>
      <c r="S198">
        <v>0.78903300899999995</v>
      </c>
      <c r="T198">
        <v>0.17317321099999999</v>
      </c>
      <c r="U198">
        <v>1.1772229999999999</v>
      </c>
      <c r="V198">
        <v>0.21065647000000001</v>
      </c>
      <c r="W198">
        <v>0.57388104200000001</v>
      </c>
      <c r="X198">
        <v>-0.57312384999999999</v>
      </c>
      <c r="Z198">
        <v>1.20561188</v>
      </c>
      <c r="AA198">
        <v>0.33778459</v>
      </c>
      <c r="AB198">
        <v>1.3873413020000001</v>
      </c>
      <c r="AC198">
        <v>-0.105363425</v>
      </c>
      <c r="AD198">
        <v>1.2581848449999999</v>
      </c>
      <c r="AE198">
        <v>2.020152462</v>
      </c>
      <c r="AF198">
        <v>-7.017608955</v>
      </c>
      <c r="AG198">
        <v>-8.4883917000000003E-2</v>
      </c>
      <c r="AH198">
        <v>1.315437849</v>
      </c>
      <c r="AI198">
        <v>1.1149671569999999</v>
      </c>
      <c r="AJ198">
        <v>-0.13700357799999999</v>
      </c>
      <c r="AK198">
        <v>0.88911414899999996</v>
      </c>
      <c r="AL198">
        <v>1.1356344439999999</v>
      </c>
      <c r="AM198">
        <v>2.1944788179999999</v>
      </c>
      <c r="AN198">
        <v>1.1994918969999999</v>
      </c>
      <c r="AP198">
        <v>1.181136607</v>
      </c>
      <c r="AQ198">
        <v>1.1477345370000001</v>
      </c>
      <c r="AR198">
        <v>-0.85438111000000005</v>
      </c>
      <c r="AT198">
        <v>1.667883947</v>
      </c>
      <c r="AU198">
        <v>1.19135893</v>
      </c>
    </row>
    <row r="199" spans="1:47" x14ac:dyDescent="0.2">
      <c r="A199" t="s">
        <v>263</v>
      </c>
      <c r="B199" s="73">
        <v>35339</v>
      </c>
      <c r="C199">
        <v>2.2966779590000002</v>
      </c>
      <c r="D199">
        <v>0.77415813300000003</v>
      </c>
      <c r="E199">
        <v>0.32815522499999999</v>
      </c>
      <c r="F199">
        <v>0.46045353999999999</v>
      </c>
      <c r="G199">
        <v>3.916354095</v>
      </c>
      <c r="H199">
        <v>0.86397327899999998</v>
      </c>
      <c r="I199">
        <v>-0.298916827</v>
      </c>
      <c r="J199">
        <v>1.171627832</v>
      </c>
      <c r="L199">
        <v>0.42206663</v>
      </c>
      <c r="M199">
        <v>0.36092385399999999</v>
      </c>
      <c r="N199">
        <v>0.28281910700000001</v>
      </c>
      <c r="O199">
        <v>0.54087600000000002</v>
      </c>
      <c r="P199">
        <v>0.85689943300000004</v>
      </c>
      <c r="Q199">
        <v>3.1805394109999998</v>
      </c>
      <c r="R199">
        <v>0.52470499999999998</v>
      </c>
      <c r="S199">
        <v>0.58010194000000004</v>
      </c>
      <c r="T199">
        <v>0.61232415100000004</v>
      </c>
      <c r="U199">
        <v>0.63939400000000002</v>
      </c>
      <c r="V199">
        <v>1.102764766</v>
      </c>
      <c r="W199">
        <v>1.360099317</v>
      </c>
      <c r="X199">
        <v>-0.112532412</v>
      </c>
      <c r="Y199">
        <v>0.48898000000000003</v>
      </c>
      <c r="Z199">
        <v>-1.4121078650000001</v>
      </c>
      <c r="AA199">
        <v>-2.0632478590000001</v>
      </c>
      <c r="AB199">
        <v>1.2212624889999999</v>
      </c>
      <c r="AC199">
        <v>0.148144048</v>
      </c>
      <c r="AD199">
        <v>0.13739810499999999</v>
      </c>
      <c r="AE199">
        <v>1.758931416</v>
      </c>
      <c r="AF199">
        <v>7.7576161450000001</v>
      </c>
      <c r="AG199">
        <v>3.4864828559999999</v>
      </c>
      <c r="AH199">
        <v>1.6843438770000001</v>
      </c>
      <c r="AI199">
        <v>1.4000731120000001</v>
      </c>
      <c r="AJ199">
        <v>3.332387583</v>
      </c>
      <c r="AK199">
        <v>0.655298771</v>
      </c>
      <c r="AL199">
        <v>0.74077410799999999</v>
      </c>
      <c r="AM199">
        <v>0.870047668</v>
      </c>
      <c r="AN199">
        <v>1.3568094740000001</v>
      </c>
      <c r="AP199">
        <v>2.50228209</v>
      </c>
      <c r="AQ199">
        <v>1.3030519110000001</v>
      </c>
      <c r="AR199">
        <v>0.48538975499999998</v>
      </c>
      <c r="AT199">
        <v>0.89701093600000004</v>
      </c>
      <c r="AU199">
        <v>1.191484164</v>
      </c>
    </row>
    <row r="200" spans="1:47" x14ac:dyDescent="0.2">
      <c r="A200" t="s">
        <v>264</v>
      </c>
      <c r="B200" s="73">
        <v>35431</v>
      </c>
      <c r="C200">
        <v>1.8222659830000001</v>
      </c>
      <c r="D200">
        <v>0.92401600500000003</v>
      </c>
      <c r="E200">
        <v>0.14748044199999999</v>
      </c>
      <c r="F200">
        <v>0.78868044000000004</v>
      </c>
      <c r="G200">
        <v>-1.0263463989999999</v>
      </c>
      <c r="H200">
        <v>0.80536635999999995</v>
      </c>
      <c r="I200">
        <v>0.63136389800000003</v>
      </c>
      <c r="J200">
        <v>1.323898587</v>
      </c>
      <c r="L200">
        <v>0.124436712</v>
      </c>
      <c r="M200">
        <v>0.73207546999999995</v>
      </c>
      <c r="N200">
        <v>3.4009023999999999E-2</v>
      </c>
      <c r="O200">
        <v>0.438996</v>
      </c>
      <c r="P200">
        <v>0.53338098599999995</v>
      </c>
      <c r="Q200">
        <v>2.032043533</v>
      </c>
      <c r="R200">
        <v>0.35638700000000001</v>
      </c>
      <c r="S200">
        <v>1.8730576480000001</v>
      </c>
      <c r="T200">
        <v>0.12724769</v>
      </c>
      <c r="U200">
        <v>0.88117000000000001</v>
      </c>
      <c r="V200">
        <v>1.542455669</v>
      </c>
      <c r="W200">
        <v>1.0594108179999999</v>
      </c>
      <c r="X200">
        <v>1.2432040470000001</v>
      </c>
      <c r="Y200">
        <v>1.5855699999999999</v>
      </c>
      <c r="Z200">
        <v>0.98633319399999997</v>
      </c>
      <c r="AA200">
        <v>2.3127915360000002</v>
      </c>
      <c r="AB200">
        <v>1.5943959270000001</v>
      </c>
      <c r="AC200">
        <v>-0.30440266700000002</v>
      </c>
      <c r="AD200">
        <v>1.1249621679999999</v>
      </c>
      <c r="AE200">
        <v>1.6915792140000001</v>
      </c>
      <c r="AF200">
        <v>1.3479404450000001</v>
      </c>
      <c r="AG200">
        <v>5.2139184829999996</v>
      </c>
      <c r="AH200">
        <v>3.0189633140000001</v>
      </c>
      <c r="AI200">
        <v>0.71094114600000002</v>
      </c>
      <c r="AJ200">
        <v>-1.6042565870000001</v>
      </c>
      <c r="AK200">
        <v>1.30805624</v>
      </c>
      <c r="AL200">
        <v>0.97507292700000003</v>
      </c>
      <c r="AM200">
        <v>-4.0578641629999996</v>
      </c>
      <c r="AN200">
        <v>0.282339693</v>
      </c>
      <c r="AP200">
        <v>1.9674961399999999</v>
      </c>
      <c r="AQ200">
        <v>1.743258551</v>
      </c>
      <c r="AR200">
        <v>0.67452368500000004</v>
      </c>
      <c r="AT200">
        <v>1.038397649</v>
      </c>
      <c r="AU200">
        <v>0.93817146600000001</v>
      </c>
    </row>
    <row r="201" spans="1:47" x14ac:dyDescent="0.2">
      <c r="A201" t="s">
        <v>265</v>
      </c>
      <c r="B201" s="73">
        <v>35521</v>
      </c>
      <c r="C201">
        <v>2.1002052839999998</v>
      </c>
      <c r="D201">
        <v>0.62108596800000004</v>
      </c>
      <c r="E201">
        <v>0.58417975499999997</v>
      </c>
      <c r="F201">
        <v>1.002376205</v>
      </c>
      <c r="G201">
        <v>0.98276031500000005</v>
      </c>
      <c r="H201">
        <v>1.3191744510000001</v>
      </c>
      <c r="I201">
        <v>0.829579921</v>
      </c>
      <c r="J201">
        <v>1.094454032</v>
      </c>
      <c r="L201">
        <v>-0.39536978900000003</v>
      </c>
      <c r="M201">
        <v>-0.53556139300000005</v>
      </c>
      <c r="N201">
        <v>1.2551062850000001</v>
      </c>
      <c r="O201">
        <v>0.25764500000000001</v>
      </c>
      <c r="P201">
        <v>1.0153186540000001</v>
      </c>
      <c r="Q201">
        <v>3.6257191099999999</v>
      </c>
      <c r="R201">
        <v>0.40455999999999998</v>
      </c>
      <c r="S201">
        <v>1.1790248999999999</v>
      </c>
      <c r="T201">
        <v>0.30366335900000002</v>
      </c>
      <c r="U201">
        <v>0.50955700000000004</v>
      </c>
      <c r="V201">
        <v>1.7933402140000001</v>
      </c>
      <c r="W201">
        <v>0.57090113099999995</v>
      </c>
      <c r="X201">
        <v>0.95808593399999997</v>
      </c>
      <c r="Y201">
        <v>0.75236000000000003</v>
      </c>
      <c r="Z201">
        <v>6.30810374</v>
      </c>
      <c r="AA201">
        <v>4.414953262</v>
      </c>
      <c r="AB201">
        <v>1.099180974</v>
      </c>
      <c r="AC201">
        <v>0.335582871</v>
      </c>
      <c r="AD201">
        <v>0.25552414699999998</v>
      </c>
      <c r="AE201">
        <v>0.46806386999999999</v>
      </c>
      <c r="AF201">
        <v>0.63123884100000005</v>
      </c>
      <c r="AG201">
        <v>-0.83347840900000003</v>
      </c>
      <c r="AH201">
        <v>0.17615636500000001</v>
      </c>
      <c r="AI201">
        <v>1.0909732759999999</v>
      </c>
      <c r="AJ201">
        <v>2.6850251150000002</v>
      </c>
      <c r="AK201">
        <v>-0.37724371899999998</v>
      </c>
      <c r="AL201">
        <v>0.623056893</v>
      </c>
      <c r="AM201">
        <v>7.2096936810000001</v>
      </c>
      <c r="AN201">
        <v>1.644745127</v>
      </c>
      <c r="AP201">
        <v>0.99093366299999996</v>
      </c>
      <c r="AQ201">
        <v>0.53275881700000005</v>
      </c>
      <c r="AR201">
        <v>0.88282603100000001</v>
      </c>
      <c r="AT201">
        <v>0.64556077700000003</v>
      </c>
      <c r="AU201">
        <v>0.46421678</v>
      </c>
    </row>
    <row r="202" spans="1:47" x14ac:dyDescent="0.2">
      <c r="A202" t="s">
        <v>266</v>
      </c>
      <c r="B202" s="73">
        <v>35612</v>
      </c>
      <c r="C202">
        <v>1.4875138809999999</v>
      </c>
      <c r="D202">
        <v>2.9734601230000002</v>
      </c>
      <c r="E202">
        <v>0.31353764299999998</v>
      </c>
      <c r="F202">
        <v>1.546782044</v>
      </c>
      <c r="G202">
        <v>0.67702877699999997</v>
      </c>
      <c r="H202">
        <v>1.1296315130000001</v>
      </c>
      <c r="I202">
        <v>0.49091965500000001</v>
      </c>
      <c r="J202">
        <v>2.3478963209999999</v>
      </c>
      <c r="L202">
        <v>-0.32452367999999998</v>
      </c>
      <c r="M202">
        <v>1.294704697</v>
      </c>
      <c r="N202">
        <v>1.7174871949999999</v>
      </c>
      <c r="O202">
        <v>1.239738</v>
      </c>
      <c r="P202">
        <v>0.90700166900000001</v>
      </c>
      <c r="Q202">
        <v>4.2028343680000004</v>
      </c>
      <c r="R202">
        <v>1.224764</v>
      </c>
      <c r="S202">
        <v>1.5184028249999999</v>
      </c>
      <c r="T202">
        <v>1.1502289800000001</v>
      </c>
      <c r="U202">
        <v>1.051442</v>
      </c>
      <c r="V202">
        <v>0.84506965300000003</v>
      </c>
      <c r="W202">
        <v>1.714354301</v>
      </c>
      <c r="X202">
        <v>1.050733752</v>
      </c>
      <c r="Y202">
        <v>0.40984999999999999</v>
      </c>
      <c r="Z202">
        <v>3.8332370060000001</v>
      </c>
      <c r="AA202">
        <v>0.60046170700000001</v>
      </c>
      <c r="AB202">
        <v>0.58849035000000005</v>
      </c>
      <c r="AC202">
        <v>1.327081722</v>
      </c>
      <c r="AD202">
        <v>-0.76534829500000001</v>
      </c>
      <c r="AE202">
        <v>3.5505527730000002</v>
      </c>
      <c r="AF202">
        <v>1.2107655390000001</v>
      </c>
      <c r="AG202">
        <v>4.1880061790000003</v>
      </c>
      <c r="AH202">
        <v>2.2963197540000002</v>
      </c>
      <c r="AI202">
        <v>1.041229521</v>
      </c>
      <c r="AJ202">
        <v>2.4121600569999999</v>
      </c>
      <c r="AK202">
        <v>1.961626372</v>
      </c>
      <c r="AL202">
        <v>1.2767362179999999</v>
      </c>
      <c r="AM202">
        <v>1.3724340429999999</v>
      </c>
      <c r="AN202">
        <v>0.90861801399999997</v>
      </c>
      <c r="AP202">
        <v>1.485837377</v>
      </c>
      <c r="AQ202">
        <v>2.2679827220000002</v>
      </c>
      <c r="AR202">
        <v>1.216006264</v>
      </c>
      <c r="AT202">
        <v>1.661978105</v>
      </c>
      <c r="AU202">
        <v>0.62741087299999998</v>
      </c>
    </row>
    <row r="203" spans="1:47" x14ac:dyDescent="0.2">
      <c r="A203" t="s">
        <v>267</v>
      </c>
      <c r="B203" s="73">
        <v>35704</v>
      </c>
      <c r="C203">
        <v>2.5172173440000001</v>
      </c>
      <c r="D203">
        <v>0.140951885</v>
      </c>
      <c r="E203">
        <v>1.2341465659999999</v>
      </c>
      <c r="F203">
        <v>0.88144439699999999</v>
      </c>
      <c r="G203">
        <v>1.242090664</v>
      </c>
      <c r="H203">
        <v>1.1834338419999999</v>
      </c>
      <c r="I203">
        <v>1.2221782459999999</v>
      </c>
      <c r="J203">
        <v>2.3691645549999998</v>
      </c>
      <c r="L203">
        <v>-0.67938378799999999</v>
      </c>
      <c r="M203">
        <v>0.34168294199999999</v>
      </c>
      <c r="N203">
        <v>-0.28229916399999999</v>
      </c>
      <c r="O203">
        <v>0.77537699999999998</v>
      </c>
      <c r="P203">
        <v>1.18948225</v>
      </c>
      <c r="Q203">
        <v>2.6933113899999999</v>
      </c>
      <c r="R203">
        <v>0.71014200000000005</v>
      </c>
      <c r="S203">
        <v>2.3572537059999998</v>
      </c>
      <c r="T203">
        <v>0.78367447000000001</v>
      </c>
      <c r="U203">
        <v>0.85019800000000001</v>
      </c>
      <c r="V203">
        <v>0.67998449800000005</v>
      </c>
      <c r="W203">
        <v>1.595103859</v>
      </c>
      <c r="X203">
        <v>0.89741363799999996</v>
      </c>
      <c r="Y203">
        <v>1.1928300000000001</v>
      </c>
      <c r="Z203">
        <v>1.0060839880000001</v>
      </c>
      <c r="AA203">
        <v>-1.247558344</v>
      </c>
      <c r="AB203">
        <v>-3.7633400999999997E-2</v>
      </c>
      <c r="AC203">
        <v>0.67142846</v>
      </c>
      <c r="AD203">
        <v>0.20715568400000001</v>
      </c>
      <c r="AE203">
        <v>0.79174437600000003</v>
      </c>
      <c r="AF203">
        <v>1.135210979</v>
      </c>
      <c r="AG203">
        <v>1.7678696599999999</v>
      </c>
      <c r="AH203">
        <v>1.902721447</v>
      </c>
      <c r="AI203">
        <v>1.45275968</v>
      </c>
      <c r="AJ203">
        <v>-0.107436238</v>
      </c>
      <c r="AK203">
        <v>-0.244500051</v>
      </c>
      <c r="AL203">
        <v>0.90234289400000001</v>
      </c>
      <c r="AM203">
        <v>-0.257967265</v>
      </c>
      <c r="AN203">
        <v>1.3009623269999999</v>
      </c>
      <c r="AP203">
        <v>1.6589719599999999</v>
      </c>
      <c r="AQ203">
        <v>0.88082978300000003</v>
      </c>
      <c r="AR203">
        <v>0.75070538099999995</v>
      </c>
      <c r="AT203">
        <v>1.2507785730000001</v>
      </c>
      <c r="AU203">
        <v>9.9423794999999995E-2</v>
      </c>
    </row>
    <row r="204" spans="1:47" x14ac:dyDescent="0.2">
      <c r="A204" t="s">
        <v>268</v>
      </c>
      <c r="B204" s="73">
        <v>35796</v>
      </c>
      <c r="C204">
        <v>1.3514575719999999</v>
      </c>
      <c r="D204">
        <v>1.446165615</v>
      </c>
      <c r="E204">
        <v>1.058748215</v>
      </c>
      <c r="F204">
        <v>0.55697806400000005</v>
      </c>
      <c r="G204">
        <v>0.77526590299999998</v>
      </c>
      <c r="H204">
        <v>0.96832222199999995</v>
      </c>
      <c r="I204">
        <v>0.73290324399999995</v>
      </c>
      <c r="J204">
        <v>2.0454828370000002</v>
      </c>
      <c r="L204">
        <v>-0.17362503800000001</v>
      </c>
      <c r="M204">
        <v>0.71887790299999998</v>
      </c>
      <c r="N204">
        <v>-1.3656432E-2</v>
      </c>
      <c r="O204">
        <v>1.1279049999999999</v>
      </c>
      <c r="P204">
        <v>1.3791626850000001</v>
      </c>
      <c r="Q204">
        <v>3.1319192710000001</v>
      </c>
      <c r="R204">
        <v>1.1201650000000001</v>
      </c>
      <c r="S204">
        <v>2.9460201279999998</v>
      </c>
      <c r="T204">
        <v>1.0935261599999999</v>
      </c>
      <c r="U204">
        <v>0.81558600000000003</v>
      </c>
      <c r="V204">
        <v>1.197077698</v>
      </c>
      <c r="W204">
        <v>0.95343378199999995</v>
      </c>
      <c r="X204">
        <v>0.86310619099999997</v>
      </c>
      <c r="Y204">
        <v>1.6008599999999999</v>
      </c>
      <c r="Z204">
        <v>1.3205921169999999</v>
      </c>
      <c r="AA204">
        <v>2.886175782</v>
      </c>
      <c r="AB204">
        <v>1.7847353349999999</v>
      </c>
      <c r="AC204">
        <v>1.780133338</v>
      </c>
      <c r="AD204">
        <v>4.2033110999999998E-2</v>
      </c>
      <c r="AE204">
        <v>-0.45599433099999997</v>
      </c>
      <c r="AF204">
        <v>1.1201756650000001</v>
      </c>
      <c r="AG204">
        <v>0.29178139600000003</v>
      </c>
      <c r="AH204">
        <v>2.47940198</v>
      </c>
      <c r="AI204">
        <v>1.282980368</v>
      </c>
      <c r="AJ204">
        <v>1.412751042</v>
      </c>
      <c r="AK204">
        <v>-0.195399566</v>
      </c>
      <c r="AL204">
        <v>0.93089227200000002</v>
      </c>
      <c r="AM204">
        <v>1.6761036220000001</v>
      </c>
      <c r="AN204">
        <v>0.67232428600000005</v>
      </c>
      <c r="AP204">
        <v>-0.52718473499999996</v>
      </c>
      <c r="AQ204">
        <v>0.38296307800000001</v>
      </c>
      <c r="AR204">
        <v>2.0253977820000002</v>
      </c>
      <c r="AT204">
        <v>0.85874356299999999</v>
      </c>
      <c r="AU204">
        <v>1.3815328999999999E-2</v>
      </c>
    </row>
    <row r="205" spans="1:47" x14ac:dyDescent="0.2">
      <c r="A205" t="s">
        <v>269</v>
      </c>
      <c r="B205" s="73">
        <v>35886</v>
      </c>
      <c r="C205">
        <v>0.51742156399999994</v>
      </c>
      <c r="D205">
        <v>0.67375231400000002</v>
      </c>
      <c r="E205">
        <v>0.76811503299999995</v>
      </c>
      <c r="F205">
        <v>0.25988344600000002</v>
      </c>
      <c r="G205">
        <v>-1.9322109730000001</v>
      </c>
      <c r="H205">
        <v>1.41241503</v>
      </c>
      <c r="I205">
        <v>1.0176199420000001</v>
      </c>
      <c r="J205">
        <v>-0.40594957799999998</v>
      </c>
      <c r="L205">
        <v>1.3075171E-2</v>
      </c>
      <c r="M205">
        <v>0.94533074800000005</v>
      </c>
      <c r="N205">
        <v>1.5077876960000001</v>
      </c>
      <c r="O205">
        <v>0.64482099999999998</v>
      </c>
      <c r="P205">
        <v>0.87619891400000005</v>
      </c>
      <c r="Q205">
        <v>0.81875018899999996</v>
      </c>
      <c r="R205">
        <v>0.70571700000000004</v>
      </c>
      <c r="S205">
        <v>-0.72875933199999998</v>
      </c>
      <c r="T205">
        <v>0.83942229300000004</v>
      </c>
      <c r="U205">
        <v>0.46980699999999997</v>
      </c>
      <c r="V205">
        <v>0.68894888700000001</v>
      </c>
      <c r="W205">
        <v>1.2009036099999999</v>
      </c>
      <c r="X205">
        <v>0.88332151699999994</v>
      </c>
      <c r="Y205">
        <v>1.6300699999999999</v>
      </c>
      <c r="Z205">
        <v>3.6370119679999999</v>
      </c>
      <c r="AA205">
        <v>-2.5101290280000002</v>
      </c>
      <c r="AB205">
        <v>1.410628668</v>
      </c>
      <c r="AC205">
        <v>-0.72167550300000005</v>
      </c>
      <c r="AD205">
        <v>-1.221675195</v>
      </c>
      <c r="AE205">
        <v>-6.8180219849999997</v>
      </c>
      <c r="AF205">
        <v>1.0722199189999999</v>
      </c>
      <c r="AG205">
        <v>5.6259529910000001</v>
      </c>
      <c r="AH205">
        <v>0.92131326199999997</v>
      </c>
      <c r="AI205">
        <v>1.3490372850000001</v>
      </c>
      <c r="AJ205">
        <v>0.96486338400000005</v>
      </c>
      <c r="AK205">
        <v>-0.56334963999999998</v>
      </c>
      <c r="AL205">
        <v>0.41737807199999999</v>
      </c>
      <c r="AM205">
        <v>2.7752652360000001</v>
      </c>
      <c r="AN205">
        <v>1.4476665689999999</v>
      </c>
      <c r="AP205">
        <v>1.7639854370000001</v>
      </c>
      <c r="AQ205">
        <v>0.63074731500000003</v>
      </c>
      <c r="AR205">
        <v>0.39102817000000001</v>
      </c>
      <c r="AT205">
        <v>0.999375401</v>
      </c>
      <c r="AU205">
        <v>0.26270384400000002</v>
      </c>
    </row>
    <row r="206" spans="1:47" x14ac:dyDescent="0.2">
      <c r="A206" t="s">
        <v>270</v>
      </c>
      <c r="B206" s="73">
        <v>35977</v>
      </c>
      <c r="C206">
        <v>1.9595053579999999</v>
      </c>
      <c r="D206">
        <v>0.91716663300000001</v>
      </c>
      <c r="E206">
        <v>1.077008051</v>
      </c>
      <c r="F206">
        <v>0.33252166599999999</v>
      </c>
      <c r="G206">
        <v>1.6228064259999999</v>
      </c>
      <c r="H206">
        <v>5.3398141000000003E-2</v>
      </c>
      <c r="I206">
        <v>0.97118978300000003</v>
      </c>
      <c r="J206">
        <v>2.0023046070000001</v>
      </c>
      <c r="L206">
        <v>0.26650796900000001</v>
      </c>
      <c r="M206">
        <v>-0.43412806199999998</v>
      </c>
      <c r="N206">
        <v>-0.75521729999999998</v>
      </c>
      <c r="O206">
        <v>0.46161799999999997</v>
      </c>
      <c r="P206">
        <v>1.1279904000000001</v>
      </c>
      <c r="Q206">
        <v>-0.56528532099999995</v>
      </c>
      <c r="R206">
        <v>0.43639299999999998</v>
      </c>
      <c r="S206">
        <v>2.0181608899999999</v>
      </c>
      <c r="T206">
        <v>0.93121021500000001</v>
      </c>
      <c r="U206">
        <v>0.47070699999999999</v>
      </c>
      <c r="V206">
        <v>0.71752196000000001</v>
      </c>
      <c r="W206">
        <v>0.44231389199999999</v>
      </c>
      <c r="X206">
        <v>1.4622931480000001</v>
      </c>
      <c r="Y206">
        <v>1.31074</v>
      </c>
      <c r="Z206">
        <v>2.4005279609999999</v>
      </c>
      <c r="AA206">
        <v>10.151884432999999</v>
      </c>
      <c r="AB206">
        <v>0.10885400100000001</v>
      </c>
      <c r="AC206">
        <v>0.560939403</v>
      </c>
      <c r="AD206">
        <v>-0.44268316899999999</v>
      </c>
      <c r="AE206">
        <v>-0.80793206900000003</v>
      </c>
      <c r="AF206">
        <v>3.5119039920000001</v>
      </c>
      <c r="AG206">
        <v>-0.39526280000000003</v>
      </c>
      <c r="AH206">
        <v>0.71730745399999996</v>
      </c>
      <c r="AI206">
        <v>0.715690359</v>
      </c>
      <c r="AJ206">
        <v>1.1331350650000001</v>
      </c>
      <c r="AK206">
        <v>0.49457707699999998</v>
      </c>
      <c r="AL206">
        <v>0.46847833300000002</v>
      </c>
      <c r="AM206">
        <v>-0.267009039</v>
      </c>
      <c r="AN206">
        <v>1.535719128</v>
      </c>
      <c r="AP206">
        <v>1.5615062000000001E-2</v>
      </c>
      <c r="AQ206">
        <v>0.69526741999999997</v>
      </c>
      <c r="AR206">
        <v>1.3622917939999999</v>
      </c>
      <c r="AS206">
        <v>-0.79654295600000002</v>
      </c>
      <c r="AT206">
        <v>0.92582050699999996</v>
      </c>
      <c r="AU206">
        <v>0.14142531699999999</v>
      </c>
    </row>
    <row r="207" spans="1:47" x14ac:dyDescent="0.2">
      <c r="A207" t="s">
        <v>271</v>
      </c>
      <c r="B207" s="73">
        <v>36069</v>
      </c>
      <c r="C207">
        <v>-0.30461429800000001</v>
      </c>
      <c r="D207">
        <v>1.888914041</v>
      </c>
      <c r="E207">
        <v>0.61090309399999998</v>
      </c>
      <c r="F207">
        <v>0.29227557399999998</v>
      </c>
      <c r="G207">
        <v>6.1477771000000001E-2</v>
      </c>
      <c r="H207">
        <v>0.91021039000000004</v>
      </c>
      <c r="I207">
        <v>9.0706887E-2</v>
      </c>
      <c r="J207">
        <v>-0.46389836600000001</v>
      </c>
      <c r="L207">
        <v>-5.7180188E-2</v>
      </c>
      <c r="M207">
        <v>0.49831883300000002</v>
      </c>
      <c r="N207">
        <v>1.837315059</v>
      </c>
      <c r="O207">
        <v>0.594086</v>
      </c>
      <c r="P207">
        <v>0.94473955300000001</v>
      </c>
      <c r="Q207">
        <v>-0.101683815</v>
      </c>
      <c r="R207">
        <v>0.61844299999999996</v>
      </c>
      <c r="S207">
        <v>1.2561428139999999</v>
      </c>
      <c r="T207">
        <v>0.68859550599999997</v>
      </c>
      <c r="U207">
        <v>0.80574999999999997</v>
      </c>
      <c r="V207">
        <v>0.52381564400000002</v>
      </c>
      <c r="W207">
        <v>0.34917263199999998</v>
      </c>
      <c r="X207">
        <v>0.88246729499999998</v>
      </c>
      <c r="Y207">
        <v>1.8147500000000001</v>
      </c>
      <c r="Z207">
        <v>3.1273228259999999</v>
      </c>
      <c r="AA207">
        <v>-0.37934729900000003</v>
      </c>
      <c r="AB207">
        <v>0.88796392400000002</v>
      </c>
      <c r="AC207">
        <v>0.15916772900000001</v>
      </c>
      <c r="AD207">
        <v>0.18259545099999999</v>
      </c>
      <c r="AE207">
        <v>1.7471518049999999</v>
      </c>
      <c r="AF207">
        <v>1.8494432059999999</v>
      </c>
      <c r="AG207">
        <v>-0.95320815599999997</v>
      </c>
      <c r="AH207">
        <v>0.51689483199999997</v>
      </c>
      <c r="AI207">
        <v>0.85358416100000001</v>
      </c>
      <c r="AJ207">
        <v>-1.7936721710000001</v>
      </c>
      <c r="AK207">
        <v>9.4914284000000002E-2</v>
      </c>
      <c r="AL207">
        <v>0.71509808500000005</v>
      </c>
      <c r="AM207">
        <v>0.84370190700000003</v>
      </c>
      <c r="AN207">
        <v>1.1085038810000001</v>
      </c>
      <c r="AP207">
        <v>-0.81668217200000004</v>
      </c>
      <c r="AQ207">
        <v>0.87794992000000005</v>
      </c>
      <c r="AR207">
        <v>0.53743906299999999</v>
      </c>
      <c r="AS207">
        <v>-1.4070748980000001</v>
      </c>
      <c r="AT207">
        <v>1.252764553</v>
      </c>
      <c r="AU207">
        <v>-0.219033432</v>
      </c>
    </row>
    <row r="208" spans="1:47" x14ac:dyDescent="0.2">
      <c r="A208" t="s">
        <v>272</v>
      </c>
      <c r="B208" s="73">
        <v>36161</v>
      </c>
      <c r="C208">
        <v>-2.5492660520000001</v>
      </c>
      <c r="D208">
        <v>1.5013275930000001</v>
      </c>
      <c r="E208">
        <v>0.39467176700000001</v>
      </c>
      <c r="F208">
        <v>0.22377185699999999</v>
      </c>
      <c r="G208">
        <v>-1.185586722</v>
      </c>
      <c r="H208">
        <v>1.3606703760000001</v>
      </c>
      <c r="I208">
        <v>-0.275672537</v>
      </c>
      <c r="J208">
        <v>-3.5082873120000002</v>
      </c>
      <c r="L208">
        <v>9.0779618000000006E-2</v>
      </c>
      <c r="M208">
        <v>-0.43387041999999998</v>
      </c>
      <c r="N208">
        <v>0.320757081</v>
      </c>
      <c r="O208">
        <v>0.139823</v>
      </c>
      <c r="P208">
        <v>1.0984668479999999</v>
      </c>
      <c r="Q208">
        <v>-1.820651625</v>
      </c>
      <c r="R208">
        <v>0.18376600000000001</v>
      </c>
      <c r="S208">
        <v>0.88646774800000006</v>
      </c>
      <c r="T208">
        <v>0.76300393499999997</v>
      </c>
      <c r="U208">
        <v>0.97349600000000003</v>
      </c>
      <c r="V208">
        <v>0.73009461499999995</v>
      </c>
      <c r="W208">
        <v>0.78799276399999996</v>
      </c>
      <c r="X208">
        <v>8.3044420999999993E-2</v>
      </c>
      <c r="Y208">
        <v>1.31071</v>
      </c>
      <c r="Z208">
        <v>-3.1775420529999998</v>
      </c>
      <c r="AA208">
        <v>3.3518854450000002</v>
      </c>
      <c r="AB208">
        <v>0.89684069899999996</v>
      </c>
      <c r="AC208">
        <v>-0.491645</v>
      </c>
      <c r="AD208">
        <v>0.80728165799999996</v>
      </c>
      <c r="AE208">
        <v>2.4960498219999998</v>
      </c>
      <c r="AF208">
        <v>0.61630633800000001</v>
      </c>
      <c r="AG208">
        <v>-2.5265988749999999</v>
      </c>
      <c r="AH208">
        <v>0.133646182</v>
      </c>
      <c r="AI208">
        <v>0.91511237599999995</v>
      </c>
      <c r="AJ208">
        <v>0.51143929300000002</v>
      </c>
      <c r="AK208">
        <v>1.012546623</v>
      </c>
      <c r="AL208">
        <v>0.84919036400000003</v>
      </c>
      <c r="AM208">
        <v>0.21182715299999999</v>
      </c>
      <c r="AN208">
        <v>0.75321015199999997</v>
      </c>
      <c r="AP208">
        <v>7.5248984429999997</v>
      </c>
      <c r="AQ208">
        <v>0.76404184200000003</v>
      </c>
      <c r="AR208">
        <v>1.176019871</v>
      </c>
      <c r="AS208">
        <v>-0.25868815899999997</v>
      </c>
      <c r="AT208">
        <v>1.6161907019999999</v>
      </c>
      <c r="AU208">
        <v>9.6284365999999996E-2</v>
      </c>
    </row>
    <row r="209" spans="1:47" x14ac:dyDescent="0.2">
      <c r="A209" t="s">
        <v>273</v>
      </c>
      <c r="B209" s="73">
        <v>36251</v>
      </c>
      <c r="C209">
        <v>-1.245853391</v>
      </c>
      <c r="D209">
        <v>0.74458427100000002</v>
      </c>
      <c r="E209">
        <v>0.69202652099999995</v>
      </c>
      <c r="F209">
        <v>1.0449659899999999</v>
      </c>
      <c r="G209">
        <v>0.32565611900000002</v>
      </c>
      <c r="H209">
        <v>1.8138161740000001</v>
      </c>
      <c r="I209">
        <v>0.19523223100000001</v>
      </c>
      <c r="J209">
        <v>-0.31876079400000001</v>
      </c>
      <c r="L209">
        <v>8.9339538999999996E-2</v>
      </c>
      <c r="M209">
        <v>1.157924524</v>
      </c>
      <c r="N209">
        <v>0.90603632300000003</v>
      </c>
      <c r="O209">
        <v>0.99034599999999995</v>
      </c>
      <c r="P209">
        <v>0.99846124199999997</v>
      </c>
      <c r="Q209">
        <v>-0.75795103600000002</v>
      </c>
      <c r="R209">
        <v>0.94077900000000003</v>
      </c>
      <c r="S209">
        <v>1.649363081</v>
      </c>
      <c r="T209">
        <v>0.50419619800000004</v>
      </c>
      <c r="U209">
        <v>0.53609899999999999</v>
      </c>
      <c r="V209">
        <v>0.59968500300000005</v>
      </c>
      <c r="W209">
        <v>0.76233132400000003</v>
      </c>
      <c r="X209">
        <v>9.7280485999999999E-2</v>
      </c>
      <c r="Y209">
        <v>1.62415</v>
      </c>
      <c r="Z209">
        <v>6.8659438579999996</v>
      </c>
      <c r="AA209">
        <v>-0.248516558</v>
      </c>
      <c r="AB209">
        <v>-0.91209779300000005</v>
      </c>
      <c r="AC209">
        <v>0.60956432299999996</v>
      </c>
      <c r="AD209">
        <v>-1.3771331499999999</v>
      </c>
      <c r="AE209">
        <v>3.03463255</v>
      </c>
      <c r="AF209">
        <v>2.745075645</v>
      </c>
      <c r="AG209">
        <v>3.3559908040000002</v>
      </c>
      <c r="AH209">
        <v>1.0138327579999999</v>
      </c>
      <c r="AI209">
        <v>1.6667538310000001</v>
      </c>
      <c r="AJ209">
        <v>0.723084018</v>
      </c>
      <c r="AK209">
        <v>1.186880586</v>
      </c>
      <c r="AL209">
        <v>0.63209850499999998</v>
      </c>
      <c r="AM209">
        <v>0.58914198600000001</v>
      </c>
      <c r="AN209">
        <v>1.3291963899999999</v>
      </c>
      <c r="AP209">
        <v>-3.3366994139999999</v>
      </c>
      <c r="AQ209">
        <v>1.6419217319999999</v>
      </c>
      <c r="AR209">
        <v>1.1143871940000001</v>
      </c>
      <c r="AS209">
        <v>-1.6858202179999999</v>
      </c>
      <c r="AT209">
        <v>0.94382661499999998</v>
      </c>
      <c r="AU209">
        <v>0.96106894399999998</v>
      </c>
    </row>
    <row r="210" spans="1:47" x14ac:dyDescent="0.2">
      <c r="A210" t="s">
        <v>274</v>
      </c>
      <c r="B210" s="73">
        <v>36342</v>
      </c>
      <c r="C210">
        <v>-1.1299073589999999</v>
      </c>
      <c r="D210">
        <v>0.32270243700000001</v>
      </c>
      <c r="E210">
        <v>1.286765712</v>
      </c>
      <c r="F210">
        <v>1.3681735850000001</v>
      </c>
      <c r="G210">
        <v>0.23772237099999999</v>
      </c>
      <c r="H210">
        <v>0.83654469799999998</v>
      </c>
      <c r="I210">
        <v>0.65890441200000005</v>
      </c>
      <c r="J210">
        <v>0.27399643800000001</v>
      </c>
      <c r="L210">
        <v>0.34645823100000001</v>
      </c>
      <c r="M210">
        <v>8.1340000000000004E-6</v>
      </c>
      <c r="N210">
        <v>0.51638309299999996</v>
      </c>
      <c r="O210">
        <v>0.57680399999999998</v>
      </c>
      <c r="P210">
        <v>1.186014726</v>
      </c>
      <c r="Q210">
        <v>0.87740795999999999</v>
      </c>
      <c r="R210">
        <v>0.60871600000000003</v>
      </c>
      <c r="S210">
        <v>0.531208499</v>
      </c>
      <c r="T210">
        <v>0.82691567600000004</v>
      </c>
      <c r="U210">
        <v>0.59867199999999998</v>
      </c>
      <c r="V210">
        <v>0.30050135100000003</v>
      </c>
      <c r="W210">
        <v>0.93320508999999996</v>
      </c>
      <c r="X210">
        <v>1.029073739</v>
      </c>
      <c r="Y210">
        <v>2.58223</v>
      </c>
      <c r="Z210">
        <v>1.644811705</v>
      </c>
      <c r="AA210">
        <v>-2.494298133</v>
      </c>
      <c r="AB210">
        <v>4.2445717289999996</v>
      </c>
      <c r="AC210">
        <v>0.35773633599999999</v>
      </c>
      <c r="AD210">
        <v>0.37722423100000002</v>
      </c>
      <c r="AE210">
        <v>4.3831648489999999</v>
      </c>
      <c r="AF210">
        <v>2.1591418889999998</v>
      </c>
      <c r="AG210">
        <v>-1.4731602500000001</v>
      </c>
      <c r="AH210">
        <v>0.59102523100000004</v>
      </c>
      <c r="AI210">
        <v>1.1129019090000001</v>
      </c>
      <c r="AJ210">
        <v>4.5625461999999999E-2</v>
      </c>
      <c r="AK210">
        <v>0.82712648099999997</v>
      </c>
      <c r="AL210">
        <v>0.74043004000000001</v>
      </c>
      <c r="AM210">
        <v>2.32123686</v>
      </c>
      <c r="AN210">
        <v>0.52210511000000004</v>
      </c>
      <c r="AP210">
        <v>-1.697182763</v>
      </c>
      <c r="AQ210">
        <v>4.2641123240000001</v>
      </c>
      <c r="AR210">
        <v>0.66408439399999997</v>
      </c>
      <c r="AS210">
        <v>-0.563715666</v>
      </c>
      <c r="AT210">
        <v>0.83500003</v>
      </c>
      <c r="AU210">
        <v>0.79589022200000004</v>
      </c>
    </row>
    <row r="211" spans="1:47" x14ac:dyDescent="0.2">
      <c r="A211" t="s">
        <v>275</v>
      </c>
      <c r="B211" s="73">
        <v>36434</v>
      </c>
      <c r="C211">
        <v>-0.28815049799999998</v>
      </c>
      <c r="D211">
        <v>1.1549385780000001</v>
      </c>
      <c r="E211">
        <v>1.30652955</v>
      </c>
      <c r="F211">
        <v>1.452361037</v>
      </c>
      <c r="G211">
        <v>0.168849113</v>
      </c>
      <c r="H211">
        <v>1.5646760900000001</v>
      </c>
      <c r="I211">
        <v>0.56518867100000003</v>
      </c>
      <c r="J211">
        <v>2.503274545</v>
      </c>
      <c r="L211">
        <v>0.98779551399999999</v>
      </c>
      <c r="M211">
        <v>1.1569204099999999</v>
      </c>
      <c r="N211">
        <v>0.61805336700000002</v>
      </c>
      <c r="O211">
        <v>1.1539200000000001</v>
      </c>
      <c r="P211">
        <v>1.329460179</v>
      </c>
      <c r="Q211">
        <v>1.031388083</v>
      </c>
      <c r="R211">
        <v>1.144568</v>
      </c>
      <c r="S211">
        <v>0.53320523600000003</v>
      </c>
      <c r="T211">
        <v>1.225717301</v>
      </c>
      <c r="U211">
        <v>1.168577</v>
      </c>
      <c r="V211">
        <v>1.596845332</v>
      </c>
      <c r="W211">
        <v>0.38279775599999999</v>
      </c>
      <c r="X211">
        <v>1.808230899</v>
      </c>
      <c r="Y211">
        <v>1.24533</v>
      </c>
      <c r="Z211">
        <v>3.2306547839999999</v>
      </c>
      <c r="AA211">
        <v>0.71985595899999999</v>
      </c>
      <c r="AB211">
        <v>0.36045063999999999</v>
      </c>
      <c r="AC211">
        <v>0.88728130100000002</v>
      </c>
      <c r="AD211">
        <v>0.53297525999999995</v>
      </c>
      <c r="AE211">
        <v>2.7811709840000001</v>
      </c>
      <c r="AF211">
        <v>2.875859911</v>
      </c>
      <c r="AG211">
        <v>3.5304793800000001</v>
      </c>
      <c r="AH211">
        <v>0.97608955600000002</v>
      </c>
      <c r="AI211">
        <v>1.37722889</v>
      </c>
      <c r="AJ211">
        <v>2.054725586</v>
      </c>
      <c r="AK211">
        <v>2.8033760499999998</v>
      </c>
      <c r="AL211">
        <v>1.165489024</v>
      </c>
      <c r="AM211">
        <v>2.2126828120000002</v>
      </c>
      <c r="AN211">
        <v>0.98039887299999995</v>
      </c>
      <c r="AP211">
        <v>-0.62358275500000004</v>
      </c>
      <c r="AQ211">
        <v>-2.581356091</v>
      </c>
      <c r="AR211">
        <v>0.76671920299999996</v>
      </c>
      <c r="AS211">
        <v>-1.6866180550000001</v>
      </c>
      <c r="AT211">
        <v>1.3230270260000001</v>
      </c>
      <c r="AU211">
        <v>1.0918972440000001</v>
      </c>
    </row>
    <row r="212" spans="1:47" x14ac:dyDescent="0.2">
      <c r="A212" t="s">
        <v>276</v>
      </c>
      <c r="B212" s="73">
        <v>36526</v>
      </c>
      <c r="C212">
        <v>1.6728210139999999</v>
      </c>
      <c r="D212">
        <v>1.706134855</v>
      </c>
      <c r="E212">
        <v>0.57316718300000002</v>
      </c>
      <c r="F212">
        <v>1.1842302499999999</v>
      </c>
      <c r="G212">
        <v>1.4018937520000001</v>
      </c>
      <c r="H212">
        <v>1.4066963400000001</v>
      </c>
      <c r="I212">
        <v>2.461727073</v>
      </c>
      <c r="J212">
        <v>2.2353658429999999</v>
      </c>
      <c r="L212">
        <v>1.045600273</v>
      </c>
      <c r="M212">
        <v>0.76650885599999996</v>
      </c>
      <c r="N212">
        <v>1.3987960589999999</v>
      </c>
      <c r="O212">
        <v>1.149953</v>
      </c>
      <c r="P212">
        <v>1.1342787249999999</v>
      </c>
      <c r="Q212">
        <v>2.5899817889999999</v>
      </c>
      <c r="R212">
        <v>1.198253</v>
      </c>
      <c r="S212">
        <v>0.85290393499999995</v>
      </c>
      <c r="T212">
        <v>1.3978103850000001</v>
      </c>
      <c r="U212">
        <v>1.2386360000000001</v>
      </c>
      <c r="V212">
        <v>1.368329551</v>
      </c>
      <c r="W212">
        <v>1.5989245139999999</v>
      </c>
      <c r="X212">
        <v>1.1551368070000001</v>
      </c>
      <c r="Y212">
        <v>1.65076</v>
      </c>
      <c r="Z212">
        <v>1.726048413</v>
      </c>
      <c r="AA212">
        <v>4.6239183180000003</v>
      </c>
      <c r="AB212">
        <v>1.9678014260000001</v>
      </c>
      <c r="AC212">
        <v>1.561980076</v>
      </c>
      <c r="AD212">
        <v>3.6211135999999998E-2</v>
      </c>
      <c r="AE212">
        <v>2.8862553750000002</v>
      </c>
      <c r="AF212">
        <v>-0.40823526199999999</v>
      </c>
      <c r="AG212">
        <v>3.3638674079999999</v>
      </c>
      <c r="AH212">
        <v>0.91738841000000004</v>
      </c>
      <c r="AI212">
        <v>1.406875109</v>
      </c>
      <c r="AJ212">
        <v>1.720275022</v>
      </c>
      <c r="AK212">
        <v>1.222504869</v>
      </c>
      <c r="AL212">
        <v>1.33009281</v>
      </c>
      <c r="AM212">
        <v>1.9536208880000001</v>
      </c>
      <c r="AN212">
        <v>0.57433716000000001</v>
      </c>
      <c r="AP212">
        <v>-0.45263072900000001</v>
      </c>
      <c r="AQ212">
        <v>1.7569163270000001</v>
      </c>
      <c r="AR212">
        <v>1.892553095</v>
      </c>
      <c r="AS212">
        <v>2.9874202940000001</v>
      </c>
      <c r="AT212">
        <v>1.642779005</v>
      </c>
      <c r="AU212">
        <v>1.0999821620000001</v>
      </c>
    </row>
    <row r="213" spans="1:47" x14ac:dyDescent="0.2">
      <c r="A213" t="s">
        <v>277</v>
      </c>
      <c r="B213" s="73">
        <v>36617</v>
      </c>
      <c r="C213">
        <v>-0.34000240700000001</v>
      </c>
      <c r="D213">
        <v>0.40341783599999997</v>
      </c>
      <c r="E213">
        <v>1.1289291889999999</v>
      </c>
      <c r="F213">
        <v>0.71111111100000002</v>
      </c>
      <c r="G213">
        <v>1.0500748870000001</v>
      </c>
      <c r="H213">
        <v>1.59973568</v>
      </c>
      <c r="I213">
        <v>0.77561070899999995</v>
      </c>
      <c r="J213">
        <v>0.37017625500000001</v>
      </c>
      <c r="L213">
        <v>1.357098004</v>
      </c>
      <c r="M213">
        <v>1.430876974</v>
      </c>
      <c r="N213">
        <v>0.97509966800000003</v>
      </c>
      <c r="O213">
        <v>1.212351</v>
      </c>
      <c r="P213">
        <v>1.5996598479999999</v>
      </c>
      <c r="Q213">
        <v>3.798031698</v>
      </c>
      <c r="R213">
        <v>1.1524890000000001</v>
      </c>
      <c r="S213">
        <v>2.9824228929999999</v>
      </c>
      <c r="T213">
        <v>0.90745361899999999</v>
      </c>
      <c r="U213">
        <v>0.87154600000000004</v>
      </c>
      <c r="V213">
        <v>0.98640668300000001</v>
      </c>
      <c r="W213">
        <v>0.37966255999999998</v>
      </c>
      <c r="X213">
        <v>0.85497277500000002</v>
      </c>
      <c r="Y213">
        <v>2.0995300000000001</v>
      </c>
      <c r="Z213">
        <v>1.6589572480000001</v>
      </c>
      <c r="AA213">
        <v>-0.29046496500000002</v>
      </c>
      <c r="AB213">
        <v>2.207206336</v>
      </c>
      <c r="AC213">
        <v>1.021350086</v>
      </c>
      <c r="AD213">
        <v>1.697874044</v>
      </c>
      <c r="AE213">
        <v>1.895051738</v>
      </c>
      <c r="AF213">
        <v>5.1756448109999997</v>
      </c>
      <c r="AG213">
        <v>0.75527529400000004</v>
      </c>
      <c r="AH213">
        <v>1.878067224</v>
      </c>
      <c r="AI213">
        <v>0.62271010999999998</v>
      </c>
      <c r="AJ213">
        <v>1.478193689</v>
      </c>
      <c r="AK213">
        <v>1.4554588479999999</v>
      </c>
      <c r="AL213">
        <v>0.99270965899999997</v>
      </c>
      <c r="AM213">
        <v>-0.34101710499999999</v>
      </c>
      <c r="AN213">
        <v>2.2254685850000002</v>
      </c>
      <c r="AP213">
        <v>1.0642609569999999</v>
      </c>
      <c r="AQ213">
        <v>1.046926722</v>
      </c>
      <c r="AR213">
        <v>0.65931146100000004</v>
      </c>
      <c r="AS213">
        <v>1.5748513790000001</v>
      </c>
      <c r="AT213">
        <v>0.36444736100000003</v>
      </c>
      <c r="AU213">
        <v>1.168839972</v>
      </c>
    </row>
    <row r="214" spans="1:47" x14ac:dyDescent="0.2">
      <c r="A214" t="s">
        <v>278</v>
      </c>
      <c r="B214" s="73">
        <v>36708</v>
      </c>
      <c r="C214">
        <v>-1.6088924600000001</v>
      </c>
      <c r="D214">
        <v>0.93695328600000005</v>
      </c>
      <c r="E214">
        <v>0.63212842899999999</v>
      </c>
      <c r="F214">
        <v>0.71957438500000004</v>
      </c>
      <c r="G214">
        <v>1.4110773599999999</v>
      </c>
      <c r="H214">
        <v>1.1885847089999999</v>
      </c>
      <c r="I214">
        <v>0.404782217</v>
      </c>
      <c r="J214">
        <v>-1.8166162E-2</v>
      </c>
      <c r="L214">
        <v>1.0430145470000001</v>
      </c>
      <c r="M214">
        <v>0.821432516</v>
      </c>
      <c r="N214">
        <v>1.1384173420000001</v>
      </c>
      <c r="O214">
        <v>0.91715599999999997</v>
      </c>
      <c r="P214">
        <v>1.2522319770000001</v>
      </c>
      <c r="Q214">
        <v>2.5042521080000002</v>
      </c>
      <c r="R214">
        <v>0.97898399999999997</v>
      </c>
      <c r="S214">
        <v>0.77059324200000001</v>
      </c>
      <c r="T214">
        <v>0.98986602700000004</v>
      </c>
      <c r="U214">
        <v>1.2552509999999999</v>
      </c>
      <c r="V214">
        <v>0.64698476999999999</v>
      </c>
      <c r="W214">
        <v>0.92199407799999999</v>
      </c>
      <c r="X214">
        <v>1.075929261</v>
      </c>
      <c r="Y214">
        <v>0.13491</v>
      </c>
      <c r="Z214">
        <v>3.3815064010000002</v>
      </c>
      <c r="AA214">
        <v>1.042824234</v>
      </c>
      <c r="AB214">
        <v>3.1358100530000002</v>
      </c>
      <c r="AC214">
        <v>0.81340988400000003</v>
      </c>
      <c r="AD214">
        <v>0.473742045</v>
      </c>
      <c r="AE214">
        <v>1.3325102150000001</v>
      </c>
      <c r="AF214">
        <v>-1.308913481</v>
      </c>
      <c r="AG214">
        <v>-0.20862075399999999</v>
      </c>
      <c r="AH214">
        <v>1.511846563</v>
      </c>
      <c r="AI214">
        <v>1.1168028889999999</v>
      </c>
      <c r="AJ214">
        <v>-1.4441220020000001</v>
      </c>
      <c r="AK214">
        <v>4.8513164999999997E-2</v>
      </c>
      <c r="AL214">
        <v>1.2604200539999999</v>
      </c>
      <c r="AM214">
        <v>1.204583059</v>
      </c>
      <c r="AN214">
        <v>-0.52848783099999996</v>
      </c>
      <c r="AP214">
        <v>0.99064799199999998</v>
      </c>
      <c r="AQ214">
        <v>1.415358143</v>
      </c>
      <c r="AR214">
        <v>2.5171457230000001</v>
      </c>
      <c r="AS214">
        <v>3.8933703569999998</v>
      </c>
      <c r="AT214">
        <v>1.8205830080000001</v>
      </c>
      <c r="AU214">
        <v>0.91999078599999995</v>
      </c>
    </row>
    <row r="215" spans="1:47" x14ac:dyDescent="0.2">
      <c r="A215" t="s">
        <v>279</v>
      </c>
      <c r="B215" s="73">
        <v>36800</v>
      </c>
      <c r="C215">
        <v>-0.25518508200000001</v>
      </c>
      <c r="D215">
        <v>0.24687658600000001</v>
      </c>
      <c r="E215">
        <v>0.45173307699999998</v>
      </c>
      <c r="F215">
        <v>0.46371237700000001</v>
      </c>
      <c r="G215">
        <v>1.179862953</v>
      </c>
      <c r="H215">
        <v>1.0169817880000001</v>
      </c>
      <c r="I215">
        <v>0.76723053799999996</v>
      </c>
      <c r="J215">
        <v>1.503206778</v>
      </c>
      <c r="L215">
        <v>1.3601614339999999</v>
      </c>
      <c r="M215">
        <v>-2.3611874000000001E-2</v>
      </c>
      <c r="N215">
        <v>0.27623821399999998</v>
      </c>
      <c r="O215">
        <v>0.53998599999999997</v>
      </c>
      <c r="P215">
        <v>1.0792242439999999</v>
      </c>
      <c r="Q215">
        <v>1.233841448</v>
      </c>
      <c r="R215">
        <v>0.54097499999999998</v>
      </c>
      <c r="S215">
        <v>1.5659240320000001</v>
      </c>
      <c r="T215">
        <v>0.6242801</v>
      </c>
      <c r="U215">
        <v>0.20846400000000001</v>
      </c>
      <c r="V215">
        <v>0.38235993800000001</v>
      </c>
      <c r="W215">
        <v>1.8684096670000001</v>
      </c>
      <c r="X215">
        <v>0.86965873199999999</v>
      </c>
      <c r="Y215">
        <v>1.32769</v>
      </c>
      <c r="Z215">
        <v>1.596829058</v>
      </c>
      <c r="AA215">
        <v>2.967164183</v>
      </c>
      <c r="AB215">
        <v>2.9788902849999999</v>
      </c>
      <c r="AC215">
        <v>0.61353429999999998</v>
      </c>
      <c r="AD215">
        <v>2.5553083000000001E-2</v>
      </c>
      <c r="AE215">
        <v>2.754591172</v>
      </c>
      <c r="AF215">
        <v>1.7424555669999999</v>
      </c>
      <c r="AG215">
        <v>3.1707479709999999</v>
      </c>
      <c r="AH215">
        <v>1.020215334</v>
      </c>
      <c r="AI215">
        <v>0.82516336300000004</v>
      </c>
      <c r="AJ215">
        <v>0.970594383</v>
      </c>
      <c r="AK215">
        <v>0.39117692300000001</v>
      </c>
      <c r="AL215">
        <v>0.47058596600000002</v>
      </c>
      <c r="AM215">
        <v>0.38722675899999998</v>
      </c>
      <c r="AN215">
        <v>1.4648645250000001</v>
      </c>
      <c r="AP215">
        <v>0.60860288900000004</v>
      </c>
      <c r="AQ215">
        <v>1.1661268629999999</v>
      </c>
      <c r="AR215">
        <v>0.78953867099999997</v>
      </c>
      <c r="AS215">
        <v>1.4893164219999999</v>
      </c>
      <c r="AT215">
        <v>9.9774128000000004E-2</v>
      </c>
      <c r="AU215">
        <v>0.99039428299999999</v>
      </c>
    </row>
    <row r="216" spans="1:47" x14ac:dyDescent="0.2">
      <c r="A216" t="s">
        <v>280</v>
      </c>
      <c r="B216" s="73">
        <v>36892</v>
      </c>
      <c r="C216">
        <v>0.30685813499999998</v>
      </c>
      <c r="D216">
        <v>-0.35428711200000002</v>
      </c>
      <c r="E216">
        <v>1.5776539700000001</v>
      </c>
      <c r="F216">
        <v>0.97766039900000001</v>
      </c>
      <c r="G216">
        <v>1.2270032150000001</v>
      </c>
      <c r="H216">
        <v>0.17120740000000001</v>
      </c>
      <c r="I216">
        <v>1.086996684</v>
      </c>
      <c r="J216">
        <v>1.249744518</v>
      </c>
      <c r="L216">
        <v>0.40518897100000001</v>
      </c>
      <c r="M216">
        <v>-0.30707993500000003</v>
      </c>
      <c r="N216">
        <v>0.97780016700000005</v>
      </c>
      <c r="O216">
        <v>0.66749499999999995</v>
      </c>
      <c r="P216">
        <v>1.0304453899999999</v>
      </c>
      <c r="Q216">
        <v>2.2499213560000002</v>
      </c>
      <c r="R216">
        <v>0.69381300000000001</v>
      </c>
      <c r="S216">
        <v>1.0630646829999999</v>
      </c>
      <c r="T216">
        <v>0.81548570899999995</v>
      </c>
      <c r="U216">
        <v>0.59643999999999997</v>
      </c>
      <c r="V216">
        <v>0.28586088100000001</v>
      </c>
      <c r="W216">
        <v>1.418925598</v>
      </c>
      <c r="X216">
        <v>1.8410368189999999</v>
      </c>
      <c r="Y216">
        <v>4.1889999999999997E-2</v>
      </c>
      <c r="Z216">
        <v>0.37338458299999999</v>
      </c>
      <c r="AA216">
        <v>-0.77266578900000005</v>
      </c>
      <c r="AB216">
        <v>-9.0673122999999994E-2</v>
      </c>
      <c r="AC216">
        <v>1.444006377</v>
      </c>
      <c r="AD216">
        <v>0.97188883599999998</v>
      </c>
      <c r="AE216">
        <v>-0.32445797199999998</v>
      </c>
      <c r="AF216">
        <v>0.58756566499999996</v>
      </c>
      <c r="AG216">
        <v>-1.2488744190000001</v>
      </c>
      <c r="AH216">
        <v>-0.86520578999999997</v>
      </c>
      <c r="AI216">
        <v>1.299729479</v>
      </c>
      <c r="AJ216">
        <v>3.9302632999999997E-2</v>
      </c>
      <c r="AK216">
        <v>0.19675854600000001</v>
      </c>
      <c r="AL216">
        <v>0.58424963699999999</v>
      </c>
      <c r="AM216">
        <v>2.9320861520000001</v>
      </c>
      <c r="AN216">
        <v>0.66940159099999996</v>
      </c>
      <c r="AP216">
        <v>0.56882893499999998</v>
      </c>
      <c r="AQ216">
        <v>0.68283705100000003</v>
      </c>
      <c r="AR216">
        <v>-0.29831542900000002</v>
      </c>
      <c r="AS216">
        <v>1.436633405</v>
      </c>
      <c r="AT216">
        <v>0.59436175499999999</v>
      </c>
      <c r="AU216">
        <v>0.85095468600000002</v>
      </c>
    </row>
    <row r="217" spans="1:47" x14ac:dyDescent="0.2">
      <c r="A217" t="s">
        <v>281</v>
      </c>
      <c r="B217" s="73">
        <v>36982</v>
      </c>
      <c r="C217">
        <v>0.16364615900000001</v>
      </c>
      <c r="D217">
        <v>1.035278557</v>
      </c>
      <c r="E217">
        <v>-0.35115849399999999</v>
      </c>
      <c r="F217">
        <v>5.6388045999999997E-2</v>
      </c>
      <c r="G217">
        <v>0.37280912199999999</v>
      </c>
      <c r="H217">
        <v>0.529651011</v>
      </c>
      <c r="I217">
        <v>5.3270049999999999E-2</v>
      </c>
      <c r="J217">
        <v>1.1258615009999999</v>
      </c>
      <c r="L217">
        <v>1.1528293249999999</v>
      </c>
      <c r="M217">
        <v>2.010957903</v>
      </c>
      <c r="N217">
        <v>-1.085721803</v>
      </c>
      <c r="O217">
        <v>1.0229490000000001</v>
      </c>
      <c r="P217">
        <v>1.0617582640000001</v>
      </c>
      <c r="Q217">
        <v>1.4427999499999999</v>
      </c>
      <c r="R217">
        <v>0.90463099999999996</v>
      </c>
      <c r="S217">
        <v>0.489247671</v>
      </c>
      <c r="T217">
        <v>0.54171533100000002</v>
      </c>
      <c r="U217">
        <v>0.34496100000000002</v>
      </c>
      <c r="V217">
        <v>0.85513813800000005</v>
      </c>
      <c r="W217">
        <v>1.237878102</v>
      </c>
      <c r="X217">
        <v>0.71943503099999995</v>
      </c>
      <c r="Y217">
        <v>0.54066000000000003</v>
      </c>
      <c r="Z217">
        <v>2.466676466</v>
      </c>
      <c r="AA217">
        <v>-8.1804200000000005E-4</v>
      </c>
      <c r="AB217">
        <v>-1.196496166</v>
      </c>
      <c r="AC217">
        <v>0.66526413299999998</v>
      </c>
      <c r="AD217">
        <v>0.74252921999999999</v>
      </c>
      <c r="AE217">
        <v>1.2255548009999999</v>
      </c>
      <c r="AF217">
        <v>1.6312568810000001</v>
      </c>
      <c r="AG217">
        <v>2.2648499129999999</v>
      </c>
      <c r="AH217">
        <v>3.3449972000000001E-2</v>
      </c>
      <c r="AI217">
        <v>0.10852068400000001</v>
      </c>
      <c r="AJ217">
        <v>1.1699186070000001</v>
      </c>
      <c r="AK217">
        <v>0.34958111800000002</v>
      </c>
      <c r="AL217">
        <v>0.258543986</v>
      </c>
      <c r="AM217">
        <v>-1.3482961849999999</v>
      </c>
      <c r="AN217">
        <v>-0.31268365599999998</v>
      </c>
      <c r="AP217">
        <v>0.70958319999999997</v>
      </c>
      <c r="AQ217">
        <v>1.2621276720000001</v>
      </c>
      <c r="AR217">
        <v>0.365595155</v>
      </c>
      <c r="AS217">
        <v>-5.1251296079999999</v>
      </c>
      <c r="AT217">
        <v>-0.32422100300000001</v>
      </c>
      <c r="AU217">
        <v>0.61451183300000001</v>
      </c>
    </row>
    <row r="218" spans="1:47" x14ac:dyDescent="0.2">
      <c r="A218" t="s">
        <v>282</v>
      </c>
      <c r="B218" s="73">
        <v>37073</v>
      </c>
      <c r="C218">
        <v>-0.82981777400000001</v>
      </c>
      <c r="D218">
        <v>0.81211115199999995</v>
      </c>
      <c r="E218">
        <v>-0.24617581999999999</v>
      </c>
      <c r="F218">
        <v>1.7986043E-2</v>
      </c>
      <c r="G218">
        <v>-0.49529306200000001</v>
      </c>
      <c r="H218">
        <v>0.26949002500000002</v>
      </c>
      <c r="I218">
        <v>0.53698322799999998</v>
      </c>
      <c r="J218">
        <v>0.78949082500000001</v>
      </c>
      <c r="L218">
        <v>0.27706922299999998</v>
      </c>
      <c r="M218">
        <v>-5.8069487000000003E-2</v>
      </c>
      <c r="N218">
        <v>0.48818125099999998</v>
      </c>
      <c r="O218">
        <v>9.5263E-2</v>
      </c>
      <c r="P218">
        <v>0.73911573100000005</v>
      </c>
      <c r="Q218">
        <v>0.124261573</v>
      </c>
      <c r="R218">
        <v>0.10161100000000001</v>
      </c>
      <c r="S218">
        <v>0.119503397</v>
      </c>
      <c r="T218">
        <v>0.18879432400000001</v>
      </c>
      <c r="U218">
        <v>0.19683200000000001</v>
      </c>
      <c r="V218">
        <v>0.45993671000000003</v>
      </c>
      <c r="W218">
        <v>-0.26357386700000002</v>
      </c>
      <c r="X218">
        <v>0.83223112799999999</v>
      </c>
      <c r="Y218">
        <v>2.0813700000000002</v>
      </c>
      <c r="Z218">
        <v>1.7176289739999999</v>
      </c>
      <c r="AA218">
        <v>3.4578017189999999</v>
      </c>
      <c r="AB218">
        <v>-0.51371240699999998</v>
      </c>
      <c r="AC218">
        <v>-0.39478447900000002</v>
      </c>
      <c r="AD218">
        <v>-0.75061231100000003</v>
      </c>
      <c r="AE218">
        <v>1.2988810260000001</v>
      </c>
      <c r="AF218">
        <v>-1.245687013</v>
      </c>
      <c r="AG218">
        <v>4.5022485339999996</v>
      </c>
      <c r="AH218">
        <v>-0.54118438099999999</v>
      </c>
      <c r="AI218">
        <v>0.50566903500000004</v>
      </c>
      <c r="AJ218">
        <v>-0.17771229899999999</v>
      </c>
      <c r="AK218">
        <v>1.4234506979999999</v>
      </c>
      <c r="AL218">
        <v>0.14479723899999999</v>
      </c>
      <c r="AM218">
        <v>-0.453090304</v>
      </c>
      <c r="AN218">
        <v>0.96744614500000004</v>
      </c>
      <c r="AP218">
        <v>1.0534969460000001</v>
      </c>
      <c r="AQ218">
        <v>0.26840015699999997</v>
      </c>
      <c r="AR218">
        <v>9.5156419999999995E-3</v>
      </c>
      <c r="AS218">
        <v>-4.8440387170000001</v>
      </c>
      <c r="AT218">
        <v>0.62138921499999999</v>
      </c>
      <c r="AU218">
        <v>0.49970441599999998</v>
      </c>
    </row>
    <row r="219" spans="1:47" x14ac:dyDescent="0.2">
      <c r="A219" t="s">
        <v>283</v>
      </c>
      <c r="B219" s="73">
        <v>37165</v>
      </c>
      <c r="C219">
        <v>-4.6458788760000003</v>
      </c>
      <c r="D219">
        <v>1.1951337870000001</v>
      </c>
      <c r="E219">
        <v>5.7537907999999999E-2</v>
      </c>
      <c r="F219">
        <v>-0.19061776899999999</v>
      </c>
      <c r="G219">
        <v>-0.51812564400000005</v>
      </c>
      <c r="H219">
        <v>-6.6614244000000003E-2</v>
      </c>
      <c r="I219">
        <v>-0.170241803</v>
      </c>
      <c r="J219">
        <v>-0.62986066900000004</v>
      </c>
      <c r="L219">
        <v>0.496594761</v>
      </c>
      <c r="M219">
        <v>-0.162669071</v>
      </c>
      <c r="N219">
        <v>0.89782627400000004</v>
      </c>
      <c r="O219">
        <v>9.9604999999999999E-2</v>
      </c>
      <c r="P219">
        <v>0.93202408199999998</v>
      </c>
      <c r="Q219">
        <v>2.0651198810000002</v>
      </c>
      <c r="R219">
        <v>0.167106</v>
      </c>
      <c r="S219">
        <v>0.63216993399999999</v>
      </c>
      <c r="T219">
        <v>0.27491379399999999</v>
      </c>
      <c r="U219">
        <v>-0.35015299999999999</v>
      </c>
      <c r="V219">
        <v>0.46817064800000002</v>
      </c>
      <c r="W219">
        <v>1.621616296</v>
      </c>
      <c r="X219">
        <v>0.90925928700000003</v>
      </c>
      <c r="Y219">
        <v>1.2368600000000001</v>
      </c>
      <c r="Z219">
        <v>-0.85413223100000002</v>
      </c>
      <c r="AA219">
        <v>-2.580921955</v>
      </c>
      <c r="AB219">
        <v>-1.126977785</v>
      </c>
      <c r="AC219">
        <v>-0.28475642699999998</v>
      </c>
      <c r="AD219">
        <v>-1.089555829</v>
      </c>
      <c r="AE219">
        <v>1.3501936240000001</v>
      </c>
      <c r="AF219">
        <v>1.4386347960000001</v>
      </c>
      <c r="AG219">
        <v>-2.0364683430000001</v>
      </c>
      <c r="AH219">
        <v>0.21874088899999999</v>
      </c>
      <c r="AI219">
        <v>0.17378780599999999</v>
      </c>
      <c r="AJ219">
        <v>1.2310556850000001</v>
      </c>
      <c r="AK219">
        <v>0.759938589</v>
      </c>
      <c r="AL219">
        <v>-8.4788500000000003E-2</v>
      </c>
      <c r="AM219">
        <v>0.78291929500000002</v>
      </c>
      <c r="AN219">
        <v>0.14634139500000001</v>
      </c>
      <c r="AP219">
        <v>0.38853317500000001</v>
      </c>
      <c r="AQ219">
        <v>0.59482200900000004</v>
      </c>
      <c r="AR219">
        <v>0.38488270800000002</v>
      </c>
      <c r="AS219">
        <v>1.2517857720000001</v>
      </c>
      <c r="AT219">
        <v>-0.400349016</v>
      </c>
      <c r="AU219">
        <v>0.26574794299999999</v>
      </c>
    </row>
    <row r="220" spans="1:47" x14ac:dyDescent="0.2">
      <c r="A220" t="s">
        <v>284</v>
      </c>
      <c r="B220" s="73">
        <v>37257</v>
      </c>
      <c r="C220">
        <v>-5.6948729309999999</v>
      </c>
      <c r="D220">
        <v>1.213760806</v>
      </c>
      <c r="E220">
        <v>0.56853562000000002</v>
      </c>
      <c r="F220">
        <v>-9.9694909999999998E-2</v>
      </c>
      <c r="G220">
        <v>-0.27944447</v>
      </c>
      <c r="H220">
        <v>0.60882924699999996</v>
      </c>
      <c r="I220">
        <v>-0.120988653</v>
      </c>
      <c r="J220">
        <v>0.93417743499999994</v>
      </c>
      <c r="L220">
        <v>0.60274464500000002</v>
      </c>
      <c r="M220">
        <v>-0.11638810300000001</v>
      </c>
      <c r="N220">
        <v>-0.197216541</v>
      </c>
      <c r="O220">
        <v>0.118312</v>
      </c>
      <c r="P220">
        <v>0.69190674799999996</v>
      </c>
      <c r="Q220">
        <v>1.4671023910000001</v>
      </c>
      <c r="R220">
        <v>0.15815100000000001</v>
      </c>
      <c r="S220">
        <v>-0.28115184399999998</v>
      </c>
      <c r="T220">
        <v>2.1023231E-2</v>
      </c>
      <c r="U220">
        <v>9.6347000000000002E-2</v>
      </c>
      <c r="V220">
        <v>0.22569473500000001</v>
      </c>
      <c r="W220">
        <v>0.26489864099999999</v>
      </c>
      <c r="X220">
        <v>0.73387302099999996</v>
      </c>
      <c r="Y220">
        <v>2.2958799999999999</v>
      </c>
      <c r="Z220">
        <v>1.63181621</v>
      </c>
      <c r="AA220">
        <v>6.3123880019999996</v>
      </c>
      <c r="AB220">
        <v>-0.50657629800000004</v>
      </c>
      <c r="AC220">
        <v>-0.177660911</v>
      </c>
      <c r="AD220">
        <v>-0.341007844</v>
      </c>
      <c r="AE220">
        <v>1.762585517</v>
      </c>
      <c r="AF220">
        <v>2.6165375960000001</v>
      </c>
      <c r="AG220">
        <v>3.2952606289999999</v>
      </c>
      <c r="AH220">
        <v>-0.63754966899999999</v>
      </c>
      <c r="AI220">
        <v>0.32251530099999998</v>
      </c>
      <c r="AJ220">
        <v>0.86905121600000002</v>
      </c>
      <c r="AK220">
        <v>1.485937252</v>
      </c>
      <c r="AL220">
        <v>0.185284646</v>
      </c>
      <c r="AM220">
        <v>0.29569216500000001</v>
      </c>
      <c r="AN220">
        <v>1.3990396789999999</v>
      </c>
      <c r="AP220">
        <v>2.1610404499999998</v>
      </c>
      <c r="AQ220">
        <v>0.97638281500000002</v>
      </c>
      <c r="AR220">
        <v>0.85015338600000001</v>
      </c>
      <c r="AS220">
        <v>-1.6828962709999999</v>
      </c>
      <c r="AT220">
        <v>0.27731435799999998</v>
      </c>
      <c r="AU220">
        <v>0.76932292499999999</v>
      </c>
    </row>
    <row r="221" spans="1:47" x14ac:dyDescent="0.2">
      <c r="A221" t="s">
        <v>285</v>
      </c>
      <c r="B221" s="73">
        <v>37347</v>
      </c>
      <c r="C221">
        <v>-4.9310185359999998</v>
      </c>
      <c r="D221">
        <v>0.764615928</v>
      </c>
      <c r="E221">
        <v>0.85233504199999999</v>
      </c>
      <c r="F221">
        <v>0.85967464599999999</v>
      </c>
      <c r="G221">
        <v>2.308552095</v>
      </c>
      <c r="H221">
        <v>1.4842260460000001</v>
      </c>
      <c r="I221">
        <v>-7.6990757000000007E-2</v>
      </c>
      <c r="J221">
        <v>0.915960738</v>
      </c>
      <c r="L221">
        <v>-0.12518095500000001</v>
      </c>
      <c r="M221">
        <v>-0.52435598400000005</v>
      </c>
      <c r="N221">
        <v>-3.3566445E-2</v>
      </c>
      <c r="O221">
        <v>9.4413999999999998E-2</v>
      </c>
      <c r="P221">
        <v>0.42550417200000001</v>
      </c>
      <c r="Q221">
        <v>0.696996693</v>
      </c>
      <c r="R221">
        <v>0.12252</v>
      </c>
      <c r="S221">
        <v>0.65419943199999997</v>
      </c>
      <c r="T221">
        <v>0.37168980499999998</v>
      </c>
      <c r="U221">
        <v>0.50370300000000001</v>
      </c>
      <c r="V221">
        <v>0.52893754000000004</v>
      </c>
      <c r="W221">
        <v>0.81704766799999995</v>
      </c>
      <c r="X221">
        <v>2.2381520849999998</v>
      </c>
      <c r="Y221">
        <v>0.80710000000000004</v>
      </c>
      <c r="Z221">
        <v>2.7713460900000002</v>
      </c>
      <c r="AA221">
        <v>-6.4248600319999998</v>
      </c>
      <c r="AB221">
        <v>0.389669655</v>
      </c>
      <c r="AC221">
        <v>0.110900546</v>
      </c>
      <c r="AD221">
        <v>0.16881618000000001</v>
      </c>
      <c r="AE221">
        <v>2.5444815919999999</v>
      </c>
      <c r="AF221">
        <v>0.41817015800000001</v>
      </c>
      <c r="AG221">
        <v>1.6412546E-2</v>
      </c>
      <c r="AH221">
        <v>-0.67097744000000004</v>
      </c>
      <c r="AI221">
        <v>-0.61017998900000003</v>
      </c>
      <c r="AJ221">
        <v>-1.0279146669999999</v>
      </c>
      <c r="AK221">
        <v>0.88993368699999997</v>
      </c>
      <c r="AL221">
        <v>0.55142198099999995</v>
      </c>
      <c r="AM221">
        <v>0.21149595900000001</v>
      </c>
      <c r="AN221">
        <v>0.17780853799999999</v>
      </c>
      <c r="AP221">
        <v>0.32235466200000001</v>
      </c>
      <c r="AQ221">
        <v>1.343626615</v>
      </c>
      <c r="AR221">
        <v>-0.153812122</v>
      </c>
      <c r="AS221">
        <v>3.7775825539999999</v>
      </c>
      <c r="AT221">
        <v>0.82822721600000004</v>
      </c>
      <c r="AU221">
        <v>1.0860090200000001</v>
      </c>
    </row>
    <row r="222" spans="1:47" x14ac:dyDescent="0.2">
      <c r="A222" t="s">
        <v>286</v>
      </c>
      <c r="B222" s="73">
        <v>37438</v>
      </c>
      <c r="C222">
        <v>0.42398614800000001</v>
      </c>
      <c r="D222">
        <v>1.70733131</v>
      </c>
      <c r="E222">
        <v>0.50977681100000005</v>
      </c>
      <c r="F222">
        <v>0.85592351499999997</v>
      </c>
      <c r="G222">
        <v>0.55592502600000004</v>
      </c>
      <c r="H222">
        <v>0.58937331199999998</v>
      </c>
      <c r="I222">
        <v>0.203533984</v>
      </c>
      <c r="J222">
        <v>-0.24520856499999999</v>
      </c>
      <c r="L222">
        <v>0.51301652200000003</v>
      </c>
      <c r="M222">
        <v>0.445116442</v>
      </c>
      <c r="N222">
        <v>-9.9201529999999993E-3</v>
      </c>
      <c r="O222">
        <v>0.54261499999999996</v>
      </c>
      <c r="P222">
        <v>0.81494336899999997</v>
      </c>
      <c r="Q222">
        <v>3.4970380950000002</v>
      </c>
      <c r="R222">
        <v>0.58168799999999998</v>
      </c>
      <c r="S222">
        <v>0.98914565799999998</v>
      </c>
      <c r="T222">
        <v>0.46262463100000001</v>
      </c>
      <c r="U222">
        <v>0.60362400000000005</v>
      </c>
      <c r="V222">
        <v>0.64896348699999995</v>
      </c>
      <c r="W222">
        <v>2.238306787</v>
      </c>
      <c r="X222">
        <v>0.57661406000000004</v>
      </c>
      <c r="Y222">
        <v>0.62375999999999998</v>
      </c>
      <c r="Z222">
        <v>0.75791422100000005</v>
      </c>
      <c r="AA222">
        <v>4.1657627450000003</v>
      </c>
      <c r="AB222">
        <v>0.43979481199999998</v>
      </c>
      <c r="AC222">
        <v>0.40907637600000002</v>
      </c>
      <c r="AD222">
        <v>0.81031242400000003</v>
      </c>
      <c r="AE222">
        <v>1.8121354160000001</v>
      </c>
      <c r="AF222">
        <v>1.758029925</v>
      </c>
      <c r="AG222">
        <v>3.6655251560000002</v>
      </c>
      <c r="AH222">
        <v>0.91383818999999999</v>
      </c>
      <c r="AI222">
        <v>0.34826357800000002</v>
      </c>
      <c r="AJ222">
        <v>2.0777686690000001</v>
      </c>
      <c r="AK222">
        <v>1.3177574599999999</v>
      </c>
      <c r="AL222">
        <v>0.80257659699999995</v>
      </c>
      <c r="AM222">
        <v>0.90443492400000003</v>
      </c>
      <c r="AN222">
        <v>-0.46398581300000002</v>
      </c>
      <c r="AP222">
        <v>1.006510923</v>
      </c>
      <c r="AQ222">
        <v>-9.5101197999999998E-2</v>
      </c>
      <c r="AR222">
        <v>1.5881288090000001</v>
      </c>
      <c r="AS222">
        <v>4.3164154459999997</v>
      </c>
      <c r="AT222">
        <v>0.61550245599999998</v>
      </c>
      <c r="AU222">
        <v>1.2688591810000001</v>
      </c>
    </row>
    <row r="223" spans="1:47" x14ac:dyDescent="0.2">
      <c r="A223" t="s">
        <v>287</v>
      </c>
      <c r="B223" s="73">
        <v>37530</v>
      </c>
      <c r="C223">
        <v>7.4497308999999998E-2</v>
      </c>
      <c r="D223">
        <v>0.30098105800000002</v>
      </c>
      <c r="E223">
        <v>0.354199979</v>
      </c>
      <c r="F223">
        <v>0.53543567700000005</v>
      </c>
      <c r="G223">
        <v>1.238309316</v>
      </c>
      <c r="H223">
        <v>0.86544944000000001</v>
      </c>
      <c r="I223">
        <v>0.23020521799999999</v>
      </c>
      <c r="J223">
        <v>0.64696997999999994</v>
      </c>
      <c r="L223">
        <v>0.52188020099999999</v>
      </c>
      <c r="M223">
        <v>0.48979764199999998</v>
      </c>
      <c r="N223">
        <v>0.34005229199999998</v>
      </c>
      <c r="O223">
        <v>0.41511199999999998</v>
      </c>
      <c r="P223">
        <v>0.61646246699999996</v>
      </c>
      <c r="Q223">
        <v>2.0044693360000001</v>
      </c>
      <c r="R223">
        <v>0.45305000000000001</v>
      </c>
      <c r="S223">
        <v>-0.23402964400000001</v>
      </c>
      <c r="T223">
        <v>0.41923058099999999</v>
      </c>
      <c r="U223">
        <v>0.42891200000000002</v>
      </c>
      <c r="V223">
        <v>0.70142148800000004</v>
      </c>
      <c r="W223">
        <v>0.57704490600000002</v>
      </c>
      <c r="X223">
        <v>0.94360923399999996</v>
      </c>
      <c r="Y223">
        <v>0.59355999999999998</v>
      </c>
      <c r="Z223">
        <v>1.8978616500000001</v>
      </c>
      <c r="AA223">
        <v>-0.99177342400000001</v>
      </c>
      <c r="AB223">
        <v>5.0339631000000003E-2</v>
      </c>
      <c r="AC223">
        <v>0.228678201</v>
      </c>
      <c r="AD223">
        <v>0.31411203500000001</v>
      </c>
      <c r="AE223">
        <v>2.0218129560000002</v>
      </c>
      <c r="AF223">
        <v>-1.554092716</v>
      </c>
      <c r="AG223">
        <v>1.3466054750000001</v>
      </c>
      <c r="AH223">
        <v>0.78017040800000004</v>
      </c>
      <c r="AI223">
        <v>0.15526388299999999</v>
      </c>
      <c r="AJ223">
        <v>-1.484075443</v>
      </c>
      <c r="AK223">
        <v>1.172141624</v>
      </c>
      <c r="AL223">
        <v>0.51357526600000003</v>
      </c>
      <c r="AM223">
        <v>1.232643575</v>
      </c>
      <c r="AN223">
        <v>-0.45360012799999999</v>
      </c>
      <c r="AP223">
        <v>2.240056321</v>
      </c>
      <c r="AQ223">
        <v>1.157995313</v>
      </c>
      <c r="AR223">
        <v>0.59571563800000005</v>
      </c>
      <c r="AS223">
        <v>1.366468032</v>
      </c>
      <c r="AT223">
        <v>0.40352870400000002</v>
      </c>
      <c r="AU223">
        <v>1.131829481</v>
      </c>
    </row>
    <row r="224" spans="1:47" x14ac:dyDescent="0.2">
      <c r="A224" t="s">
        <v>288</v>
      </c>
      <c r="B224" s="73">
        <v>37622</v>
      </c>
      <c r="C224">
        <v>1.019056942</v>
      </c>
      <c r="D224">
        <v>0.820128105</v>
      </c>
      <c r="E224">
        <v>-0.45065671899999998</v>
      </c>
      <c r="F224">
        <v>0.37386693599999998</v>
      </c>
      <c r="G224">
        <v>1.0091899129999999</v>
      </c>
      <c r="H224">
        <v>0.54862090500000005</v>
      </c>
      <c r="I224">
        <v>-0.46879099899999999</v>
      </c>
      <c r="J224">
        <v>2.0648430800000002</v>
      </c>
      <c r="L224">
        <v>0.75339327899999997</v>
      </c>
      <c r="M224">
        <v>-0.13925285900000001</v>
      </c>
      <c r="N224">
        <v>-0.330022229</v>
      </c>
      <c r="O224">
        <v>0.15759699999999999</v>
      </c>
      <c r="P224">
        <v>0.76073692900000001</v>
      </c>
      <c r="Q224">
        <v>0.73202234399999999</v>
      </c>
      <c r="R224">
        <v>0.17282500000000001</v>
      </c>
      <c r="S224">
        <v>1.138140747</v>
      </c>
      <c r="T224">
        <v>-5.0622937E-2</v>
      </c>
      <c r="U224">
        <v>0.20278399999999999</v>
      </c>
      <c r="V224">
        <v>0.88004443600000004</v>
      </c>
      <c r="W224">
        <v>0.77102046599999996</v>
      </c>
      <c r="X224">
        <v>1.221298311</v>
      </c>
      <c r="Y224">
        <v>7.8240000000000004E-2</v>
      </c>
      <c r="Z224">
        <v>1.030579122</v>
      </c>
      <c r="AA224">
        <v>2.1044309120000002</v>
      </c>
      <c r="AB224">
        <v>-0.169399613</v>
      </c>
      <c r="AC224">
        <v>0.37146075499999998</v>
      </c>
      <c r="AD224">
        <v>0.27803700999999997</v>
      </c>
      <c r="AE224">
        <v>1.0973539919999999</v>
      </c>
      <c r="AF224">
        <v>-0.35045346500000002</v>
      </c>
      <c r="AG224">
        <v>3.9788173219999998</v>
      </c>
      <c r="AH224">
        <v>0.234789583</v>
      </c>
      <c r="AI224">
        <v>0.14965119700000001</v>
      </c>
      <c r="AJ224">
        <v>1.1292031</v>
      </c>
      <c r="AK224">
        <v>1.331676579</v>
      </c>
      <c r="AL224">
        <v>0.32636401799999998</v>
      </c>
      <c r="AM224">
        <v>9.4315389999999999E-2</v>
      </c>
      <c r="AN224">
        <v>-0.74644120800000002</v>
      </c>
      <c r="AP224">
        <v>0.66884688800000003</v>
      </c>
      <c r="AQ224">
        <v>1.67829881</v>
      </c>
      <c r="AR224">
        <v>0.14074571599999999</v>
      </c>
      <c r="AS224">
        <v>2.13363529</v>
      </c>
      <c r="AT224">
        <v>0.13065576700000001</v>
      </c>
      <c r="AU224">
        <v>0.83198865899999996</v>
      </c>
    </row>
    <row r="225" spans="1:47" x14ac:dyDescent="0.2">
      <c r="A225" t="s">
        <v>289</v>
      </c>
      <c r="B225" s="73">
        <v>37712</v>
      </c>
      <c r="C225">
        <v>3.695017177</v>
      </c>
      <c r="D225">
        <v>0.20462535300000001</v>
      </c>
      <c r="E225">
        <v>0.71004875999999995</v>
      </c>
      <c r="F225">
        <v>-0.26354319199999998</v>
      </c>
      <c r="G225">
        <v>-0.420802862</v>
      </c>
      <c r="H225">
        <v>0.55332523499999997</v>
      </c>
      <c r="I225">
        <v>-0.74057556300000005</v>
      </c>
      <c r="J225">
        <v>0.94570750400000003</v>
      </c>
      <c r="L225">
        <v>1.0777540880000001</v>
      </c>
      <c r="M225">
        <v>-1.4903972080000001</v>
      </c>
      <c r="N225">
        <v>0.53590578200000005</v>
      </c>
      <c r="O225">
        <v>-0.306649</v>
      </c>
      <c r="P225">
        <v>0.93072099100000005</v>
      </c>
      <c r="Q225">
        <v>2.2938068299999999</v>
      </c>
      <c r="R225">
        <v>-0.19695699999999999</v>
      </c>
      <c r="S225">
        <v>-0.70655442000000002</v>
      </c>
      <c r="T225">
        <v>0.196872503</v>
      </c>
      <c r="U225">
        <v>0.15510199999999999</v>
      </c>
      <c r="V225">
        <v>0.561056412</v>
      </c>
      <c r="W225">
        <v>2.0819525830000001</v>
      </c>
      <c r="X225">
        <v>0.74874471899999995</v>
      </c>
      <c r="Y225">
        <v>2.25109</v>
      </c>
      <c r="Z225">
        <v>-0.56482659499999999</v>
      </c>
      <c r="AA225">
        <v>1.177886743</v>
      </c>
      <c r="AB225">
        <v>1.2138590359999999</v>
      </c>
      <c r="AC225">
        <v>-0.34580155400000001</v>
      </c>
      <c r="AD225">
        <v>6.2583332000000005E-2</v>
      </c>
      <c r="AE225">
        <v>-0.65915983499999997</v>
      </c>
      <c r="AF225">
        <v>-0.12787351499999999</v>
      </c>
      <c r="AG225">
        <v>0.69892696499999996</v>
      </c>
      <c r="AH225">
        <v>0.241219977</v>
      </c>
      <c r="AI225">
        <v>1.7344153000000001E-2</v>
      </c>
      <c r="AJ225">
        <v>2.3837247999999998E-2</v>
      </c>
      <c r="AK225">
        <v>0.55220280300000002</v>
      </c>
      <c r="AL225">
        <v>0.19966098500000001</v>
      </c>
      <c r="AM225">
        <v>0.349509187</v>
      </c>
      <c r="AN225">
        <v>0.105061371</v>
      </c>
      <c r="AP225">
        <v>1.7759731919999999</v>
      </c>
      <c r="AQ225">
        <v>-1.8000072999999998E-2</v>
      </c>
      <c r="AR225">
        <v>1.1849545319999999</v>
      </c>
      <c r="AS225">
        <v>8.3600699000000001E-2</v>
      </c>
      <c r="AT225">
        <v>0.51672318699999997</v>
      </c>
      <c r="AU225">
        <v>0.63476228000000001</v>
      </c>
    </row>
    <row r="226" spans="1:47" x14ac:dyDescent="0.2">
      <c r="A226" t="s">
        <v>290</v>
      </c>
      <c r="B226" s="73">
        <v>37803</v>
      </c>
      <c r="C226">
        <v>3.1643250489999999</v>
      </c>
      <c r="D226">
        <v>0.41187612899999998</v>
      </c>
      <c r="E226">
        <v>0.13775623300000001</v>
      </c>
      <c r="F226">
        <v>0.21374045799999999</v>
      </c>
      <c r="G226">
        <v>-0.86946848499999996</v>
      </c>
      <c r="H226">
        <v>-0.14746372799999999</v>
      </c>
      <c r="I226">
        <v>7.1934927999999995E-2</v>
      </c>
      <c r="J226">
        <v>0.83895058099999997</v>
      </c>
      <c r="L226">
        <v>1.0416591289999999</v>
      </c>
      <c r="M226">
        <v>0.117964262</v>
      </c>
      <c r="N226">
        <v>-0.93001758300000004</v>
      </c>
      <c r="O226">
        <v>8.6481000000000002E-2</v>
      </c>
      <c r="P226">
        <v>0.52106276699999998</v>
      </c>
      <c r="Q226">
        <v>2.3157526910000001</v>
      </c>
      <c r="R226">
        <v>0.12353699999999999</v>
      </c>
      <c r="S226">
        <v>1.4383043150000001</v>
      </c>
      <c r="T226">
        <v>-0.213405865</v>
      </c>
      <c r="U226">
        <v>0.56868200000000002</v>
      </c>
      <c r="V226">
        <v>0.76330763599999996</v>
      </c>
      <c r="W226">
        <v>1.771173645</v>
      </c>
      <c r="X226">
        <v>1.038723917</v>
      </c>
      <c r="Y226">
        <v>2.5331999999999999</v>
      </c>
      <c r="Z226">
        <v>0.60596670699999999</v>
      </c>
      <c r="AA226">
        <v>-2.6017932899999998</v>
      </c>
      <c r="AB226">
        <v>-0.37122176200000001</v>
      </c>
      <c r="AC226">
        <v>-0.15979774199999999</v>
      </c>
      <c r="AD226">
        <v>0.68755559200000005</v>
      </c>
      <c r="AE226">
        <v>-0.154146863</v>
      </c>
      <c r="AF226">
        <v>2.5099130729999999</v>
      </c>
      <c r="AG226">
        <v>2.317199064</v>
      </c>
      <c r="AH226">
        <v>0.228940741</v>
      </c>
      <c r="AI226">
        <v>-0.34532982099999998</v>
      </c>
      <c r="AJ226">
        <v>-0.47619804199999999</v>
      </c>
      <c r="AK226">
        <v>0.43746963799999999</v>
      </c>
      <c r="AL226">
        <v>0.51802431500000001</v>
      </c>
      <c r="AM226">
        <v>2.0967386989999999</v>
      </c>
      <c r="AN226">
        <v>-0.88876152200000003</v>
      </c>
      <c r="AO226">
        <v>1.1154365420000001</v>
      </c>
      <c r="AP226">
        <v>1.5082099680000001</v>
      </c>
      <c r="AQ226">
        <v>0.199417343</v>
      </c>
      <c r="AR226">
        <v>-0.60349749200000002</v>
      </c>
      <c r="AS226">
        <v>0.336326982</v>
      </c>
      <c r="AT226">
        <v>0.89337780099999997</v>
      </c>
      <c r="AU226">
        <v>0.48836950400000001</v>
      </c>
    </row>
    <row r="227" spans="1:47" x14ac:dyDescent="0.2">
      <c r="A227" t="s">
        <v>291</v>
      </c>
      <c r="B227" s="73">
        <v>37895</v>
      </c>
      <c r="C227">
        <v>2.4436381310000002</v>
      </c>
      <c r="D227">
        <v>1.7309940049999999</v>
      </c>
      <c r="E227">
        <v>0.348187951</v>
      </c>
      <c r="F227">
        <v>0.40899076499999998</v>
      </c>
      <c r="G227">
        <v>0.94943706000000005</v>
      </c>
      <c r="H227">
        <v>0.373654347</v>
      </c>
      <c r="I227">
        <v>0.99283939099999996</v>
      </c>
      <c r="J227">
        <v>0.65517976099999997</v>
      </c>
      <c r="L227">
        <v>0.92743451600000004</v>
      </c>
      <c r="M227">
        <v>0.76587593499999995</v>
      </c>
      <c r="N227">
        <v>0.34346635599999997</v>
      </c>
      <c r="O227">
        <v>0.54040600000000005</v>
      </c>
      <c r="P227">
        <v>0.65942963499999996</v>
      </c>
      <c r="Q227">
        <v>0.98363696700000003</v>
      </c>
      <c r="R227">
        <v>0.60467300000000002</v>
      </c>
      <c r="S227">
        <v>1.1961620470000001</v>
      </c>
      <c r="T227">
        <v>0.67274411300000003</v>
      </c>
      <c r="U227">
        <v>1.0545690000000001</v>
      </c>
      <c r="V227">
        <v>0.98198584499999997</v>
      </c>
      <c r="W227">
        <v>0.62731859400000001</v>
      </c>
      <c r="X227">
        <v>1.2114833009999999</v>
      </c>
      <c r="Y227">
        <v>2.6321099999999999</v>
      </c>
      <c r="Z227">
        <v>0.81346660500000001</v>
      </c>
      <c r="AA227">
        <v>3.4536046000000001E-2</v>
      </c>
      <c r="AB227">
        <v>0.79768573799999998</v>
      </c>
      <c r="AC227">
        <v>-7.2138451000000006E-2</v>
      </c>
      <c r="AD227">
        <v>0.29476609999999998</v>
      </c>
      <c r="AE227">
        <v>1.9326695089999999</v>
      </c>
      <c r="AF227">
        <v>1.0593181819999999</v>
      </c>
      <c r="AG227">
        <v>2.2420999589999999</v>
      </c>
      <c r="AH227">
        <v>-4.0907631999999999E-2</v>
      </c>
      <c r="AI227">
        <v>8.8712713999999998E-2</v>
      </c>
      <c r="AJ227">
        <v>1.4050985250000001</v>
      </c>
      <c r="AK227">
        <v>2.1064752250000001</v>
      </c>
      <c r="AL227">
        <v>1.047845661</v>
      </c>
      <c r="AM227">
        <v>1.113623303</v>
      </c>
      <c r="AN227">
        <v>0.88737015500000005</v>
      </c>
      <c r="AO227">
        <v>1.6881671840000001</v>
      </c>
      <c r="AP227">
        <v>0.400210028</v>
      </c>
      <c r="AQ227">
        <v>1.433994148</v>
      </c>
      <c r="AR227">
        <v>1.476638662</v>
      </c>
      <c r="AS227">
        <v>2.8512124029999999</v>
      </c>
      <c r="AT227">
        <v>1.6668962700000001</v>
      </c>
      <c r="AU227">
        <v>0.54269058199999998</v>
      </c>
    </row>
    <row r="228" spans="1:47" x14ac:dyDescent="0.2">
      <c r="A228" t="s">
        <v>292</v>
      </c>
      <c r="B228" s="73">
        <v>37987</v>
      </c>
      <c r="C228">
        <v>1.8764988899999999</v>
      </c>
      <c r="D228">
        <v>1.649791928</v>
      </c>
      <c r="E228">
        <v>0.14395101499999999</v>
      </c>
      <c r="F228">
        <v>0.69560345899999998</v>
      </c>
      <c r="G228">
        <v>1.0345440910000001</v>
      </c>
      <c r="H228">
        <v>0.68995918099999998</v>
      </c>
      <c r="I228">
        <v>1.205372245</v>
      </c>
      <c r="J228">
        <v>0.78043257099999996</v>
      </c>
      <c r="L228">
        <v>1.0113947480000001</v>
      </c>
      <c r="M228">
        <v>0.26894256</v>
      </c>
      <c r="N228">
        <v>1.8629828100000001</v>
      </c>
      <c r="O228">
        <v>0.73518899999999998</v>
      </c>
      <c r="P228">
        <v>0.86449595899999998</v>
      </c>
      <c r="Q228">
        <v>2.6111195600000001</v>
      </c>
      <c r="R228">
        <v>0.75119400000000003</v>
      </c>
      <c r="S228">
        <v>0.18330840100000001</v>
      </c>
      <c r="T228">
        <v>0.72404115599999996</v>
      </c>
      <c r="U228">
        <v>0.95924200000000004</v>
      </c>
      <c r="V228">
        <v>0.79102715499999998</v>
      </c>
      <c r="W228">
        <v>2.1371795480000002</v>
      </c>
      <c r="X228">
        <v>1.054322126</v>
      </c>
      <c r="Y228">
        <v>3.28321</v>
      </c>
      <c r="Z228">
        <v>5.2187793640000004</v>
      </c>
      <c r="AA228">
        <v>3.384300439</v>
      </c>
      <c r="AB228">
        <v>0.35277102700000001</v>
      </c>
      <c r="AC228">
        <v>0.93543254600000003</v>
      </c>
      <c r="AD228">
        <v>1.0879651100000001</v>
      </c>
      <c r="AE228">
        <v>2.6394795860000002</v>
      </c>
      <c r="AF228">
        <v>3.7622261340000001</v>
      </c>
      <c r="AG228">
        <v>1.190558418</v>
      </c>
      <c r="AH228">
        <v>1.100091283</v>
      </c>
      <c r="AI228">
        <v>0.53539578399999999</v>
      </c>
      <c r="AJ228">
        <v>3.2057519999999999E-2</v>
      </c>
      <c r="AK228">
        <v>1.3034495749999999</v>
      </c>
      <c r="AL228">
        <v>1.070483625</v>
      </c>
      <c r="AM228">
        <v>0.28005839100000002</v>
      </c>
      <c r="AN228">
        <v>0.37779749600000001</v>
      </c>
      <c r="AO228">
        <v>1.8238187690000001</v>
      </c>
      <c r="AP228">
        <v>1.6814723090000001</v>
      </c>
      <c r="AQ228">
        <v>0.63430389399999998</v>
      </c>
      <c r="AR228">
        <v>0.60744874800000004</v>
      </c>
      <c r="AS228">
        <v>3.0230130769999999</v>
      </c>
      <c r="AT228">
        <v>1.154045728</v>
      </c>
      <c r="AU228">
        <v>0.57693127200000005</v>
      </c>
    </row>
    <row r="229" spans="1:47" x14ac:dyDescent="0.2">
      <c r="A229" t="s">
        <v>293</v>
      </c>
      <c r="B229" s="73">
        <v>38078</v>
      </c>
      <c r="C229">
        <v>3.2611809639999998</v>
      </c>
      <c r="D229">
        <v>0.78999281799999999</v>
      </c>
      <c r="E229">
        <v>0.92866113100000003</v>
      </c>
      <c r="F229">
        <v>1.498661289</v>
      </c>
      <c r="G229">
        <v>1.4105899580000001</v>
      </c>
      <c r="H229">
        <v>0.72026758700000004</v>
      </c>
      <c r="I229">
        <v>0.57550179999999995</v>
      </c>
      <c r="J229">
        <v>2.462144957</v>
      </c>
      <c r="L229">
        <v>0.973754181</v>
      </c>
      <c r="M229">
        <v>-0.17199453100000001</v>
      </c>
      <c r="N229">
        <v>0.48161750199999998</v>
      </c>
      <c r="O229">
        <v>0.49294399999999999</v>
      </c>
      <c r="P229">
        <v>0.60304358199999997</v>
      </c>
      <c r="Q229">
        <v>2.3190782680000002</v>
      </c>
      <c r="R229">
        <v>0.63833799999999996</v>
      </c>
      <c r="S229">
        <v>1.276604694</v>
      </c>
      <c r="T229">
        <v>0.93078768899999997</v>
      </c>
      <c r="U229">
        <v>0.51986699999999997</v>
      </c>
      <c r="V229">
        <v>0.44692334700000003</v>
      </c>
      <c r="W229">
        <v>1.8285645370000001</v>
      </c>
      <c r="X229">
        <v>1.5268915780000001</v>
      </c>
      <c r="Y229">
        <v>0.36448999999999998</v>
      </c>
      <c r="Z229">
        <v>-0.16996867099999999</v>
      </c>
      <c r="AA229">
        <v>3.546260695</v>
      </c>
      <c r="AB229">
        <v>2.500824744</v>
      </c>
      <c r="AC229">
        <v>0.21292783100000001</v>
      </c>
      <c r="AD229">
        <v>0.73419142000000004</v>
      </c>
      <c r="AE229">
        <v>1.254800591</v>
      </c>
      <c r="AF229">
        <v>-0.64223704299999995</v>
      </c>
      <c r="AG229">
        <v>3.472029558</v>
      </c>
      <c r="AH229">
        <v>1.402489589</v>
      </c>
      <c r="AI229">
        <v>0.90523695299999996</v>
      </c>
      <c r="AJ229">
        <v>3.5426514519999999</v>
      </c>
      <c r="AK229">
        <v>1.7075292820000001</v>
      </c>
      <c r="AL229">
        <v>0.77207859700000003</v>
      </c>
      <c r="AM229">
        <v>2.9871808479999999</v>
      </c>
      <c r="AN229">
        <v>0.90289461599999998</v>
      </c>
      <c r="AO229">
        <v>1.8786669309999999</v>
      </c>
      <c r="AP229">
        <v>1.2979760600000001</v>
      </c>
      <c r="AQ229">
        <v>1.0015363909999999</v>
      </c>
      <c r="AR229">
        <v>1.868695365</v>
      </c>
      <c r="AS229">
        <v>2.7542829950000001</v>
      </c>
      <c r="AT229">
        <v>0.572916486</v>
      </c>
      <c r="AU229">
        <v>1.513781636</v>
      </c>
    </row>
    <row r="230" spans="1:47" x14ac:dyDescent="0.2">
      <c r="A230" t="s">
        <v>294</v>
      </c>
      <c r="B230" s="73">
        <v>38169</v>
      </c>
      <c r="C230">
        <v>-1.1488376659999999</v>
      </c>
      <c r="D230">
        <v>0.65301704699999996</v>
      </c>
      <c r="E230">
        <v>0.848174769</v>
      </c>
      <c r="F230">
        <v>0.96151650099999997</v>
      </c>
      <c r="G230">
        <v>2.7390041389999999</v>
      </c>
      <c r="H230">
        <v>1.1878190150000001</v>
      </c>
      <c r="I230">
        <v>0.73973207500000004</v>
      </c>
      <c r="J230">
        <v>2.1797400159999998</v>
      </c>
      <c r="L230">
        <v>1.1687850900000001</v>
      </c>
      <c r="M230">
        <v>0.50232971599999998</v>
      </c>
      <c r="N230">
        <v>0.59538165200000004</v>
      </c>
      <c r="O230">
        <v>0.63411200000000001</v>
      </c>
      <c r="P230">
        <v>0.97698308</v>
      </c>
      <c r="Q230">
        <v>-0.67963416200000004</v>
      </c>
      <c r="R230">
        <v>0.64917100000000005</v>
      </c>
      <c r="S230">
        <v>0.85972380900000001</v>
      </c>
      <c r="T230">
        <v>0.64987108199999999</v>
      </c>
      <c r="U230">
        <v>0.59683299999999995</v>
      </c>
      <c r="V230">
        <v>0.54316136999999998</v>
      </c>
      <c r="W230">
        <v>-1.8592187999999999E-2</v>
      </c>
      <c r="X230">
        <v>1.1376846300000001</v>
      </c>
      <c r="Y230">
        <v>2.3781699999999999</v>
      </c>
      <c r="Z230">
        <v>2.3134706779999998</v>
      </c>
      <c r="AA230">
        <v>-0.63823813200000001</v>
      </c>
      <c r="AB230">
        <v>0.844120286</v>
      </c>
      <c r="AC230">
        <v>0.42425089399999999</v>
      </c>
      <c r="AD230">
        <v>1.6825066E-2</v>
      </c>
      <c r="AE230">
        <v>0.76349936900000004</v>
      </c>
      <c r="AF230">
        <v>0.117532252</v>
      </c>
      <c r="AG230">
        <v>1.2536215770000001</v>
      </c>
      <c r="AH230">
        <v>1.5520573120000001</v>
      </c>
      <c r="AI230">
        <v>0.47679610300000003</v>
      </c>
      <c r="AJ230">
        <v>0.20587788300000001</v>
      </c>
      <c r="AK230">
        <v>0.862680852</v>
      </c>
      <c r="AL230">
        <v>0.70234605900000002</v>
      </c>
      <c r="AM230">
        <v>0.80933814800000003</v>
      </c>
      <c r="AN230">
        <v>0.57209478999999996</v>
      </c>
      <c r="AO230">
        <v>1.9271840410000001</v>
      </c>
      <c r="AP230">
        <v>0.66676054600000001</v>
      </c>
      <c r="AQ230">
        <v>1.246010179</v>
      </c>
      <c r="AR230">
        <v>0.38530665800000002</v>
      </c>
      <c r="AS230">
        <v>2.328300885</v>
      </c>
      <c r="AT230">
        <v>0.77873875800000003</v>
      </c>
      <c r="AU230">
        <v>1.397449924</v>
      </c>
    </row>
    <row r="231" spans="1:47" x14ac:dyDescent="0.2">
      <c r="A231" t="s">
        <v>295</v>
      </c>
      <c r="B231" s="73">
        <v>38261</v>
      </c>
      <c r="C231">
        <v>5.0138969160000002</v>
      </c>
      <c r="D231">
        <v>0.76557282100000001</v>
      </c>
      <c r="E231">
        <v>0.99663828700000001</v>
      </c>
      <c r="F231">
        <v>0.87205356700000003</v>
      </c>
      <c r="G231">
        <v>1.254194764</v>
      </c>
      <c r="H231">
        <v>1.1804355769999999</v>
      </c>
      <c r="I231">
        <v>4.4870353000000002E-2</v>
      </c>
      <c r="J231">
        <v>2.8196384270000001</v>
      </c>
      <c r="L231">
        <v>1.570060767</v>
      </c>
      <c r="M231">
        <v>-0.18597518800000001</v>
      </c>
      <c r="N231">
        <v>0.235625688</v>
      </c>
      <c r="O231">
        <v>0.24168400000000001</v>
      </c>
      <c r="P231">
        <v>0.94041857500000003</v>
      </c>
      <c r="Q231">
        <v>2.2613488720000001</v>
      </c>
      <c r="R231">
        <v>0.29270499999999999</v>
      </c>
      <c r="S231">
        <v>1.085054253</v>
      </c>
      <c r="T231">
        <v>0.25864037899999998</v>
      </c>
      <c r="U231">
        <v>0.61740600000000001</v>
      </c>
      <c r="V231">
        <v>0.24669328400000001</v>
      </c>
      <c r="W231">
        <v>1.334459386</v>
      </c>
      <c r="X231">
        <v>1.218219465</v>
      </c>
      <c r="Y231">
        <v>2.39764</v>
      </c>
      <c r="Z231">
        <v>-0.54970470100000002</v>
      </c>
      <c r="AA231">
        <v>4.7524337230000002</v>
      </c>
      <c r="AB231">
        <v>1.2010403650000001</v>
      </c>
      <c r="AC231">
        <v>-1.0942477000000001E-2</v>
      </c>
      <c r="AD231">
        <v>0.61157995700000001</v>
      </c>
      <c r="AE231">
        <v>0.40558612900000002</v>
      </c>
      <c r="AF231">
        <v>2.3377391240000001</v>
      </c>
      <c r="AG231">
        <v>0.51698381900000001</v>
      </c>
      <c r="AH231">
        <v>-0.217012908</v>
      </c>
      <c r="AI231">
        <v>0.14938823900000001</v>
      </c>
      <c r="AJ231">
        <v>-1.154684096</v>
      </c>
      <c r="AK231">
        <v>0.28698228999999997</v>
      </c>
      <c r="AL231">
        <v>0.60436506400000001</v>
      </c>
      <c r="AM231">
        <v>-0.503647752</v>
      </c>
      <c r="AN231">
        <v>3.9396611999999998E-2</v>
      </c>
      <c r="AO231">
        <v>1.514535194</v>
      </c>
      <c r="AP231">
        <v>2.312438003</v>
      </c>
      <c r="AQ231">
        <v>0.98347431500000004</v>
      </c>
      <c r="AR231">
        <v>0.80344237799999996</v>
      </c>
      <c r="AS231">
        <v>1.1277305360000001</v>
      </c>
      <c r="AT231">
        <v>0.94124722500000002</v>
      </c>
      <c r="AU231">
        <v>1.6351179389999999</v>
      </c>
    </row>
    <row r="232" spans="1:47" x14ac:dyDescent="0.2">
      <c r="A232" t="s">
        <v>296</v>
      </c>
      <c r="B232" s="73">
        <v>38353</v>
      </c>
      <c r="C232">
        <v>1.4962008630000001</v>
      </c>
      <c r="D232">
        <v>0.76657427899999997</v>
      </c>
      <c r="E232">
        <v>0.34398579800000001</v>
      </c>
      <c r="F232">
        <v>0.356570198</v>
      </c>
      <c r="G232">
        <v>0.76733521400000004</v>
      </c>
      <c r="H232">
        <v>0.71842654399999994</v>
      </c>
      <c r="I232">
        <v>0.160727491</v>
      </c>
      <c r="J232">
        <v>1.407967843</v>
      </c>
      <c r="L232">
        <v>1.786929327</v>
      </c>
      <c r="M232">
        <v>-0.104814134</v>
      </c>
      <c r="N232">
        <v>1.0808733800000001</v>
      </c>
      <c r="O232">
        <v>0.36380099999999999</v>
      </c>
      <c r="P232">
        <v>0.68431095900000005</v>
      </c>
      <c r="Q232">
        <v>2.078501213</v>
      </c>
      <c r="R232">
        <v>0.443054</v>
      </c>
      <c r="S232">
        <v>1.5052142740000001</v>
      </c>
      <c r="T232">
        <v>0.75298608499999997</v>
      </c>
      <c r="U232">
        <v>0.58326299999999998</v>
      </c>
      <c r="V232">
        <v>0.348659208</v>
      </c>
      <c r="W232">
        <v>-0.381337288</v>
      </c>
      <c r="X232">
        <v>0.45885515300000002</v>
      </c>
      <c r="Y232">
        <v>1.9366099999999999</v>
      </c>
      <c r="Z232">
        <v>2.3862262040000002</v>
      </c>
      <c r="AA232">
        <v>1.256097974</v>
      </c>
      <c r="AB232">
        <v>1.230708594</v>
      </c>
      <c r="AC232">
        <v>0.26025499000000002</v>
      </c>
      <c r="AD232">
        <v>-0.19428061799999999</v>
      </c>
      <c r="AE232">
        <v>0.75793377399999995</v>
      </c>
      <c r="AF232">
        <v>-1.079093839</v>
      </c>
      <c r="AG232">
        <v>2.2344768469999998</v>
      </c>
      <c r="AH232">
        <v>1.3269936019999999</v>
      </c>
      <c r="AI232">
        <v>0.21801400900000001</v>
      </c>
      <c r="AJ232">
        <v>0.982498333</v>
      </c>
      <c r="AK232">
        <v>0.35197629600000002</v>
      </c>
      <c r="AL232">
        <v>0.68612314399999996</v>
      </c>
      <c r="AM232">
        <v>1.0601208959999999</v>
      </c>
      <c r="AN232">
        <v>-0.295723234</v>
      </c>
      <c r="AO232">
        <v>1.1181707839999999</v>
      </c>
      <c r="AP232">
        <v>1.5342178740000001</v>
      </c>
      <c r="AQ232">
        <v>0.40665549600000001</v>
      </c>
      <c r="AR232">
        <v>0.84091231799999999</v>
      </c>
      <c r="AS232">
        <v>1.622484668</v>
      </c>
      <c r="AT232">
        <v>1.0220273689999999</v>
      </c>
      <c r="AU232">
        <v>1.067930101</v>
      </c>
    </row>
    <row r="233" spans="1:47" x14ac:dyDescent="0.2">
      <c r="A233" t="s">
        <v>297</v>
      </c>
      <c r="B233" s="73">
        <v>38443</v>
      </c>
      <c r="C233">
        <v>2.8722044069999999</v>
      </c>
      <c r="D233">
        <v>0.76986211900000001</v>
      </c>
      <c r="E233">
        <v>-6.6373456999999997E-2</v>
      </c>
      <c r="F233">
        <v>0.526251103</v>
      </c>
      <c r="G233">
        <v>0.74801908100000003</v>
      </c>
      <c r="H233">
        <v>0.34606659499999998</v>
      </c>
      <c r="I233">
        <v>0.775657292</v>
      </c>
      <c r="J233">
        <v>-3.8142698000000003E-2</v>
      </c>
      <c r="L233">
        <v>1.7874860459999999</v>
      </c>
      <c r="M233">
        <v>2.8892190000000002E-3</v>
      </c>
      <c r="N233">
        <v>-0.362985061</v>
      </c>
      <c r="O233">
        <v>0.237321</v>
      </c>
      <c r="P233">
        <v>0.97628954199999995</v>
      </c>
      <c r="Q233">
        <v>1.75625878</v>
      </c>
      <c r="R233">
        <v>0.27259800000000001</v>
      </c>
      <c r="S233">
        <v>0.98926457300000004</v>
      </c>
      <c r="T233">
        <v>0.26948907100000002</v>
      </c>
      <c r="U233">
        <v>0.68692500000000001</v>
      </c>
      <c r="V233">
        <v>0.60775648900000001</v>
      </c>
      <c r="W233">
        <v>-0.588090483</v>
      </c>
      <c r="X233">
        <v>0.97979910699999995</v>
      </c>
      <c r="Y233">
        <v>1.7509699999999999</v>
      </c>
      <c r="Z233">
        <v>1.9292559460000001</v>
      </c>
      <c r="AA233">
        <v>-3.2198668779999999</v>
      </c>
      <c r="AB233">
        <v>0.67872995999999997</v>
      </c>
      <c r="AC233">
        <v>-0.20287101699999999</v>
      </c>
      <c r="AD233">
        <v>0.51514019499999997</v>
      </c>
      <c r="AE233">
        <v>0.85090336899999997</v>
      </c>
      <c r="AF233">
        <v>-0.82779179700000005</v>
      </c>
      <c r="AG233">
        <v>2.8111243250000002</v>
      </c>
      <c r="AH233">
        <v>0.16393977600000001</v>
      </c>
      <c r="AI233">
        <v>0.322858268</v>
      </c>
      <c r="AJ233">
        <v>1.6300841699999999</v>
      </c>
      <c r="AK233">
        <v>1.165023929</v>
      </c>
      <c r="AL233">
        <v>0.75378990800000001</v>
      </c>
      <c r="AM233">
        <v>1.101891833</v>
      </c>
      <c r="AN233">
        <v>0.76901277800000001</v>
      </c>
      <c r="AO233">
        <v>1.7480820589999999</v>
      </c>
      <c r="AP233">
        <v>1.239651469</v>
      </c>
      <c r="AQ233">
        <v>0.91861634800000003</v>
      </c>
      <c r="AR233">
        <v>0.41048685699999998</v>
      </c>
      <c r="AS233">
        <v>4.6099516109999996</v>
      </c>
      <c r="AT233">
        <v>1.110882508</v>
      </c>
      <c r="AU233">
        <v>1.0165997529999999</v>
      </c>
    </row>
    <row r="234" spans="1:47" x14ac:dyDescent="0.2">
      <c r="A234" t="s">
        <v>298</v>
      </c>
      <c r="B234" s="73">
        <v>38534</v>
      </c>
      <c r="C234">
        <v>2.0992295040000002</v>
      </c>
      <c r="D234">
        <v>0.42359027100000002</v>
      </c>
      <c r="E234">
        <v>1.143137812</v>
      </c>
      <c r="F234">
        <v>0.59907526799999999</v>
      </c>
      <c r="G234">
        <v>1.3748694480000001</v>
      </c>
      <c r="H234">
        <v>0.72552270699999999</v>
      </c>
      <c r="I234">
        <v>1.213189158</v>
      </c>
      <c r="J234">
        <v>1.6220829109999999</v>
      </c>
      <c r="L234">
        <v>1.359003151</v>
      </c>
      <c r="M234">
        <v>0.52459768399999995</v>
      </c>
      <c r="N234">
        <v>1.968906957</v>
      </c>
      <c r="O234">
        <v>0.56811900000000004</v>
      </c>
      <c r="P234">
        <v>0.88207344399999998</v>
      </c>
      <c r="Q234">
        <v>3.9599292250000002</v>
      </c>
      <c r="R234">
        <v>0.62061299999999997</v>
      </c>
      <c r="S234">
        <v>-1.1961532349999999</v>
      </c>
      <c r="T234">
        <v>0.185880403</v>
      </c>
      <c r="U234">
        <v>0.57790200000000003</v>
      </c>
      <c r="V234">
        <v>0.96331852299999998</v>
      </c>
      <c r="W234">
        <v>0.23781521799999999</v>
      </c>
      <c r="X234">
        <v>1.870846242</v>
      </c>
      <c r="Y234">
        <v>3.1669</v>
      </c>
      <c r="Z234">
        <v>1.9382976009999999</v>
      </c>
      <c r="AA234">
        <v>7.6245016039999998</v>
      </c>
      <c r="AB234">
        <v>1.029346213</v>
      </c>
      <c r="AC234">
        <v>0.74462944200000003</v>
      </c>
      <c r="AD234">
        <v>0.78110204999999999</v>
      </c>
      <c r="AE234">
        <v>1.8870628620000001</v>
      </c>
      <c r="AF234">
        <v>0.81425576099999997</v>
      </c>
      <c r="AG234">
        <v>2.1567707340000002</v>
      </c>
      <c r="AH234">
        <v>0.28841355499999999</v>
      </c>
      <c r="AI234">
        <v>0.703469864</v>
      </c>
      <c r="AJ234">
        <v>0.52440637300000004</v>
      </c>
      <c r="AK234">
        <v>1.59964777</v>
      </c>
      <c r="AL234">
        <v>0.66632464899999999</v>
      </c>
      <c r="AM234">
        <v>0.14735269500000001</v>
      </c>
      <c r="AN234">
        <v>0.368647118</v>
      </c>
      <c r="AO234">
        <v>1.522295172</v>
      </c>
      <c r="AP234">
        <v>2.0937989209999999</v>
      </c>
      <c r="AQ234">
        <v>1.728007794</v>
      </c>
      <c r="AR234">
        <v>0.69275604700000004</v>
      </c>
      <c r="AS234">
        <v>0.42215947599999998</v>
      </c>
      <c r="AT234">
        <v>0.48660447800000001</v>
      </c>
      <c r="AU234">
        <v>1.794553973</v>
      </c>
    </row>
    <row r="235" spans="1:47" x14ac:dyDescent="0.2">
      <c r="A235" t="s">
        <v>299</v>
      </c>
      <c r="B235" s="73">
        <v>38626</v>
      </c>
      <c r="C235">
        <v>0.68751951200000005</v>
      </c>
      <c r="D235">
        <v>1.1142474250000001</v>
      </c>
      <c r="E235">
        <v>0.73551894600000001</v>
      </c>
      <c r="F235">
        <v>0.395532035</v>
      </c>
      <c r="G235">
        <v>-0.76230139100000005</v>
      </c>
      <c r="H235">
        <v>1.211374835</v>
      </c>
      <c r="I235">
        <v>1.1397190429999999</v>
      </c>
      <c r="J235">
        <v>2.32627958</v>
      </c>
      <c r="L235">
        <v>1.6727000780000001</v>
      </c>
      <c r="M235">
        <v>0.85817236299999999</v>
      </c>
      <c r="N235">
        <v>0.11133501699999999</v>
      </c>
      <c r="O235">
        <v>0.74475899999999995</v>
      </c>
      <c r="P235">
        <v>0.96699551299999997</v>
      </c>
      <c r="Q235">
        <v>2.3948424460000002</v>
      </c>
      <c r="R235">
        <v>0.792655</v>
      </c>
      <c r="S235">
        <v>1.4479346820000001</v>
      </c>
      <c r="T235">
        <v>0.49861406000000003</v>
      </c>
      <c r="U235">
        <v>0.822766</v>
      </c>
      <c r="V235">
        <v>0.88209292399999994</v>
      </c>
      <c r="W235">
        <v>1.3908431649999999</v>
      </c>
      <c r="X235">
        <v>0.75744813499999997</v>
      </c>
      <c r="Y235">
        <v>1.3914200000000001</v>
      </c>
      <c r="Z235">
        <v>-0.96429209599999999</v>
      </c>
      <c r="AA235">
        <v>0.29295166</v>
      </c>
      <c r="AB235">
        <v>1.267830346</v>
      </c>
      <c r="AC235">
        <v>0.62458956300000001</v>
      </c>
      <c r="AD235">
        <v>1.0142539880000001</v>
      </c>
      <c r="AE235">
        <v>1.5053308940000001</v>
      </c>
      <c r="AF235">
        <v>2.0172064760000001</v>
      </c>
      <c r="AG235">
        <v>4.9742947260000001</v>
      </c>
      <c r="AH235">
        <v>0.83909611500000003</v>
      </c>
      <c r="AI235">
        <v>1.342952261</v>
      </c>
      <c r="AJ235">
        <v>0.82956187999999997</v>
      </c>
      <c r="AK235">
        <v>0.48698398199999998</v>
      </c>
      <c r="AL235">
        <v>0.90114894800000001</v>
      </c>
      <c r="AM235">
        <v>1.9326150559999999</v>
      </c>
      <c r="AN235">
        <v>-0.47193728299999999</v>
      </c>
      <c r="AO235">
        <v>1.762204946</v>
      </c>
      <c r="AP235">
        <v>1.635385831</v>
      </c>
      <c r="AQ235">
        <v>0.82599366299999999</v>
      </c>
      <c r="AR235">
        <v>1.1871178840000001</v>
      </c>
      <c r="AS235">
        <v>1.4119712600000001</v>
      </c>
      <c r="AT235">
        <v>0.78562198000000005</v>
      </c>
      <c r="AU235">
        <v>1.3636185510000001</v>
      </c>
    </row>
    <row r="236" spans="1:47" x14ac:dyDescent="0.2">
      <c r="A236" t="s">
        <v>300</v>
      </c>
      <c r="B236" s="73">
        <v>38718</v>
      </c>
      <c r="C236">
        <v>2.0112729229999999</v>
      </c>
      <c r="D236">
        <v>0.78543664800000002</v>
      </c>
      <c r="E236">
        <v>0.90952471599999996</v>
      </c>
      <c r="F236">
        <v>0.76703826399999997</v>
      </c>
      <c r="G236">
        <v>1.2582766169999999</v>
      </c>
      <c r="H236">
        <v>0.988734322</v>
      </c>
      <c r="I236">
        <v>0.94106473199999996</v>
      </c>
      <c r="J236">
        <v>1.389589059</v>
      </c>
      <c r="L236">
        <v>1.8274858439999999</v>
      </c>
      <c r="M236">
        <v>0.47142782</v>
      </c>
      <c r="N236">
        <v>0.32472337200000001</v>
      </c>
      <c r="O236">
        <v>0.65134499999999995</v>
      </c>
      <c r="P236">
        <v>1.0138666300000001</v>
      </c>
      <c r="Q236">
        <v>2.309237081</v>
      </c>
      <c r="R236">
        <v>0.70523599999999997</v>
      </c>
      <c r="S236">
        <v>0.28743606999999999</v>
      </c>
      <c r="T236">
        <v>0.78204129700000002</v>
      </c>
      <c r="U236">
        <v>0.542574</v>
      </c>
      <c r="V236">
        <v>1.092055496</v>
      </c>
      <c r="W236">
        <v>0.50101551600000005</v>
      </c>
      <c r="X236">
        <v>1.1243309050000001</v>
      </c>
      <c r="Y236">
        <v>2.5279099999999999</v>
      </c>
      <c r="Z236">
        <v>3.1696264539999999</v>
      </c>
      <c r="AA236">
        <v>1.7357564080000001</v>
      </c>
      <c r="AB236">
        <v>1.76861461</v>
      </c>
      <c r="AC236">
        <v>0.15086590999999999</v>
      </c>
      <c r="AD236">
        <v>0.17283127300000001</v>
      </c>
      <c r="AE236">
        <v>1.0124646660000001</v>
      </c>
      <c r="AF236">
        <v>5.1834518599999999</v>
      </c>
      <c r="AG236">
        <v>3.7132038010000001</v>
      </c>
      <c r="AH236">
        <v>1.67173543</v>
      </c>
      <c r="AI236">
        <v>0.63055092499999998</v>
      </c>
      <c r="AJ236">
        <v>0.2250289</v>
      </c>
      <c r="AK236">
        <v>-0.40259788800000001</v>
      </c>
      <c r="AL236">
        <v>0.76092375999999995</v>
      </c>
      <c r="AM236">
        <v>1.8393972199999999</v>
      </c>
      <c r="AN236">
        <v>0.13303493999999999</v>
      </c>
      <c r="AO236">
        <v>2.0628404740000001</v>
      </c>
      <c r="AP236">
        <v>1.461432614</v>
      </c>
      <c r="AQ236">
        <v>1.756742936</v>
      </c>
      <c r="AR236">
        <v>0.67817224300000001</v>
      </c>
      <c r="AS236">
        <v>3.3068041410000002</v>
      </c>
      <c r="AT236">
        <v>0.56792823800000003</v>
      </c>
      <c r="AU236">
        <v>0.66935607399999997</v>
      </c>
    </row>
    <row r="237" spans="1:47" x14ac:dyDescent="0.2">
      <c r="A237" t="s">
        <v>301</v>
      </c>
      <c r="B237" s="73">
        <v>38808</v>
      </c>
      <c r="C237">
        <v>2.589388595</v>
      </c>
      <c r="D237">
        <v>0.11866592099999999</v>
      </c>
      <c r="E237">
        <v>1.0971986549999999</v>
      </c>
      <c r="F237">
        <v>0.61485704299999999</v>
      </c>
      <c r="G237">
        <v>1.7053686240000001</v>
      </c>
      <c r="H237">
        <v>0.81099541100000005</v>
      </c>
      <c r="I237">
        <v>1.11056701</v>
      </c>
      <c r="J237">
        <v>0.85266166200000004</v>
      </c>
      <c r="L237">
        <v>1.7578437170000001</v>
      </c>
      <c r="M237">
        <v>0.96704201899999997</v>
      </c>
      <c r="N237">
        <v>1.2566610410000001</v>
      </c>
      <c r="O237">
        <v>0.87610900000000003</v>
      </c>
      <c r="P237">
        <v>1.145103991</v>
      </c>
      <c r="Q237">
        <v>2.297257648</v>
      </c>
      <c r="R237">
        <v>0.945913</v>
      </c>
      <c r="S237">
        <v>2.4945148349999999</v>
      </c>
      <c r="T237">
        <v>0.76596289900000003</v>
      </c>
      <c r="U237">
        <v>0.92537000000000003</v>
      </c>
      <c r="V237">
        <v>0.52996235000000003</v>
      </c>
      <c r="W237">
        <v>3.2582208709999998</v>
      </c>
      <c r="X237">
        <v>0.89384593400000001</v>
      </c>
      <c r="Y237">
        <v>2.5055700000000001</v>
      </c>
      <c r="Z237">
        <v>1.755901189</v>
      </c>
      <c r="AA237">
        <v>-0.57156575300000001</v>
      </c>
      <c r="AB237">
        <v>1.791819533</v>
      </c>
      <c r="AC237">
        <v>0.21930205799999999</v>
      </c>
      <c r="AD237">
        <v>0.153788747</v>
      </c>
      <c r="AE237">
        <v>1.639117138</v>
      </c>
      <c r="AF237">
        <v>8.4699513000000004E-2</v>
      </c>
      <c r="AG237">
        <v>-0.67771316000000004</v>
      </c>
      <c r="AH237">
        <v>1.7581899439999999</v>
      </c>
      <c r="AI237">
        <v>0.62393787499999998</v>
      </c>
      <c r="AJ237">
        <v>0.63998608400000001</v>
      </c>
      <c r="AK237">
        <v>1.6441902530000001</v>
      </c>
      <c r="AL237">
        <v>1.032055409</v>
      </c>
      <c r="AM237">
        <v>1.5033221489999999</v>
      </c>
      <c r="AN237">
        <v>0.81739264499999997</v>
      </c>
      <c r="AO237">
        <v>1.930605205</v>
      </c>
      <c r="AP237">
        <v>2.3756592680000002</v>
      </c>
      <c r="AQ237">
        <v>0.76200205600000004</v>
      </c>
      <c r="AR237">
        <v>1.5500443319999999</v>
      </c>
      <c r="AS237">
        <v>1.1451332700000001</v>
      </c>
      <c r="AT237">
        <v>1.3486661200000001</v>
      </c>
      <c r="AU237">
        <v>1.757168426</v>
      </c>
    </row>
    <row r="238" spans="1:47" x14ac:dyDescent="0.2">
      <c r="A238" t="s">
        <v>302</v>
      </c>
      <c r="B238" s="73">
        <v>38899</v>
      </c>
      <c r="C238">
        <v>1.1917202819999999</v>
      </c>
      <c r="D238">
        <v>0.18747506999999999</v>
      </c>
      <c r="E238">
        <v>0.36783372800000003</v>
      </c>
      <c r="F238">
        <v>0.35493709899999998</v>
      </c>
      <c r="G238">
        <v>0.25076895100000002</v>
      </c>
      <c r="H238">
        <v>5.1646385000000003E-2</v>
      </c>
      <c r="I238">
        <v>0.85537956800000003</v>
      </c>
      <c r="J238">
        <v>2.0761446440000002</v>
      </c>
      <c r="L238">
        <v>2.0356021279999998</v>
      </c>
      <c r="M238">
        <v>1.722767803</v>
      </c>
      <c r="N238">
        <v>2.982414581</v>
      </c>
      <c r="O238">
        <v>1.098619</v>
      </c>
      <c r="P238">
        <v>0.96921473899999999</v>
      </c>
      <c r="Q238">
        <v>2.094784894</v>
      </c>
      <c r="R238">
        <v>1.2248650000000001</v>
      </c>
      <c r="S238">
        <v>0.24492314800000001</v>
      </c>
      <c r="T238">
        <v>1.000540403</v>
      </c>
      <c r="U238">
        <v>0.45978400000000003</v>
      </c>
      <c r="V238">
        <v>0.34598097799999999</v>
      </c>
      <c r="W238">
        <v>0.30705051100000003</v>
      </c>
      <c r="X238">
        <v>1.2907705009999999</v>
      </c>
      <c r="Y238">
        <v>1.43638</v>
      </c>
      <c r="Z238">
        <v>0.27969038000000002</v>
      </c>
      <c r="AA238">
        <v>4.1018727310000003</v>
      </c>
      <c r="AB238">
        <v>1.833348016</v>
      </c>
      <c r="AC238">
        <v>0.67417679200000002</v>
      </c>
      <c r="AD238">
        <v>0.16399309500000001</v>
      </c>
      <c r="AE238">
        <v>0.73060202799999996</v>
      </c>
      <c r="AF238">
        <v>0.28322150800000001</v>
      </c>
      <c r="AG238">
        <v>5.0157709050000001</v>
      </c>
      <c r="AH238">
        <v>0.97261777100000002</v>
      </c>
      <c r="AI238">
        <v>1.497031303</v>
      </c>
      <c r="AJ238">
        <v>0.124976235</v>
      </c>
      <c r="AK238">
        <v>0.456446458</v>
      </c>
      <c r="AL238">
        <v>0.67982765099999998</v>
      </c>
      <c r="AM238">
        <v>2.2997464619999999</v>
      </c>
      <c r="AN238">
        <v>0.96512187999999999</v>
      </c>
      <c r="AO238">
        <v>1.9251039539999999</v>
      </c>
      <c r="AP238">
        <v>2.3356555750000001</v>
      </c>
      <c r="AQ238">
        <v>2.1129812719999999</v>
      </c>
      <c r="AR238">
        <v>1.619121204</v>
      </c>
      <c r="AS238">
        <v>3.0461220990000002</v>
      </c>
      <c r="AT238">
        <v>0.245583731</v>
      </c>
      <c r="AU238">
        <v>1.4202436039999999</v>
      </c>
    </row>
    <row r="239" spans="1:47" x14ac:dyDescent="0.2">
      <c r="A239" t="s">
        <v>303</v>
      </c>
      <c r="B239" s="73">
        <v>38991</v>
      </c>
      <c r="C239">
        <v>2.8024708180000002</v>
      </c>
      <c r="D239">
        <v>1.489031333</v>
      </c>
      <c r="E239">
        <v>1.1454868840000001</v>
      </c>
      <c r="F239">
        <v>0.880418794</v>
      </c>
      <c r="G239">
        <v>1.629846101</v>
      </c>
      <c r="H239">
        <v>0.27924548500000002</v>
      </c>
      <c r="I239">
        <v>0.855399401</v>
      </c>
      <c r="J239">
        <v>1.3064081750000001</v>
      </c>
      <c r="L239">
        <v>1.269985656</v>
      </c>
      <c r="M239">
        <v>0.76880583300000005</v>
      </c>
      <c r="N239">
        <v>-0.66682256699999998</v>
      </c>
      <c r="O239">
        <v>0.57858699999999996</v>
      </c>
      <c r="P239">
        <v>0.92913994499999997</v>
      </c>
      <c r="Q239">
        <v>2.2902235040000001</v>
      </c>
      <c r="R239">
        <v>0.61561200000000005</v>
      </c>
      <c r="S239">
        <v>0.95036552500000004</v>
      </c>
      <c r="T239">
        <v>1.1802567E-2</v>
      </c>
      <c r="U239">
        <v>0.178429</v>
      </c>
      <c r="V239">
        <v>0.23254629700000001</v>
      </c>
      <c r="W239">
        <v>0.47743896299999999</v>
      </c>
      <c r="X239">
        <v>0.55917761099999996</v>
      </c>
      <c r="Y239">
        <v>3.3029999999999999</v>
      </c>
      <c r="Z239">
        <v>1.181479108</v>
      </c>
      <c r="AA239">
        <v>0.37411886500000002</v>
      </c>
      <c r="AB239">
        <v>-0.701297006</v>
      </c>
      <c r="AC239">
        <v>0.42825275800000001</v>
      </c>
      <c r="AD239">
        <v>-0.19953090800000001</v>
      </c>
      <c r="AE239">
        <v>1.613954951</v>
      </c>
      <c r="AF239">
        <v>0.49382693999999999</v>
      </c>
      <c r="AG239">
        <v>3.2771511659999999</v>
      </c>
      <c r="AH239">
        <v>0.27687101600000003</v>
      </c>
      <c r="AI239">
        <v>0.59815274699999998</v>
      </c>
      <c r="AJ239">
        <v>1.0261817090000001</v>
      </c>
      <c r="AK239">
        <v>0.64170020400000005</v>
      </c>
      <c r="AL239">
        <v>0.37079374999999998</v>
      </c>
      <c r="AM239">
        <v>1.6510474669999999</v>
      </c>
      <c r="AN239">
        <v>-0.112732238</v>
      </c>
      <c r="AO239">
        <v>2.2961291660000001</v>
      </c>
      <c r="AP239">
        <v>1.9139681079999999</v>
      </c>
      <c r="AQ239">
        <v>1.6840988720000001</v>
      </c>
      <c r="AR239">
        <v>1.187750146</v>
      </c>
      <c r="AS239">
        <v>-0.75348610900000002</v>
      </c>
      <c r="AT239">
        <v>0.15045618799999999</v>
      </c>
      <c r="AU239">
        <v>1.3811529840000001</v>
      </c>
    </row>
    <row r="240" spans="1:47" x14ac:dyDescent="0.2">
      <c r="A240" t="s">
        <v>304</v>
      </c>
      <c r="B240" s="73">
        <v>39083</v>
      </c>
      <c r="C240">
        <v>2.1969164349999999</v>
      </c>
      <c r="D240">
        <v>1.310266369</v>
      </c>
      <c r="E240">
        <v>1.0521671560000001</v>
      </c>
      <c r="F240">
        <v>1.135413316</v>
      </c>
      <c r="G240">
        <v>1.1868420449999999</v>
      </c>
      <c r="H240">
        <v>0.39859824199999999</v>
      </c>
      <c r="I240">
        <v>1.2954816419999999</v>
      </c>
      <c r="J240">
        <v>2.0386710209999999</v>
      </c>
      <c r="L240">
        <v>1.2799202460000001</v>
      </c>
      <c r="M240">
        <v>1.514812212</v>
      </c>
      <c r="N240">
        <v>-0.27102131099999999</v>
      </c>
      <c r="O240">
        <v>1.176763</v>
      </c>
      <c r="P240">
        <v>0.96148483600000001</v>
      </c>
      <c r="Q240">
        <v>2.4809644689999999</v>
      </c>
      <c r="R240">
        <v>1.056934</v>
      </c>
      <c r="S240">
        <v>0.78515074100000004</v>
      </c>
      <c r="T240">
        <v>0.79756266399999998</v>
      </c>
      <c r="U240">
        <v>0.97602999999999995</v>
      </c>
      <c r="V240">
        <v>0.63801862799999998</v>
      </c>
      <c r="W240">
        <v>2.5429404259999999</v>
      </c>
      <c r="X240">
        <v>0.89888975599999998</v>
      </c>
      <c r="Y240">
        <v>1.71129</v>
      </c>
      <c r="Z240">
        <v>0.32291494199999998</v>
      </c>
      <c r="AA240">
        <v>1.06885349</v>
      </c>
      <c r="AB240">
        <v>1.4887576819999999</v>
      </c>
      <c r="AC240">
        <v>1.271537183</v>
      </c>
      <c r="AD240">
        <v>1.338816172</v>
      </c>
      <c r="AE240">
        <v>0.779357615</v>
      </c>
      <c r="AF240">
        <v>1.4587428929999999</v>
      </c>
      <c r="AG240">
        <v>4.4179899450000004</v>
      </c>
      <c r="AH240">
        <v>0.24962319299999999</v>
      </c>
      <c r="AI240">
        <v>0.82450046799999999</v>
      </c>
      <c r="AJ240">
        <v>1.830283737</v>
      </c>
      <c r="AK240">
        <v>0.88199735499999998</v>
      </c>
      <c r="AL240">
        <v>0.97657201400000004</v>
      </c>
      <c r="AM240">
        <v>-1.4986589669999999</v>
      </c>
      <c r="AN240">
        <v>0.71199907699999998</v>
      </c>
      <c r="AO240">
        <v>1.8992405130000001</v>
      </c>
      <c r="AP240">
        <v>2.8089795340000001</v>
      </c>
      <c r="AQ240">
        <v>2.181729147</v>
      </c>
      <c r="AR240">
        <v>0.66287480899999995</v>
      </c>
      <c r="AS240">
        <v>2.2587130449999999</v>
      </c>
      <c r="AT240">
        <v>0.84371169599999996</v>
      </c>
      <c r="AU240">
        <v>1.382817924</v>
      </c>
    </row>
    <row r="241" spans="1:47" x14ac:dyDescent="0.2">
      <c r="A241" t="s">
        <v>305</v>
      </c>
      <c r="B241" s="73">
        <v>39173</v>
      </c>
      <c r="C241">
        <v>2.314156519</v>
      </c>
      <c r="D241">
        <v>1.3909556080000001</v>
      </c>
      <c r="E241">
        <v>0.92883884500000002</v>
      </c>
      <c r="F241">
        <v>1.417379597</v>
      </c>
      <c r="G241">
        <v>1.9885962749999999</v>
      </c>
      <c r="H241">
        <v>0.63962664400000002</v>
      </c>
      <c r="I241">
        <v>0.56453606499999998</v>
      </c>
      <c r="J241">
        <v>0.95248699699999995</v>
      </c>
      <c r="L241">
        <v>1.6834019280000001</v>
      </c>
      <c r="M241">
        <v>7.6329825000000004E-2</v>
      </c>
      <c r="N241">
        <v>0.33129798999999999</v>
      </c>
      <c r="O241">
        <v>0.62617999999999996</v>
      </c>
      <c r="P241">
        <v>0.914765508</v>
      </c>
      <c r="Q241">
        <v>3.3156815769999999</v>
      </c>
      <c r="R241">
        <v>0.75531899999999996</v>
      </c>
      <c r="S241">
        <v>1.932458496</v>
      </c>
      <c r="T241">
        <v>0.74364022699999999</v>
      </c>
      <c r="U241">
        <v>0.38342799999999999</v>
      </c>
      <c r="V241">
        <v>0.78373796299999998</v>
      </c>
      <c r="W241">
        <v>-0.78528566200000005</v>
      </c>
      <c r="X241">
        <v>-1.139827903</v>
      </c>
      <c r="Y241">
        <v>2.7934000000000001</v>
      </c>
      <c r="Z241">
        <v>5.8484091190000003</v>
      </c>
      <c r="AA241">
        <v>1.740620192</v>
      </c>
      <c r="AB241">
        <v>2.1046887179999998</v>
      </c>
      <c r="AC241">
        <v>-0.15455595699999999</v>
      </c>
      <c r="AD241">
        <v>0.66234885300000002</v>
      </c>
      <c r="AE241">
        <v>1.674043596</v>
      </c>
      <c r="AF241">
        <v>5.0193538650000002</v>
      </c>
      <c r="AG241">
        <v>1.7587341219999999</v>
      </c>
      <c r="AH241">
        <v>0.70348122899999999</v>
      </c>
      <c r="AI241">
        <v>1.1456973779999999</v>
      </c>
      <c r="AJ241">
        <v>7.5251440000000003E-2</v>
      </c>
      <c r="AK241">
        <v>1.230220189</v>
      </c>
      <c r="AL241">
        <v>0.680524982</v>
      </c>
      <c r="AM241">
        <v>4.5899998440000003</v>
      </c>
      <c r="AN241">
        <v>1.0522705670000001</v>
      </c>
      <c r="AO241">
        <v>1.8136509329999999</v>
      </c>
      <c r="AP241">
        <v>2.1074596859999999</v>
      </c>
      <c r="AQ241">
        <v>1.898070725</v>
      </c>
      <c r="AR241">
        <v>0.97184540900000005</v>
      </c>
      <c r="AS241">
        <v>1.8230804439999999</v>
      </c>
      <c r="AT241">
        <v>0.29359886099999999</v>
      </c>
      <c r="AU241">
        <v>1.623672013</v>
      </c>
    </row>
    <row r="242" spans="1:47" x14ac:dyDescent="0.2">
      <c r="A242" t="s">
        <v>306</v>
      </c>
      <c r="B242" s="73">
        <v>39264</v>
      </c>
      <c r="C242">
        <v>2.1545837300000001</v>
      </c>
      <c r="D242">
        <v>0.60778167900000002</v>
      </c>
      <c r="E242">
        <v>1.1816423469999999</v>
      </c>
      <c r="F242">
        <v>0.45679760800000002</v>
      </c>
      <c r="G242">
        <v>1.561620969</v>
      </c>
      <c r="H242">
        <v>0.96890726299999996</v>
      </c>
      <c r="I242">
        <v>1.447048433</v>
      </c>
      <c r="J242">
        <v>0.93399246400000002</v>
      </c>
      <c r="L242">
        <v>0.84880433200000005</v>
      </c>
      <c r="M242">
        <v>0.838052558</v>
      </c>
      <c r="N242">
        <v>-0.44788676500000002</v>
      </c>
      <c r="O242">
        <v>0.71875699999999998</v>
      </c>
      <c r="P242">
        <v>0.89625550600000004</v>
      </c>
      <c r="Q242">
        <v>0.390307976</v>
      </c>
      <c r="R242">
        <v>0.70830400000000004</v>
      </c>
      <c r="S242">
        <v>1.797506864</v>
      </c>
      <c r="T242">
        <v>0.75635786100000002</v>
      </c>
      <c r="U242">
        <v>0.54749599999999998</v>
      </c>
      <c r="V242">
        <v>0.46374754800000001</v>
      </c>
      <c r="W242">
        <v>2.9117218239999998</v>
      </c>
      <c r="X242">
        <v>-0.179761896</v>
      </c>
      <c r="Y242">
        <v>2.5201500000000001</v>
      </c>
      <c r="Z242">
        <v>-1.4970649229999999</v>
      </c>
      <c r="AA242">
        <v>4.7327718489999997</v>
      </c>
      <c r="AB242">
        <v>1.7677192070000001</v>
      </c>
      <c r="AC242">
        <v>0.17957493599999999</v>
      </c>
      <c r="AD242">
        <v>4.6793480999999998E-2</v>
      </c>
      <c r="AE242">
        <v>1.730290857</v>
      </c>
      <c r="AF242">
        <v>2.2097024520000002</v>
      </c>
      <c r="AG242">
        <v>2.0134167359999999</v>
      </c>
      <c r="AH242">
        <v>0.76915931100000001</v>
      </c>
      <c r="AI242">
        <v>0.51164677300000005</v>
      </c>
      <c r="AJ242">
        <v>-1.6767290000000001E-3</v>
      </c>
      <c r="AK242">
        <v>0.91006397500000002</v>
      </c>
      <c r="AL242">
        <v>0.65078672900000001</v>
      </c>
      <c r="AM242">
        <v>1.1397362209999999</v>
      </c>
      <c r="AN242">
        <v>0.44312117400000001</v>
      </c>
      <c r="AO242">
        <v>2.5237981899999999</v>
      </c>
      <c r="AP242">
        <v>2.476313867</v>
      </c>
      <c r="AQ242">
        <v>1.2362324769999999</v>
      </c>
      <c r="AR242">
        <v>0.49191658999999999</v>
      </c>
      <c r="AS242">
        <v>3.0535506E-2</v>
      </c>
      <c r="AT242">
        <v>0.63843452999999994</v>
      </c>
      <c r="AU242">
        <v>0.81955799100000004</v>
      </c>
    </row>
    <row r="243" spans="1:47" x14ac:dyDescent="0.2">
      <c r="A243" t="s">
        <v>307</v>
      </c>
      <c r="B243" s="73">
        <v>39356</v>
      </c>
      <c r="C243">
        <v>1.357201525</v>
      </c>
      <c r="D243">
        <v>1.1412473190000001</v>
      </c>
      <c r="E243">
        <v>0.30778055900000001</v>
      </c>
      <c r="F243">
        <v>0.77208827999999996</v>
      </c>
      <c r="G243">
        <v>1.0300955009999999</v>
      </c>
      <c r="H243">
        <v>0.41985457500000001</v>
      </c>
      <c r="I243">
        <v>0.94294215299999995</v>
      </c>
      <c r="J243">
        <v>0.14684620900000001</v>
      </c>
      <c r="L243">
        <v>1.4618810390000001</v>
      </c>
      <c r="M243">
        <v>0.49649168999999999</v>
      </c>
      <c r="N243">
        <v>0.93951537100000004</v>
      </c>
      <c r="O243">
        <v>0.42925000000000002</v>
      </c>
      <c r="P243">
        <v>0.76676854100000003</v>
      </c>
      <c r="Q243">
        <v>0.201066983</v>
      </c>
      <c r="R243">
        <v>0.51005900000000004</v>
      </c>
      <c r="S243">
        <v>0.91841755199999997</v>
      </c>
      <c r="T243">
        <v>0.35775045900000002</v>
      </c>
      <c r="U243">
        <v>0.372807</v>
      </c>
      <c r="V243">
        <v>0.68243858099999999</v>
      </c>
      <c r="W243">
        <v>-0.62311345799999995</v>
      </c>
      <c r="X243">
        <v>0.51632855799999999</v>
      </c>
      <c r="Y243">
        <v>1.7944800000000001</v>
      </c>
      <c r="Z243">
        <v>-2.5773351959999999</v>
      </c>
      <c r="AA243">
        <v>-0.35169616500000001</v>
      </c>
      <c r="AB243">
        <v>1.8884438509999999</v>
      </c>
      <c r="AC243">
        <v>0.225514768</v>
      </c>
      <c r="AD243">
        <v>-0.54156882299999998</v>
      </c>
      <c r="AE243">
        <v>1.173831453</v>
      </c>
      <c r="AF243">
        <v>-0.734537985</v>
      </c>
      <c r="AG243">
        <v>1.8621974210000001</v>
      </c>
      <c r="AH243">
        <v>0.62843288900000005</v>
      </c>
      <c r="AI243">
        <v>1.1175019079999999</v>
      </c>
      <c r="AJ243">
        <v>1.2832352650000001</v>
      </c>
      <c r="AK243">
        <v>0.74351636600000004</v>
      </c>
      <c r="AL243">
        <v>0.51911987699999995</v>
      </c>
      <c r="AM243">
        <v>1.6971430679999999</v>
      </c>
      <c r="AN243">
        <v>0.205999342</v>
      </c>
      <c r="AO243">
        <v>2.2051103799999998</v>
      </c>
      <c r="AP243">
        <v>2.368547666</v>
      </c>
      <c r="AQ243">
        <v>2.0335919979999999</v>
      </c>
      <c r="AR243">
        <v>0.78529924399999995</v>
      </c>
      <c r="AS243">
        <v>0.58639459900000002</v>
      </c>
      <c r="AT243">
        <v>0.60230665699999997</v>
      </c>
      <c r="AU243">
        <v>1.1719351929999999</v>
      </c>
    </row>
    <row r="244" spans="1:47" x14ac:dyDescent="0.2">
      <c r="A244" t="s">
        <v>308</v>
      </c>
      <c r="B244" s="73">
        <v>39448</v>
      </c>
      <c r="C244">
        <v>3.073699301</v>
      </c>
      <c r="D244">
        <v>0.43885517000000002</v>
      </c>
      <c r="E244">
        <v>0.86730189199999996</v>
      </c>
      <c r="F244">
        <v>0.40580308700000001</v>
      </c>
      <c r="G244">
        <v>1.5490564389999999</v>
      </c>
      <c r="H244">
        <v>0.113617046</v>
      </c>
      <c r="I244">
        <v>1.0627140020000001</v>
      </c>
      <c r="J244">
        <v>1.6824074339999999</v>
      </c>
      <c r="L244">
        <v>1.1864127360000001</v>
      </c>
      <c r="M244">
        <v>0.66588292599999999</v>
      </c>
      <c r="N244">
        <v>1.0059885079999999</v>
      </c>
      <c r="O244">
        <v>0.53760799999999997</v>
      </c>
      <c r="P244">
        <v>0.64284560599999996</v>
      </c>
      <c r="Q244">
        <v>-0.60033900900000003</v>
      </c>
      <c r="R244">
        <v>0.62767600000000001</v>
      </c>
      <c r="S244">
        <v>1.319947274</v>
      </c>
      <c r="T244">
        <v>0.23675620999999999</v>
      </c>
      <c r="U244">
        <v>0.45776</v>
      </c>
      <c r="V244">
        <v>0.38522883699999999</v>
      </c>
      <c r="W244">
        <v>-0.49587677200000002</v>
      </c>
      <c r="X244">
        <v>0.29366004699999998</v>
      </c>
      <c r="Y244">
        <v>3.3768799999999999</v>
      </c>
      <c r="Z244">
        <v>4.162954804</v>
      </c>
      <c r="AA244">
        <v>4.4337057719999997</v>
      </c>
      <c r="AB244">
        <v>1.4688560850000001</v>
      </c>
      <c r="AC244">
        <v>-0.34155758899999999</v>
      </c>
      <c r="AD244">
        <v>0.422474291</v>
      </c>
      <c r="AE244">
        <v>2.156948555</v>
      </c>
      <c r="AF244">
        <v>0.79324678299999996</v>
      </c>
      <c r="AG244">
        <v>-1.174248046</v>
      </c>
      <c r="AH244">
        <v>0.39353964699999999</v>
      </c>
      <c r="AI244">
        <v>1.3530236470000001</v>
      </c>
      <c r="AJ244">
        <v>1.0881815459999999</v>
      </c>
      <c r="AK244">
        <v>0.16428367399999999</v>
      </c>
      <c r="AL244">
        <v>0.70071214100000001</v>
      </c>
      <c r="AM244">
        <v>1.343504923</v>
      </c>
      <c r="AN244">
        <v>1.118249303</v>
      </c>
      <c r="AO244">
        <v>3.193832161</v>
      </c>
      <c r="AP244">
        <v>6.3559120949999999</v>
      </c>
      <c r="AQ244">
        <v>0.20890249599999999</v>
      </c>
      <c r="AR244">
        <v>1.1485055660000001</v>
      </c>
      <c r="AS244">
        <v>3.432599138</v>
      </c>
      <c r="AT244">
        <v>0.60964400299999999</v>
      </c>
      <c r="AU244">
        <v>1.417079709</v>
      </c>
    </row>
    <row r="245" spans="1:47" x14ac:dyDescent="0.2">
      <c r="A245" t="s">
        <v>309</v>
      </c>
      <c r="B245" s="73">
        <v>39539</v>
      </c>
      <c r="C245">
        <v>0.90049579800000001</v>
      </c>
      <c r="D245">
        <v>1.0350911380000001</v>
      </c>
      <c r="E245">
        <v>0.66882666899999998</v>
      </c>
      <c r="F245">
        <v>0.43192990399999998</v>
      </c>
      <c r="G245">
        <v>1.133942088</v>
      </c>
      <c r="H245">
        <v>7.6640567000000007E-2</v>
      </c>
      <c r="I245">
        <v>0.85582619400000004</v>
      </c>
      <c r="J245">
        <v>2.562235415</v>
      </c>
      <c r="L245">
        <v>0.530801089</v>
      </c>
      <c r="M245">
        <v>0.62947670200000005</v>
      </c>
      <c r="N245">
        <v>-4.1561001E-2</v>
      </c>
      <c r="O245">
        <v>0.474136</v>
      </c>
      <c r="P245">
        <v>0.21576627300000001</v>
      </c>
      <c r="Q245">
        <v>-2.2201620759999998</v>
      </c>
      <c r="R245">
        <v>0.539524</v>
      </c>
      <c r="S245">
        <v>-0.122968349</v>
      </c>
      <c r="T245">
        <v>0.39385276299999999</v>
      </c>
      <c r="U245">
        <v>6.8131999999999998E-2</v>
      </c>
      <c r="V245">
        <v>0.60327143699999997</v>
      </c>
      <c r="W245">
        <v>0.61159760600000002</v>
      </c>
      <c r="X245">
        <v>0.94837109200000003</v>
      </c>
      <c r="Y245">
        <v>0.60589999999999999</v>
      </c>
      <c r="Z245">
        <v>-2.6864973989999998</v>
      </c>
      <c r="AA245">
        <v>-2.6771164170000001</v>
      </c>
      <c r="AB245">
        <v>0.81533604500000001</v>
      </c>
      <c r="AC245">
        <v>1.115394904</v>
      </c>
      <c r="AD245">
        <v>0.35373684500000002</v>
      </c>
      <c r="AE245">
        <v>0.40239485800000002</v>
      </c>
      <c r="AF245">
        <v>1.072631667</v>
      </c>
      <c r="AG245">
        <v>2.085041666</v>
      </c>
      <c r="AH245">
        <v>-0.201721816</v>
      </c>
      <c r="AI245">
        <v>0.327531403</v>
      </c>
      <c r="AJ245">
        <v>-1.256361804</v>
      </c>
      <c r="AK245">
        <v>-0.31361867700000001</v>
      </c>
      <c r="AL245">
        <v>0.191033749</v>
      </c>
      <c r="AM245">
        <v>1.9177107309999999</v>
      </c>
      <c r="AN245">
        <v>7.6731840000000004E-3</v>
      </c>
      <c r="AO245">
        <v>2.653171822</v>
      </c>
      <c r="AP245">
        <v>-2.801505106</v>
      </c>
      <c r="AQ245">
        <v>1.5767322539999999</v>
      </c>
      <c r="AR245">
        <v>-0.80477233000000004</v>
      </c>
      <c r="AS245">
        <v>2.1064921079999999</v>
      </c>
      <c r="AT245">
        <v>-0.40742947400000001</v>
      </c>
      <c r="AU245">
        <v>0.42000527500000001</v>
      </c>
    </row>
    <row r="246" spans="1:47" x14ac:dyDescent="0.2">
      <c r="A246" t="s">
        <v>310</v>
      </c>
      <c r="B246" s="73">
        <v>39630</v>
      </c>
      <c r="C246">
        <v>0.57904735900000004</v>
      </c>
      <c r="D246">
        <v>0.28584184699999998</v>
      </c>
      <c r="E246">
        <v>0.83221255699999996</v>
      </c>
      <c r="F246">
        <v>6.3486862000000005E-2</v>
      </c>
      <c r="G246">
        <v>2.3221262070000002</v>
      </c>
      <c r="H246">
        <v>0.36167189700000002</v>
      </c>
      <c r="I246">
        <v>0.89816089099999996</v>
      </c>
      <c r="J246">
        <v>5.9955902999999998E-2</v>
      </c>
      <c r="L246">
        <v>0.68159132499999997</v>
      </c>
      <c r="M246">
        <v>-0.23324228799999999</v>
      </c>
      <c r="N246">
        <v>-0.92268398500000004</v>
      </c>
      <c r="O246">
        <v>-0.32591199999999998</v>
      </c>
      <c r="P246">
        <v>0.10925227999999999</v>
      </c>
      <c r="Q246">
        <v>1.0158797159999999</v>
      </c>
      <c r="R246">
        <v>-0.25505499999999998</v>
      </c>
      <c r="S246">
        <v>-0.80295487399999999</v>
      </c>
      <c r="T246">
        <v>-0.42714137000000002</v>
      </c>
      <c r="U246">
        <v>5.6586999999999998E-2</v>
      </c>
      <c r="V246">
        <v>-0.45050658999999998</v>
      </c>
      <c r="W246">
        <v>-0.63973648299999997</v>
      </c>
      <c r="X246">
        <v>0.59831919300000003</v>
      </c>
      <c r="Y246">
        <v>1.04386</v>
      </c>
      <c r="Z246">
        <v>-2.4756453490000001</v>
      </c>
      <c r="AA246">
        <v>2.7555525840000001</v>
      </c>
      <c r="AB246">
        <v>0.185667845</v>
      </c>
      <c r="AC246">
        <v>-0.94614965100000004</v>
      </c>
      <c r="AD246">
        <v>-0.56748557600000005</v>
      </c>
      <c r="AE246">
        <v>0.52347300299999999</v>
      </c>
      <c r="AF246">
        <v>-1.1023872320000001</v>
      </c>
      <c r="AG246">
        <v>-3.6656524539999999</v>
      </c>
      <c r="AH246">
        <v>0.76590120900000003</v>
      </c>
      <c r="AI246">
        <v>0.492586831</v>
      </c>
      <c r="AJ246">
        <v>4.9883456E-2</v>
      </c>
      <c r="AK246">
        <v>-0.30126133500000002</v>
      </c>
      <c r="AL246">
        <v>1.8268543000000002E-2</v>
      </c>
      <c r="AM246">
        <v>0.243077399</v>
      </c>
      <c r="AN246">
        <v>-0.49260607499999998</v>
      </c>
      <c r="AO246">
        <v>0.62160239399999995</v>
      </c>
      <c r="AP246">
        <v>1.251130192</v>
      </c>
      <c r="AQ246">
        <v>1.695912028</v>
      </c>
      <c r="AR246">
        <v>-2.2136724E-2</v>
      </c>
      <c r="AS246">
        <v>-3.5485985709999999</v>
      </c>
      <c r="AT246">
        <v>0.57229534500000001</v>
      </c>
      <c r="AU246">
        <v>1.220887141</v>
      </c>
    </row>
    <row r="247" spans="1:47" x14ac:dyDescent="0.2">
      <c r="A247" t="s">
        <v>311</v>
      </c>
      <c r="B247" s="73">
        <v>39722</v>
      </c>
      <c r="C247">
        <v>0.79534051500000003</v>
      </c>
      <c r="D247">
        <v>0.70914325899999997</v>
      </c>
      <c r="E247">
        <v>-0.64956194199999995</v>
      </c>
      <c r="F247">
        <v>-0.58432255399999999</v>
      </c>
      <c r="G247">
        <v>1.4619277829999999</v>
      </c>
      <c r="H247">
        <v>0.82004401199999999</v>
      </c>
      <c r="I247">
        <v>0.38252788900000001</v>
      </c>
      <c r="J247">
        <v>-0.84628734500000002</v>
      </c>
      <c r="L247">
        <v>0.163162275</v>
      </c>
      <c r="M247">
        <v>-0.64824918200000003</v>
      </c>
      <c r="N247">
        <v>-0.58413666200000003</v>
      </c>
      <c r="O247">
        <v>-0.53543499999999999</v>
      </c>
      <c r="P247">
        <v>-0.18413980399999999</v>
      </c>
      <c r="Q247">
        <v>4.7697591999999997E-2</v>
      </c>
      <c r="R247">
        <v>-0.50741499999999995</v>
      </c>
      <c r="S247">
        <v>0.34536722199999997</v>
      </c>
      <c r="T247">
        <v>-0.27680655500000001</v>
      </c>
      <c r="U247">
        <v>-0.68760100000000002</v>
      </c>
      <c r="V247">
        <v>-1.490218453</v>
      </c>
      <c r="W247">
        <v>-9.7483140999999995E-2</v>
      </c>
      <c r="X247">
        <v>-0.18327063699999999</v>
      </c>
      <c r="Y247">
        <v>0.87024000000000001</v>
      </c>
      <c r="Z247">
        <v>-0.84192080899999999</v>
      </c>
      <c r="AA247">
        <v>-5.2806888650000001</v>
      </c>
      <c r="AB247">
        <v>0.156891957</v>
      </c>
      <c r="AC247">
        <v>-1.232084951</v>
      </c>
      <c r="AD247">
        <v>-1.245119968</v>
      </c>
      <c r="AE247">
        <v>0.81588104299999997</v>
      </c>
      <c r="AF247">
        <v>-0.82284862700000005</v>
      </c>
      <c r="AG247">
        <v>-4.0755648840000003</v>
      </c>
      <c r="AH247">
        <v>0.32127206400000002</v>
      </c>
      <c r="AI247">
        <v>-0.122148031</v>
      </c>
      <c r="AJ247">
        <v>-0.182729802</v>
      </c>
      <c r="AK247">
        <v>-0.33961140899999998</v>
      </c>
      <c r="AL247">
        <v>-0.50315750400000003</v>
      </c>
      <c r="AM247">
        <v>-0.33656979199999998</v>
      </c>
      <c r="AN247">
        <v>-8.2530827000000001E-2</v>
      </c>
      <c r="AO247">
        <v>-1.490668597</v>
      </c>
      <c r="AP247">
        <v>1.4194360130000001</v>
      </c>
      <c r="AQ247">
        <v>-0.56759179199999998</v>
      </c>
      <c r="AR247">
        <v>-0.521936768</v>
      </c>
      <c r="AS247">
        <v>-1.8168699740000001</v>
      </c>
      <c r="AT247">
        <v>-0.52689290200000005</v>
      </c>
      <c r="AU247">
        <v>0.23893335099999999</v>
      </c>
    </row>
    <row r="248" spans="1:47" x14ac:dyDescent="0.2">
      <c r="A248" t="s">
        <v>312</v>
      </c>
      <c r="B248" s="73">
        <v>39814</v>
      </c>
      <c r="C248">
        <v>-4.744838434</v>
      </c>
      <c r="D248">
        <v>-0.445194282</v>
      </c>
      <c r="E248">
        <v>-2.2329020850000001</v>
      </c>
      <c r="F248">
        <v>-2.1688334409999999</v>
      </c>
      <c r="G248">
        <v>-3.7817746749999999</v>
      </c>
      <c r="H248">
        <v>-1.1595184890000001</v>
      </c>
      <c r="I248">
        <v>-2.8211421479999998</v>
      </c>
      <c r="J248">
        <v>-0.97242041999999995</v>
      </c>
      <c r="L248">
        <v>-1.8149627370000001</v>
      </c>
      <c r="M248">
        <v>-1.593756296</v>
      </c>
      <c r="N248">
        <v>-2.3614806979999998</v>
      </c>
      <c r="O248">
        <v>-1.781544</v>
      </c>
      <c r="P248">
        <v>-1.614017593</v>
      </c>
      <c r="Q248">
        <v>-11.798106461</v>
      </c>
      <c r="R248">
        <v>-1.7973030000000001</v>
      </c>
      <c r="S248">
        <v>-2.1457381020000001</v>
      </c>
      <c r="T248">
        <v>-1.4515173649999999</v>
      </c>
      <c r="U248">
        <v>-2.0831590000000002</v>
      </c>
      <c r="V248">
        <v>-2.0052793539999998</v>
      </c>
      <c r="W248">
        <v>-1.397015176</v>
      </c>
      <c r="X248">
        <v>-3.4982003490000002</v>
      </c>
      <c r="Y248">
        <v>0.12257</v>
      </c>
      <c r="Z248">
        <v>-4.1459802809999999</v>
      </c>
      <c r="AA248">
        <v>5.592803119</v>
      </c>
      <c r="AB248">
        <v>-0.749352185</v>
      </c>
      <c r="AC248">
        <v>-2.62005395</v>
      </c>
      <c r="AD248">
        <v>-2.4762532660000001</v>
      </c>
      <c r="AE248">
        <v>-3.2838893470000001</v>
      </c>
      <c r="AF248">
        <v>-3.6845002689999999</v>
      </c>
      <c r="AG248">
        <v>-2.4153464169999999</v>
      </c>
      <c r="AH248">
        <v>-1.631412171</v>
      </c>
      <c r="AI248">
        <v>-0.65994078300000003</v>
      </c>
      <c r="AJ248">
        <v>0.31324054499999998</v>
      </c>
      <c r="AK248">
        <v>-0.67111844399999998</v>
      </c>
      <c r="AL248">
        <v>-1.9930646569999999</v>
      </c>
      <c r="AM248">
        <v>0.40487954399999998</v>
      </c>
      <c r="AN248">
        <v>-1.2917566469999999</v>
      </c>
      <c r="AO248">
        <v>-3.252211484</v>
      </c>
      <c r="AP248">
        <v>1.201281</v>
      </c>
      <c r="AQ248">
        <v>-3.7381705709999999</v>
      </c>
      <c r="AR248">
        <v>-3.5367068160000001</v>
      </c>
      <c r="AS248">
        <v>-2.5400315510000002</v>
      </c>
      <c r="AT248">
        <v>-2.1830971479999999</v>
      </c>
      <c r="AU248">
        <v>-0.56924852800000003</v>
      </c>
    </row>
    <row r="249" spans="1:47" x14ac:dyDescent="0.2">
      <c r="A249" t="s">
        <v>313</v>
      </c>
      <c r="B249" s="73">
        <v>39904</v>
      </c>
      <c r="C249">
        <v>-3.654868564</v>
      </c>
      <c r="D249">
        <v>0.91171115300000005</v>
      </c>
      <c r="E249">
        <v>-1.7298851019999999</v>
      </c>
      <c r="F249">
        <v>-0.97325393000000004</v>
      </c>
      <c r="G249">
        <v>-1.3838447410000001</v>
      </c>
      <c r="H249">
        <v>-2.2596861829999999</v>
      </c>
      <c r="I249">
        <v>-1.555135326</v>
      </c>
      <c r="J249">
        <v>-0.81545148300000003</v>
      </c>
      <c r="L249">
        <v>-3.3816703659999998</v>
      </c>
      <c r="M249">
        <v>-4.6822270550000002</v>
      </c>
      <c r="N249">
        <v>-1.423447795</v>
      </c>
      <c r="O249">
        <v>-3.110198</v>
      </c>
      <c r="P249">
        <v>-2.6055354049999999</v>
      </c>
      <c r="Q249">
        <v>-2.6519685239999999</v>
      </c>
      <c r="R249">
        <v>-2.8971429999999998</v>
      </c>
      <c r="S249">
        <v>-6.4776141279999999</v>
      </c>
      <c r="T249">
        <v>-1.645240416</v>
      </c>
      <c r="U249">
        <v>-2.3029760000000001</v>
      </c>
      <c r="V249">
        <v>-1.802244248</v>
      </c>
      <c r="W249">
        <v>-4.7477806170000001</v>
      </c>
      <c r="X249">
        <v>-4.1182433319999996</v>
      </c>
      <c r="Y249">
        <v>-1.8461399999999999</v>
      </c>
      <c r="Z249">
        <v>0.43010388599999999</v>
      </c>
      <c r="AA249">
        <v>-9.874681056</v>
      </c>
      <c r="AB249">
        <v>-4.3184211E-2</v>
      </c>
      <c r="AC249">
        <v>-2.6937437559999999</v>
      </c>
      <c r="AD249">
        <v>-4.8074887930000001</v>
      </c>
      <c r="AE249">
        <v>8.9986722000000005E-2</v>
      </c>
      <c r="AF249">
        <v>-1.888071745</v>
      </c>
      <c r="AG249">
        <v>-3.5884855070000001</v>
      </c>
      <c r="AH249">
        <v>-5.1181951979999996</v>
      </c>
      <c r="AI249">
        <v>-3.5936407930000001</v>
      </c>
      <c r="AJ249">
        <v>-0.82573796200000005</v>
      </c>
      <c r="AK249">
        <v>-1.0083474029999999</v>
      </c>
      <c r="AL249">
        <v>-2.3144714959999999</v>
      </c>
      <c r="AM249">
        <v>1.5787565480000001</v>
      </c>
      <c r="AN249">
        <v>-2.5166704719999999</v>
      </c>
      <c r="AO249">
        <v>-3.5269817579999998</v>
      </c>
      <c r="AP249">
        <v>-9.6000383930000002</v>
      </c>
      <c r="AQ249">
        <v>-4.3783761830000003</v>
      </c>
      <c r="AR249">
        <v>-1.4901369149999999</v>
      </c>
      <c r="AS249">
        <v>-5.6640195660000003</v>
      </c>
      <c r="AT249">
        <v>-1.1657225309999999</v>
      </c>
      <c r="AU249">
        <v>-1.5555425949999999</v>
      </c>
    </row>
    <row r="250" spans="1:47" x14ac:dyDescent="0.2">
      <c r="A250" t="s">
        <v>314</v>
      </c>
      <c r="B250" s="73">
        <v>39995</v>
      </c>
      <c r="C250">
        <v>-2.1967382639999999</v>
      </c>
      <c r="D250">
        <v>0.74725377699999995</v>
      </c>
      <c r="E250">
        <v>-0.77872497200000002</v>
      </c>
      <c r="F250">
        <v>4.7812829000000001E-2</v>
      </c>
      <c r="G250">
        <v>1.804567832</v>
      </c>
      <c r="H250">
        <v>-1.0912585960000001</v>
      </c>
      <c r="I250">
        <v>0.60069702899999999</v>
      </c>
      <c r="J250">
        <v>-0.59619747199999995</v>
      </c>
      <c r="L250">
        <v>-0.38789759499999998</v>
      </c>
      <c r="M250">
        <v>0.159652865</v>
      </c>
      <c r="N250">
        <v>-1.938341181</v>
      </c>
      <c r="O250">
        <v>-2.0164000000000001E-2</v>
      </c>
      <c r="P250">
        <v>-1.0778265E-2</v>
      </c>
      <c r="Q250">
        <v>-3.3744366719999999</v>
      </c>
      <c r="R250">
        <v>-6.8371000000000001E-2</v>
      </c>
      <c r="S250">
        <v>-0.436809528</v>
      </c>
      <c r="T250">
        <v>-0.100864069</v>
      </c>
      <c r="U250">
        <v>0.113256</v>
      </c>
      <c r="V250">
        <v>-0.31393367599999999</v>
      </c>
      <c r="W250">
        <v>2.7768419029999998</v>
      </c>
      <c r="X250">
        <v>1.2032566999999999E-2</v>
      </c>
      <c r="Y250">
        <v>5.8036599999999998</v>
      </c>
      <c r="Z250">
        <v>-0.50110859600000002</v>
      </c>
      <c r="AA250">
        <v>-0.38336279099999998</v>
      </c>
      <c r="AB250">
        <v>1.0707506979999999</v>
      </c>
      <c r="AC250">
        <v>-0.31826114999999999</v>
      </c>
      <c r="AD250">
        <v>1.963306588</v>
      </c>
      <c r="AE250">
        <v>1.332777638</v>
      </c>
      <c r="AF250">
        <v>1.23940271</v>
      </c>
      <c r="AG250">
        <v>-5.6912230580000003</v>
      </c>
      <c r="AH250">
        <v>-1.4856778079999999</v>
      </c>
      <c r="AI250">
        <v>2.5085789999999999E-3</v>
      </c>
      <c r="AJ250">
        <v>-0.87961137899999997</v>
      </c>
      <c r="AK250">
        <v>-5.3875932000000001E-2</v>
      </c>
      <c r="AL250">
        <v>0.19635307199999999</v>
      </c>
      <c r="AM250">
        <v>4.6117185999999998E-2</v>
      </c>
      <c r="AN250">
        <v>8.9438207000000006E-2</v>
      </c>
      <c r="AO250">
        <v>-1.4588607810000001</v>
      </c>
      <c r="AP250">
        <v>1.651201291</v>
      </c>
      <c r="AQ250">
        <v>-1.1087893150000001</v>
      </c>
      <c r="AR250">
        <v>7.3371684000000006E-2</v>
      </c>
      <c r="AS250">
        <v>4.0069981370000001</v>
      </c>
      <c r="AT250">
        <v>-0.16923813900000001</v>
      </c>
      <c r="AU250">
        <v>-0.34321136899999999</v>
      </c>
    </row>
    <row r="251" spans="1:47" x14ac:dyDescent="0.2">
      <c r="A251" t="s">
        <v>315</v>
      </c>
      <c r="B251" s="73">
        <v>40087</v>
      </c>
      <c r="C251">
        <v>3.9251900129999999</v>
      </c>
      <c r="D251">
        <v>0.28376272499999999</v>
      </c>
      <c r="E251">
        <v>0.44580593400000001</v>
      </c>
      <c r="F251">
        <v>1.2637794440000001</v>
      </c>
      <c r="G251">
        <v>2.345837446</v>
      </c>
      <c r="H251">
        <v>0.44993852000000001</v>
      </c>
      <c r="I251">
        <v>1.145387645</v>
      </c>
      <c r="J251">
        <v>1.11519886</v>
      </c>
      <c r="L251">
        <v>0.44110371599999998</v>
      </c>
      <c r="M251">
        <v>0.55789132299999999</v>
      </c>
      <c r="N251">
        <v>0.345762915</v>
      </c>
      <c r="O251">
        <v>0.38960499999999998</v>
      </c>
      <c r="P251">
        <v>0.21112808599999999</v>
      </c>
      <c r="Q251">
        <v>-1.96713969</v>
      </c>
      <c r="R251">
        <v>0.36907099999999998</v>
      </c>
      <c r="S251">
        <v>0.92466898799999997</v>
      </c>
      <c r="T251">
        <v>0.16352517499999999</v>
      </c>
      <c r="U251">
        <v>0.30369600000000002</v>
      </c>
      <c r="V251">
        <v>6.3201651999999997E-2</v>
      </c>
      <c r="W251">
        <v>-0.72543689099999997</v>
      </c>
      <c r="X251">
        <v>4.9148400000000002E-3</v>
      </c>
      <c r="Y251">
        <v>2.5538799999999999</v>
      </c>
      <c r="Z251">
        <v>-1.3863991229999999</v>
      </c>
      <c r="AA251">
        <v>1.542428176</v>
      </c>
      <c r="AB251">
        <v>1.0813342829999999</v>
      </c>
      <c r="AC251">
        <v>0.58184775399999999</v>
      </c>
      <c r="AD251">
        <v>-4.3083684999999997E-2</v>
      </c>
      <c r="AE251">
        <v>2.9926747850000002</v>
      </c>
      <c r="AF251">
        <v>2.1397869109999998</v>
      </c>
      <c r="AG251">
        <v>-5.0921966940000001</v>
      </c>
      <c r="AH251">
        <v>3.2989516210000001</v>
      </c>
      <c r="AI251">
        <v>0.400707908</v>
      </c>
      <c r="AJ251">
        <v>6.4386328000000007E-2</v>
      </c>
      <c r="AK251">
        <v>0.49520266800000001</v>
      </c>
      <c r="AL251">
        <v>0.58327371400000005</v>
      </c>
      <c r="AM251">
        <v>0.57832618999999996</v>
      </c>
      <c r="AN251">
        <v>0.88222418300000005</v>
      </c>
      <c r="AO251">
        <v>0.41042516099999998</v>
      </c>
      <c r="AP251">
        <v>1.7227284949999999</v>
      </c>
      <c r="AQ251">
        <v>0.26226756499999998</v>
      </c>
      <c r="AR251">
        <v>-5.0712373999999998E-2</v>
      </c>
      <c r="AS251">
        <v>2.3957610740000002</v>
      </c>
      <c r="AT251">
        <v>0.36192999100000001</v>
      </c>
      <c r="AU251">
        <v>0.23190718799999999</v>
      </c>
    </row>
    <row r="252" spans="1:47" x14ac:dyDescent="0.2">
      <c r="A252" t="s">
        <v>316</v>
      </c>
      <c r="B252" s="73">
        <v>40179</v>
      </c>
      <c r="C252">
        <v>1.8725336610000001</v>
      </c>
      <c r="D252">
        <v>0.78754564599999999</v>
      </c>
      <c r="E252">
        <v>0.46603249099999999</v>
      </c>
      <c r="F252">
        <v>0.80229046100000001</v>
      </c>
      <c r="G252">
        <v>2.5310211250000001</v>
      </c>
      <c r="H252">
        <v>1.1661570240000001</v>
      </c>
      <c r="I252">
        <v>0.831658703</v>
      </c>
      <c r="J252">
        <v>1.23689424</v>
      </c>
      <c r="L252">
        <v>9.6491573999999997E-2</v>
      </c>
      <c r="M252">
        <v>0.73596276800000004</v>
      </c>
      <c r="N252">
        <v>9.0743262000000005E-2</v>
      </c>
      <c r="O252">
        <v>0.45674300000000001</v>
      </c>
      <c r="P252">
        <v>-2.0400669E-2</v>
      </c>
      <c r="Q252">
        <v>0.46882818199999998</v>
      </c>
      <c r="R252">
        <v>0.49016900000000002</v>
      </c>
      <c r="S252">
        <v>-0.77194487199999995</v>
      </c>
      <c r="T252">
        <v>0.698887433</v>
      </c>
      <c r="U252">
        <v>0.92839300000000002</v>
      </c>
      <c r="V252">
        <v>0.3103824</v>
      </c>
      <c r="W252">
        <v>0.128217041</v>
      </c>
      <c r="X252">
        <v>-8.7925239999999995E-3</v>
      </c>
      <c r="Y252">
        <v>2.1267299999999998</v>
      </c>
      <c r="Z252">
        <v>-1.278050814</v>
      </c>
      <c r="AA252">
        <v>-0.31473661600000002</v>
      </c>
      <c r="AB252">
        <v>1.3904068350000001</v>
      </c>
      <c r="AC252">
        <v>0.32450437700000001</v>
      </c>
      <c r="AD252">
        <v>1.231975606</v>
      </c>
      <c r="AE252">
        <v>0.74686754499999997</v>
      </c>
      <c r="AF252">
        <v>0.46748151999999998</v>
      </c>
      <c r="AG252">
        <v>0.30095385099999999</v>
      </c>
      <c r="AH252">
        <v>1.660506126</v>
      </c>
      <c r="AI252">
        <v>0.60232846100000004</v>
      </c>
      <c r="AJ252">
        <v>5.3340237999999998E-2</v>
      </c>
      <c r="AK252">
        <v>1.269581198</v>
      </c>
      <c r="AL252">
        <v>0.90120046200000004</v>
      </c>
      <c r="AM252">
        <v>2.3966442799999998</v>
      </c>
      <c r="AN252">
        <v>4.7782666000000001E-2</v>
      </c>
      <c r="AO252">
        <v>1.0817084560000001</v>
      </c>
      <c r="AP252">
        <v>1.940396418</v>
      </c>
      <c r="AQ252">
        <v>-0.11858476499999999</v>
      </c>
      <c r="AR252">
        <v>0.45794391600000001</v>
      </c>
      <c r="AS252">
        <v>1.9523571850000001</v>
      </c>
      <c r="AT252">
        <v>1.0679619499999999</v>
      </c>
      <c r="AU252">
        <v>0.66697168900000003</v>
      </c>
    </row>
    <row r="253" spans="1:47" x14ac:dyDescent="0.2">
      <c r="A253" t="s">
        <v>317</v>
      </c>
      <c r="B253" s="73">
        <v>40269</v>
      </c>
      <c r="C253">
        <v>3.0374449270000001</v>
      </c>
      <c r="D253">
        <v>0.43441908299999998</v>
      </c>
      <c r="E253">
        <v>-0.427643037</v>
      </c>
      <c r="F253">
        <v>0.51811854300000004</v>
      </c>
      <c r="G253">
        <v>2.2799799119999999</v>
      </c>
      <c r="H253">
        <v>1.206341487</v>
      </c>
      <c r="I253">
        <v>0.71617918999999997</v>
      </c>
      <c r="J253">
        <v>0.35780255599999999</v>
      </c>
      <c r="L253">
        <v>0.69997078199999996</v>
      </c>
      <c r="M253">
        <v>0.80651542499999995</v>
      </c>
      <c r="N253">
        <v>0.86356907900000002</v>
      </c>
      <c r="O253">
        <v>0.40082899999999999</v>
      </c>
      <c r="P253">
        <v>-2.8195768E-2</v>
      </c>
      <c r="Q253">
        <v>1.3781535330000001</v>
      </c>
      <c r="R253">
        <v>0.40632200000000002</v>
      </c>
      <c r="S253">
        <v>1.001905585</v>
      </c>
      <c r="T253">
        <v>0.355262099</v>
      </c>
      <c r="U253">
        <v>0.62975700000000001</v>
      </c>
      <c r="V253">
        <v>0.69847149900000005</v>
      </c>
      <c r="W253">
        <v>-5.5628861660000002</v>
      </c>
      <c r="X253">
        <v>1.2441172E-2</v>
      </c>
      <c r="Y253">
        <v>2.6001799999999999</v>
      </c>
      <c r="Z253">
        <v>2.9633958250000001</v>
      </c>
      <c r="AA253">
        <v>-6.0010445209999999</v>
      </c>
      <c r="AB253">
        <v>1.3517862540000001</v>
      </c>
      <c r="AC253">
        <v>0.26818113799999999</v>
      </c>
      <c r="AD253">
        <v>1.0530243239999999</v>
      </c>
      <c r="AE253">
        <v>1.9590767389999999</v>
      </c>
      <c r="AF253">
        <v>1.7722493640000001</v>
      </c>
      <c r="AG253">
        <v>-0.57229655400000001</v>
      </c>
      <c r="AH253">
        <v>1.051174117</v>
      </c>
      <c r="AI253">
        <v>-0.18847002199999999</v>
      </c>
      <c r="AJ253">
        <v>1.951186058</v>
      </c>
      <c r="AK253">
        <v>0.32901532100000003</v>
      </c>
      <c r="AL253">
        <v>0.60166039599999999</v>
      </c>
      <c r="AM253">
        <v>-0.422457627</v>
      </c>
      <c r="AN253">
        <v>0.82301842700000005</v>
      </c>
      <c r="AO253">
        <v>2.138462021</v>
      </c>
      <c r="AP253">
        <v>1.846014475</v>
      </c>
      <c r="AQ253">
        <v>-0.14290178000000001</v>
      </c>
      <c r="AR253">
        <v>2.6685926329999998</v>
      </c>
      <c r="AS253">
        <v>-0.29499498200000002</v>
      </c>
      <c r="AT253">
        <v>0.50005348100000002</v>
      </c>
      <c r="AU253">
        <v>1.166724893</v>
      </c>
    </row>
    <row r="254" spans="1:47" x14ac:dyDescent="0.2">
      <c r="A254" t="s">
        <v>318</v>
      </c>
      <c r="B254" s="73">
        <v>40360</v>
      </c>
      <c r="C254">
        <v>4.4675876939999997</v>
      </c>
      <c r="D254">
        <v>0.64053605400000002</v>
      </c>
      <c r="E254">
        <v>1.354215248</v>
      </c>
      <c r="F254">
        <v>0.98535424100000002</v>
      </c>
      <c r="G254">
        <v>0.97376628200000004</v>
      </c>
      <c r="H254">
        <v>0.523260909</v>
      </c>
      <c r="I254">
        <v>0.83126291900000004</v>
      </c>
      <c r="J254">
        <v>3.4222380079999999</v>
      </c>
      <c r="L254">
        <v>1.123545104</v>
      </c>
      <c r="M254">
        <v>2.2410465359999998</v>
      </c>
      <c r="N254">
        <v>0.68351791900000003</v>
      </c>
      <c r="O254">
        <v>0.97059099999999998</v>
      </c>
      <c r="P254">
        <v>0.14992503700000001</v>
      </c>
      <c r="Q254">
        <v>1.2675309880000001</v>
      </c>
      <c r="R254">
        <v>0.99414199999999997</v>
      </c>
      <c r="S254">
        <v>2.7619473669999999</v>
      </c>
      <c r="T254">
        <v>0.51105726100000004</v>
      </c>
      <c r="U254">
        <v>1.0747660000000001</v>
      </c>
      <c r="V254">
        <v>1.133482316</v>
      </c>
      <c r="W254">
        <v>-3.7538336060000002</v>
      </c>
      <c r="X254">
        <v>0.82484177599999997</v>
      </c>
      <c r="Y254">
        <v>2.4025599999999998</v>
      </c>
      <c r="Z254">
        <v>5.9786493000000003E-2</v>
      </c>
      <c r="AA254">
        <v>3.967660907</v>
      </c>
      <c r="AB254">
        <v>1.404836277</v>
      </c>
      <c r="AC254">
        <v>0.74752535799999997</v>
      </c>
      <c r="AD254">
        <v>1.201058483</v>
      </c>
      <c r="AE254">
        <v>1.899801372</v>
      </c>
      <c r="AF254">
        <v>1.082868631</v>
      </c>
      <c r="AG254">
        <v>-0.731588609</v>
      </c>
      <c r="AH254">
        <v>1.098761831</v>
      </c>
      <c r="AI254">
        <v>0.43866366299999998</v>
      </c>
      <c r="AJ254">
        <v>-1.0629642930000001</v>
      </c>
      <c r="AK254">
        <v>0.70765978900000004</v>
      </c>
      <c r="AL254">
        <v>1.104716968</v>
      </c>
      <c r="AM254">
        <v>1.525976413</v>
      </c>
      <c r="AN254">
        <v>0.55242860400000005</v>
      </c>
      <c r="AO254">
        <v>0.95009906200000005</v>
      </c>
      <c r="AP254">
        <v>1.1676552739999999</v>
      </c>
      <c r="AQ254">
        <v>1.781524831</v>
      </c>
      <c r="AR254">
        <v>2.079150952</v>
      </c>
      <c r="AS254">
        <v>3.8007093269999999</v>
      </c>
      <c r="AT254">
        <v>0.96770463900000003</v>
      </c>
      <c r="AU254">
        <v>0.83941199600000005</v>
      </c>
    </row>
    <row r="255" spans="1:47" x14ac:dyDescent="0.2">
      <c r="A255" t="s">
        <v>319</v>
      </c>
      <c r="B255" s="73">
        <v>40452</v>
      </c>
      <c r="C255">
        <v>0.54169387300000005</v>
      </c>
      <c r="D255">
        <v>0.70045938399999996</v>
      </c>
      <c r="E255">
        <v>0.88963187600000004</v>
      </c>
      <c r="F255">
        <v>0.417149241</v>
      </c>
      <c r="G255">
        <v>1.0243579869999999</v>
      </c>
      <c r="H255">
        <v>0.70869492199999995</v>
      </c>
      <c r="I255">
        <v>0.584384664</v>
      </c>
      <c r="J255">
        <v>2.3329711880000001</v>
      </c>
      <c r="L255">
        <v>0.83801545399999999</v>
      </c>
      <c r="M255">
        <v>0.83969932899999999</v>
      </c>
      <c r="N255">
        <v>1.5853732760000001</v>
      </c>
      <c r="O255">
        <v>0.44033099999999997</v>
      </c>
      <c r="P255">
        <v>-5.1135353000000001E-2</v>
      </c>
      <c r="Q255">
        <v>1.465733355</v>
      </c>
      <c r="R255">
        <v>0.50983599999999996</v>
      </c>
      <c r="S255">
        <v>-0.41072814299999999</v>
      </c>
      <c r="T255">
        <v>0.65556736100000002</v>
      </c>
      <c r="U255">
        <v>0.89580300000000002</v>
      </c>
      <c r="V255">
        <v>0.70093805399999998</v>
      </c>
      <c r="W255">
        <v>-3.336596347</v>
      </c>
      <c r="X255">
        <v>0.78884850699999998</v>
      </c>
      <c r="Y255">
        <v>2.9559799999999998</v>
      </c>
      <c r="Z255">
        <v>0.44045518700000003</v>
      </c>
      <c r="AA255">
        <v>-1.947419445</v>
      </c>
      <c r="AB255">
        <v>1.2395398740000001</v>
      </c>
      <c r="AC255">
        <v>0.47804548800000002</v>
      </c>
      <c r="AD255">
        <v>1.8151274449999999</v>
      </c>
      <c r="AE255">
        <v>1.1552150800000001</v>
      </c>
      <c r="AF255">
        <v>-1.577887671</v>
      </c>
      <c r="AG255">
        <v>-0.37901566199999998</v>
      </c>
      <c r="AH255">
        <v>0.94086116600000003</v>
      </c>
      <c r="AI255">
        <v>0.44162399299999999</v>
      </c>
      <c r="AJ255">
        <v>-2.4815398270000002</v>
      </c>
      <c r="AK255">
        <v>-0.24866028200000001</v>
      </c>
      <c r="AL255">
        <v>0.85377942299999998</v>
      </c>
      <c r="AM255">
        <v>1.3186837629999999</v>
      </c>
      <c r="AN255">
        <v>8.3833036E-2</v>
      </c>
      <c r="AO255">
        <v>0.52351252500000001</v>
      </c>
      <c r="AP255">
        <v>1.1002733220000001</v>
      </c>
      <c r="AQ255">
        <v>0.267473144</v>
      </c>
      <c r="AR255">
        <v>1.2119299530000001</v>
      </c>
      <c r="AS255">
        <v>2.7707017839999999</v>
      </c>
      <c r="AT255">
        <v>0.77314415000000003</v>
      </c>
      <c r="AU255">
        <v>0.89024629399999999</v>
      </c>
    </row>
    <row r="256" spans="1:47" x14ac:dyDescent="0.2">
      <c r="A256" t="s">
        <v>320</v>
      </c>
      <c r="B256" s="73">
        <v>40544</v>
      </c>
      <c r="C256">
        <v>1.3616163880000001</v>
      </c>
      <c r="D256">
        <v>0.91865725799999998</v>
      </c>
      <c r="E256">
        <v>1.1553557489999999</v>
      </c>
      <c r="F256">
        <v>0.505236083</v>
      </c>
      <c r="G256">
        <v>1.355199772</v>
      </c>
      <c r="H256">
        <v>1.1175051540000001</v>
      </c>
      <c r="I256">
        <v>0.74594850899999998</v>
      </c>
      <c r="J256">
        <v>1.2369619510000001</v>
      </c>
      <c r="L256">
        <v>0.37569987399999999</v>
      </c>
      <c r="M256">
        <v>0.811076295</v>
      </c>
      <c r="N256">
        <v>-0.22504965299999999</v>
      </c>
      <c r="O256">
        <v>0.62605100000000002</v>
      </c>
      <c r="P256">
        <v>6.7103146000000002E-2</v>
      </c>
      <c r="Q256">
        <v>2.1011252819999999</v>
      </c>
      <c r="R256">
        <v>0.63768000000000002</v>
      </c>
      <c r="S256">
        <v>2.1001216359999999</v>
      </c>
      <c r="T256">
        <v>0.709680537</v>
      </c>
      <c r="U256">
        <v>0.36477100000000001</v>
      </c>
      <c r="V256">
        <v>0.120686818</v>
      </c>
      <c r="W256">
        <v>-0.79406454400000004</v>
      </c>
      <c r="X256">
        <v>1.7379610000000001E-3</v>
      </c>
      <c r="Y256">
        <v>2.3210700000000002</v>
      </c>
      <c r="Z256">
        <v>-0.44666342399999998</v>
      </c>
      <c r="AA256">
        <v>3.776963254</v>
      </c>
      <c r="AB256">
        <v>1.5669827679999999</v>
      </c>
      <c r="AC256">
        <v>0.54873710499999995</v>
      </c>
      <c r="AD256">
        <v>-0.81789274300000003</v>
      </c>
      <c r="AE256">
        <v>1.2193187110000001</v>
      </c>
      <c r="AF256">
        <v>0.74470210199999998</v>
      </c>
      <c r="AG256">
        <v>0.924409751</v>
      </c>
      <c r="AH256">
        <v>0.77532659599999998</v>
      </c>
      <c r="AI256">
        <v>1.1273414900000001</v>
      </c>
      <c r="AJ256">
        <v>2.8072594099999999</v>
      </c>
      <c r="AK256">
        <v>-0.51938833699999998</v>
      </c>
      <c r="AL256">
        <v>0.56855902899999999</v>
      </c>
      <c r="AM256">
        <v>0.97755078900000003</v>
      </c>
      <c r="AN256">
        <v>-0.194037196</v>
      </c>
      <c r="AO256">
        <v>1.25698003</v>
      </c>
      <c r="AP256">
        <v>0.66005029500000001</v>
      </c>
      <c r="AQ256">
        <v>0.54356884699999997</v>
      </c>
      <c r="AR256">
        <v>1.605291555</v>
      </c>
      <c r="AS256">
        <v>3.0231894029999999</v>
      </c>
      <c r="AT256">
        <v>0.51959515899999997</v>
      </c>
      <c r="AU256">
        <v>0.93078135500000003</v>
      </c>
    </row>
    <row r="257" spans="1:47" x14ac:dyDescent="0.2">
      <c r="A257" t="s">
        <v>321</v>
      </c>
      <c r="B257" s="73">
        <v>40634</v>
      </c>
      <c r="C257">
        <v>2.3955278529999999</v>
      </c>
      <c r="D257">
        <v>-0.30218699700000001</v>
      </c>
      <c r="E257">
        <v>0.88560400699999997</v>
      </c>
      <c r="F257">
        <v>0.481369771</v>
      </c>
      <c r="G257">
        <v>1.4493505040000001</v>
      </c>
      <c r="H257">
        <v>0.75534704399999997</v>
      </c>
      <c r="I257">
        <v>0.66136070000000002</v>
      </c>
      <c r="J257">
        <v>1.2630413709999999</v>
      </c>
      <c r="K257">
        <v>2.5</v>
      </c>
      <c r="L257">
        <v>0.59780682900000004</v>
      </c>
      <c r="M257">
        <v>1.9310182810000001</v>
      </c>
      <c r="N257">
        <v>0.217842912</v>
      </c>
      <c r="O257">
        <v>0.84554799999999997</v>
      </c>
      <c r="P257">
        <v>-0.15597502899999999</v>
      </c>
      <c r="Q257">
        <v>2.0274687290000002</v>
      </c>
      <c r="R257">
        <v>0.82577900000000004</v>
      </c>
      <c r="S257">
        <v>0.55844083300000003</v>
      </c>
      <c r="T257">
        <v>0.98455502100000003</v>
      </c>
      <c r="U257">
        <v>0.102203</v>
      </c>
      <c r="V257">
        <v>0.46235611999999998</v>
      </c>
      <c r="W257">
        <v>-3.796685412</v>
      </c>
      <c r="X257">
        <v>0.86688746800000005</v>
      </c>
      <c r="Y257">
        <v>1.83064</v>
      </c>
      <c r="Z257">
        <v>0.80925183300000003</v>
      </c>
      <c r="AA257">
        <v>-4.1508705050000003</v>
      </c>
      <c r="AB257">
        <v>1.4336291670000001</v>
      </c>
      <c r="AC257">
        <v>0.47672184499999998</v>
      </c>
      <c r="AD257">
        <v>-1.059338737</v>
      </c>
      <c r="AE257">
        <v>0.933130719</v>
      </c>
      <c r="AF257">
        <v>1.201766691</v>
      </c>
      <c r="AG257">
        <v>-1.3858068910000001</v>
      </c>
      <c r="AH257">
        <v>0.76178206000000004</v>
      </c>
      <c r="AI257">
        <v>0.57785964400000001</v>
      </c>
      <c r="AJ257">
        <v>9.3536631999999995E-2</v>
      </c>
      <c r="AK257">
        <v>1.091780073</v>
      </c>
      <c r="AL257">
        <v>0.27974891200000002</v>
      </c>
      <c r="AM257">
        <v>1.128087042</v>
      </c>
      <c r="AN257">
        <v>-0.66076831199999997</v>
      </c>
      <c r="AO257">
        <v>1.155158313</v>
      </c>
      <c r="AP257">
        <v>0.33830726300000002</v>
      </c>
      <c r="AQ257">
        <v>0.63127613900000001</v>
      </c>
      <c r="AR257">
        <v>0.36242332799999999</v>
      </c>
      <c r="AS257">
        <v>2.2538581770000001</v>
      </c>
      <c r="AT257">
        <v>-0.24091606800000001</v>
      </c>
      <c r="AU257">
        <v>0.98480168000000001</v>
      </c>
    </row>
    <row r="258" spans="1:47" x14ac:dyDescent="0.2">
      <c r="A258" t="s">
        <v>322</v>
      </c>
      <c r="B258" s="73">
        <v>40725</v>
      </c>
      <c r="C258">
        <v>0.89866430600000002</v>
      </c>
      <c r="D258">
        <v>1.270086187</v>
      </c>
      <c r="E258">
        <v>0.22405676399999999</v>
      </c>
      <c r="F258">
        <v>0.20718999799999999</v>
      </c>
      <c r="G258">
        <v>0.96677943700000002</v>
      </c>
      <c r="H258">
        <v>0.19480650999999999</v>
      </c>
      <c r="I258">
        <v>0.46561750800000001</v>
      </c>
      <c r="J258">
        <v>1.400148011</v>
      </c>
      <c r="K258">
        <v>2.2000000000000002</v>
      </c>
      <c r="L258">
        <v>0.26102327400000003</v>
      </c>
      <c r="M258">
        <v>8.4194172999999997E-2</v>
      </c>
      <c r="N258">
        <v>1.002326552</v>
      </c>
      <c r="O258">
        <v>-2.2169999999999998E-3</v>
      </c>
      <c r="P258">
        <v>-0.31689017200000003</v>
      </c>
      <c r="Q258">
        <v>1.9091773139999999</v>
      </c>
      <c r="R258">
        <v>8.4422999999999998E-2</v>
      </c>
      <c r="S258">
        <v>-0.174006405</v>
      </c>
      <c r="T258">
        <v>2.6992348999999999E-2</v>
      </c>
      <c r="U258">
        <v>0.236235</v>
      </c>
      <c r="V258">
        <v>0.10110756799999999</v>
      </c>
      <c r="W258">
        <v>-1.817049481</v>
      </c>
      <c r="X258">
        <v>-2.1125410000000001E-2</v>
      </c>
      <c r="Y258">
        <v>1.2116499999999999</v>
      </c>
      <c r="Z258">
        <v>1.379710956</v>
      </c>
      <c r="AA258">
        <v>2.7599604329999998</v>
      </c>
      <c r="AB258">
        <v>0.97431044200000005</v>
      </c>
      <c r="AC258">
        <v>4.4972402000000002E-2</v>
      </c>
      <c r="AD258">
        <v>-0.85778418599999995</v>
      </c>
      <c r="AE258">
        <v>0.49079106099999997</v>
      </c>
      <c r="AF258">
        <v>-0.96784867100000005</v>
      </c>
      <c r="AG258">
        <v>3.5138083939999998</v>
      </c>
      <c r="AH258">
        <v>0.53108416899999999</v>
      </c>
      <c r="AI258">
        <v>-8.9510834999999997E-2</v>
      </c>
      <c r="AJ258">
        <v>-0.41342651800000002</v>
      </c>
      <c r="AK258">
        <v>0.50551757500000005</v>
      </c>
      <c r="AL258">
        <v>0.37733071400000001</v>
      </c>
      <c r="AM258">
        <v>1.334879658</v>
      </c>
      <c r="AN258">
        <v>-0.42891552799999999</v>
      </c>
      <c r="AO258">
        <v>0.94769094300000001</v>
      </c>
      <c r="AP258">
        <v>0.69054771199999998</v>
      </c>
      <c r="AQ258">
        <v>-0.51437239800000001</v>
      </c>
      <c r="AR258">
        <v>0.32003904900000002</v>
      </c>
      <c r="AS258">
        <v>2.7476908170000001</v>
      </c>
      <c r="AT258">
        <v>0.67805075100000001</v>
      </c>
      <c r="AU258">
        <v>0.559671531</v>
      </c>
    </row>
    <row r="259" spans="1:47" x14ac:dyDescent="0.2">
      <c r="A259" t="s">
        <v>323</v>
      </c>
      <c r="B259" s="73">
        <v>40817</v>
      </c>
      <c r="C259">
        <v>0.83982964500000001</v>
      </c>
      <c r="D259">
        <v>1.3461173390000001</v>
      </c>
      <c r="E259">
        <v>0.69126926700000002</v>
      </c>
      <c r="F259">
        <v>0.28644047299999997</v>
      </c>
      <c r="G259">
        <v>-0.210243348</v>
      </c>
      <c r="H259">
        <v>1.3796395619999999</v>
      </c>
      <c r="I259">
        <v>-0.37042834499999999</v>
      </c>
      <c r="J259">
        <v>0.36920829799999999</v>
      </c>
      <c r="K259">
        <v>1.9</v>
      </c>
      <c r="L259">
        <v>-8.1080056999999997E-2</v>
      </c>
      <c r="M259">
        <v>0.89379265900000004</v>
      </c>
      <c r="N259">
        <v>-1.243706016</v>
      </c>
      <c r="O259">
        <v>0.12449399999999999</v>
      </c>
      <c r="P259">
        <v>-0.64807921400000001</v>
      </c>
      <c r="Q259">
        <v>1.670494057</v>
      </c>
      <c r="R259">
        <v>0.189133</v>
      </c>
      <c r="S259">
        <v>0.122387672</v>
      </c>
      <c r="T259">
        <v>0.37342009100000001</v>
      </c>
      <c r="U259">
        <v>0.50128399999999995</v>
      </c>
      <c r="V259">
        <v>0.31936161200000002</v>
      </c>
      <c r="W259">
        <v>-2.0014831229999999</v>
      </c>
      <c r="X259">
        <v>0.20709024700000001</v>
      </c>
      <c r="Y259">
        <v>-3.8500000000000001E-3</v>
      </c>
      <c r="Z259">
        <v>-1.809263568</v>
      </c>
      <c r="AA259">
        <v>1.8052009579999999</v>
      </c>
      <c r="AB259">
        <v>2.195837805</v>
      </c>
      <c r="AC259">
        <v>-0.52265853100000004</v>
      </c>
      <c r="AD259">
        <v>2.4308672819999999</v>
      </c>
      <c r="AE259">
        <v>0.52632363800000004</v>
      </c>
      <c r="AF259">
        <v>1.226519022</v>
      </c>
      <c r="AG259">
        <v>1.5101677010000001</v>
      </c>
      <c r="AH259">
        <v>1.944165023</v>
      </c>
      <c r="AI259">
        <v>4.7358799999999999E-4</v>
      </c>
      <c r="AJ259">
        <v>1.6112779180000001</v>
      </c>
      <c r="AK259">
        <v>1.0307435599999999</v>
      </c>
      <c r="AL259">
        <v>0.593114735</v>
      </c>
      <c r="AM259">
        <v>1.288387714</v>
      </c>
      <c r="AN259">
        <v>-0.78083623800000002</v>
      </c>
      <c r="AO259">
        <v>1.151337174</v>
      </c>
      <c r="AP259">
        <v>0.46407790199999999</v>
      </c>
      <c r="AQ259">
        <v>-0.196196338</v>
      </c>
      <c r="AR259">
        <v>1.32518728</v>
      </c>
      <c r="AS259">
        <v>2.6588431219999999</v>
      </c>
      <c r="AT259">
        <v>-3.8767163E-2</v>
      </c>
      <c r="AU259">
        <v>0.413771114</v>
      </c>
    </row>
    <row r="260" spans="1:47" x14ac:dyDescent="0.2">
      <c r="A260" t="s">
        <v>324</v>
      </c>
      <c r="B260" s="73">
        <v>40909</v>
      </c>
      <c r="C260">
        <v>8.6993614999999996E-2</v>
      </c>
      <c r="D260">
        <v>1.110027222</v>
      </c>
      <c r="E260">
        <v>-3.6421090000000003E-2</v>
      </c>
      <c r="F260">
        <v>0.29165660999999998</v>
      </c>
      <c r="G260">
        <v>0.82022515299999998</v>
      </c>
      <c r="H260">
        <v>0.78751324</v>
      </c>
      <c r="I260">
        <v>0.10022539599999999</v>
      </c>
      <c r="J260">
        <v>1.911267133</v>
      </c>
      <c r="K260">
        <v>1.5</v>
      </c>
      <c r="L260">
        <v>8.3829122000000006E-2</v>
      </c>
      <c r="M260">
        <v>-0.312652447</v>
      </c>
      <c r="N260">
        <v>0.81718773300000003</v>
      </c>
      <c r="O260">
        <v>-0.40896100000000002</v>
      </c>
      <c r="P260">
        <v>-0.648559942</v>
      </c>
      <c r="Q260">
        <v>-3.2901245000000003E-2</v>
      </c>
      <c r="R260">
        <v>-0.36865199999999998</v>
      </c>
      <c r="S260">
        <v>2.7781378999999998E-2</v>
      </c>
      <c r="T260">
        <v>0.17512902699999999</v>
      </c>
      <c r="U260">
        <v>0.48625200000000002</v>
      </c>
      <c r="V260">
        <v>0.12721264400000001</v>
      </c>
      <c r="W260">
        <v>-4.4240506860000002</v>
      </c>
      <c r="X260">
        <v>1.2196600710000001</v>
      </c>
      <c r="Y260">
        <v>1.6288899999999999</v>
      </c>
      <c r="Z260">
        <v>0.35465026700000002</v>
      </c>
      <c r="AA260">
        <v>1.449036515</v>
      </c>
      <c r="AB260">
        <v>0.79161047699999998</v>
      </c>
      <c r="AC260">
        <v>-0.94821376099999999</v>
      </c>
      <c r="AD260">
        <v>-0.14284211399999999</v>
      </c>
      <c r="AE260">
        <v>0.47229806800000002</v>
      </c>
      <c r="AF260">
        <v>-0.31588215200000003</v>
      </c>
      <c r="AG260">
        <v>0.171750657</v>
      </c>
      <c r="AH260">
        <v>0.657098026</v>
      </c>
      <c r="AI260">
        <v>-0.60298726899999999</v>
      </c>
      <c r="AJ260">
        <v>5.1543722E-2</v>
      </c>
      <c r="AK260">
        <v>0.57356492599999997</v>
      </c>
      <c r="AL260">
        <v>0.42797589899999999</v>
      </c>
      <c r="AM260">
        <v>0.633576743</v>
      </c>
      <c r="AN260">
        <v>-1.478454706</v>
      </c>
      <c r="AO260">
        <v>1.2076822229999999</v>
      </c>
      <c r="AP260">
        <v>0.76604829600000002</v>
      </c>
      <c r="AQ260">
        <v>3.35137E-2</v>
      </c>
      <c r="AR260">
        <v>-1.422921678</v>
      </c>
      <c r="AS260">
        <v>1.357311969</v>
      </c>
      <c r="AT260">
        <v>1.121678183</v>
      </c>
      <c r="AU260">
        <v>0.68408623999999996</v>
      </c>
    </row>
    <row r="261" spans="1:47" x14ac:dyDescent="0.2">
      <c r="A261" t="s">
        <v>325</v>
      </c>
      <c r="B261" s="73">
        <v>41000</v>
      </c>
      <c r="C261">
        <v>-1.0763412320000001</v>
      </c>
      <c r="D261">
        <v>0.947949398</v>
      </c>
      <c r="E261">
        <v>0.77095884699999995</v>
      </c>
      <c r="F261">
        <v>0.21459657800000001</v>
      </c>
      <c r="G261">
        <v>-1.287669897</v>
      </c>
      <c r="H261">
        <v>6.4087343000000005E-2</v>
      </c>
      <c r="I261">
        <v>1.0450730850000001</v>
      </c>
      <c r="J261">
        <v>1.7249964689999999</v>
      </c>
      <c r="K261">
        <v>1.7</v>
      </c>
      <c r="L261">
        <v>-0.23528302400000001</v>
      </c>
      <c r="M261">
        <v>0.21171714999999999</v>
      </c>
      <c r="N261">
        <v>-6.9457024000000006E-2</v>
      </c>
      <c r="O261">
        <v>-0.211088</v>
      </c>
      <c r="P261">
        <v>-0.93714173700000003</v>
      </c>
      <c r="Q261">
        <v>0.59375559899999997</v>
      </c>
      <c r="R261">
        <v>-0.18584800000000001</v>
      </c>
      <c r="S261">
        <v>-0.43697229999999998</v>
      </c>
      <c r="T261">
        <v>8.5804951000000004E-2</v>
      </c>
      <c r="U261">
        <v>0.605294</v>
      </c>
      <c r="V261">
        <v>0.67760543299999998</v>
      </c>
      <c r="W261">
        <v>-0.42809316200000003</v>
      </c>
      <c r="X261">
        <v>-1.7681081590000001</v>
      </c>
      <c r="Y261">
        <v>1.3807799999999999</v>
      </c>
      <c r="Z261">
        <v>-0.67212348099999997</v>
      </c>
      <c r="AA261">
        <v>-3.3032695209999998</v>
      </c>
      <c r="AB261">
        <v>0.47033230300000001</v>
      </c>
      <c r="AC261">
        <v>-1.0857037190000001</v>
      </c>
      <c r="AD261">
        <v>1.3748018630000001</v>
      </c>
      <c r="AE261">
        <v>0.86566595300000004</v>
      </c>
      <c r="AF261">
        <v>0.52435752099999999</v>
      </c>
      <c r="AG261">
        <v>5.0764785779999997</v>
      </c>
      <c r="AH261">
        <v>0.64477286300000003</v>
      </c>
      <c r="AI261">
        <v>-0.209129697</v>
      </c>
      <c r="AJ261">
        <v>2.1696556299999998</v>
      </c>
      <c r="AK261">
        <v>0.61755109100000005</v>
      </c>
      <c r="AL261">
        <v>0.48228538100000001</v>
      </c>
      <c r="AM261">
        <v>6.9182549999999995E-2</v>
      </c>
      <c r="AN261">
        <v>-0.54580160799999999</v>
      </c>
      <c r="AO261">
        <v>1.570296481</v>
      </c>
      <c r="AP261">
        <v>0.23789555400000001</v>
      </c>
      <c r="AQ261">
        <v>-0.62891237700000002</v>
      </c>
      <c r="AR261">
        <v>0.19999816200000001</v>
      </c>
      <c r="AS261">
        <v>-0.88977375700000005</v>
      </c>
      <c r="AT261">
        <v>0.81792284500000001</v>
      </c>
      <c r="AU261">
        <v>0.56684324500000005</v>
      </c>
    </row>
    <row r="262" spans="1:47" x14ac:dyDescent="0.2">
      <c r="A262" t="s">
        <v>326</v>
      </c>
      <c r="B262" s="73">
        <v>41091</v>
      </c>
      <c r="C262">
        <v>-3.5037687260000001</v>
      </c>
      <c r="D262">
        <v>0.71787098299999996</v>
      </c>
      <c r="E262">
        <v>-0.38596406900000002</v>
      </c>
      <c r="F262">
        <v>-1.0006399999999999E-3</v>
      </c>
      <c r="G262">
        <v>1.717889639</v>
      </c>
      <c r="H262">
        <v>0.32616373700000001</v>
      </c>
      <c r="I262">
        <v>-5.6199333999999997E-2</v>
      </c>
      <c r="J262">
        <v>1.5255597949999999</v>
      </c>
      <c r="K262">
        <v>2.2999999999999998</v>
      </c>
      <c r="L262">
        <v>-0.46222377100000001</v>
      </c>
      <c r="M262">
        <v>0.18778914499999999</v>
      </c>
      <c r="N262">
        <v>7.5250259E-2</v>
      </c>
      <c r="O262">
        <v>-0.26491599999999998</v>
      </c>
      <c r="P262">
        <v>-0.96123464400000003</v>
      </c>
      <c r="Q262">
        <v>1.226167939</v>
      </c>
      <c r="R262">
        <v>-0.23702100000000001</v>
      </c>
      <c r="S262">
        <v>-1.0581715389999999</v>
      </c>
      <c r="T262">
        <v>-0.15805544599999999</v>
      </c>
      <c r="U262">
        <v>6.1948000000000003E-2</v>
      </c>
      <c r="V262">
        <v>-5.8849980000000003E-2</v>
      </c>
      <c r="W262">
        <v>-1.6306120099999999</v>
      </c>
      <c r="X262">
        <v>-0.60766082300000002</v>
      </c>
      <c r="Y262">
        <v>1.15795</v>
      </c>
      <c r="Z262">
        <v>2.008754846</v>
      </c>
      <c r="AA262">
        <v>1.4364357910000001</v>
      </c>
      <c r="AB262">
        <v>-9.1212495000000005E-2</v>
      </c>
      <c r="AC262">
        <v>-0.738444078</v>
      </c>
      <c r="AD262">
        <v>-0.89634116399999997</v>
      </c>
      <c r="AE262">
        <v>0.56597461800000004</v>
      </c>
      <c r="AF262">
        <v>-9.2631559999999998E-3</v>
      </c>
      <c r="AG262">
        <v>-0.52814121199999997</v>
      </c>
      <c r="AH262">
        <v>0.875214716</v>
      </c>
      <c r="AI262">
        <v>5.1637012000000003E-2</v>
      </c>
      <c r="AJ262">
        <v>0.23580242000000001</v>
      </c>
      <c r="AK262">
        <v>0.33682548099999998</v>
      </c>
      <c r="AL262">
        <v>0.14042038700000001</v>
      </c>
      <c r="AM262">
        <v>-0.24556246500000001</v>
      </c>
      <c r="AN262">
        <v>-1.3479545129999999</v>
      </c>
      <c r="AO262">
        <v>0.38707392299999999</v>
      </c>
      <c r="AP262">
        <v>0.16196981199999999</v>
      </c>
      <c r="AQ262">
        <v>-1.7737700380000001</v>
      </c>
      <c r="AR262">
        <v>0.121080256</v>
      </c>
      <c r="AS262">
        <v>1.727526866</v>
      </c>
      <c r="AT262">
        <v>0.45585998700000002</v>
      </c>
      <c r="AU262">
        <v>0.83473351900000003</v>
      </c>
    </row>
    <row r="263" spans="1:47" x14ac:dyDescent="0.2">
      <c r="A263" t="s">
        <v>327</v>
      </c>
      <c r="B263" s="73">
        <v>41183</v>
      </c>
      <c r="C263">
        <v>3.2180864740000001</v>
      </c>
      <c r="D263">
        <v>0.59112228</v>
      </c>
      <c r="E263">
        <v>-0.17317133600000001</v>
      </c>
      <c r="F263">
        <v>0.24315805300000001</v>
      </c>
      <c r="G263">
        <v>1.7433480619999999</v>
      </c>
      <c r="H263">
        <v>0.136217106</v>
      </c>
      <c r="I263">
        <v>0.707224352</v>
      </c>
      <c r="J263">
        <v>0.63679989100000001</v>
      </c>
      <c r="K263">
        <v>1.9</v>
      </c>
      <c r="L263">
        <v>-0.306104494</v>
      </c>
      <c r="M263">
        <v>0.29157197200000001</v>
      </c>
      <c r="N263">
        <v>9.3894243000000002E-2</v>
      </c>
      <c r="O263">
        <v>-0.115701</v>
      </c>
      <c r="P263">
        <v>-0.50969026500000003</v>
      </c>
      <c r="Q263">
        <v>0.49992822199999998</v>
      </c>
      <c r="R263">
        <v>-9.1656000000000001E-2</v>
      </c>
      <c r="S263">
        <v>-0.38531661699999997</v>
      </c>
      <c r="T263">
        <v>0.20029353699999999</v>
      </c>
      <c r="U263">
        <v>0.139622</v>
      </c>
      <c r="V263">
        <v>1.224551575</v>
      </c>
      <c r="W263">
        <v>-1.42355955</v>
      </c>
      <c r="X263">
        <v>0.28742814300000002</v>
      </c>
      <c r="Y263">
        <v>1.794</v>
      </c>
      <c r="Z263">
        <v>-1.947462112</v>
      </c>
      <c r="AA263">
        <v>0.64794760799999995</v>
      </c>
      <c r="AB263">
        <v>0.950260204</v>
      </c>
      <c r="AC263">
        <v>-0.51814583199999997</v>
      </c>
      <c r="AD263">
        <v>-0.377305585</v>
      </c>
      <c r="AE263">
        <v>0.45177694000000002</v>
      </c>
      <c r="AF263">
        <v>1.0574556390000001</v>
      </c>
      <c r="AG263">
        <v>1.298707979</v>
      </c>
      <c r="AH263">
        <v>0.56790853900000005</v>
      </c>
      <c r="AI263">
        <v>-0.42865471599999999</v>
      </c>
      <c r="AJ263">
        <v>-1.449584494</v>
      </c>
      <c r="AK263">
        <v>0.25216558500000003</v>
      </c>
      <c r="AL263">
        <v>0.179292753</v>
      </c>
      <c r="AM263">
        <v>0.43825233299999999</v>
      </c>
      <c r="AN263">
        <v>-1.129418955</v>
      </c>
      <c r="AO263">
        <v>0.51614756399999995</v>
      </c>
      <c r="AP263">
        <v>9.1103369000000003E-2</v>
      </c>
      <c r="AQ263">
        <v>0.19992489799999999</v>
      </c>
      <c r="AR263">
        <v>-0.11827694900000001</v>
      </c>
      <c r="AS263">
        <v>1.7647938809999999</v>
      </c>
      <c r="AT263">
        <v>0.17488297799999999</v>
      </c>
      <c r="AU263">
        <v>0.406558429</v>
      </c>
    </row>
    <row r="264" spans="1:47" x14ac:dyDescent="0.2">
      <c r="A264" t="s">
        <v>328</v>
      </c>
      <c r="B264" s="73">
        <v>41275</v>
      </c>
      <c r="C264">
        <v>1.7004042850000001</v>
      </c>
      <c r="D264">
        <v>0.51566278700000001</v>
      </c>
      <c r="E264">
        <v>-2.2318138000000001E-2</v>
      </c>
      <c r="F264">
        <v>-4.5918265E-2</v>
      </c>
      <c r="G264">
        <v>-2.6279712E-2</v>
      </c>
      <c r="H264">
        <v>0.20678147</v>
      </c>
      <c r="I264">
        <v>-0.109586452</v>
      </c>
      <c r="J264">
        <v>0.69255195899999999</v>
      </c>
      <c r="K264">
        <v>1.9</v>
      </c>
      <c r="L264">
        <v>-0.235886278</v>
      </c>
      <c r="M264">
        <v>-0.44647446200000002</v>
      </c>
      <c r="N264">
        <v>-0.16162989</v>
      </c>
      <c r="O264">
        <v>-0.41719499999999998</v>
      </c>
      <c r="P264">
        <v>-0.76265685900000002</v>
      </c>
      <c r="Q264">
        <v>0.88818344500000002</v>
      </c>
      <c r="R264">
        <v>-0.40990100000000002</v>
      </c>
      <c r="S264">
        <v>-7.7361410000000005E-2</v>
      </c>
      <c r="T264">
        <v>-7.3992558999999999E-2</v>
      </c>
      <c r="U264">
        <v>-6.6975000000000007E-2</v>
      </c>
      <c r="V264">
        <v>-0.246822544</v>
      </c>
      <c r="W264">
        <v>-0.88333547599999995</v>
      </c>
      <c r="X264">
        <v>-0.123944158</v>
      </c>
      <c r="Y264">
        <v>1.1868700000000001</v>
      </c>
      <c r="Z264">
        <v>1.3011401460000001</v>
      </c>
      <c r="AA264">
        <v>1.5578069050000001</v>
      </c>
      <c r="AB264">
        <v>0.64771661400000002</v>
      </c>
      <c r="AC264">
        <v>-0.75207808200000004</v>
      </c>
      <c r="AD264">
        <v>-7.2691914999999996E-2</v>
      </c>
      <c r="AE264">
        <v>0.50224872499999995</v>
      </c>
      <c r="AF264">
        <v>1.7912114459999999</v>
      </c>
      <c r="AG264">
        <v>0.53774389600000005</v>
      </c>
      <c r="AH264">
        <v>0.85435309199999998</v>
      </c>
      <c r="AI264">
        <v>-0.70003889200000002</v>
      </c>
      <c r="AJ264">
        <v>0.81733710500000001</v>
      </c>
      <c r="AK264">
        <v>1.5368666849999999</v>
      </c>
      <c r="AL264">
        <v>3.8583820999999997E-2</v>
      </c>
      <c r="AM264">
        <v>-0.52682288200000005</v>
      </c>
      <c r="AN264">
        <v>-1.5804573770000001</v>
      </c>
      <c r="AO264">
        <v>6.7384631E-2</v>
      </c>
      <c r="AP264">
        <v>-0.115711274</v>
      </c>
      <c r="AQ264">
        <v>-1.9933655850000001</v>
      </c>
      <c r="AR264">
        <v>-0.73517608899999998</v>
      </c>
      <c r="AS264">
        <v>1.602891829</v>
      </c>
      <c r="AT264">
        <v>0.109838067</v>
      </c>
      <c r="AU264">
        <v>0.47694278299999998</v>
      </c>
    </row>
    <row r="265" spans="1:47" x14ac:dyDescent="0.2">
      <c r="A265" t="s">
        <v>329</v>
      </c>
      <c r="B265" s="73">
        <v>41365</v>
      </c>
      <c r="C265">
        <v>-2.2278414E-2</v>
      </c>
      <c r="D265">
        <v>0.42501802100000002</v>
      </c>
      <c r="E265">
        <v>-0.272031996</v>
      </c>
      <c r="F265">
        <v>-0.27463747900000002</v>
      </c>
      <c r="G265">
        <v>0.454677675</v>
      </c>
      <c r="H265">
        <v>0.89700485500000005</v>
      </c>
      <c r="I265">
        <v>0.44240238799999998</v>
      </c>
      <c r="J265">
        <v>1.167982925</v>
      </c>
      <c r="K265">
        <v>1.9</v>
      </c>
      <c r="L265">
        <v>-0.36177993899999999</v>
      </c>
      <c r="M265">
        <v>-0.46675698900000001</v>
      </c>
      <c r="N265">
        <v>0.563835211</v>
      </c>
      <c r="O265">
        <v>-0.378471</v>
      </c>
      <c r="P265">
        <v>-0.31963185900000002</v>
      </c>
      <c r="Q265">
        <v>0.47925409600000002</v>
      </c>
      <c r="R265">
        <v>-0.24729000000000001</v>
      </c>
      <c r="S265">
        <v>-0.85729931800000003</v>
      </c>
      <c r="T265">
        <v>-1.4167222E-2</v>
      </c>
      <c r="U265">
        <v>0.58801800000000004</v>
      </c>
      <c r="V265">
        <v>0.45913757700000002</v>
      </c>
      <c r="W265">
        <v>-0.93926455099999995</v>
      </c>
      <c r="X265">
        <v>0.21022500799999999</v>
      </c>
      <c r="Y265">
        <v>1.59874</v>
      </c>
      <c r="Z265">
        <v>-1.977205629</v>
      </c>
      <c r="AA265">
        <v>0.65645257199999996</v>
      </c>
      <c r="AB265">
        <v>1.3980791480000001</v>
      </c>
      <c r="AC265">
        <v>-0.93276396800000005</v>
      </c>
      <c r="AD265">
        <v>1.3773790459999999</v>
      </c>
      <c r="AE265">
        <v>0.86312085000000005</v>
      </c>
      <c r="AF265">
        <v>2.35753E-4</v>
      </c>
      <c r="AG265">
        <v>0.28375331199999998</v>
      </c>
      <c r="AH265">
        <v>0.246798767</v>
      </c>
      <c r="AI265">
        <v>0.32313016999999999</v>
      </c>
      <c r="AJ265">
        <v>0.15065100100000001</v>
      </c>
      <c r="AK265">
        <v>-0.31359279600000001</v>
      </c>
      <c r="AL265">
        <v>0.58322812800000001</v>
      </c>
      <c r="AM265">
        <v>6.4151400999999997E-2</v>
      </c>
      <c r="AN265">
        <v>0.41614735800000002</v>
      </c>
      <c r="AO265">
        <v>0.74066342200000002</v>
      </c>
      <c r="AP265">
        <v>3.7224419000000002E-2</v>
      </c>
      <c r="AQ265">
        <v>0.18847448</v>
      </c>
      <c r="AR265">
        <v>1.41609684</v>
      </c>
      <c r="AS265">
        <v>2.9298856400000002</v>
      </c>
      <c r="AT265">
        <v>0.86778954799999997</v>
      </c>
      <c r="AU265">
        <v>0.77602471200000001</v>
      </c>
    </row>
    <row r="266" spans="1:47" x14ac:dyDescent="0.2">
      <c r="A266" t="s">
        <v>330</v>
      </c>
      <c r="B266" s="73">
        <v>41456</v>
      </c>
      <c r="C266">
        <v>0.49821324</v>
      </c>
      <c r="D266">
        <v>0.39944813699999998</v>
      </c>
      <c r="E266">
        <v>0.117041807</v>
      </c>
      <c r="F266">
        <v>0.58383488400000005</v>
      </c>
      <c r="G266">
        <v>1.6891800050000001</v>
      </c>
      <c r="H266">
        <v>0.58035719100000005</v>
      </c>
      <c r="I266">
        <v>0.90329485099999995</v>
      </c>
      <c r="J266">
        <v>1.5489932040000001</v>
      </c>
      <c r="K266">
        <v>1.8</v>
      </c>
      <c r="L266">
        <v>0.360650994</v>
      </c>
      <c r="M266">
        <v>1.068846451</v>
      </c>
      <c r="N266">
        <v>7.4281939000000005E-2</v>
      </c>
      <c r="O266">
        <v>0.53636700000000004</v>
      </c>
      <c r="P266">
        <v>-8.7487355000000003E-2</v>
      </c>
      <c r="Q266">
        <v>-0.256550681</v>
      </c>
      <c r="R266">
        <v>0.52927500000000005</v>
      </c>
      <c r="S266">
        <v>0.46092604199999998</v>
      </c>
      <c r="T266">
        <v>0.65688548999999996</v>
      </c>
      <c r="U266">
        <v>0.43628600000000001</v>
      </c>
      <c r="V266">
        <v>0.65714706199999995</v>
      </c>
      <c r="W266">
        <v>0.159070501</v>
      </c>
      <c r="X266">
        <v>1.0053374429999999</v>
      </c>
      <c r="Y266">
        <v>1.4038200000000001</v>
      </c>
      <c r="Z266">
        <v>2.880424391</v>
      </c>
      <c r="AA266">
        <v>1.616430195</v>
      </c>
      <c r="AB266">
        <v>2.0066721699999999</v>
      </c>
      <c r="AC266">
        <v>1.957188E-2</v>
      </c>
      <c r="AD266">
        <v>0.90487737099999999</v>
      </c>
      <c r="AE266">
        <v>1.165850338</v>
      </c>
      <c r="AF266">
        <v>1.942702103</v>
      </c>
      <c r="AG266">
        <v>-3.5690102000000001E-2</v>
      </c>
      <c r="AH266">
        <v>-0.55907723499999995</v>
      </c>
      <c r="AI266">
        <v>-0.18116626799999999</v>
      </c>
      <c r="AJ266">
        <v>0.72238399099999995</v>
      </c>
      <c r="AK266">
        <v>1.1742543480000001</v>
      </c>
      <c r="AL266">
        <v>0.53865754600000004</v>
      </c>
      <c r="AM266">
        <v>1.076102095</v>
      </c>
      <c r="AN266">
        <v>0.75837043999999998</v>
      </c>
      <c r="AO266">
        <v>0.34051066600000002</v>
      </c>
      <c r="AP266">
        <v>0.32167011400000001</v>
      </c>
      <c r="AQ266">
        <v>0.30799980199999999</v>
      </c>
      <c r="AR266">
        <v>-0.10250336</v>
      </c>
      <c r="AS266">
        <v>2.9357761130000002</v>
      </c>
      <c r="AT266">
        <v>0.13938522</v>
      </c>
      <c r="AU266">
        <v>0.72737858399999999</v>
      </c>
    </row>
    <row r="267" spans="1:47" x14ac:dyDescent="0.2">
      <c r="A267" t="s">
        <v>331</v>
      </c>
      <c r="B267" s="73">
        <v>41548</v>
      </c>
      <c r="C267">
        <v>0.67301236600000003</v>
      </c>
      <c r="D267">
        <v>0.78504013399999995</v>
      </c>
      <c r="E267">
        <v>0.48647469300000001</v>
      </c>
      <c r="F267">
        <v>0.30963759499999999</v>
      </c>
      <c r="G267">
        <v>0.32234491100000001</v>
      </c>
      <c r="H267">
        <v>0.81497340200000001</v>
      </c>
      <c r="I267">
        <v>0.76692988600000001</v>
      </c>
      <c r="J267">
        <v>0.87430157799999997</v>
      </c>
      <c r="K267">
        <v>2.1</v>
      </c>
      <c r="L267">
        <v>0.35242810299999999</v>
      </c>
      <c r="M267">
        <v>0.58060600600000001</v>
      </c>
      <c r="N267">
        <v>0.63338186699999999</v>
      </c>
      <c r="O267">
        <v>0.31308999999999998</v>
      </c>
      <c r="P267">
        <v>-5.4727476999999997E-2</v>
      </c>
      <c r="Q267">
        <v>-0.248679712</v>
      </c>
      <c r="R267">
        <v>0.35938900000000001</v>
      </c>
      <c r="S267">
        <v>0.34884823199999998</v>
      </c>
      <c r="T267">
        <v>1.8581324999999999E-2</v>
      </c>
      <c r="U267">
        <v>0.699851</v>
      </c>
      <c r="V267">
        <v>0.76718292799999999</v>
      </c>
      <c r="W267">
        <v>-6.997797E-3</v>
      </c>
      <c r="X267">
        <v>1.500341371</v>
      </c>
      <c r="Y267">
        <v>1.6011200000000001</v>
      </c>
      <c r="Z267">
        <v>1.8133359609999999</v>
      </c>
      <c r="AA267">
        <v>-0.239216334</v>
      </c>
      <c r="AB267">
        <v>1.1508244240000001</v>
      </c>
      <c r="AC267">
        <v>0.23043024400000001</v>
      </c>
      <c r="AD267">
        <v>0.95837502900000004</v>
      </c>
      <c r="AE267">
        <v>0.89904854700000003</v>
      </c>
      <c r="AF267">
        <v>6.8422046E-2</v>
      </c>
      <c r="AG267">
        <v>1.3525731409999999</v>
      </c>
      <c r="AH267">
        <v>0.94312232699999998</v>
      </c>
      <c r="AI267">
        <v>0.60299548999999997</v>
      </c>
      <c r="AJ267">
        <v>0.98083357900000001</v>
      </c>
      <c r="AK267">
        <v>0.574960107</v>
      </c>
      <c r="AL267">
        <v>0.71721195999999998</v>
      </c>
      <c r="AM267">
        <v>0.75695857799999999</v>
      </c>
      <c r="AN267">
        <v>-0.13929644699999999</v>
      </c>
      <c r="AO267">
        <v>4.0528552000000002E-2</v>
      </c>
      <c r="AP267">
        <v>0.460652334</v>
      </c>
      <c r="AQ267">
        <v>1.300749E-2</v>
      </c>
      <c r="AR267">
        <v>0.45968624600000002</v>
      </c>
      <c r="AS267">
        <v>1.4659761549999999</v>
      </c>
      <c r="AT267">
        <v>0.79165341099999997</v>
      </c>
      <c r="AU267">
        <v>0.474459609</v>
      </c>
    </row>
    <row r="268" spans="1:47" x14ac:dyDescent="0.2">
      <c r="A268" t="s">
        <v>332</v>
      </c>
      <c r="B268" s="73">
        <v>41640</v>
      </c>
      <c r="C268">
        <v>-0.99796299799999999</v>
      </c>
      <c r="D268">
        <v>0.83258864799999999</v>
      </c>
      <c r="E268">
        <v>0.41851036200000002</v>
      </c>
      <c r="F268">
        <v>0.21836011599999999</v>
      </c>
      <c r="G268">
        <v>0.108972442</v>
      </c>
      <c r="H268">
        <v>1.050559545</v>
      </c>
      <c r="I268">
        <v>0.31779627100000002</v>
      </c>
      <c r="J268">
        <v>0.174901689</v>
      </c>
      <c r="K268">
        <v>1.5</v>
      </c>
      <c r="L268">
        <v>1.2759451829999999</v>
      </c>
      <c r="M268">
        <v>0.29894409</v>
      </c>
      <c r="N268">
        <v>0.201104009</v>
      </c>
      <c r="O268">
        <v>0.27479999999999999</v>
      </c>
      <c r="P268">
        <v>0.16661908</v>
      </c>
      <c r="Q268">
        <v>-4.9914161999999998E-2</v>
      </c>
      <c r="R268">
        <v>0.31715399999999999</v>
      </c>
      <c r="S268">
        <v>-0.17948572600000001</v>
      </c>
      <c r="T268">
        <v>0.484150635</v>
      </c>
      <c r="U268">
        <v>0.47263100000000002</v>
      </c>
      <c r="V268">
        <v>0.52596684199999999</v>
      </c>
      <c r="W268">
        <v>0.67491105600000001</v>
      </c>
      <c r="X268">
        <v>0.88915069999999996</v>
      </c>
      <c r="Y268">
        <v>2.20112</v>
      </c>
      <c r="Z268">
        <v>0.17625289799999999</v>
      </c>
      <c r="AA268">
        <v>3.5349816139999999</v>
      </c>
      <c r="AB268">
        <v>0.74429729700000002</v>
      </c>
      <c r="AC268">
        <v>-0.22126949000000001</v>
      </c>
      <c r="AD268">
        <v>-0.114616539</v>
      </c>
      <c r="AE268">
        <v>0.77583265899999998</v>
      </c>
      <c r="AF268">
        <v>-0.83446938999999998</v>
      </c>
      <c r="AG268">
        <v>0.90330383999999997</v>
      </c>
      <c r="AH268">
        <v>0.55351560700000002</v>
      </c>
      <c r="AI268">
        <v>0.63501236500000002</v>
      </c>
      <c r="AJ268">
        <v>-0.17725463599999999</v>
      </c>
      <c r="AK268">
        <v>0.241534835</v>
      </c>
      <c r="AL268">
        <v>0.48448835499999998</v>
      </c>
      <c r="AM268">
        <v>0.263685579</v>
      </c>
      <c r="AN268">
        <v>1.0949673310000001</v>
      </c>
      <c r="AO268">
        <v>0.57735481700000002</v>
      </c>
      <c r="AP268">
        <v>0.57898579500000003</v>
      </c>
      <c r="AQ268">
        <v>1.9329715350000001</v>
      </c>
      <c r="AR268">
        <v>0.68346891300000001</v>
      </c>
      <c r="AS268">
        <v>0.19382951800000001</v>
      </c>
      <c r="AT268">
        <v>0.71117100200000005</v>
      </c>
      <c r="AU268">
        <v>0.53835203600000003</v>
      </c>
    </row>
    <row r="269" spans="1:47" x14ac:dyDescent="0.2">
      <c r="A269" t="s">
        <v>333</v>
      </c>
      <c r="B269" s="73">
        <v>41730</v>
      </c>
      <c r="C269">
        <v>-1.4947273809999999</v>
      </c>
      <c r="D269">
        <v>0.757646704</v>
      </c>
      <c r="E269">
        <v>-0.28829569999999999</v>
      </c>
      <c r="F269">
        <v>0.429826386</v>
      </c>
      <c r="G269">
        <v>0.90430059600000001</v>
      </c>
      <c r="H269">
        <v>0.163447761</v>
      </c>
      <c r="I269">
        <v>0.646763957</v>
      </c>
      <c r="J269">
        <v>0.147474789</v>
      </c>
      <c r="K269">
        <v>1.9</v>
      </c>
      <c r="L269">
        <v>-0.59157428000000001</v>
      </c>
      <c r="M269">
        <v>0.93519777199999998</v>
      </c>
      <c r="N269">
        <v>0.25325559199999997</v>
      </c>
      <c r="O269">
        <v>0.40032600000000002</v>
      </c>
      <c r="P269">
        <v>0.367436031</v>
      </c>
      <c r="Q269">
        <v>1.6416118989999999</v>
      </c>
      <c r="R269">
        <v>0.42419800000000002</v>
      </c>
      <c r="S269">
        <v>-0.772230003</v>
      </c>
      <c r="T269">
        <v>6.9471420000000006E-2</v>
      </c>
      <c r="U269">
        <v>0.137854</v>
      </c>
      <c r="V269">
        <v>0.93276588199999999</v>
      </c>
      <c r="W269">
        <v>-1.9152175E-2</v>
      </c>
      <c r="X269">
        <v>0.80398978899999995</v>
      </c>
      <c r="Y269">
        <v>1.1590100000000001</v>
      </c>
      <c r="Z269">
        <v>3.1753616459999998</v>
      </c>
      <c r="AA269">
        <v>-2.8889849810000001</v>
      </c>
      <c r="AB269">
        <v>1.097064217</v>
      </c>
      <c r="AC269">
        <v>0.15806595700000001</v>
      </c>
      <c r="AD269">
        <v>0.81489550899999996</v>
      </c>
      <c r="AE269">
        <v>0.93068836200000005</v>
      </c>
      <c r="AF269">
        <v>2.0608362730000001</v>
      </c>
      <c r="AG269">
        <v>-9.5338537000000001E-2</v>
      </c>
      <c r="AH269">
        <v>0.68984197400000002</v>
      </c>
      <c r="AI269">
        <v>-9.4722217999999997E-2</v>
      </c>
      <c r="AJ269">
        <v>0.52087019999999995</v>
      </c>
      <c r="AK269">
        <v>1.4948976860000001</v>
      </c>
      <c r="AL269">
        <v>0.35951836100000001</v>
      </c>
      <c r="AM269">
        <v>1.0337073960000001</v>
      </c>
      <c r="AN269">
        <v>-0.64183926700000005</v>
      </c>
      <c r="AO269">
        <v>-7.460833E-3</v>
      </c>
      <c r="AP269">
        <v>0.61739708599999998</v>
      </c>
      <c r="AQ269">
        <v>8.5869348999999998E-2</v>
      </c>
      <c r="AR269">
        <v>0.84150309099999998</v>
      </c>
      <c r="AS269">
        <v>2.901075638</v>
      </c>
      <c r="AT269">
        <v>-0.35010973699999998</v>
      </c>
      <c r="AU269">
        <v>-0.13793496</v>
      </c>
    </row>
    <row r="270" spans="1:47" x14ac:dyDescent="0.2">
      <c r="A270" t="s">
        <v>334</v>
      </c>
      <c r="B270" s="73">
        <v>41821</v>
      </c>
      <c r="C270">
        <v>-0.61859165800000004</v>
      </c>
      <c r="D270">
        <v>0.433215452</v>
      </c>
      <c r="E270">
        <v>0.68951210299999999</v>
      </c>
      <c r="F270">
        <v>0.26527291600000003</v>
      </c>
      <c r="G270">
        <v>-1.518497488</v>
      </c>
      <c r="H270">
        <v>0.913329104</v>
      </c>
      <c r="I270">
        <v>0.67177860199999995</v>
      </c>
      <c r="J270">
        <v>0.49547539899999998</v>
      </c>
      <c r="K270">
        <v>1.8</v>
      </c>
      <c r="L270">
        <v>1.0075751120000001</v>
      </c>
      <c r="M270">
        <v>0</v>
      </c>
      <c r="N270">
        <v>-7.2441775E-2</v>
      </c>
      <c r="O270">
        <v>0.226051</v>
      </c>
      <c r="P270">
        <v>0.46335200700000001</v>
      </c>
      <c r="Q270">
        <v>0.40810255600000001</v>
      </c>
      <c r="R270">
        <v>0.29833700000000002</v>
      </c>
      <c r="S270">
        <v>0.16213329300000001</v>
      </c>
      <c r="T270">
        <v>0.12093071900000001</v>
      </c>
      <c r="U270">
        <v>0.46896100000000002</v>
      </c>
      <c r="V270">
        <v>0.80616971100000001</v>
      </c>
      <c r="W270">
        <v>-0.283336808</v>
      </c>
      <c r="X270">
        <v>1.3222786769999999</v>
      </c>
      <c r="Y270">
        <v>2.28965</v>
      </c>
      <c r="Z270">
        <v>4.127528624</v>
      </c>
      <c r="AA270">
        <v>5.7761748000000002E-2</v>
      </c>
      <c r="AB270">
        <v>0.92973250500000004</v>
      </c>
      <c r="AC270">
        <v>-3.1894163000000003E-2</v>
      </c>
      <c r="AD270">
        <v>-1.818330703</v>
      </c>
      <c r="AE270">
        <v>0.84974263400000005</v>
      </c>
      <c r="AF270">
        <v>-1.3370558939999999</v>
      </c>
      <c r="AG270">
        <v>0.58019514400000005</v>
      </c>
      <c r="AH270">
        <v>1.2585473380000001</v>
      </c>
      <c r="AI270">
        <v>0.58525191899999995</v>
      </c>
      <c r="AJ270">
        <v>0.73901314399999996</v>
      </c>
      <c r="AK270">
        <v>0.51716771699999997</v>
      </c>
      <c r="AL270">
        <v>0.48200312699999998</v>
      </c>
      <c r="AM270">
        <v>1.136911695</v>
      </c>
      <c r="AN270">
        <v>0.33271702800000003</v>
      </c>
      <c r="AO270">
        <v>0.48161520000000002</v>
      </c>
      <c r="AP270">
        <v>0.76352570200000003</v>
      </c>
      <c r="AQ270">
        <v>0.85283720799999996</v>
      </c>
      <c r="AR270">
        <v>0.811320755</v>
      </c>
      <c r="AS270">
        <v>-1.62240622</v>
      </c>
      <c r="AT270">
        <v>1.2841289069999999</v>
      </c>
      <c r="AU270">
        <v>0.39466660199999998</v>
      </c>
    </row>
    <row r="271" spans="1:47" x14ac:dyDescent="0.2">
      <c r="A271" t="s">
        <v>335</v>
      </c>
      <c r="B271" s="73">
        <v>41913</v>
      </c>
      <c r="C271">
        <v>-0.79731533200000004</v>
      </c>
      <c r="D271">
        <v>0.475136051</v>
      </c>
      <c r="E271">
        <v>-7.2956243000000004E-2</v>
      </c>
      <c r="F271">
        <v>0.69044200099999997</v>
      </c>
      <c r="G271">
        <v>-2.7568312000000001E-2</v>
      </c>
      <c r="H271">
        <v>0.95905130800000005</v>
      </c>
      <c r="I271">
        <v>0.55382734199999994</v>
      </c>
      <c r="J271">
        <v>-7.0517127999999998E-2</v>
      </c>
      <c r="K271">
        <v>1.8</v>
      </c>
      <c r="L271">
        <v>1.085489897</v>
      </c>
      <c r="M271">
        <v>0.53965720100000003</v>
      </c>
      <c r="N271">
        <v>1.673875429</v>
      </c>
      <c r="O271">
        <v>0.44990999999999998</v>
      </c>
      <c r="P271">
        <v>0.74003508500000004</v>
      </c>
      <c r="Q271">
        <v>1.3404205060000001</v>
      </c>
      <c r="R271">
        <v>0.52327199999999996</v>
      </c>
      <c r="S271">
        <v>0.38658566799999999</v>
      </c>
      <c r="T271">
        <v>0.50401497100000003</v>
      </c>
      <c r="U271">
        <v>0.78176000000000001</v>
      </c>
      <c r="V271">
        <v>0.67717332799999996</v>
      </c>
      <c r="W271">
        <v>1.077720303</v>
      </c>
      <c r="X271">
        <v>0.92087485599999996</v>
      </c>
      <c r="Y271">
        <v>1.8258000000000001</v>
      </c>
      <c r="Z271">
        <v>0.10055478700000001</v>
      </c>
      <c r="AA271">
        <v>3.5354499659999998</v>
      </c>
      <c r="AB271">
        <v>0.93346970900000004</v>
      </c>
      <c r="AC271">
        <v>0.102746085</v>
      </c>
      <c r="AD271">
        <v>8.8076786000000004E-2</v>
      </c>
      <c r="AE271">
        <v>0.34353096500000002</v>
      </c>
      <c r="AF271">
        <v>2.0770133899999998</v>
      </c>
      <c r="AG271">
        <v>0.40879811999999999</v>
      </c>
      <c r="AH271">
        <v>0.37695521799999998</v>
      </c>
      <c r="AI271">
        <v>0.249815431</v>
      </c>
      <c r="AJ271">
        <v>0.42036606100000001</v>
      </c>
      <c r="AK271">
        <v>1.2737677919999999</v>
      </c>
      <c r="AL271">
        <v>0.77667235400000001</v>
      </c>
      <c r="AM271">
        <v>0.83714922599999997</v>
      </c>
      <c r="AN271">
        <v>9.4687166000000003E-2</v>
      </c>
      <c r="AO271">
        <v>-0.318118911</v>
      </c>
      <c r="AP271">
        <v>0.964600821</v>
      </c>
      <c r="AQ271">
        <v>0.60487717100000005</v>
      </c>
      <c r="AR271">
        <v>0.73108013100000002</v>
      </c>
      <c r="AS271">
        <v>2.4581843989999999</v>
      </c>
      <c r="AT271">
        <v>1.1649616439999999</v>
      </c>
      <c r="AU271">
        <v>0.48057925200000001</v>
      </c>
    </row>
    <row r="272" spans="1:47" x14ac:dyDescent="0.2">
      <c r="A272" t="s">
        <v>336</v>
      </c>
      <c r="B272" s="73">
        <v>42005</v>
      </c>
      <c r="C272">
        <v>0.47796888700000001</v>
      </c>
      <c r="D272">
        <v>0.39358757799999999</v>
      </c>
      <c r="E272">
        <v>0.155936142</v>
      </c>
      <c r="F272">
        <v>0.52258341799999997</v>
      </c>
      <c r="G272">
        <v>0.497685673</v>
      </c>
      <c r="H272">
        <v>0.69197566799999999</v>
      </c>
      <c r="I272">
        <v>0.50940249400000004</v>
      </c>
      <c r="J272">
        <v>1.1132889930000001</v>
      </c>
      <c r="K272">
        <v>1.7</v>
      </c>
      <c r="L272">
        <v>1.2736460700000001</v>
      </c>
      <c r="M272">
        <v>0.81021354599999995</v>
      </c>
      <c r="N272">
        <v>0.35869336200000002</v>
      </c>
      <c r="O272">
        <v>0.41628100000000001</v>
      </c>
      <c r="P272">
        <v>0.85837734799999998</v>
      </c>
      <c r="Q272">
        <v>1.497656165</v>
      </c>
      <c r="R272">
        <v>0.45602900000000002</v>
      </c>
      <c r="S272">
        <v>-0.23902568599999999</v>
      </c>
      <c r="T272">
        <v>9.5512578000000001E-2</v>
      </c>
      <c r="U272">
        <v>0.43959100000000001</v>
      </c>
      <c r="V272">
        <v>0.56048282900000002</v>
      </c>
      <c r="W272">
        <v>-1.04971496</v>
      </c>
      <c r="X272">
        <v>0.58294801100000004</v>
      </c>
      <c r="Y272">
        <v>1.5339700000000001</v>
      </c>
      <c r="Z272">
        <v>0.69410845399999999</v>
      </c>
      <c r="AA272">
        <v>-0.243336363</v>
      </c>
      <c r="AB272">
        <v>1.5137227129999999</v>
      </c>
      <c r="AC272">
        <v>-0.26851390600000002</v>
      </c>
      <c r="AD272">
        <v>0.47786493600000002</v>
      </c>
      <c r="AE272">
        <v>0.42744270699999998</v>
      </c>
      <c r="AF272">
        <v>2.5692122290000001</v>
      </c>
      <c r="AG272">
        <v>0.56355529800000004</v>
      </c>
      <c r="AH272">
        <v>1.033172269</v>
      </c>
      <c r="AI272">
        <v>0.89585285000000003</v>
      </c>
      <c r="AJ272">
        <v>1.2224554480000001</v>
      </c>
      <c r="AK272">
        <v>1.6224258119999999</v>
      </c>
      <c r="AL272">
        <v>0.55101005800000002</v>
      </c>
      <c r="AM272">
        <v>0.65347968999999995</v>
      </c>
      <c r="AN272">
        <v>0.80896891900000001</v>
      </c>
      <c r="AO272">
        <v>-0.23528992500000001</v>
      </c>
      <c r="AP272">
        <v>1.1045223909999999</v>
      </c>
      <c r="AQ272">
        <v>0.13466832200000001</v>
      </c>
      <c r="AR272">
        <v>0.76328685299999999</v>
      </c>
      <c r="AS272">
        <v>1.3475593850000001</v>
      </c>
      <c r="AT272">
        <v>0.44899340199999999</v>
      </c>
      <c r="AU272">
        <v>0.74877564299999999</v>
      </c>
    </row>
    <row r="273" spans="1:47" x14ac:dyDescent="0.2">
      <c r="A273" t="s">
        <v>337</v>
      </c>
      <c r="B273" s="73">
        <v>42095</v>
      </c>
      <c r="C273">
        <v>1.488691121</v>
      </c>
      <c r="D273">
        <v>0.90671488200000006</v>
      </c>
      <c r="E273">
        <v>0.23936801299999999</v>
      </c>
      <c r="F273">
        <v>0.519866681</v>
      </c>
      <c r="G273">
        <v>-0.65905179800000002</v>
      </c>
      <c r="H273">
        <v>-0.54951940799999999</v>
      </c>
      <c r="I273">
        <v>-0.151062847</v>
      </c>
      <c r="J273">
        <v>0.26084826</v>
      </c>
      <c r="K273">
        <v>1.9</v>
      </c>
      <c r="L273">
        <v>1.81529995</v>
      </c>
      <c r="M273">
        <v>-0.52742190799999999</v>
      </c>
      <c r="N273">
        <v>0.684680081</v>
      </c>
      <c r="O273">
        <v>0.65130100000000002</v>
      </c>
      <c r="P273">
        <v>1.1475940920000001</v>
      </c>
      <c r="Q273">
        <v>-1.3968142059999999</v>
      </c>
      <c r="R273">
        <v>0.73022399999999998</v>
      </c>
      <c r="S273">
        <v>-0.77774397200000001</v>
      </c>
      <c r="T273">
        <v>0.46821354399999998</v>
      </c>
      <c r="U273">
        <v>0.64117400000000002</v>
      </c>
      <c r="V273">
        <v>0.644738174</v>
      </c>
      <c r="W273">
        <v>0.56988678500000001</v>
      </c>
      <c r="X273">
        <v>1.6700550059999999</v>
      </c>
      <c r="Y273">
        <v>1.68431</v>
      </c>
      <c r="Z273">
        <v>23.375033261999999</v>
      </c>
      <c r="AA273">
        <v>-1.7657294480000001</v>
      </c>
      <c r="AB273">
        <v>3.8889865000000003E-2</v>
      </c>
      <c r="AC273">
        <v>0.264507832</v>
      </c>
      <c r="AD273">
        <v>1.5444137979999999</v>
      </c>
      <c r="AE273">
        <v>0.83787297199999999</v>
      </c>
      <c r="AF273">
        <v>-0.75235459000000005</v>
      </c>
      <c r="AG273">
        <v>1.45810416</v>
      </c>
      <c r="AH273">
        <v>0.54671339900000004</v>
      </c>
      <c r="AI273">
        <v>0.59573971299999995</v>
      </c>
      <c r="AJ273">
        <v>-0.25669085800000002</v>
      </c>
      <c r="AK273">
        <v>0.31616919100000002</v>
      </c>
      <c r="AL273">
        <v>0.81746087199999995</v>
      </c>
      <c r="AM273">
        <v>1.418384342</v>
      </c>
      <c r="AN273">
        <v>0.64483628199999998</v>
      </c>
      <c r="AO273">
        <v>-1.0172225079999999</v>
      </c>
      <c r="AP273">
        <v>1.9268483329999999</v>
      </c>
      <c r="AQ273">
        <v>0.48552279599999998</v>
      </c>
      <c r="AR273">
        <v>1.4083928539999999</v>
      </c>
      <c r="AS273">
        <v>1.890749754</v>
      </c>
      <c r="AT273">
        <v>0.81331362600000001</v>
      </c>
      <c r="AU273">
        <v>0.72235217600000001</v>
      </c>
    </row>
    <row r="274" spans="1:47" x14ac:dyDescent="0.2">
      <c r="A274" t="s">
        <v>338</v>
      </c>
      <c r="B274" s="73">
        <v>42186</v>
      </c>
      <c r="C274">
        <v>2.3502018379999998</v>
      </c>
      <c r="D274">
        <v>8.5155453000000006E-2</v>
      </c>
      <c r="E274">
        <v>0.194996323</v>
      </c>
      <c r="F274">
        <v>0.671848114</v>
      </c>
      <c r="G274">
        <v>-2.606049847</v>
      </c>
      <c r="H274">
        <v>-0.27217208300000001</v>
      </c>
      <c r="I274">
        <v>0.72113179100000002</v>
      </c>
      <c r="J274">
        <v>1.3654327040000001</v>
      </c>
      <c r="K274">
        <v>1.8</v>
      </c>
      <c r="L274">
        <v>1.4529242849999999</v>
      </c>
      <c r="M274">
        <v>0.70693694699999998</v>
      </c>
      <c r="N274">
        <v>0.46777307499999998</v>
      </c>
      <c r="O274">
        <v>0.44246999999999997</v>
      </c>
      <c r="P274">
        <v>1.072777012</v>
      </c>
      <c r="Q274">
        <v>1.9724060210000001</v>
      </c>
      <c r="R274">
        <v>0.48651299999999997</v>
      </c>
      <c r="S274">
        <v>1.5216849690000001</v>
      </c>
      <c r="T274">
        <v>1.0327568000000001E-2</v>
      </c>
      <c r="U274">
        <v>0.450847</v>
      </c>
      <c r="V274">
        <v>0.738449044</v>
      </c>
      <c r="W274">
        <v>-7.5210904999999995E-2</v>
      </c>
      <c r="X274">
        <v>0.104134534</v>
      </c>
      <c r="Y274">
        <v>2.1417799999999998</v>
      </c>
      <c r="Z274">
        <v>-2.2281222509999998</v>
      </c>
      <c r="AA274">
        <v>6.2324120949999999</v>
      </c>
      <c r="AB274">
        <v>6.7190522000000003E-2</v>
      </c>
      <c r="AC274">
        <v>0.39626207099999999</v>
      </c>
      <c r="AD274">
        <v>0.13865654399999999</v>
      </c>
      <c r="AE274">
        <v>0.41966879299999998</v>
      </c>
      <c r="AF274">
        <v>0.685843855</v>
      </c>
      <c r="AG274">
        <v>1.510519774</v>
      </c>
      <c r="AH274">
        <v>1.1582836219999999</v>
      </c>
      <c r="AI274">
        <v>0.308836534</v>
      </c>
      <c r="AJ274">
        <v>0.53003701599999997</v>
      </c>
      <c r="AK274">
        <v>0.71954186899999995</v>
      </c>
      <c r="AL274">
        <v>0.54847016999999998</v>
      </c>
      <c r="AM274">
        <v>0.78308910399999998</v>
      </c>
      <c r="AN274">
        <v>0.29763900999999998</v>
      </c>
      <c r="AO274">
        <v>-0.66980761700000002</v>
      </c>
      <c r="AP274">
        <v>1.245723779</v>
      </c>
      <c r="AQ274">
        <v>0.66969254</v>
      </c>
      <c r="AR274">
        <v>0.99543346700000002</v>
      </c>
      <c r="AS274">
        <v>1.5237694049999999</v>
      </c>
      <c r="AT274">
        <v>0.58000143199999998</v>
      </c>
      <c r="AU274">
        <v>-0.84426263300000004</v>
      </c>
    </row>
    <row r="275" spans="1:47" x14ac:dyDescent="0.2">
      <c r="A275" t="s">
        <v>339</v>
      </c>
      <c r="B275" s="73">
        <v>42278</v>
      </c>
      <c r="C275">
        <v>-8.1822489999999998E-2</v>
      </c>
      <c r="D275">
        <v>1.0424883229999999</v>
      </c>
      <c r="E275">
        <v>0.59270776400000003</v>
      </c>
      <c r="F275">
        <v>0.19108708399999999</v>
      </c>
      <c r="G275">
        <v>-1.494041827</v>
      </c>
      <c r="H275">
        <v>0.35370182900000002</v>
      </c>
      <c r="I275">
        <v>0.62718421199999996</v>
      </c>
      <c r="J275">
        <v>-0.37178913200000002</v>
      </c>
      <c r="K275">
        <v>1.7</v>
      </c>
      <c r="L275">
        <v>1.0965971830000001</v>
      </c>
      <c r="M275">
        <v>0.501395916</v>
      </c>
      <c r="N275">
        <v>0.30165290099999997</v>
      </c>
      <c r="O275">
        <v>0.445934</v>
      </c>
      <c r="P275">
        <v>0.91002971300000002</v>
      </c>
      <c r="Q275">
        <v>0.74479259099999995</v>
      </c>
      <c r="R275">
        <v>0.54130999999999996</v>
      </c>
      <c r="S275">
        <v>-9.4387710000000003E-3</v>
      </c>
      <c r="T275">
        <v>0.340036954</v>
      </c>
      <c r="U275">
        <v>0.32126900000000003</v>
      </c>
      <c r="V275">
        <v>0.53725258399999998</v>
      </c>
      <c r="W275">
        <v>-1.9513673579999999</v>
      </c>
      <c r="X275">
        <v>0.74444869300000005</v>
      </c>
      <c r="Y275">
        <v>1.84622</v>
      </c>
      <c r="Z275">
        <v>2.712317359</v>
      </c>
      <c r="AA275">
        <v>-0.80590505300000004</v>
      </c>
      <c r="AB275">
        <v>0.109239542</v>
      </c>
      <c r="AC275">
        <v>0.24007830499999999</v>
      </c>
      <c r="AD275">
        <v>7.7007323000000003E-2</v>
      </c>
      <c r="AE275">
        <v>1.513074861</v>
      </c>
      <c r="AF275">
        <v>-0.47731669199999999</v>
      </c>
      <c r="AG275">
        <v>0.70064742199999996</v>
      </c>
      <c r="AH275">
        <v>1.3445255439999999</v>
      </c>
      <c r="AI275">
        <v>0.34295192600000002</v>
      </c>
      <c r="AJ275">
        <v>1.1717812379999999</v>
      </c>
      <c r="AK275">
        <v>1.088063212</v>
      </c>
      <c r="AL275">
        <v>0.53335313600000001</v>
      </c>
      <c r="AM275">
        <v>1.26877576</v>
      </c>
      <c r="AN275">
        <v>0.113767651</v>
      </c>
      <c r="AO275">
        <v>0.19352587500000001</v>
      </c>
      <c r="AP275">
        <v>1.151285535</v>
      </c>
      <c r="AQ275">
        <v>0.64037423599999999</v>
      </c>
      <c r="AR275">
        <v>1.3946840739999999</v>
      </c>
      <c r="AS275">
        <v>1.401513902</v>
      </c>
      <c r="AT275">
        <v>0.323372673</v>
      </c>
      <c r="AU275">
        <v>0.45042400900000001</v>
      </c>
    </row>
    <row r="276" spans="1:47" x14ac:dyDescent="0.2">
      <c r="A276" t="s">
        <v>340</v>
      </c>
      <c r="B276" s="73">
        <v>42370</v>
      </c>
      <c r="C276">
        <v>-1.1530723119999999</v>
      </c>
      <c r="D276">
        <v>0.62715309799999996</v>
      </c>
      <c r="E276">
        <v>0.115402966</v>
      </c>
      <c r="F276">
        <v>0.41690626800000002</v>
      </c>
      <c r="G276">
        <v>-0.785998694</v>
      </c>
      <c r="H276">
        <v>7.4877375999999995E-2</v>
      </c>
      <c r="I276">
        <v>0.38640235299999998</v>
      </c>
      <c r="J276">
        <v>0.89864447800000002</v>
      </c>
      <c r="K276">
        <v>1.7</v>
      </c>
      <c r="L276">
        <v>0.64299632500000004</v>
      </c>
      <c r="M276">
        <v>0.42905977699999998</v>
      </c>
      <c r="N276">
        <v>0.22282512400000001</v>
      </c>
      <c r="O276">
        <v>0.46111400000000002</v>
      </c>
      <c r="P276">
        <v>0.96906241500000001</v>
      </c>
      <c r="Q276">
        <v>-0.185255112</v>
      </c>
      <c r="R276">
        <v>0.504575</v>
      </c>
      <c r="S276">
        <v>0.56071590400000004</v>
      </c>
      <c r="T276">
        <v>0.15786436500000001</v>
      </c>
      <c r="U276">
        <v>0.19845399999999999</v>
      </c>
      <c r="V276">
        <v>0.67986169799999996</v>
      </c>
      <c r="W276">
        <v>1.7960908369999999</v>
      </c>
      <c r="X276">
        <v>1.0503083559999999</v>
      </c>
      <c r="Y276">
        <v>2.0324800000000001</v>
      </c>
      <c r="Z276">
        <v>1.508858362</v>
      </c>
      <c r="AA276">
        <v>1.623472577</v>
      </c>
      <c r="AB276">
        <v>0.82274322</v>
      </c>
      <c r="AC276">
        <v>0.528458231</v>
      </c>
      <c r="AD276">
        <v>-0.133772683</v>
      </c>
      <c r="AE276">
        <v>0.65931548799999995</v>
      </c>
      <c r="AF276">
        <v>0.64166760099999998</v>
      </c>
      <c r="AG276">
        <v>-0.13869278500000001</v>
      </c>
      <c r="AH276">
        <v>-0.36044803800000003</v>
      </c>
      <c r="AI276">
        <v>1.5287607E-2</v>
      </c>
      <c r="AJ276">
        <v>-0.87806542799999998</v>
      </c>
      <c r="AK276">
        <v>1.0341307470000001</v>
      </c>
      <c r="AL276">
        <v>0.30710789900000002</v>
      </c>
      <c r="AM276">
        <v>1.2420405130000001</v>
      </c>
      <c r="AN276">
        <v>0.47925993700000002</v>
      </c>
      <c r="AO276">
        <v>-0.25779131700000002</v>
      </c>
      <c r="AP276">
        <v>0.72047205000000003</v>
      </c>
      <c r="AQ276">
        <v>0.16174549099999999</v>
      </c>
      <c r="AR276">
        <v>0.75469475200000002</v>
      </c>
      <c r="AS276">
        <v>1.166866867</v>
      </c>
      <c r="AT276">
        <v>0.14623434699999999</v>
      </c>
      <c r="AU276">
        <v>0.433466201</v>
      </c>
    </row>
    <row r="277" spans="1:47" x14ac:dyDescent="0.2">
      <c r="A277" t="s">
        <v>341</v>
      </c>
      <c r="B277" s="73">
        <v>42461</v>
      </c>
      <c r="C277">
        <v>-0.87405405199999997</v>
      </c>
      <c r="D277">
        <v>0.85728792799999998</v>
      </c>
      <c r="E277">
        <v>1.0607836980000001</v>
      </c>
      <c r="F277">
        <v>5.7265569000000002E-2</v>
      </c>
      <c r="G277">
        <v>-1.5932201050000001</v>
      </c>
      <c r="H277">
        <v>0.54850083999999999</v>
      </c>
      <c r="I277">
        <v>0.44650357099999999</v>
      </c>
      <c r="J277">
        <v>0.66596448900000005</v>
      </c>
      <c r="K277">
        <v>1.4</v>
      </c>
      <c r="L277">
        <v>0.16334534000000001</v>
      </c>
      <c r="M277">
        <v>0.81722940200000005</v>
      </c>
      <c r="N277">
        <v>1.152059046</v>
      </c>
      <c r="O277">
        <v>0.55174500000000004</v>
      </c>
      <c r="P277">
        <v>0.67765105400000003</v>
      </c>
      <c r="Q277">
        <v>1.62361987</v>
      </c>
      <c r="R277">
        <v>0.51138799999999995</v>
      </c>
      <c r="S277">
        <v>1.233455365</v>
      </c>
      <c r="T277">
        <v>0.61798505299999995</v>
      </c>
      <c r="U277">
        <v>0.60314900000000005</v>
      </c>
      <c r="V277">
        <v>0.44164719800000002</v>
      </c>
      <c r="W277">
        <v>-0.87706350099999997</v>
      </c>
      <c r="X277">
        <v>-0.54350898700000005</v>
      </c>
      <c r="Y277">
        <v>2.90232</v>
      </c>
      <c r="Z277">
        <v>-2.9844787689999999</v>
      </c>
      <c r="AA277">
        <v>-2.9645559889999999</v>
      </c>
      <c r="AB277">
        <v>0.938403027</v>
      </c>
      <c r="AC277">
        <v>0.27258472500000003</v>
      </c>
      <c r="AD277">
        <v>0.73097273699999998</v>
      </c>
      <c r="AE277">
        <v>0.30727754299999999</v>
      </c>
      <c r="AF277">
        <v>2.9576840710000001</v>
      </c>
      <c r="AG277">
        <v>1.8797463489999999</v>
      </c>
      <c r="AH277">
        <v>0.56966510299999995</v>
      </c>
      <c r="AI277">
        <v>0.920561776</v>
      </c>
      <c r="AJ277">
        <v>0.13370781000000001</v>
      </c>
      <c r="AK277">
        <v>1.157228852</v>
      </c>
      <c r="AL277">
        <v>0.545300707</v>
      </c>
      <c r="AM277">
        <v>-0.29561784200000002</v>
      </c>
      <c r="AN277">
        <v>0.46678752499999998</v>
      </c>
      <c r="AO277">
        <v>0.19005752400000001</v>
      </c>
      <c r="AP277">
        <v>-2.3395424000000001E-2</v>
      </c>
      <c r="AQ277">
        <v>1.022204597</v>
      </c>
      <c r="AR277">
        <v>-0.109165655</v>
      </c>
      <c r="AS277">
        <v>0.36153796799999999</v>
      </c>
      <c r="AT277">
        <v>0.58917986899999997</v>
      </c>
      <c r="AU277">
        <v>0.23886475900000001</v>
      </c>
    </row>
    <row r="278" spans="1:47" x14ac:dyDescent="0.2">
      <c r="A278" t="s">
        <v>342</v>
      </c>
      <c r="B278" s="73">
        <v>42552</v>
      </c>
      <c r="C278">
        <v>-1.5570118770000001</v>
      </c>
      <c r="D278">
        <v>0.63026254100000001</v>
      </c>
      <c r="E278">
        <v>-0.13955409999999999</v>
      </c>
      <c r="F278">
        <v>0.54943482600000004</v>
      </c>
      <c r="G278">
        <v>0.56254214300000005</v>
      </c>
      <c r="H278">
        <v>-0.49171172400000002</v>
      </c>
      <c r="I278">
        <v>0.52085381500000005</v>
      </c>
      <c r="J278">
        <v>-0.115019814</v>
      </c>
      <c r="K278">
        <v>2</v>
      </c>
      <c r="L278">
        <v>0.33620140100000001</v>
      </c>
      <c r="M278">
        <v>0.41391166099999999</v>
      </c>
      <c r="N278">
        <v>1.352637774</v>
      </c>
      <c r="O278">
        <v>0.25132900000000002</v>
      </c>
      <c r="P278">
        <v>0.41940912000000002</v>
      </c>
      <c r="Q278">
        <v>-0.186147163</v>
      </c>
      <c r="R278">
        <v>0.33694000000000002</v>
      </c>
      <c r="S278">
        <v>0.15578057200000001</v>
      </c>
      <c r="T278">
        <v>-0.15974761300000001</v>
      </c>
      <c r="U278">
        <v>0.197076</v>
      </c>
      <c r="V278">
        <v>0.57733733799999998</v>
      </c>
      <c r="W278">
        <v>-0.335377168</v>
      </c>
      <c r="X278">
        <v>1.3555734399999999</v>
      </c>
      <c r="Y278">
        <v>1.78078</v>
      </c>
      <c r="Z278">
        <v>1.5716849150000001</v>
      </c>
      <c r="AA278">
        <v>6.9798222550000002</v>
      </c>
      <c r="AB278">
        <v>2.3268234529999998</v>
      </c>
      <c r="AC278">
        <v>0.20562630000000001</v>
      </c>
      <c r="AD278">
        <v>-0.14741088899999999</v>
      </c>
      <c r="AE278">
        <v>1.146251409</v>
      </c>
      <c r="AF278">
        <v>1.4229811299999999</v>
      </c>
      <c r="AG278">
        <v>-0.97993478199999995</v>
      </c>
      <c r="AH278">
        <v>0.42717574400000002</v>
      </c>
      <c r="AI278">
        <v>0.23526467500000001</v>
      </c>
      <c r="AJ278">
        <v>-3.1674933000000002E-2</v>
      </c>
      <c r="AK278">
        <v>0.938104151</v>
      </c>
      <c r="AL278">
        <v>0.36458653299999999</v>
      </c>
      <c r="AM278">
        <v>1.3049256849999999</v>
      </c>
      <c r="AN278">
        <v>0.29956189700000002</v>
      </c>
      <c r="AO278">
        <v>5.3848740999999999E-2</v>
      </c>
      <c r="AP278">
        <v>0.24670969300000001</v>
      </c>
      <c r="AQ278">
        <v>1.2829706009999999</v>
      </c>
      <c r="AR278">
        <v>9.0387940999999999E-2</v>
      </c>
      <c r="AS278">
        <v>1.4308864020000001</v>
      </c>
      <c r="AT278">
        <v>0.30238880699999998</v>
      </c>
      <c r="AU278">
        <v>9.6213854000000001E-2</v>
      </c>
    </row>
    <row r="279" spans="1:47" x14ac:dyDescent="0.2">
      <c r="A279" t="s">
        <v>343</v>
      </c>
      <c r="B279" s="73">
        <v>42644</v>
      </c>
      <c r="C279">
        <v>0.27568399199999999</v>
      </c>
      <c r="D279">
        <v>0.13183321200000001</v>
      </c>
      <c r="E279">
        <v>0.55900759700000002</v>
      </c>
      <c r="F279">
        <v>0.175503505</v>
      </c>
      <c r="G279">
        <v>-0.62908175</v>
      </c>
      <c r="H279">
        <v>1.031213682</v>
      </c>
      <c r="I279">
        <v>0.547473459</v>
      </c>
      <c r="J279">
        <v>0.335786641</v>
      </c>
      <c r="K279">
        <v>1.7</v>
      </c>
      <c r="L279">
        <v>0.80409486900000005</v>
      </c>
      <c r="M279">
        <v>0.34351193000000002</v>
      </c>
      <c r="N279">
        <v>0.84838182900000003</v>
      </c>
      <c r="O279">
        <v>0.45554699999999998</v>
      </c>
      <c r="P279">
        <v>0.88706963000000005</v>
      </c>
      <c r="Q279">
        <v>1.1149134869999999</v>
      </c>
      <c r="R279">
        <v>0.45626499999999998</v>
      </c>
      <c r="S279">
        <v>1.1295041290000001</v>
      </c>
      <c r="T279">
        <v>0.193245892</v>
      </c>
      <c r="U279">
        <v>0.48525400000000002</v>
      </c>
      <c r="V279">
        <v>0.445252857</v>
      </c>
      <c r="W279">
        <v>0.33502098699999999</v>
      </c>
      <c r="X279">
        <v>0.50590050900000005</v>
      </c>
      <c r="Y279">
        <v>2.2913299999999999</v>
      </c>
      <c r="Z279">
        <v>-1.1940470329999999</v>
      </c>
      <c r="AA279">
        <v>1.748545381</v>
      </c>
      <c r="AB279">
        <v>1.249971468</v>
      </c>
      <c r="AC279">
        <v>0.56670361000000002</v>
      </c>
      <c r="AD279">
        <v>0.156573451</v>
      </c>
      <c r="AE279">
        <v>0.494029045</v>
      </c>
      <c r="AF279">
        <v>0.72069084500000002</v>
      </c>
      <c r="AG279">
        <v>0.16393718500000001</v>
      </c>
      <c r="AH279">
        <v>1.094739524</v>
      </c>
      <c r="AI279">
        <v>1.1173845609999999</v>
      </c>
      <c r="AJ279">
        <v>-0.30707328699999997</v>
      </c>
      <c r="AK279">
        <v>0.9453416</v>
      </c>
      <c r="AL279">
        <v>0.393519067</v>
      </c>
      <c r="AM279">
        <v>0.25830257499999998</v>
      </c>
      <c r="AN279">
        <v>1.17409239</v>
      </c>
      <c r="AO279">
        <v>0.10071646400000001</v>
      </c>
      <c r="AP279">
        <v>0.37067168</v>
      </c>
      <c r="AQ279">
        <v>0.88001668499999997</v>
      </c>
      <c r="AR279">
        <v>0.301912138</v>
      </c>
      <c r="AS279">
        <v>-2.8676734260000001</v>
      </c>
      <c r="AT279">
        <v>0.60111537900000001</v>
      </c>
      <c r="AU279">
        <v>-1.2183121999999999E-2</v>
      </c>
    </row>
    <row r="280" spans="1:47" x14ac:dyDescent="0.2">
      <c r="A280" t="s">
        <v>344</v>
      </c>
      <c r="B280" s="73">
        <v>42736</v>
      </c>
      <c r="C280">
        <v>0.59224981700000001</v>
      </c>
      <c r="D280">
        <v>1.0772932150000001</v>
      </c>
      <c r="E280">
        <v>1.0214302399999999</v>
      </c>
      <c r="F280">
        <v>0.51327701800000003</v>
      </c>
      <c r="G280">
        <v>-0.181624691</v>
      </c>
      <c r="H280">
        <v>0.56148308700000005</v>
      </c>
      <c r="I280">
        <v>0.31527579999999999</v>
      </c>
      <c r="J280">
        <v>0.156797402</v>
      </c>
      <c r="K280">
        <v>1.6</v>
      </c>
      <c r="L280">
        <v>0.85128584900000004</v>
      </c>
      <c r="M280">
        <v>0.31298723099999998</v>
      </c>
      <c r="N280">
        <v>0.72049697400000001</v>
      </c>
      <c r="O280">
        <v>0.74787499999999996</v>
      </c>
      <c r="P280">
        <v>0.46456732499999998</v>
      </c>
      <c r="Q280">
        <v>1.1982286470000001</v>
      </c>
      <c r="R280">
        <v>0.83019399999999999</v>
      </c>
      <c r="S280">
        <v>0.30760216800000001</v>
      </c>
      <c r="T280">
        <v>0.54890465200000005</v>
      </c>
      <c r="U280">
        <v>0.44653500000000002</v>
      </c>
      <c r="V280">
        <v>0.73929692000000002</v>
      </c>
      <c r="W280">
        <v>0.65535944999999995</v>
      </c>
      <c r="X280">
        <v>0.86496850800000002</v>
      </c>
      <c r="Y280">
        <v>1.3634999999999999</v>
      </c>
      <c r="Z280">
        <v>11.784117294</v>
      </c>
      <c r="AA280">
        <v>3.35360222</v>
      </c>
      <c r="AB280">
        <v>1.0833942599999999</v>
      </c>
      <c r="AC280">
        <v>0.28654712500000001</v>
      </c>
      <c r="AD280">
        <v>0.18996739600000001</v>
      </c>
      <c r="AE280">
        <v>0.60212118699999995</v>
      </c>
      <c r="AF280">
        <v>0.47924151199999998</v>
      </c>
      <c r="AG280">
        <v>1.202910202</v>
      </c>
      <c r="AH280">
        <v>1.0048415959999999</v>
      </c>
      <c r="AI280">
        <v>0.83741936500000003</v>
      </c>
      <c r="AJ280">
        <v>1.339357449</v>
      </c>
      <c r="AK280">
        <v>0.33839502300000002</v>
      </c>
      <c r="AL280">
        <v>0.81393961000000004</v>
      </c>
      <c r="AM280">
        <v>2.2926702130000001</v>
      </c>
      <c r="AN280">
        <v>0.93197542899999997</v>
      </c>
      <c r="AO280">
        <v>0.82510593799999998</v>
      </c>
      <c r="AP280">
        <v>0.61154729600000002</v>
      </c>
      <c r="AQ280">
        <v>0.79318623799999999</v>
      </c>
      <c r="AR280">
        <v>0.91325455899999997</v>
      </c>
      <c r="AS280">
        <v>5.5096115960000001</v>
      </c>
      <c r="AT280">
        <v>0.49688879600000002</v>
      </c>
      <c r="AU280">
        <v>8.4913574000000006E-2</v>
      </c>
    </row>
    <row r="281" spans="1:47" x14ac:dyDescent="0.2">
      <c r="A281" t="s">
        <v>345</v>
      </c>
      <c r="B281" s="73">
        <v>42826</v>
      </c>
      <c r="C281">
        <v>0.96627229599999998</v>
      </c>
      <c r="D281">
        <v>0.23738910199999999</v>
      </c>
      <c r="E281">
        <v>0.49019948400000002</v>
      </c>
      <c r="F281">
        <v>0.65198138299999997</v>
      </c>
      <c r="G281">
        <v>1.1141978480000001</v>
      </c>
      <c r="H281">
        <v>1.08691958</v>
      </c>
      <c r="I281">
        <v>0.193029216</v>
      </c>
      <c r="J281">
        <v>-0.78864319699999996</v>
      </c>
      <c r="K281">
        <v>1.8</v>
      </c>
      <c r="L281">
        <v>1.5355847119999999</v>
      </c>
      <c r="M281">
        <v>1.218802299</v>
      </c>
      <c r="N281">
        <v>0.65439062699999995</v>
      </c>
      <c r="O281">
        <v>0.70815399999999995</v>
      </c>
      <c r="P281">
        <v>0.79378965800000001</v>
      </c>
      <c r="Q281">
        <v>1.9724563989999999</v>
      </c>
      <c r="R281">
        <v>0.74653899999999995</v>
      </c>
      <c r="S281">
        <v>0.98568925200000002</v>
      </c>
      <c r="T281">
        <v>0.80027848400000001</v>
      </c>
      <c r="U281">
        <v>0.67070600000000002</v>
      </c>
      <c r="V281">
        <v>0.64983610300000005</v>
      </c>
      <c r="W281">
        <v>-0.28094391299999999</v>
      </c>
      <c r="X281">
        <v>1.431154764</v>
      </c>
      <c r="Y281">
        <v>0.80189999999999995</v>
      </c>
      <c r="Z281">
        <v>-4.3362583839999997</v>
      </c>
      <c r="AA281">
        <v>-3.9471041160000002</v>
      </c>
      <c r="AB281">
        <v>0.15078926200000001</v>
      </c>
      <c r="AC281">
        <v>0.54926057800000005</v>
      </c>
      <c r="AD281">
        <v>0.80813740000000001</v>
      </c>
      <c r="AE281">
        <v>0.96244083499999999</v>
      </c>
      <c r="AF281">
        <v>-1.532633667</v>
      </c>
      <c r="AG281">
        <v>1.5841471149999999</v>
      </c>
      <c r="AH281">
        <v>0.45629989599999998</v>
      </c>
      <c r="AI281">
        <v>0.51737801900000002</v>
      </c>
      <c r="AJ281">
        <v>0.99462290399999997</v>
      </c>
      <c r="AK281">
        <v>1.0160901200000001</v>
      </c>
      <c r="AL281">
        <v>0.64352931899999999</v>
      </c>
      <c r="AM281">
        <v>0.94352019300000001</v>
      </c>
      <c r="AN281">
        <v>1.170816047</v>
      </c>
      <c r="AO281">
        <v>0.20168498200000001</v>
      </c>
      <c r="AP281">
        <v>0.84632452199999997</v>
      </c>
      <c r="AQ281">
        <v>1.784979372</v>
      </c>
      <c r="AR281">
        <v>0.41721139400000001</v>
      </c>
      <c r="AS281">
        <v>1.368865306</v>
      </c>
      <c r="AT281">
        <v>0.47193104200000002</v>
      </c>
      <c r="AU281">
        <v>0.47212569100000001</v>
      </c>
    </row>
    <row r="282" spans="1:47" x14ac:dyDescent="0.2">
      <c r="A282" t="s">
        <v>346</v>
      </c>
      <c r="B282" s="73">
        <v>42917</v>
      </c>
      <c r="C282">
        <v>1.0836265190000001</v>
      </c>
      <c r="D282">
        <v>0.65206763199999995</v>
      </c>
      <c r="E282">
        <v>0.566684996</v>
      </c>
      <c r="F282">
        <v>0.24150519500000001</v>
      </c>
      <c r="G282">
        <v>0.741092376</v>
      </c>
      <c r="H282">
        <v>1.0230442129999999</v>
      </c>
      <c r="I282">
        <v>0.30222869200000002</v>
      </c>
      <c r="J282">
        <v>1.215026881</v>
      </c>
      <c r="K282">
        <v>1.7</v>
      </c>
      <c r="L282">
        <v>2.8172173969999998</v>
      </c>
      <c r="M282">
        <v>0.780268505</v>
      </c>
      <c r="N282">
        <v>1.1177776779999999</v>
      </c>
      <c r="O282">
        <v>0.80342899999999995</v>
      </c>
      <c r="P282">
        <v>1.073786986</v>
      </c>
      <c r="Q282">
        <v>1.898641958</v>
      </c>
      <c r="R282">
        <v>0.86606000000000005</v>
      </c>
      <c r="S282">
        <v>1.276118863</v>
      </c>
      <c r="T282">
        <v>0.82486168400000004</v>
      </c>
      <c r="U282">
        <v>0.57194999999999996</v>
      </c>
      <c r="V282">
        <v>0.31074789600000002</v>
      </c>
      <c r="W282">
        <v>0.60441090900000005</v>
      </c>
      <c r="X282">
        <v>1.1685907369999999</v>
      </c>
      <c r="Y282">
        <v>2.0470999999999999</v>
      </c>
      <c r="Z282">
        <v>3.1906032629999999</v>
      </c>
      <c r="AA282">
        <v>3.5299654579999999</v>
      </c>
      <c r="AB282">
        <v>1.440202827</v>
      </c>
      <c r="AC282">
        <v>0.399895852</v>
      </c>
      <c r="AD282">
        <v>0.38826898599999998</v>
      </c>
      <c r="AE282">
        <v>0.67128347899999996</v>
      </c>
      <c r="AF282">
        <v>1.425809973</v>
      </c>
      <c r="AG282">
        <v>0.82464196400000001</v>
      </c>
      <c r="AH282">
        <v>0.33979557700000002</v>
      </c>
      <c r="AI282">
        <v>0.87906757300000005</v>
      </c>
      <c r="AJ282">
        <v>0.96347098900000006</v>
      </c>
      <c r="AK282">
        <v>1.0645682409999999</v>
      </c>
      <c r="AL282">
        <v>0.725165481</v>
      </c>
      <c r="AM282">
        <v>0.86743972999999996</v>
      </c>
      <c r="AN282">
        <v>0.50524784899999997</v>
      </c>
      <c r="AO282">
        <v>0.690456285</v>
      </c>
      <c r="AP282">
        <v>0.93596350399999995</v>
      </c>
      <c r="AQ282">
        <v>1.216824167</v>
      </c>
      <c r="AR282">
        <v>1.2823515969999999</v>
      </c>
      <c r="AS282">
        <v>2.2803188200000002</v>
      </c>
      <c r="AT282">
        <v>0.55976482299999997</v>
      </c>
      <c r="AU282">
        <v>0.54530292599999997</v>
      </c>
    </row>
    <row r="283" spans="1:47" x14ac:dyDescent="0.2">
      <c r="A283" t="s">
        <v>347</v>
      </c>
      <c r="B283" s="73">
        <v>43009</v>
      </c>
      <c r="C283">
        <v>1.1279761399999999</v>
      </c>
      <c r="D283">
        <v>0.97292137099999998</v>
      </c>
      <c r="E283">
        <v>0.52970110500000001</v>
      </c>
      <c r="F283">
        <v>-6.4432989999999996E-2</v>
      </c>
      <c r="G283">
        <v>0.305473824</v>
      </c>
      <c r="H283">
        <v>0.42187302100000001</v>
      </c>
      <c r="I283">
        <v>0.64100540900000003</v>
      </c>
      <c r="J283">
        <v>1.677051377</v>
      </c>
      <c r="K283">
        <v>1.6</v>
      </c>
      <c r="L283">
        <v>0.56477396300000005</v>
      </c>
      <c r="M283">
        <v>0.87937751600000003</v>
      </c>
      <c r="N283">
        <v>-0.36677410100000002</v>
      </c>
      <c r="O283">
        <v>0.702067</v>
      </c>
      <c r="P283">
        <v>0.57728099600000005</v>
      </c>
      <c r="Q283">
        <v>0.35893482500000001</v>
      </c>
      <c r="R283">
        <v>0.72601199999999999</v>
      </c>
      <c r="S283">
        <v>0.41584865300000001</v>
      </c>
      <c r="T283">
        <v>0.632762355</v>
      </c>
      <c r="U283">
        <v>0.67494900000000002</v>
      </c>
      <c r="V283">
        <v>0.428297394</v>
      </c>
      <c r="W283">
        <v>1.0716115479999999</v>
      </c>
      <c r="X283">
        <v>0.91167161600000002</v>
      </c>
      <c r="Y283">
        <v>1.6608099999999999</v>
      </c>
      <c r="Z283">
        <v>2.919818298</v>
      </c>
      <c r="AA283">
        <v>-0.39925686500000002</v>
      </c>
      <c r="AB283">
        <v>1.51233719</v>
      </c>
      <c r="AC283">
        <v>0.38181280000000001</v>
      </c>
      <c r="AD283">
        <v>0.733205369</v>
      </c>
      <c r="AE283">
        <v>1.482113673</v>
      </c>
      <c r="AF283">
        <v>1.256857457</v>
      </c>
      <c r="AG283">
        <v>0.28113191799999998</v>
      </c>
      <c r="AH283">
        <v>-0.18856661499999999</v>
      </c>
      <c r="AI283">
        <v>0.72740721699999999</v>
      </c>
      <c r="AJ283">
        <v>0.68523615100000002</v>
      </c>
      <c r="AK283">
        <v>0.95995266800000001</v>
      </c>
      <c r="AL283">
        <v>0.72670485200000001</v>
      </c>
      <c r="AM283">
        <v>1.133009151</v>
      </c>
      <c r="AN283">
        <v>0.69498998999999995</v>
      </c>
      <c r="AO283">
        <v>0.67948449200000005</v>
      </c>
      <c r="AP283">
        <v>0.81052550199999995</v>
      </c>
      <c r="AQ283">
        <v>0.80096055399999999</v>
      </c>
      <c r="AR283">
        <v>0.96488359300000004</v>
      </c>
      <c r="AS283">
        <v>1.5159185209999999</v>
      </c>
      <c r="AT283">
        <v>0.71914999099999999</v>
      </c>
      <c r="AU283">
        <v>0.18389597199999999</v>
      </c>
    </row>
    <row r="284" spans="1:47" x14ac:dyDescent="0.2">
      <c r="A284" t="s">
        <v>348</v>
      </c>
      <c r="B284" s="73">
        <v>43101</v>
      </c>
      <c r="C284">
        <v>1.025371767</v>
      </c>
      <c r="D284">
        <v>0.45313980500000001</v>
      </c>
      <c r="E284">
        <v>0.71886383899999995</v>
      </c>
      <c r="F284">
        <v>0.80172679599999996</v>
      </c>
      <c r="G284">
        <v>0.42666113100000003</v>
      </c>
      <c r="H284">
        <v>0.51799067899999995</v>
      </c>
      <c r="I284">
        <v>1.055761679</v>
      </c>
      <c r="J284">
        <v>0.73986759400000002</v>
      </c>
      <c r="K284">
        <v>1.7</v>
      </c>
      <c r="L284">
        <v>0.86600868200000003</v>
      </c>
      <c r="M284">
        <v>0.80537773800000001</v>
      </c>
      <c r="N284">
        <v>0.75496244999999995</v>
      </c>
      <c r="O284">
        <v>0.85578799999999999</v>
      </c>
      <c r="P284">
        <v>0.62554452000000005</v>
      </c>
      <c r="Q284">
        <v>1.445376072</v>
      </c>
      <c r="R284">
        <v>0.862456</v>
      </c>
      <c r="S284">
        <v>0.69139576599999997</v>
      </c>
      <c r="T284">
        <v>0.85870538299999999</v>
      </c>
      <c r="U284">
        <v>0.73120700000000005</v>
      </c>
      <c r="V284">
        <v>0.40286948500000003</v>
      </c>
      <c r="W284">
        <v>-0.90268446099999999</v>
      </c>
      <c r="X284">
        <v>1.445160885</v>
      </c>
      <c r="Y284">
        <v>1.87259</v>
      </c>
      <c r="Z284">
        <v>5.2835389409999998</v>
      </c>
      <c r="AA284">
        <v>3.1482139560000002</v>
      </c>
      <c r="AB284">
        <v>1.4160449159999999</v>
      </c>
      <c r="AC284">
        <v>0.53646888599999998</v>
      </c>
      <c r="AD284">
        <v>0.18650187500000001</v>
      </c>
      <c r="AE284">
        <v>-0.26575232700000001</v>
      </c>
      <c r="AF284">
        <v>0.36206159799999998</v>
      </c>
      <c r="AG284">
        <v>0.68789967299999999</v>
      </c>
      <c r="AH284">
        <v>1.199561954</v>
      </c>
      <c r="AI284">
        <v>0.78173193799999996</v>
      </c>
      <c r="AJ284">
        <v>-0.569736833</v>
      </c>
      <c r="AK284">
        <v>0.80204549300000005</v>
      </c>
      <c r="AL284">
        <v>0.79936914299999995</v>
      </c>
      <c r="AM284">
        <v>1.767528005</v>
      </c>
      <c r="AN284">
        <v>0.82544668200000004</v>
      </c>
      <c r="AO284">
        <v>2.0994643E-2</v>
      </c>
      <c r="AP284">
        <v>1.139139288</v>
      </c>
      <c r="AQ284">
        <v>2.2796172299999999</v>
      </c>
      <c r="AR284">
        <v>0.22657802899999999</v>
      </c>
      <c r="AS284">
        <v>1.882761165</v>
      </c>
      <c r="AT284">
        <v>0.94039983800000004</v>
      </c>
      <c r="AU284">
        <v>0.39336109899999999</v>
      </c>
    </row>
    <row r="285" spans="1:47" x14ac:dyDescent="0.2">
      <c r="A285" t="s">
        <v>349</v>
      </c>
      <c r="B285" s="73">
        <v>43191</v>
      </c>
      <c r="C285">
        <v>-0.23424794600000001</v>
      </c>
      <c r="D285">
        <v>0.86238885899999995</v>
      </c>
      <c r="E285">
        <v>0.87749316799999999</v>
      </c>
      <c r="F285">
        <v>0.39860211200000001</v>
      </c>
      <c r="G285">
        <v>0.53646681500000004</v>
      </c>
      <c r="H285">
        <v>0.87523928100000004</v>
      </c>
      <c r="I285">
        <v>1.0939674079999999</v>
      </c>
      <c r="J285">
        <v>1.1977210149999999</v>
      </c>
      <c r="K285">
        <v>1.8</v>
      </c>
      <c r="L285">
        <v>0.49011805400000003</v>
      </c>
      <c r="M285">
        <v>-0.43237680299999998</v>
      </c>
      <c r="N285">
        <v>0.51205513599999997</v>
      </c>
      <c r="O285">
        <v>6.8543999999999994E-2</v>
      </c>
      <c r="P285">
        <v>0.37784204100000002</v>
      </c>
      <c r="Q285">
        <v>1.0617193680000001</v>
      </c>
      <c r="R285">
        <v>0.159632</v>
      </c>
      <c r="S285">
        <v>0.18887241399999999</v>
      </c>
      <c r="T285">
        <v>1.0018473E-2</v>
      </c>
      <c r="U285">
        <v>0.40269500000000003</v>
      </c>
      <c r="V285">
        <v>0.23670644599999999</v>
      </c>
      <c r="W285">
        <v>1.368104752</v>
      </c>
      <c r="X285">
        <v>1.7915686340000001</v>
      </c>
      <c r="Y285">
        <v>2.1602800000000002</v>
      </c>
      <c r="Z285">
        <v>0.91664844999999995</v>
      </c>
      <c r="AA285">
        <v>0.60422431700000001</v>
      </c>
      <c r="AB285">
        <v>1.1594262129999999</v>
      </c>
      <c r="AC285">
        <v>-1.7154539E-2</v>
      </c>
      <c r="AD285">
        <v>0.119053888</v>
      </c>
      <c r="AE285">
        <v>1.1485185410000001</v>
      </c>
      <c r="AF285">
        <v>0.36348713700000002</v>
      </c>
      <c r="AG285">
        <v>1.4984600370000001</v>
      </c>
      <c r="AH285">
        <v>1.08601294</v>
      </c>
      <c r="AI285">
        <v>0.39897174800000001</v>
      </c>
      <c r="AJ285">
        <v>0.77892560799999999</v>
      </c>
      <c r="AK285">
        <v>0.69335946100000001</v>
      </c>
      <c r="AL285">
        <v>0.57267407199999998</v>
      </c>
      <c r="AM285">
        <v>1.262744029</v>
      </c>
      <c r="AN285">
        <v>0.72736810900000004</v>
      </c>
      <c r="AO285">
        <v>1.3560321909999999</v>
      </c>
      <c r="AP285">
        <v>0.77260284099999998</v>
      </c>
      <c r="AQ285">
        <v>0.20864696899999999</v>
      </c>
      <c r="AR285">
        <v>0.23488711100000001</v>
      </c>
      <c r="AS285">
        <v>1.4914625379999999</v>
      </c>
      <c r="AT285">
        <v>0.76285403600000001</v>
      </c>
      <c r="AU285">
        <v>0.43900617800000002</v>
      </c>
    </row>
    <row r="286" spans="1:47" x14ac:dyDescent="0.2">
      <c r="A286" t="s">
        <v>350</v>
      </c>
      <c r="B286" s="73">
        <v>43282</v>
      </c>
      <c r="C286">
        <v>-4.5698089270000004</v>
      </c>
      <c r="D286">
        <v>0.87967920499999996</v>
      </c>
      <c r="E286">
        <v>0.37265775899999998</v>
      </c>
      <c r="F286">
        <v>0.457957473</v>
      </c>
      <c r="G286">
        <v>0.16904355900000001</v>
      </c>
      <c r="H286">
        <v>0.78510534099999996</v>
      </c>
      <c r="I286">
        <v>0.93059339600000002</v>
      </c>
      <c r="J286">
        <v>1.1315786670000001</v>
      </c>
      <c r="K286">
        <v>1.6</v>
      </c>
      <c r="L286">
        <v>0.734727931</v>
      </c>
      <c r="M286">
        <v>0.55697716399999997</v>
      </c>
      <c r="N286">
        <v>0.50259883100000002</v>
      </c>
      <c r="O286">
        <v>0.493114</v>
      </c>
      <c r="P286">
        <v>0.586193572</v>
      </c>
      <c r="Q286">
        <v>0.77512495800000003</v>
      </c>
      <c r="R286">
        <v>0.57813300000000001</v>
      </c>
      <c r="S286">
        <v>-4.0522207999999997E-2</v>
      </c>
      <c r="T286">
        <v>0.368185924</v>
      </c>
      <c r="U286">
        <v>0.62434800000000001</v>
      </c>
      <c r="V286">
        <v>0.54664776000000004</v>
      </c>
      <c r="W286">
        <v>0.148188556</v>
      </c>
      <c r="X286">
        <v>0.95523071900000001</v>
      </c>
      <c r="Y286">
        <v>1.3095600000000001</v>
      </c>
      <c r="Z286">
        <v>2.882495359</v>
      </c>
      <c r="AA286">
        <v>1.8792319179999999</v>
      </c>
      <c r="AB286">
        <v>0.28867569799999998</v>
      </c>
      <c r="AC286">
        <v>4.26027E-3</v>
      </c>
      <c r="AD286">
        <v>0.328801024</v>
      </c>
      <c r="AE286">
        <v>0.63360855100000002</v>
      </c>
      <c r="AF286">
        <v>-0.38573001400000001</v>
      </c>
      <c r="AG286">
        <v>1.3195093</v>
      </c>
      <c r="AH286">
        <v>2.2636053E-2</v>
      </c>
      <c r="AI286">
        <v>0.62600515800000001</v>
      </c>
      <c r="AJ286">
        <v>0.30077573800000001</v>
      </c>
      <c r="AK286">
        <v>1.123554492</v>
      </c>
      <c r="AL286">
        <v>0.63366777500000004</v>
      </c>
      <c r="AM286">
        <v>1.2960928190000001</v>
      </c>
      <c r="AN286">
        <v>0.77953652299999998</v>
      </c>
      <c r="AO286">
        <v>0.55794653999999999</v>
      </c>
      <c r="AP286">
        <v>1.139016799</v>
      </c>
      <c r="AQ286">
        <v>1.2457453060000001</v>
      </c>
      <c r="AR286">
        <v>1.0770366849999999</v>
      </c>
      <c r="AS286">
        <v>0.50844589500000004</v>
      </c>
      <c r="AT286">
        <v>0.83391090899999998</v>
      </c>
      <c r="AU286">
        <v>-0.134146881</v>
      </c>
    </row>
    <row r="287" spans="1:47" x14ac:dyDescent="0.2">
      <c r="A287" t="s">
        <v>351</v>
      </c>
      <c r="B287" s="73">
        <v>43374</v>
      </c>
      <c r="C287">
        <v>-0.33988073499999999</v>
      </c>
      <c r="D287">
        <v>0.41094411199999997</v>
      </c>
      <c r="E287">
        <v>0.14549947099999999</v>
      </c>
      <c r="F287">
        <v>0.385099676</v>
      </c>
      <c r="G287">
        <v>0.87927715399999995</v>
      </c>
      <c r="H287">
        <v>0.690122507</v>
      </c>
      <c r="I287">
        <v>-0.22088439100000001</v>
      </c>
      <c r="J287">
        <v>-0.47852323800000002</v>
      </c>
      <c r="K287">
        <v>1.3</v>
      </c>
      <c r="L287">
        <v>0.61144011899999995</v>
      </c>
      <c r="M287">
        <v>-0.42245680400000002</v>
      </c>
      <c r="N287">
        <v>0.60213307800000004</v>
      </c>
      <c r="O287">
        <v>6.1009000000000001E-2</v>
      </c>
      <c r="P287">
        <v>0.51760508999999999</v>
      </c>
      <c r="Q287">
        <v>0.67946885999999995</v>
      </c>
      <c r="R287">
        <v>0.13345499999999999</v>
      </c>
      <c r="S287">
        <v>-0.17978003400000001</v>
      </c>
      <c r="T287">
        <v>0.386796731</v>
      </c>
      <c r="U287">
        <v>0.20138700000000001</v>
      </c>
      <c r="V287">
        <v>0.63172701600000003</v>
      </c>
      <c r="W287">
        <v>-0.21640685400000001</v>
      </c>
      <c r="X287">
        <v>1.363852402</v>
      </c>
      <c r="Y287">
        <v>1.4056500000000001</v>
      </c>
      <c r="Z287">
        <v>-1.2052345790000001</v>
      </c>
      <c r="AA287">
        <v>-1.059301018</v>
      </c>
      <c r="AB287">
        <v>0.850000953</v>
      </c>
      <c r="AC287">
        <v>7.3259562E-2</v>
      </c>
      <c r="AD287">
        <v>-0.79549463300000001</v>
      </c>
      <c r="AE287">
        <v>0.688281747</v>
      </c>
      <c r="AF287">
        <v>1.134402457</v>
      </c>
      <c r="AG287">
        <v>1.0949626100000001</v>
      </c>
      <c r="AH287">
        <v>0.590744677</v>
      </c>
      <c r="AI287">
        <v>0.28702064500000002</v>
      </c>
      <c r="AJ287">
        <v>0.63002873299999995</v>
      </c>
      <c r="AK287">
        <v>0.42471299499999998</v>
      </c>
      <c r="AL287">
        <v>0.20744389599999999</v>
      </c>
      <c r="AM287">
        <v>1.3966148839999999</v>
      </c>
      <c r="AN287">
        <v>0.52572394200000006</v>
      </c>
      <c r="AO287">
        <v>0.24136882100000001</v>
      </c>
      <c r="AP287">
        <v>0.98013741899999995</v>
      </c>
      <c r="AQ287">
        <v>1.1541772690000001</v>
      </c>
      <c r="AR287">
        <v>-0.715544815</v>
      </c>
      <c r="AS287">
        <v>-1.5905484480000001</v>
      </c>
      <c r="AT287">
        <v>0.481952559</v>
      </c>
      <c r="AU287">
        <v>1.096245511</v>
      </c>
    </row>
    <row r="288" spans="1:47" x14ac:dyDescent="0.2">
      <c r="A288" t="s">
        <v>352</v>
      </c>
      <c r="B288" s="73">
        <v>43466</v>
      </c>
      <c r="C288">
        <v>-1.4180416979999999</v>
      </c>
      <c r="D288">
        <v>0.13615021599999999</v>
      </c>
      <c r="E288">
        <v>1.02003855</v>
      </c>
      <c r="F288">
        <v>0.97050044899999999</v>
      </c>
      <c r="G288">
        <v>-0.364053613</v>
      </c>
      <c r="H288">
        <v>0.34086954200000003</v>
      </c>
      <c r="I288">
        <v>0.18094158699999999</v>
      </c>
      <c r="J288">
        <v>0.89884791200000003</v>
      </c>
      <c r="K288">
        <v>1.6</v>
      </c>
      <c r="L288">
        <v>0.69801249799999998</v>
      </c>
      <c r="M288">
        <v>0.38653663199999999</v>
      </c>
      <c r="N288">
        <v>0.49934343599999997</v>
      </c>
      <c r="O288">
        <v>0.579982</v>
      </c>
      <c r="P288">
        <v>0.67498396100000002</v>
      </c>
      <c r="Q288">
        <v>1.393908911</v>
      </c>
      <c r="R288">
        <v>0.62603299999999995</v>
      </c>
      <c r="S288">
        <v>0.114772045</v>
      </c>
      <c r="T288">
        <v>0.74340234800000005</v>
      </c>
      <c r="U288">
        <v>0.274926</v>
      </c>
      <c r="V288">
        <v>0.33544084299999999</v>
      </c>
      <c r="W288">
        <v>0.59564992699999997</v>
      </c>
      <c r="X288">
        <v>1.0839570199999999</v>
      </c>
      <c r="Y288">
        <v>1.56202</v>
      </c>
      <c r="Z288">
        <v>1.311751101</v>
      </c>
      <c r="AA288">
        <v>1.362119047</v>
      </c>
      <c r="AB288">
        <v>0.72285828100000005</v>
      </c>
      <c r="AC288">
        <v>0.34144158200000002</v>
      </c>
      <c r="AD288">
        <v>1.7806944000000002E-2</v>
      </c>
      <c r="AE288">
        <v>0.82200018100000005</v>
      </c>
      <c r="AF288">
        <v>0.50104201900000001</v>
      </c>
      <c r="AG288">
        <v>0.931449203</v>
      </c>
      <c r="AH288">
        <v>-0.47246565800000001</v>
      </c>
      <c r="AI288">
        <v>0.483386704</v>
      </c>
      <c r="AJ288">
        <v>3.3684589000000001E-2</v>
      </c>
      <c r="AK288">
        <v>1.228939912</v>
      </c>
      <c r="AL288">
        <v>0.22339636099999999</v>
      </c>
      <c r="AM288">
        <v>0.89410085399999994</v>
      </c>
      <c r="AN288">
        <v>0.60899499199999996</v>
      </c>
      <c r="AO288">
        <v>0.66396654799999999</v>
      </c>
      <c r="AP288">
        <v>0.52906509400000001</v>
      </c>
      <c r="AQ288">
        <v>1.352243324</v>
      </c>
      <c r="AR288">
        <v>1.4658786779999999</v>
      </c>
      <c r="AS288">
        <v>-2.9894645959999999</v>
      </c>
      <c r="AT288">
        <v>0.22314183500000001</v>
      </c>
      <c r="AU288">
        <v>0.28418581300000001</v>
      </c>
    </row>
    <row r="289" spans="1:47" x14ac:dyDescent="0.2">
      <c r="A289" t="s">
        <v>353</v>
      </c>
      <c r="B289" s="73">
        <v>43556</v>
      </c>
      <c r="C289">
        <v>0.251178911</v>
      </c>
      <c r="D289">
        <v>0.41741893299999999</v>
      </c>
      <c r="E289">
        <v>0.85355650100000002</v>
      </c>
      <c r="F289">
        <v>0.25842839299999998</v>
      </c>
      <c r="G289">
        <v>0.49408987399999998</v>
      </c>
      <c r="H289">
        <v>9.0640852999999993E-2</v>
      </c>
      <c r="I289">
        <v>0.30085128700000002</v>
      </c>
      <c r="J289">
        <v>-0.12958819699999999</v>
      </c>
      <c r="K289">
        <v>1.6</v>
      </c>
      <c r="L289">
        <v>0.89070791800000004</v>
      </c>
      <c r="M289">
        <v>1.054195089</v>
      </c>
      <c r="N289">
        <v>0.69026171400000003</v>
      </c>
      <c r="O289">
        <v>0.72254799999999997</v>
      </c>
      <c r="P289">
        <v>0.60131108899999997</v>
      </c>
      <c r="Q289">
        <v>1.638823159</v>
      </c>
      <c r="R289">
        <v>0.80271000000000003</v>
      </c>
      <c r="S289">
        <v>0.73546270700000005</v>
      </c>
      <c r="T289">
        <v>0.61983614200000003</v>
      </c>
      <c r="U289">
        <v>0.56950999999999996</v>
      </c>
      <c r="V289">
        <v>0.64195771099999999</v>
      </c>
      <c r="W289">
        <v>0.86319546199999997</v>
      </c>
      <c r="X289">
        <v>1.7185483989999999</v>
      </c>
      <c r="Y289">
        <v>1.10015</v>
      </c>
      <c r="Z289">
        <v>2.197541872</v>
      </c>
      <c r="AA289">
        <v>1.7291037359999999</v>
      </c>
      <c r="AB289">
        <v>1.418521626</v>
      </c>
      <c r="AC289">
        <v>4.1288880999999999E-2</v>
      </c>
      <c r="AD289">
        <v>0.39575401700000001</v>
      </c>
      <c r="AE289">
        <v>-0.199687643</v>
      </c>
      <c r="AF289">
        <v>1.3928786360000001</v>
      </c>
      <c r="AG289">
        <v>1.063856908</v>
      </c>
      <c r="AH289">
        <v>7.8109445999999999E-2</v>
      </c>
      <c r="AI289">
        <v>0.61096022800000005</v>
      </c>
      <c r="AJ289">
        <v>-0.25120241500000001</v>
      </c>
      <c r="AK289">
        <v>0.38846736799999998</v>
      </c>
      <c r="AL289">
        <v>0.61601051299999998</v>
      </c>
      <c r="AM289">
        <v>1.8500552779999999</v>
      </c>
      <c r="AN289">
        <v>0.88151028200000003</v>
      </c>
      <c r="AO289">
        <v>-3.8077851000000003E-2</v>
      </c>
      <c r="AP289">
        <v>0.90830811600000005</v>
      </c>
      <c r="AQ289">
        <v>0.53444557999999998</v>
      </c>
      <c r="AR289">
        <v>0.518260104</v>
      </c>
      <c r="AS289">
        <v>1.7859176940000001</v>
      </c>
      <c r="AT289">
        <v>0.59779028999999995</v>
      </c>
      <c r="AU289">
        <v>-0.97645799499999997</v>
      </c>
    </row>
    <row r="290" spans="1:47" x14ac:dyDescent="0.2">
      <c r="A290" t="s">
        <v>354</v>
      </c>
      <c r="B290" s="73">
        <v>43647</v>
      </c>
      <c r="C290">
        <v>0.65519672500000004</v>
      </c>
      <c r="D290">
        <v>0.69778375999999998</v>
      </c>
      <c r="E290">
        <v>-0.50488135199999995</v>
      </c>
      <c r="F290">
        <v>0.44588349100000002</v>
      </c>
      <c r="G290">
        <v>0.58238563700000001</v>
      </c>
      <c r="H290">
        <v>0.99073782899999996</v>
      </c>
      <c r="I290">
        <v>0.397020488</v>
      </c>
      <c r="J290">
        <v>1.4753244480000001</v>
      </c>
      <c r="K290">
        <v>1.2</v>
      </c>
      <c r="L290">
        <v>0.78597744999999997</v>
      </c>
      <c r="M290">
        <v>-0.49256605199999998</v>
      </c>
      <c r="N290">
        <v>0.58570356899999998</v>
      </c>
      <c r="O290">
        <v>0.18629599999999999</v>
      </c>
      <c r="P290">
        <v>0.36557096500000003</v>
      </c>
      <c r="Q290">
        <v>0.36950333000000002</v>
      </c>
      <c r="R290">
        <v>0.24745300000000001</v>
      </c>
      <c r="S290">
        <v>0.80187688199999996</v>
      </c>
      <c r="T290">
        <v>0.55562056100000001</v>
      </c>
      <c r="U290">
        <v>0.50490900000000005</v>
      </c>
      <c r="V290">
        <v>0.13273241999999999</v>
      </c>
      <c r="W290">
        <v>0.76638728899999997</v>
      </c>
      <c r="X290">
        <v>0.38128252000000001</v>
      </c>
      <c r="Y290">
        <v>1.09663</v>
      </c>
      <c r="Z290">
        <v>2.219795011</v>
      </c>
      <c r="AA290">
        <v>-0.45372744500000001</v>
      </c>
      <c r="AB290">
        <v>0.37089413999999998</v>
      </c>
      <c r="AC290">
        <v>0.180636717</v>
      </c>
      <c r="AD290">
        <v>0.43407654000000001</v>
      </c>
      <c r="AE290">
        <v>1.046022679</v>
      </c>
      <c r="AF290">
        <v>1.699706825</v>
      </c>
      <c r="AG290">
        <v>-8.7352736E-2</v>
      </c>
      <c r="AH290">
        <v>-0.329378381</v>
      </c>
      <c r="AI290">
        <v>0.41704029100000001</v>
      </c>
      <c r="AJ290">
        <v>0.16091335800000001</v>
      </c>
      <c r="AK290">
        <v>0.55108090799999998</v>
      </c>
      <c r="AL290">
        <v>0.58114703499999998</v>
      </c>
      <c r="AM290">
        <v>0.67966922600000002</v>
      </c>
      <c r="AN290">
        <v>0.56465027000000001</v>
      </c>
      <c r="AO290">
        <v>2.2617195539999999</v>
      </c>
      <c r="AP290">
        <v>0.34590891299999998</v>
      </c>
      <c r="AQ290">
        <v>-0.28591930399999999</v>
      </c>
      <c r="AR290">
        <v>0.48385230899999998</v>
      </c>
      <c r="AS290">
        <v>2.3799511469999999</v>
      </c>
      <c r="AT290">
        <v>0.79292440799999997</v>
      </c>
      <c r="AU290">
        <v>0.48806038899999998</v>
      </c>
    </row>
    <row r="291" spans="1:47" x14ac:dyDescent="0.2">
      <c r="A291" t="s">
        <v>355</v>
      </c>
      <c r="B291" s="73">
        <v>43739</v>
      </c>
      <c r="C291">
        <v>0.15653552400000001</v>
      </c>
      <c r="D291">
        <v>0.80316295500000001</v>
      </c>
      <c r="E291">
        <v>0.29340821</v>
      </c>
      <c r="F291">
        <v>0.68521519900000005</v>
      </c>
      <c r="G291">
        <v>-1.3673393000000001E-2</v>
      </c>
      <c r="H291">
        <v>0.32664281099999998</v>
      </c>
      <c r="I291">
        <v>0.54510529799999996</v>
      </c>
      <c r="J291">
        <v>0.47122254800000002</v>
      </c>
      <c r="K291">
        <v>1.3</v>
      </c>
      <c r="L291">
        <v>0.54848529999999995</v>
      </c>
      <c r="M291">
        <v>0.41094913500000002</v>
      </c>
      <c r="N291">
        <v>0.30041501100000001</v>
      </c>
      <c r="O291">
        <v>0.24835299999999999</v>
      </c>
      <c r="P291">
        <v>0.37901041000000002</v>
      </c>
      <c r="Q291">
        <v>0.745102759</v>
      </c>
      <c r="R291">
        <v>0.28476400000000002</v>
      </c>
      <c r="S291">
        <v>-6.6002014999999997E-2</v>
      </c>
      <c r="T291">
        <v>6.2630373000000003E-2</v>
      </c>
      <c r="U291">
        <v>0.43301200000000001</v>
      </c>
      <c r="V291">
        <v>0.45897234999999997</v>
      </c>
      <c r="W291">
        <v>3.0562974999999999E-2</v>
      </c>
      <c r="X291">
        <v>1.1448520600000001</v>
      </c>
      <c r="Y291">
        <v>0.90234999999999999</v>
      </c>
      <c r="Z291">
        <v>-0.416159683</v>
      </c>
      <c r="AA291">
        <v>-1.625665771</v>
      </c>
      <c r="AB291">
        <v>1.059416202</v>
      </c>
      <c r="AC291">
        <v>8.4291638000000002E-2</v>
      </c>
      <c r="AD291">
        <v>-0.115559701</v>
      </c>
      <c r="AE291">
        <v>0.405037445</v>
      </c>
      <c r="AF291">
        <v>-0.47338380400000002</v>
      </c>
      <c r="AG291">
        <v>-0.479186534</v>
      </c>
      <c r="AH291">
        <v>0.71331584100000001</v>
      </c>
      <c r="AI291">
        <v>0.36447797999999998</v>
      </c>
      <c r="AJ291">
        <v>0.222669859</v>
      </c>
      <c r="AK291">
        <v>1.0200715920000001</v>
      </c>
      <c r="AL291">
        <v>0.44515901499999999</v>
      </c>
      <c r="AM291">
        <v>1.0676046079999999</v>
      </c>
      <c r="AN291">
        <v>0.46238778000000003</v>
      </c>
      <c r="AO291">
        <v>-0.97835560099999996</v>
      </c>
      <c r="AP291">
        <v>0.23785105200000001</v>
      </c>
      <c r="AQ291">
        <v>1.2744739</v>
      </c>
      <c r="AR291">
        <v>0.124386817</v>
      </c>
      <c r="AS291">
        <v>5.0625441E-2</v>
      </c>
      <c r="AT291">
        <v>0.685498791</v>
      </c>
      <c r="AU291">
        <v>-1.9313640999999999E-2</v>
      </c>
    </row>
    <row r="292" spans="1:47" x14ac:dyDescent="0.2">
      <c r="A292" t="s">
        <v>356</v>
      </c>
      <c r="B292" s="73">
        <v>43831</v>
      </c>
      <c r="C292">
        <v>-1.695708848</v>
      </c>
      <c r="D292">
        <v>0.39062888299999998</v>
      </c>
      <c r="E292">
        <v>-0.34518005000000002</v>
      </c>
      <c r="F292">
        <v>0.65372336099999995</v>
      </c>
      <c r="G292">
        <v>0.33173728200000002</v>
      </c>
      <c r="H292">
        <v>0.30068375400000003</v>
      </c>
      <c r="I292">
        <v>0.43274963799999999</v>
      </c>
      <c r="J292">
        <v>-4.127033773</v>
      </c>
      <c r="K292">
        <v>1.6</v>
      </c>
      <c r="L292">
        <v>0.62913215499999997</v>
      </c>
      <c r="M292">
        <v>-7.4416587000000006E-2</v>
      </c>
      <c r="N292">
        <v>7.5177797000000005E-2</v>
      </c>
      <c r="O292">
        <v>-7.3200000000000001E-3</v>
      </c>
      <c r="P292">
        <v>0.376576034</v>
      </c>
      <c r="Q292">
        <v>0.39095569699999999</v>
      </c>
      <c r="R292">
        <v>4.8307999999999997E-2</v>
      </c>
      <c r="S292">
        <v>-0.29025305899999998</v>
      </c>
      <c r="T292">
        <v>-0.32629496200000002</v>
      </c>
      <c r="U292">
        <v>-0.12219099999999999</v>
      </c>
      <c r="V292">
        <v>-4.4750089E-2</v>
      </c>
      <c r="W292">
        <v>-0.23357225400000001</v>
      </c>
      <c r="X292">
        <v>0.69725324799999999</v>
      </c>
      <c r="Y292">
        <v>0.42793999999999999</v>
      </c>
      <c r="Z292">
        <v>1.2002697449999999</v>
      </c>
      <c r="AA292">
        <v>3.6643133670000001</v>
      </c>
      <c r="AB292">
        <v>1.096246646</v>
      </c>
      <c r="AC292">
        <v>-0.42004007599999998</v>
      </c>
      <c r="AD292">
        <v>-2.3906674950000002</v>
      </c>
      <c r="AE292">
        <v>1.2884548549999999</v>
      </c>
      <c r="AF292">
        <v>-6.4707999000000002E-2</v>
      </c>
      <c r="AG292">
        <v>0.35424165099999999</v>
      </c>
      <c r="AH292">
        <v>-1.2568721890000001</v>
      </c>
      <c r="AI292">
        <v>0.50434208599999997</v>
      </c>
      <c r="AJ292">
        <v>1.3716120249999999</v>
      </c>
      <c r="AK292">
        <v>0.33822463400000002</v>
      </c>
      <c r="AL292">
        <v>3.4592764999999998E-2</v>
      </c>
      <c r="AM292">
        <v>0.38395410200000002</v>
      </c>
      <c r="AN292">
        <v>0.82461398200000002</v>
      </c>
      <c r="AO292">
        <v>-0.45248773399999997</v>
      </c>
      <c r="AP292">
        <v>0.512124896</v>
      </c>
      <c r="AQ292">
        <v>1.406335605</v>
      </c>
      <c r="AR292">
        <v>0.250406921</v>
      </c>
      <c r="AS292">
        <v>1.3646299630000001</v>
      </c>
      <c r="AT292">
        <v>0.46909761799999999</v>
      </c>
      <c r="AU292">
        <v>6.3450117E-2</v>
      </c>
    </row>
    <row r="293" spans="1:47" x14ac:dyDescent="0.2">
      <c r="A293" t="s">
        <v>357</v>
      </c>
      <c r="B293" s="73">
        <v>43922</v>
      </c>
      <c r="C293">
        <v>-3.9358662080000002</v>
      </c>
      <c r="D293">
        <v>-0.29366336599999998</v>
      </c>
      <c r="E293">
        <v>-2.4915009459999999</v>
      </c>
      <c r="F293">
        <v>-3.1381050539999999</v>
      </c>
      <c r="G293">
        <v>-2.27094942</v>
      </c>
      <c r="H293">
        <v>-2.1573026089999998</v>
      </c>
      <c r="I293">
        <v>-1.5259639140000001</v>
      </c>
      <c r="J293">
        <v>2.1901495409999998</v>
      </c>
      <c r="K293">
        <v>-9.5</v>
      </c>
      <c r="L293">
        <v>-3.3722800639999999</v>
      </c>
      <c r="M293">
        <v>-1.7639736049999999</v>
      </c>
      <c r="N293">
        <v>-0.73528519299999995</v>
      </c>
      <c r="O293">
        <v>-3.4671609999999999</v>
      </c>
      <c r="P293">
        <v>-5.3912226460000001</v>
      </c>
      <c r="Q293">
        <v>-1.1762680830000001</v>
      </c>
      <c r="R293">
        <v>-3.0598550000000002</v>
      </c>
      <c r="S293">
        <v>-0.37128065700000001</v>
      </c>
      <c r="T293">
        <v>-5.6971136109999998</v>
      </c>
      <c r="U293">
        <v>-1.904933</v>
      </c>
      <c r="V293">
        <v>-2.6373673040000001</v>
      </c>
      <c r="W293">
        <v>-1.584829399</v>
      </c>
      <c r="X293">
        <v>-0.47707163699999999</v>
      </c>
      <c r="Y293">
        <v>0.19849</v>
      </c>
      <c r="Z293">
        <v>3.6710366149999998</v>
      </c>
      <c r="AA293">
        <v>-4.8177250919999999</v>
      </c>
      <c r="AB293">
        <v>-1.238032281</v>
      </c>
      <c r="AC293">
        <v>-5.7197817549999996</v>
      </c>
      <c r="AD293">
        <v>0.30625605299999997</v>
      </c>
      <c r="AE293">
        <v>-1.2615067280000001</v>
      </c>
      <c r="AF293">
        <v>-1.10600359</v>
      </c>
      <c r="AG293">
        <v>-1.1252208720000001</v>
      </c>
      <c r="AH293">
        <v>-0.81276056900000004</v>
      </c>
      <c r="AI293">
        <v>-1.6433908070000001</v>
      </c>
      <c r="AJ293">
        <v>-1.2750946839999999</v>
      </c>
      <c r="AK293">
        <v>-1.2732632930000001</v>
      </c>
      <c r="AL293">
        <v>-1.719663379</v>
      </c>
      <c r="AM293">
        <v>7.4834126000000001E-2</v>
      </c>
      <c r="AN293">
        <v>-4.4145278609999998</v>
      </c>
      <c r="AO293">
        <v>-0.196323318</v>
      </c>
      <c r="AP293">
        <v>-3.8699662620000002</v>
      </c>
      <c r="AQ293">
        <v>-4.6496349270000001</v>
      </c>
      <c r="AR293">
        <v>-0.82723152600000005</v>
      </c>
      <c r="AS293">
        <v>0.44624292300000001</v>
      </c>
      <c r="AT293">
        <v>-1.303582746</v>
      </c>
      <c r="AU293">
        <v>0.136212206</v>
      </c>
    </row>
    <row r="294" spans="1:47" x14ac:dyDescent="0.2">
      <c r="A294" t="s">
        <v>358</v>
      </c>
      <c r="B294" s="73">
        <v>44013</v>
      </c>
      <c r="C294">
        <v>-15.119921737</v>
      </c>
      <c r="D294">
        <v>-6.7928193090000004</v>
      </c>
      <c r="E294">
        <v>-11.408046963</v>
      </c>
      <c r="F294">
        <v>-11.639148779999999</v>
      </c>
      <c r="G294">
        <v>-8.8542618740000005</v>
      </c>
      <c r="H294">
        <v>-11.042537245</v>
      </c>
      <c r="I294">
        <v>-6.1551224170000003</v>
      </c>
      <c r="J294">
        <v>-12.29393248</v>
      </c>
      <c r="K294">
        <v>10.7</v>
      </c>
      <c r="L294">
        <v>-8.9098688030000002</v>
      </c>
      <c r="M294">
        <v>-9.9962156110000002</v>
      </c>
      <c r="N294">
        <v>-6.2770223999999999</v>
      </c>
      <c r="O294">
        <v>-11.68216</v>
      </c>
      <c r="P294">
        <v>-17.652092760999999</v>
      </c>
      <c r="Q294">
        <v>-5.9965776560000004</v>
      </c>
      <c r="R294">
        <v>-11.297342</v>
      </c>
      <c r="S294">
        <v>-6.4000279940000002</v>
      </c>
      <c r="T294">
        <v>-13.464232561999999</v>
      </c>
      <c r="U294">
        <v>-10.4072</v>
      </c>
      <c r="V294">
        <v>-19.449477922</v>
      </c>
      <c r="W294">
        <v>-14.152196136000001</v>
      </c>
      <c r="X294">
        <v>-14.42966185</v>
      </c>
      <c r="Y294">
        <v>-25.332460000000001</v>
      </c>
      <c r="Z294">
        <v>-3.3176466630000001</v>
      </c>
      <c r="AA294">
        <v>-7.7461709589999996</v>
      </c>
      <c r="AB294">
        <v>-9.1300924420000005</v>
      </c>
      <c r="AC294">
        <v>-12.870385778999999</v>
      </c>
      <c r="AD294">
        <v>-8.0476667709999994</v>
      </c>
      <c r="AE294">
        <v>-3.1507382079999999</v>
      </c>
      <c r="AF294">
        <v>-6.1985046190000004</v>
      </c>
      <c r="AG294">
        <v>-7.3186856090000001</v>
      </c>
      <c r="AH294">
        <v>-17.782610597000001</v>
      </c>
      <c r="AI294">
        <v>-8.3759053439999995</v>
      </c>
      <c r="AJ294">
        <v>-4.65964153</v>
      </c>
      <c r="AK294">
        <v>-10.269196739</v>
      </c>
      <c r="AL294">
        <v>-10.459321445</v>
      </c>
      <c r="AM294">
        <v>-9.2164320370000006</v>
      </c>
      <c r="AN294">
        <v>-15.249695489</v>
      </c>
      <c r="AO294">
        <v>-4.4850020739999996</v>
      </c>
      <c r="AP294">
        <v>-7.2219388420000001</v>
      </c>
      <c r="AQ294">
        <v>-9.4407270329999999</v>
      </c>
      <c r="AR294">
        <v>-7.8700179889999999</v>
      </c>
      <c r="AS294">
        <v>-10.769850757</v>
      </c>
      <c r="AT294">
        <v>-8.9372505009999994</v>
      </c>
      <c r="AU294">
        <v>-17.394100259999998</v>
      </c>
    </row>
    <row r="295" spans="1:47" x14ac:dyDescent="0.2">
      <c r="A295" t="s">
        <v>359</v>
      </c>
      <c r="B295" s="73">
        <v>44105</v>
      </c>
      <c r="C295">
        <v>11.907713151999999</v>
      </c>
      <c r="D295">
        <v>3.416049809</v>
      </c>
      <c r="E295">
        <v>10.907848609</v>
      </c>
      <c r="F295">
        <v>11.882986785</v>
      </c>
      <c r="G295">
        <v>7.7682806729999996</v>
      </c>
      <c r="H295">
        <v>8.9839583770000004</v>
      </c>
      <c r="I295">
        <v>6.3172821609999996</v>
      </c>
      <c r="J295">
        <v>5.016761185</v>
      </c>
      <c r="K295">
        <v>2.9</v>
      </c>
      <c r="L295">
        <v>6.7526521910000001</v>
      </c>
      <c r="M295">
        <v>9.043062505</v>
      </c>
      <c r="N295">
        <v>5.9857181739999996</v>
      </c>
      <c r="O295">
        <v>12.550886</v>
      </c>
      <c r="P295">
        <v>16.798457004999999</v>
      </c>
      <c r="Q295">
        <v>3.6917320170000001</v>
      </c>
      <c r="R295">
        <v>11.683211</v>
      </c>
      <c r="S295">
        <v>4.7497102699999996</v>
      </c>
      <c r="T295">
        <v>18.521750099999998</v>
      </c>
      <c r="U295">
        <v>9.4015470000000008</v>
      </c>
      <c r="V295">
        <v>17.57247971</v>
      </c>
      <c r="W295">
        <v>5.5862566420000004</v>
      </c>
      <c r="X295">
        <v>11.357065945</v>
      </c>
      <c r="Y295">
        <v>24.059090000000001</v>
      </c>
      <c r="Z295">
        <v>9.4687302169999992</v>
      </c>
      <c r="AA295">
        <v>2.3856141900000001</v>
      </c>
      <c r="AB295">
        <v>8.7122262999999993</v>
      </c>
      <c r="AC295">
        <v>15.621339324999999</v>
      </c>
      <c r="AD295">
        <v>5.1086881039999996</v>
      </c>
      <c r="AE295">
        <v>2.2334243909999998</v>
      </c>
      <c r="AF295">
        <v>7.8451175510000004</v>
      </c>
      <c r="AG295">
        <v>5.6693715469999999</v>
      </c>
      <c r="AH295">
        <v>13.770805801</v>
      </c>
      <c r="AI295">
        <v>7.5056897879999998</v>
      </c>
      <c r="AJ295">
        <v>4.5127250810000001</v>
      </c>
      <c r="AK295">
        <v>13.854537372999999</v>
      </c>
      <c r="AL295">
        <v>9.3923648780000004</v>
      </c>
      <c r="AM295">
        <v>7.5363926409999999</v>
      </c>
      <c r="AN295">
        <v>14.672635056000001</v>
      </c>
      <c r="AO295">
        <v>2.7780786000000002</v>
      </c>
      <c r="AP295">
        <v>9.0792921129999993</v>
      </c>
      <c r="AQ295">
        <v>11.892216732</v>
      </c>
      <c r="AR295">
        <v>6.899812968</v>
      </c>
      <c r="AS295">
        <v>16.400501818999999</v>
      </c>
      <c r="AT295">
        <v>7.547534636</v>
      </c>
      <c r="AU295">
        <v>13.892531694000001</v>
      </c>
    </row>
    <row r="296" spans="1:47" x14ac:dyDescent="0.2">
      <c r="A296" t="s">
        <v>360</v>
      </c>
      <c r="B296" s="73">
        <v>44197</v>
      </c>
      <c r="C296">
        <v>4.4915833459999996</v>
      </c>
      <c r="D296">
        <v>3.2685960120000002</v>
      </c>
      <c r="E296">
        <v>-2.0396159140000001</v>
      </c>
      <c r="F296">
        <v>-0.13824713799999999</v>
      </c>
      <c r="G296">
        <v>3.1147265399999999</v>
      </c>
      <c r="H296">
        <v>2.1924212609999998</v>
      </c>
      <c r="I296">
        <v>-9.0024688000000005E-2</v>
      </c>
      <c r="J296">
        <v>6.08395698</v>
      </c>
      <c r="K296">
        <v>3.2</v>
      </c>
      <c r="L296">
        <v>0.73714194</v>
      </c>
      <c r="M296">
        <v>0.743386255</v>
      </c>
      <c r="N296">
        <v>0.88501072199999997</v>
      </c>
      <c r="O296">
        <v>-0.35005199999999997</v>
      </c>
      <c r="P296">
        <v>0.22262010700000001</v>
      </c>
      <c r="Q296">
        <v>2.5030790970000001</v>
      </c>
      <c r="R296">
        <v>-0.164794</v>
      </c>
      <c r="S296">
        <v>0.77089169999999996</v>
      </c>
      <c r="T296">
        <v>-1.0535278729999999</v>
      </c>
      <c r="U296">
        <v>0.96291800000000005</v>
      </c>
      <c r="V296">
        <v>1.5024766199999999</v>
      </c>
      <c r="W296">
        <v>3.8612540910000002</v>
      </c>
      <c r="X296">
        <v>1.8185751880000001</v>
      </c>
      <c r="Y296">
        <v>8.5781799999999997</v>
      </c>
      <c r="Z296">
        <v>-4.680927391</v>
      </c>
      <c r="AA296">
        <v>5.1929841960000003</v>
      </c>
      <c r="AB296">
        <v>2.5139280290000001</v>
      </c>
      <c r="AC296">
        <v>-1.625558716</v>
      </c>
      <c r="AD296">
        <v>2.3098780219999999</v>
      </c>
      <c r="AE296">
        <v>1.142221229</v>
      </c>
      <c r="AF296">
        <v>0.64978456500000004</v>
      </c>
      <c r="AG296">
        <v>1.4168101769999999</v>
      </c>
      <c r="AH296">
        <v>2.903531885</v>
      </c>
      <c r="AI296">
        <v>2.7462100000000001E-4</v>
      </c>
      <c r="AJ296">
        <v>0.56137274400000003</v>
      </c>
      <c r="AK296">
        <v>-0.36324136899999998</v>
      </c>
      <c r="AL296">
        <v>1.069467237</v>
      </c>
      <c r="AM296">
        <v>-0.24001921800000001</v>
      </c>
      <c r="AN296">
        <v>0.27510552300000002</v>
      </c>
      <c r="AO296">
        <v>0.73974322400000003</v>
      </c>
      <c r="AP296">
        <v>0.44844978000000002</v>
      </c>
      <c r="AQ296">
        <v>-0.16589649100000001</v>
      </c>
      <c r="AR296">
        <v>0.32246546399999998</v>
      </c>
      <c r="AS296">
        <v>1.202524785</v>
      </c>
      <c r="AT296">
        <v>1.115276766</v>
      </c>
      <c r="AU296">
        <v>2.5487169120000002</v>
      </c>
    </row>
    <row r="297" spans="1:47" x14ac:dyDescent="0.2">
      <c r="A297" t="s">
        <v>361</v>
      </c>
      <c r="B297" s="73">
        <v>44287</v>
      </c>
      <c r="C297">
        <v>3.3087210410000001</v>
      </c>
      <c r="D297">
        <v>1.8205941619999999</v>
      </c>
      <c r="E297">
        <v>-0.35512437400000002</v>
      </c>
      <c r="F297">
        <v>1.2440884889999999</v>
      </c>
      <c r="G297">
        <v>1.34346477</v>
      </c>
      <c r="H297">
        <v>1.2047022009999999</v>
      </c>
      <c r="I297">
        <v>-0.14082019400000001</v>
      </c>
      <c r="J297">
        <v>3.803467929</v>
      </c>
      <c r="K297">
        <v>0.2</v>
      </c>
      <c r="L297">
        <v>-0.42271755799999999</v>
      </c>
      <c r="M297">
        <v>-1.8687140680000001</v>
      </c>
      <c r="N297">
        <v>-0.39883737000000002</v>
      </c>
      <c r="O297">
        <v>-0.20474700000000001</v>
      </c>
      <c r="P297">
        <v>-0.63203504300000002</v>
      </c>
      <c r="Q297">
        <v>3.4209535789999999</v>
      </c>
      <c r="R297">
        <v>-2.6649999999999998E-3</v>
      </c>
      <c r="S297">
        <v>0.28510208799999998</v>
      </c>
      <c r="T297">
        <v>5.4859748999999999E-2</v>
      </c>
      <c r="U297">
        <v>0.45531899999999997</v>
      </c>
      <c r="V297">
        <v>-1.2631829720000001</v>
      </c>
      <c r="W297">
        <v>4.1983608160000001</v>
      </c>
      <c r="X297">
        <v>1.5074869769999999</v>
      </c>
      <c r="Y297">
        <v>0.37114000000000003</v>
      </c>
      <c r="Z297">
        <v>10.028382225</v>
      </c>
      <c r="AA297">
        <v>-3.1694534540000001</v>
      </c>
      <c r="AB297">
        <v>-0.55124385399999998</v>
      </c>
      <c r="AC297">
        <v>0.27751888400000002</v>
      </c>
      <c r="AD297">
        <v>-0.72307171599999998</v>
      </c>
      <c r="AE297">
        <v>1.740407308</v>
      </c>
      <c r="AF297">
        <v>3.6717860760000001</v>
      </c>
      <c r="AG297">
        <v>0.44075452500000001</v>
      </c>
      <c r="AH297">
        <v>1.010522659</v>
      </c>
      <c r="AI297">
        <v>-0.77667640199999999</v>
      </c>
      <c r="AJ297">
        <v>-0.17169704</v>
      </c>
      <c r="AK297">
        <v>1.459561288</v>
      </c>
      <c r="AL297">
        <v>0.70740562600000001</v>
      </c>
      <c r="AM297">
        <v>1.5619963530000001</v>
      </c>
      <c r="AN297">
        <v>-3.2596622439999998</v>
      </c>
      <c r="AO297">
        <v>0.68078932599999997</v>
      </c>
      <c r="AP297">
        <v>-1.3526912129999999</v>
      </c>
      <c r="AQ297">
        <v>1.530003644</v>
      </c>
      <c r="AR297">
        <v>1.2171433</v>
      </c>
      <c r="AS297">
        <v>2.4284164549999998</v>
      </c>
      <c r="AT297">
        <v>1.533889627</v>
      </c>
      <c r="AU297">
        <v>0.92497107499999998</v>
      </c>
    </row>
    <row r="298" spans="1:47" x14ac:dyDescent="0.2">
      <c r="A298" t="s">
        <v>362</v>
      </c>
      <c r="B298" s="73">
        <v>44378</v>
      </c>
      <c r="C298">
        <v>-0.93871055999999997</v>
      </c>
      <c r="D298">
        <v>0.70326354300000005</v>
      </c>
      <c r="E298">
        <v>4.1803542660000002</v>
      </c>
      <c r="F298">
        <v>1.728030247</v>
      </c>
      <c r="G298">
        <v>-0.35116435899999998</v>
      </c>
      <c r="H298">
        <v>-0.79890349400000005</v>
      </c>
      <c r="I298">
        <v>1.7910750120000001</v>
      </c>
      <c r="J298">
        <v>1.6109326450000001</v>
      </c>
      <c r="K298">
        <v>1.2</v>
      </c>
      <c r="L298">
        <v>1.3009495659999999</v>
      </c>
      <c r="M298">
        <v>2.0214821010000001</v>
      </c>
      <c r="N298">
        <v>2.2014754280000002</v>
      </c>
      <c r="O298">
        <v>2.1910249999999998</v>
      </c>
      <c r="P298">
        <v>1.0573957039999999</v>
      </c>
      <c r="Q298">
        <v>2.2989894679999998</v>
      </c>
      <c r="R298">
        <v>2.0924049999999998</v>
      </c>
      <c r="S298">
        <v>2.0377171920000001</v>
      </c>
      <c r="T298">
        <v>1.2666370419999999</v>
      </c>
      <c r="U298">
        <v>1.7497180000000001</v>
      </c>
      <c r="V298">
        <v>5.4319914369999998</v>
      </c>
      <c r="W298">
        <v>2.0533397880000002</v>
      </c>
      <c r="X298">
        <v>1.9542200700000001</v>
      </c>
      <c r="Y298">
        <v>-11.611510000000001</v>
      </c>
      <c r="Z298">
        <v>5.2460453400000002</v>
      </c>
      <c r="AA298">
        <v>4.1645065969999999</v>
      </c>
      <c r="AB298">
        <v>3.2689021889999998</v>
      </c>
      <c r="AC298">
        <v>2.670427691</v>
      </c>
      <c r="AD298">
        <v>0.48942781699999999</v>
      </c>
      <c r="AE298">
        <v>0.77071160500000002</v>
      </c>
      <c r="AF298">
        <v>4.0823948999999998E-2</v>
      </c>
      <c r="AG298">
        <v>2.4967246630000002</v>
      </c>
      <c r="AH298">
        <v>1.1511078859999999</v>
      </c>
      <c r="AI298">
        <v>3.757366824</v>
      </c>
      <c r="AJ298">
        <v>0.95043686699999996</v>
      </c>
      <c r="AK298">
        <v>2.4251333270000002</v>
      </c>
      <c r="AL298">
        <v>1.677109449</v>
      </c>
      <c r="AM298">
        <v>1.7995669219999999</v>
      </c>
      <c r="AN298">
        <v>4.3945497119999999</v>
      </c>
      <c r="AO298">
        <v>3.1909337409999998</v>
      </c>
      <c r="AP298">
        <v>1.890770751</v>
      </c>
      <c r="AQ298">
        <v>2.015757126</v>
      </c>
      <c r="AR298">
        <v>0.95941138199999998</v>
      </c>
      <c r="AS298">
        <v>1.5014804230000001</v>
      </c>
      <c r="AT298">
        <v>1.6407465400000001</v>
      </c>
      <c r="AU298">
        <v>1.05664782</v>
      </c>
    </row>
    <row r="299" spans="1:47" x14ac:dyDescent="0.2">
      <c r="A299" t="s">
        <v>363</v>
      </c>
      <c r="B299" s="73">
        <v>44470</v>
      </c>
      <c r="C299">
        <v>4.0772854489999997</v>
      </c>
      <c r="D299">
        <v>-1.9220740810000001</v>
      </c>
      <c r="E299">
        <v>3.8132610069999999</v>
      </c>
      <c r="F299">
        <v>2.0378706549999999</v>
      </c>
      <c r="G299">
        <v>-9.3843652E-2</v>
      </c>
      <c r="H299">
        <v>1.335114906</v>
      </c>
      <c r="I299">
        <v>1.6697002439999999</v>
      </c>
      <c r="J299">
        <v>4.8719606569999998</v>
      </c>
      <c r="K299">
        <v>0.2</v>
      </c>
      <c r="L299">
        <v>1.497604755</v>
      </c>
      <c r="M299">
        <v>1.6942754120000001</v>
      </c>
      <c r="N299">
        <v>0.85293622499999999</v>
      </c>
      <c r="O299">
        <v>2.1937139999999999</v>
      </c>
      <c r="P299">
        <v>2.012260564</v>
      </c>
      <c r="Q299">
        <v>0.65666624699999998</v>
      </c>
      <c r="R299">
        <v>2.0968200000000001</v>
      </c>
      <c r="S299">
        <v>0.79431004000000005</v>
      </c>
      <c r="T299">
        <v>3.0111773460000002</v>
      </c>
      <c r="U299">
        <v>0.89171599999999995</v>
      </c>
      <c r="V299">
        <v>1.061229086</v>
      </c>
      <c r="W299">
        <v>2.7109754580000001</v>
      </c>
      <c r="X299">
        <v>0.66654717699999999</v>
      </c>
      <c r="Y299">
        <v>12.6866</v>
      </c>
      <c r="Z299">
        <v>0.94563016899999996</v>
      </c>
      <c r="AA299">
        <v>-2.2944303960000001</v>
      </c>
      <c r="AB299">
        <v>0.58298628100000005</v>
      </c>
      <c r="AC299">
        <v>2.6324329350000002</v>
      </c>
      <c r="AD299">
        <v>-0.90268232299999995</v>
      </c>
      <c r="AE299">
        <v>0.311163633</v>
      </c>
      <c r="AF299">
        <v>0.90853762800000004</v>
      </c>
      <c r="AG299">
        <v>0.62159316099999995</v>
      </c>
      <c r="AH299">
        <v>-0.433415993</v>
      </c>
      <c r="AI299">
        <v>1.9493346789999999</v>
      </c>
      <c r="AJ299">
        <v>3.809324154</v>
      </c>
      <c r="AK299">
        <v>-3.6776194019999999</v>
      </c>
      <c r="AL299">
        <v>1.1000000000000001</v>
      </c>
      <c r="AM299">
        <v>2.2805043810000001</v>
      </c>
      <c r="AN299">
        <v>2.8840611219999999</v>
      </c>
      <c r="AO299">
        <v>-0.79450589500000002</v>
      </c>
      <c r="AP299">
        <v>0.37449164200000001</v>
      </c>
      <c r="AQ299">
        <v>1.3240252370000001</v>
      </c>
      <c r="AR299">
        <v>1.9802309709999999</v>
      </c>
      <c r="AS299">
        <v>2.7094240909999998</v>
      </c>
      <c r="AT299">
        <v>0.57094811099999998</v>
      </c>
      <c r="AU299">
        <v>-1.4896575750000001</v>
      </c>
    </row>
    <row r="300" spans="1:47" x14ac:dyDescent="0.2">
      <c r="A300" t="s">
        <v>364</v>
      </c>
      <c r="B300" s="73">
        <v>44562</v>
      </c>
      <c r="E300">
        <v>-2.2213348289999999</v>
      </c>
      <c r="F300">
        <v>0.50480939199999997</v>
      </c>
      <c r="H300">
        <v>1.600008023</v>
      </c>
      <c r="K300">
        <v>1.6</v>
      </c>
      <c r="L300">
        <v>0.89996890299999999</v>
      </c>
      <c r="M300">
        <v>-0.731986727</v>
      </c>
      <c r="O300">
        <v>0.29447699999999999</v>
      </c>
      <c r="P300">
        <v>2.0115807550000002</v>
      </c>
      <c r="R300">
        <v>0.42894500000000002</v>
      </c>
      <c r="S300">
        <v>0.60777749199999997</v>
      </c>
      <c r="T300">
        <v>0.71059852000000001</v>
      </c>
      <c r="U300">
        <v>1.1713560000000001</v>
      </c>
      <c r="V300">
        <v>0.96324534100000003</v>
      </c>
      <c r="AC300">
        <v>0.61259812199999997</v>
      </c>
      <c r="AD300">
        <v>1.3215515229999999</v>
      </c>
      <c r="AE300">
        <v>1.118547956</v>
      </c>
      <c r="AG300">
        <v>-0.103574205</v>
      </c>
      <c r="AH300">
        <v>0.99948927700000001</v>
      </c>
      <c r="AN300">
        <v>1.600006732</v>
      </c>
      <c r="AP300">
        <v>0.33746025299999999</v>
      </c>
      <c r="AR300">
        <v>1.4000369669999999</v>
      </c>
      <c r="AT300">
        <v>1.6790943920000001</v>
      </c>
    </row>
    <row r="301" spans="1:47" x14ac:dyDescent="0.2">
      <c r="A301" t="s">
        <v>365</v>
      </c>
      <c r="B301" s="73">
        <v>44652</v>
      </c>
    </row>
    <row r="302" spans="1:47" x14ac:dyDescent="0.2">
      <c r="A302" t="s">
        <v>366</v>
      </c>
      <c r="B302" s="73">
        <v>44743</v>
      </c>
    </row>
    <row r="303" spans="1:47" x14ac:dyDescent="0.2">
      <c r="A303" t="s">
        <v>367</v>
      </c>
      <c r="B303" s="73">
        <v>44835</v>
      </c>
    </row>
    <row r="304" spans="1:47" x14ac:dyDescent="0.2">
      <c r="A304" t="s">
        <v>368</v>
      </c>
      <c r="B304" s="73">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baseColWidth="10" defaultColWidth="9.1640625" defaultRowHeight="15" x14ac:dyDescent="0.2"/>
  <cols>
    <col min="1" max="1" width="9.1640625" style="68" customWidth="1"/>
    <col min="2" max="2" width="11.1640625" style="68" customWidth="1"/>
    <col min="3" max="5" width="9.1640625" style="2" customWidth="1"/>
    <col min="6" max="6" width="10.6640625" style="2" bestFit="1" customWidth="1"/>
    <col min="7" max="7" width="10.6640625" style="2" customWidth="1"/>
    <col min="8" max="46" width="9.1640625" style="2" customWidth="1"/>
    <col min="47" max="54" width="9.1640625" style="68" customWidth="1"/>
    <col min="55" max="16384" width="9.1640625" style="68"/>
  </cols>
  <sheetData>
    <row r="1" spans="1:49"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2">
      <c r="A2" t="s">
        <v>66</v>
      </c>
      <c r="B2" s="73">
        <v>17349</v>
      </c>
    </row>
    <row r="3" spans="1:49" x14ac:dyDescent="0.2">
      <c r="A3" t="s">
        <v>67</v>
      </c>
      <c r="B3" s="73">
        <v>17441</v>
      </c>
    </row>
    <row r="4" spans="1:49" x14ac:dyDescent="0.2">
      <c r="A4" t="s">
        <v>68</v>
      </c>
      <c r="B4" s="73">
        <v>17533</v>
      </c>
    </row>
    <row r="5" spans="1:49" x14ac:dyDescent="0.2">
      <c r="A5" t="s">
        <v>69</v>
      </c>
      <c r="B5" s="73">
        <v>17624</v>
      </c>
      <c r="AV5">
        <v>2.6047334659999999</v>
      </c>
    </row>
    <row r="6" spans="1:49" x14ac:dyDescent="0.2">
      <c r="A6" t="s">
        <v>70</v>
      </c>
      <c r="B6" s="73">
        <v>17715</v>
      </c>
      <c r="AV6">
        <v>4.5773238760000003</v>
      </c>
    </row>
    <row r="7" spans="1:49" x14ac:dyDescent="0.2">
      <c r="A7" t="s">
        <v>71</v>
      </c>
      <c r="B7" s="73">
        <v>17807</v>
      </c>
      <c r="AV7">
        <v>5.3941211969999996</v>
      </c>
    </row>
    <row r="8" spans="1:49" x14ac:dyDescent="0.2">
      <c r="A8" t="s">
        <v>72</v>
      </c>
      <c r="B8" s="73">
        <v>17899</v>
      </c>
      <c r="AV8">
        <v>3.8867828379999998</v>
      </c>
    </row>
    <row r="9" spans="1:49" x14ac:dyDescent="0.2">
      <c r="A9" t="s">
        <v>73</v>
      </c>
      <c r="B9" s="73">
        <v>17989</v>
      </c>
      <c r="AV9">
        <v>0.93698411699999995</v>
      </c>
    </row>
    <row r="10" spans="1:49" x14ac:dyDescent="0.2">
      <c r="A10" t="s">
        <v>74</v>
      </c>
      <c r="B10" s="73">
        <v>18080</v>
      </c>
      <c r="AV10">
        <v>-1.0408129699999999</v>
      </c>
    </row>
    <row r="11" spans="1:49" x14ac:dyDescent="0.2">
      <c r="A11" t="s">
        <v>75</v>
      </c>
      <c r="B11" s="73">
        <v>18172</v>
      </c>
      <c r="AV11">
        <v>-0.58869120600000002</v>
      </c>
    </row>
    <row r="12" spans="1:49" x14ac:dyDescent="0.2">
      <c r="A12" t="s">
        <v>76</v>
      </c>
      <c r="B12" s="73">
        <v>18264</v>
      </c>
      <c r="AV12">
        <v>-1.5330175429999999</v>
      </c>
    </row>
    <row r="13" spans="1:49" x14ac:dyDescent="0.2">
      <c r="A13" t="s">
        <v>77</v>
      </c>
      <c r="B13" s="73">
        <v>18354</v>
      </c>
      <c r="AV13">
        <v>3.7666806990000001</v>
      </c>
    </row>
    <row r="14" spans="1:49" x14ac:dyDescent="0.2">
      <c r="A14" t="s">
        <v>78</v>
      </c>
      <c r="B14" s="73">
        <v>18445</v>
      </c>
      <c r="AV14">
        <v>7.2973606230000003</v>
      </c>
    </row>
    <row r="15" spans="1:49" x14ac:dyDescent="0.2">
      <c r="A15" t="s">
        <v>79</v>
      </c>
      <c r="B15" s="73">
        <v>18537</v>
      </c>
      <c r="AV15">
        <v>10.304959761999999</v>
      </c>
    </row>
    <row r="16" spans="1:49" x14ac:dyDescent="0.2">
      <c r="A16" t="s">
        <v>80</v>
      </c>
      <c r="B16" s="73">
        <v>18629</v>
      </c>
      <c r="AV16">
        <v>13.368522327999999</v>
      </c>
    </row>
    <row r="17" spans="1:48" x14ac:dyDescent="0.2">
      <c r="A17" t="s">
        <v>81</v>
      </c>
      <c r="B17" s="73">
        <v>18719</v>
      </c>
      <c r="AV17">
        <v>10.563012123</v>
      </c>
    </row>
    <row r="18" spans="1:48" x14ac:dyDescent="0.2">
      <c r="A18" t="s">
        <v>82</v>
      </c>
      <c r="B18" s="73">
        <v>18810</v>
      </c>
      <c r="AV18">
        <v>9.1498838239999998</v>
      </c>
    </row>
    <row r="19" spans="1:48" x14ac:dyDescent="0.2">
      <c r="A19" t="s">
        <v>83</v>
      </c>
      <c r="B19" s="73">
        <v>18902</v>
      </c>
      <c r="AV19">
        <v>7.2546955019999997</v>
      </c>
    </row>
    <row r="20" spans="1:48" x14ac:dyDescent="0.2">
      <c r="A20" t="s">
        <v>84</v>
      </c>
      <c r="B20" s="73">
        <v>18994</v>
      </c>
      <c r="AV20">
        <v>5.4713784949999997</v>
      </c>
    </row>
    <row r="21" spans="1:48" x14ac:dyDescent="0.2">
      <c r="A21" t="s">
        <v>85</v>
      </c>
      <c r="B21" s="73">
        <v>19085</v>
      </c>
      <c r="AV21">
        <v>5.170000881</v>
      </c>
    </row>
    <row r="22" spans="1:48" x14ac:dyDescent="0.2">
      <c r="A22" t="s">
        <v>86</v>
      </c>
      <c r="B22" s="73">
        <v>19176</v>
      </c>
      <c r="AV22">
        <v>3.6014209519999998</v>
      </c>
    </row>
    <row r="23" spans="1:48" x14ac:dyDescent="0.2">
      <c r="A23" t="s">
        <v>87</v>
      </c>
      <c r="B23" s="73">
        <v>19268</v>
      </c>
      <c r="AV23">
        <v>2.2420593809999998</v>
      </c>
    </row>
    <row r="24" spans="1:48" x14ac:dyDescent="0.2">
      <c r="A24" t="s">
        <v>88</v>
      </c>
      <c r="B24" s="73">
        <v>19360</v>
      </c>
      <c r="AV24">
        <v>5.3678369469999998</v>
      </c>
    </row>
    <row r="25" spans="1:48" x14ac:dyDescent="0.2">
      <c r="A25" t="s">
        <v>89</v>
      </c>
      <c r="B25" s="73">
        <v>19450</v>
      </c>
      <c r="AV25">
        <v>6.1917895940000003</v>
      </c>
    </row>
    <row r="26" spans="1:48" x14ac:dyDescent="0.2">
      <c r="A26" t="s">
        <v>90</v>
      </c>
      <c r="B26" s="73">
        <v>19541</v>
      </c>
      <c r="AV26">
        <v>6.7825801630000004</v>
      </c>
    </row>
    <row r="27" spans="1:48" x14ac:dyDescent="0.2">
      <c r="A27" t="s">
        <v>91</v>
      </c>
      <c r="B27" s="73">
        <v>19633</v>
      </c>
      <c r="AV27">
        <v>5.4207601810000003</v>
      </c>
    </row>
    <row r="28" spans="1:48" x14ac:dyDescent="0.2">
      <c r="A28" t="s">
        <v>92</v>
      </c>
      <c r="B28" s="73">
        <v>19725</v>
      </c>
      <c r="AV28">
        <v>0.52334884400000004</v>
      </c>
    </row>
    <row r="29" spans="1:48" x14ac:dyDescent="0.2">
      <c r="A29" t="s">
        <v>93</v>
      </c>
      <c r="B29" s="73">
        <v>19815</v>
      </c>
      <c r="AV29">
        <v>-1.782902464</v>
      </c>
    </row>
    <row r="30" spans="1:48" x14ac:dyDescent="0.2">
      <c r="A30" t="s">
        <v>94</v>
      </c>
      <c r="B30" s="73">
        <v>19906</v>
      </c>
      <c r="AV30">
        <v>-2.4300090499999998</v>
      </c>
    </row>
    <row r="31" spans="1:48" x14ac:dyDescent="0.2">
      <c r="A31" t="s">
        <v>95</v>
      </c>
      <c r="B31" s="73">
        <v>19998</v>
      </c>
      <c r="AV31">
        <v>-0.76976022300000002</v>
      </c>
    </row>
    <row r="32" spans="1:48" x14ac:dyDescent="0.2">
      <c r="A32" t="s">
        <v>96</v>
      </c>
      <c r="B32" s="73">
        <v>20090</v>
      </c>
      <c r="AV32">
        <v>2.7270932499999998</v>
      </c>
    </row>
    <row r="33" spans="1:48" x14ac:dyDescent="0.2">
      <c r="A33" t="s">
        <v>97</v>
      </c>
      <c r="B33" s="73">
        <v>20180</v>
      </c>
      <c r="AV33">
        <v>6.1687319870000001</v>
      </c>
    </row>
    <row r="34" spans="1:48" x14ac:dyDescent="0.2">
      <c r="A34" t="s">
        <v>98</v>
      </c>
      <c r="B34" s="73">
        <v>20271</v>
      </c>
      <c r="AV34">
        <v>7.7788443279999999</v>
      </c>
    </row>
    <row r="35" spans="1:48" x14ac:dyDescent="0.2">
      <c r="A35" t="s">
        <v>99</v>
      </c>
      <c r="B35" s="73">
        <v>20363</v>
      </c>
      <c r="AV35">
        <v>8.0145013810000005</v>
      </c>
    </row>
    <row r="36" spans="1:48" x14ac:dyDescent="0.2">
      <c r="A36" t="s">
        <v>100</v>
      </c>
      <c r="B36" s="73">
        <v>20455</v>
      </c>
      <c r="AV36">
        <v>6.5775531980000004</v>
      </c>
    </row>
    <row r="37" spans="1:48" x14ac:dyDescent="0.2">
      <c r="A37" t="s">
        <v>101</v>
      </c>
      <c r="B37" s="73">
        <v>20546</v>
      </c>
      <c r="X37">
        <v>2.7228935339999998</v>
      </c>
      <c r="AV37">
        <v>3.2155485320000001</v>
      </c>
    </row>
    <row r="38" spans="1:48" x14ac:dyDescent="0.2">
      <c r="A38" t="s">
        <v>102</v>
      </c>
      <c r="B38" s="73">
        <v>20637</v>
      </c>
      <c r="X38">
        <v>2.452136034</v>
      </c>
      <c r="AV38">
        <v>2.4021458670000002</v>
      </c>
    </row>
    <row r="39" spans="1:48" x14ac:dyDescent="0.2">
      <c r="A39" t="s">
        <v>103</v>
      </c>
      <c r="B39" s="73">
        <v>20729</v>
      </c>
      <c r="X39">
        <v>0.30544117100000001</v>
      </c>
      <c r="AV39">
        <v>0.94689641000000002</v>
      </c>
    </row>
    <row r="40" spans="1:48" x14ac:dyDescent="0.2">
      <c r="A40" t="s">
        <v>104</v>
      </c>
      <c r="B40" s="73">
        <v>20821</v>
      </c>
      <c r="X40">
        <v>1.305623668</v>
      </c>
      <c r="AV40">
        <v>1.9960335760000001</v>
      </c>
    </row>
    <row r="41" spans="1:48" x14ac:dyDescent="0.2">
      <c r="A41" t="s">
        <v>105</v>
      </c>
      <c r="B41" s="73">
        <v>20911</v>
      </c>
      <c r="X41">
        <v>2.1571354770000002</v>
      </c>
      <c r="AV41">
        <v>3.0493286199999998</v>
      </c>
    </row>
    <row r="42" spans="1:48" x14ac:dyDescent="0.2">
      <c r="A42" t="s">
        <v>106</v>
      </c>
      <c r="B42" s="73">
        <v>21002</v>
      </c>
      <c r="X42">
        <v>2.3480607999999998</v>
      </c>
      <c r="AV42">
        <v>1.9808742699999999</v>
      </c>
    </row>
    <row r="43" spans="1:48" x14ac:dyDescent="0.2">
      <c r="A43" t="s">
        <v>107</v>
      </c>
      <c r="B43" s="73">
        <v>21094</v>
      </c>
      <c r="X43">
        <v>1.8374293530000001</v>
      </c>
      <c r="AV43">
        <v>3.0729058839999999</v>
      </c>
    </row>
    <row r="44" spans="1:48" x14ac:dyDescent="0.2">
      <c r="A44" t="s">
        <v>108</v>
      </c>
      <c r="B44" s="73">
        <v>21186</v>
      </c>
      <c r="X44">
        <v>1.56655477</v>
      </c>
      <c r="AV44">
        <v>0.35513471499999999</v>
      </c>
    </row>
    <row r="45" spans="1:48" x14ac:dyDescent="0.2">
      <c r="A45" t="s">
        <v>109</v>
      </c>
      <c r="B45" s="73">
        <v>21276</v>
      </c>
      <c r="X45">
        <v>1.766138381</v>
      </c>
      <c r="AV45">
        <v>-2.8714282899999999</v>
      </c>
    </row>
    <row r="46" spans="1:48" x14ac:dyDescent="0.2">
      <c r="A46" t="s">
        <v>110</v>
      </c>
      <c r="B46" s="73">
        <v>21367</v>
      </c>
      <c r="X46">
        <v>-0.66204042299999999</v>
      </c>
      <c r="AV46">
        <v>-2.0184094849999998</v>
      </c>
    </row>
    <row r="47" spans="1:48" x14ac:dyDescent="0.2">
      <c r="A47" t="s">
        <v>111</v>
      </c>
      <c r="B47" s="73">
        <v>21459</v>
      </c>
      <c r="X47">
        <v>2.1768739429999999</v>
      </c>
      <c r="AV47">
        <v>-0.72479788599999995</v>
      </c>
    </row>
    <row r="48" spans="1:48" x14ac:dyDescent="0.2">
      <c r="A48" t="s">
        <v>112</v>
      </c>
      <c r="B48" s="73">
        <v>21551</v>
      </c>
      <c r="X48">
        <v>2.0971535280000002</v>
      </c>
      <c r="AV48">
        <v>2.6581373350000002</v>
      </c>
    </row>
    <row r="49" spans="1:49" x14ac:dyDescent="0.2">
      <c r="A49" t="s">
        <v>113</v>
      </c>
      <c r="B49" s="73">
        <v>21641</v>
      </c>
      <c r="X49">
        <v>0.551227456</v>
      </c>
      <c r="AV49">
        <v>7.4166492159999997</v>
      </c>
    </row>
    <row r="50" spans="1:49" x14ac:dyDescent="0.2">
      <c r="A50" t="s">
        <v>114</v>
      </c>
      <c r="B50" s="73">
        <v>21732</v>
      </c>
      <c r="X50">
        <v>4.7113735500000002</v>
      </c>
      <c r="AV50">
        <v>9.1218984800000005</v>
      </c>
    </row>
    <row r="51" spans="1:49" x14ac:dyDescent="0.2">
      <c r="A51" t="s">
        <v>115</v>
      </c>
      <c r="B51" s="73">
        <v>21824</v>
      </c>
      <c r="X51">
        <v>4.6333111169999999</v>
      </c>
      <c r="AV51">
        <v>6.7299987449999996</v>
      </c>
    </row>
    <row r="52" spans="1:49" x14ac:dyDescent="0.2">
      <c r="A52" t="s">
        <v>116</v>
      </c>
      <c r="B52" s="73">
        <v>21916</v>
      </c>
      <c r="X52">
        <v>7.203042849</v>
      </c>
      <c r="AV52">
        <v>4.5886632949999999</v>
      </c>
    </row>
    <row r="53" spans="1:49" x14ac:dyDescent="0.2">
      <c r="A53" t="s">
        <v>117</v>
      </c>
      <c r="B53" s="73">
        <v>22007</v>
      </c>
      <c r="X53">
        <v>9.1621046229999994</v>
      </c>
      <c r="AV53">
        <v>4.925418809</v>
      </c>
    </row>
    <row r="54" spans="1:49" x14ac:dyDescent="0.2">
      <c r="A54" t="s">
        <v>118</v>
      </c>
      <c r="B54" s="73">
        <v>22098</v>
      </c>
      <c r="X54">
        <v>6.5523869360000004</v>
      </c>
      <c r="AV54">
        <v>2.0582082119999998</v>
      </c>
    </row>
    <row r="55" spans="1:49" x14ac:dyDescent="0.2">
      <c r="A55" t="s">
        <v>119</v>
      </c>
      <c r="B55" s="73">
        <v>22190</v>
      </c>
      <c r="X55">
        <v>5.8866167330000003</v>
      </c>
      <c r="AV55">
        <v>2.4853887609999998</v>
      </c>
    </row>
    <row r="56" spans="1:49" x14ac:dyDescent="0.2">
      <c r="A56" t="s">
        <v>120</v>
      </c>
      <c r="B56" s="73">
        <v>22282</v>
      </c>
      <c r="X56">
        <v>3.8592508510000001</v>
      </c>
      <c r="AV56">
        <v>0.88268414299999998</v>
      </c>
    </row>
    <row r="57" spans="1:49" x14ac:dyDescent="0.2">
      <c r="A57" t="s">
        <v>121</v>
      </c>
      <c r="B57" s="73">
        <v>22372</v>
      </c>
      <c r="D57">
        <v>3.1024531020000001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122</v>
      </c>
      <c r="B58" s="73">
        <v>22463</v>
      </c>
      <c r="D58">
        <v>-0.77663781700000001</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123</v>
      </c>
      <c r="B59" s="73">
        <v>22555</v>
      </c>
      <c r="D59">
        <v>-1.7069091219999999</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124</v>
      </c>
      <c r="B60" s="73">
        <v>22647</v>
      </c>
      <c r="D60">
        <v>-0.391016643</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125</v>
      </c>
      <c r="B61" s="73">
        <v>22737</v>
      </c>
      <c r="D61">
        <v>2.0993701890000001</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126</v>
      </c>
      <c r="B62" s="73">
        <v>22828</v>
      </c>
      <c r="D62">
        <v>5.2132975190000002</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127</v>
      </c>
      <c r="B63" s="73">
        <v>22920</v>
      </c>
      <c r="D63">
        <v>6.8269412569999997</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128</v>
      </c>
      <c r="B64" s="73">
        <v>23012</v>
      </c>
      <c r="D64">
        <v>7.5217485079999999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129</v>
      </c>
      <c r="B65" s="73">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3.1150062709999999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3.5904428890000002</v>
      </c>
      <c r="AP65">
        <v>6.1344003960000002</v>
      </c>
      <c r="AT65">
        <v>4.0305311289999999</v>
      </c>
      <c r="AV65">
        <v>3.5978663150000001</v>
      </c>
      <c r="AW65">
        <v>5.2939124130000002</v>
      </c>
    </row>
    <row r="66" spans="1:49" x14ac:dyDescent="0.2">
      <c r="A66" t="s">
        <v>130</v>
      </c>
      <c r="B66" s="73">
        <v>23193</v>
      </c>
      <c r="D66">
        <v>3.623586252</v>
      </c>
      <c r="E66">
        <v>4.2551746660000003</v>
      </c>
      <c r="F66">
        <v>3.8150367360000002</v>
      </c>
      <c r="H66">
        <v>5.5297638559999998</v>
      </c>
      <c r="I66">
        <v>4.9784934769999998</v>
      </c>
      <c r="M66">
        <v>3.0214105199999999</v>
      </c>
      <c r="N66">
        <v>-0.65222274800000002</v>
      </c>
      <c r="P66">
        <v>8.7235456530000004</v>
      </c>
      <c r="T66">
        <v>4.8339200460000002</v>
      </c>
      <c r="U66">
        <v>5.5087402689999996</v>
      </c>
      <c r="V66">
        <v>4.5656768809999999</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4.9284468180000003</v>
      </c>
      <c r="AP66">
        <v>5.9109752149999997</v>
      </c>
      <c r="AT66">
        <v>6.1393031369999997</v>
      </c>
      <c r="AV66">
        <v>3.8221569249999998</v>
      </c>
      <c r="AW66">
        <v>7.3902118200000002</v>
      </c>
    </row>
    <row r="67" spans="1:49" x14ac:dyDescent="0.2">
      <c r="A67" t="s">
        <v>131</v>
      </c>
      <c r="B67" s="73">
        <v>23285</v>
      </c>
      <c r="D67">
        <v>7.0141999430000004</v>
      </c>
      <c r="E67">
        <v>4.5119138019999996</v>
      </c>
      <c r="F67">
        <v>4.1573570880000004</v>
      </c>
      <c r="H67">
        <v>4.9683606239999998</v>
      </c>
      <c r="I67">
        <v>5.8670261359999998</v>
      </c>
      <c r="M67">
        <v>4.1020170330000001</v>
      </c>
      <c r="N67">
        <v>0.14907938800000001</v>
      </c>
      <c r="P67">
        <v>8.4144289800000003</v>
      </c>
      <c r="T67">
        <v>3.9005763490000001</v>
      </c>
      <c r="U67">
        <v>7.4423263110000004</v>
      </c>
      <c r="V67">
        <v>5.5564915829999997</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5.804545343</v>
      </c>
      <c r="AP67">
        <v>5.81300404</v>
      </c>
      <c r="AT67">
        <v>5.5252815899999996</v>
      </c>
      <c r="AV67">
        <v>4.8169293460000002</v>
      </c>
      <c r="AW67">
        <v>8.1140038210000007</v>
      </c>
    </row>
    <row r="68" spans="1:49" x14ac:dyDescent="0.2">
      <c r="A68" t="s">
        <v>132</v>
      </c>
      <c r="B68" s="73">
        <v>23377</v>
      </c>
      <c r="D68">
        <v>7.3753610780000001</v>
      </c>
      <c r="E68">
        <v>6.5457044079999998</v>
      </c>
      <c r="F68">
        <v>5.3420463639999998</v>
      </c>
      <c r="H68">
        <v>6.1012753399999999</v>
      </c>
      <c r="I68">
        <v>6.3311572969999999</v>
      </c>
      <c r="M68">
        <v>4.8324553569999997</v>
      </c>
      <c r="N68">
        <v>2.7224332449999999</v>
      </c>
      <c r="P68">
        <v>10.137254029999999</v>
      </c>
      <c r="T68">
        <v>4.2456283509999997</v>
      </c>
      <c r="U68">
        <v>6.4443132509999996</v>
      </c>
      <c r="V68">
        <v>6.168536273</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6.4247995490000003</v>
      </c>
      <c r="AP68">
        <v>5.8347617779999998</v>
      </c>
      <c r="AT68">
        <v>5.5808688950000001</v>
      </c>
      <c r="AV68">
        <v>5.1582445650000004</v>
      </c>
      <c r="AW68">
        <v>8.6277855240000001</v>
      </c>
    </row>
    <row r="69" spans="1:49" x14ac:dyDescent="0.2">
      <c r="A69" t="s">
        <v>133</v>
      </c>
      <c r="B69" s="73">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8.0396309440000007</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7.960554889</v>
      </c>
      <c r="AP69">
        <v>5.9712375020000001</v>
      </c>
      <c r="AT69">
        <v>9.3198563169999993</v>
      </c>
      <c r="AV69">
        <v>6.2158208269999999</v>
      </c>
      <c r="AW69">
        <v>9.2178180140000006</v>
      </c>
    </row>
    <row r="70" spans="1:49" x14ac:dyDescent="0.2">
      <c r="A70" t="s">
        <v>134</v>
      </c>
      <c r="B70" s="73">
        <v>23559</v>
      </c>
      <c r="D70">
        <v>8.7805976480000005</v>
      </c>
      <c r="E70">
        <v>5.6946421220000003</v>
      </c>
      <c r="F70">
        <v>7.6333720500000002</v>
      </c>
      <c r="H70">
        <v>6.9120152319999999</v>
      </c>
      <c r="I70">
        <v>7.116911</v>
      </c>
      <c r="M70">
        <v>6.6882926009999997</v>
      </c>
      <c r="N70">
        <v>9.7787919110000008</v>
      </c>
      <c r="P70">
        <v>6.3725956220000004</v>
      </c>
      <c r="T70">
        <v>5.3921449030000002</v>
      </c>
      <c r="U70">
        <v>6.5834623849999998</v>
      </c>
      <c r="V70">
        <v>6.624610337</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6.7616853800000003</v>
      </c>
      <c r="AP70">
        <v>6.2646258689999996</v>
      </c>
      <c r="AT70">
        <v>5.8641500659999997</v>
      </c>
      <c r="AV70">
        <v>6.1807512630000003</v>
      </c>
      <c r="AW70">
        <v>8.3300232110000003</v>
      </c>
    </row>
    <row r="71" spans="1:49" x14ac:dyDescent="0.2">
      <c r="A71" t="s">
        <v>135</v>
      </c>
      <c r="B71" s="73">
        <v>23651</v>
      </c>
      <c r="D71">
        <v>5.1397529359999998</v>
      </c>
      <c r="E71">
        <v>5.4991637190000002</v>
      </c>
      <c r="F71">
        <v>7.5215384849999998</v>
      </c>
      <c r="H71">
        <v>7.19227375</v>
      </c>
      <c r="I71">
        <v>4.209432294</v>
      </c>
      <c r="M71">
        <v>4.1825339379999997</v>
      </c>
      <c r="N71">
        <v>10.573961513</v>
      </c>
      <c r="P71">
        <v>4.9081257239999996</v>
      </c>
      <c r="T71">
        <v>5.9764327059999998</v>
      </c>
      <c r="U71">
        <v>4.4450124730000002</v>
      </c>
      <c r="V71">
        <v>5.5162759570000004</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5.70508069</v>
      </c>
      <c r="AP71">
        <v>6.7081803359999999</v>
      </c>
      <c r="AT71">
        <v>6.0109115710000003</v>
      </c>
      <c r="AV71">
        <v>5.5198295540000002</v>
      </c>
      <c r="AW71">
        <v>6.536189845</v>
      </c>
    </row>
    <row r="72" spans="1:49" x14ac:dyDescent="0.2">
      <c r="A72" t="s">
        <v>136</v>
      </c>
      <c r="B72" s="73">
        <v>23743</v>
      </c>
      <c r="D72">
        <v>5.8586890189999998</v>
      </c>
      <c r="E72">
        <v>6.3424117720000002</v>
      </c>
      <c r="F72">
        <v>6.1545686330000002</v>
      </c>
      <c r="H72">
        <v>4.4913001250000004</v>
      </c>
      <c r="I72">
        <v>2.4589130090000002</v>
      </c>
      <c r="M72">
        <v>5.0911606020000004</v>
      </c>
      <c r="N72">
        <v>9.5618033390000008</v>
      </c>
      <c r="P72">
        <v>5.2299971249999997</v>
      </c>
      <c r="T72">
        <v>3.115370897</v>
      </c>
      <c r="U72">
        <v>5.0618788769999998</v>
      </c>
      <c r="V72">
        <v>4.9873089259999999</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5.190905002</v>
      </c>
      <c r="AP72">
        <v>7.2947154149999998</v>
      </c>
      <c r="AT72">
        <v>6.2137201190000004</v>
      </c>
      <c r="AV72">
        <v>5.1563430649999997</v>
      </c>
      <c r="AW72">
        <v>7.7528101319999996</v>
      </c>
    </row>
    <row r="73" spans="1:49" x14ac:dyDescent="0.2">
      <c r="A73" t="s">
        <v>137</v>
      </c>
      <c r="B73" s="73">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4.7108371819999997</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4.9820583420000002</v>
      </c>
      <c r="AP73">
        <v>8.0172834030000004</v>
      </c>
      <c r="AT73">
        <v>5.6886050360000002</v>
      </c>
      <c r="AV73">
        <v>5.4771416009999996</v>
      </c>
      <c r="AW73">
        <v>7.8066549380000003</v>
      </c>
    </row>
    <row r="74" spans="1:49" x14ac:dyDescent="0.2">
      <c r="A74" t="s">
        <v>138</v>
      </c>
      <c r="B74" s="73">
        <v>23924</v>
      </c>
      <c r="D74">
        <v>5.9847792999999996</v>
      </c>
      <c r="E74">
        <v>3.2522840990000002</v>
      </c>
      <c r="F74">
        <v>3.5952160559999999</v>
      </c>
      <c r="H74">
        <v>5.7893380199999998</v>
      </c>
      <c r="I74">
        <v>1.425322778</v>
      </c>
      <c r="M74">
        <v>5.7322365120000001</v>
      </c>
      <c r="N74">
        <v>4.9427640759999996</v>
      </c>
      <c r="P74">
        <v>5.5810732490000001</v>
      </c>
      <c r="T74">
        <v>5.6521372950000002</v>
      </c>
      <c r="U74">
        <v>4.9148326019999997</v>
      </c>
      <c r="V74">
        <v>4.9333581469999999</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4.9157555930000001</v>
      </c>
      <c r="AP74">
        <v>8.0787116329999993</v>
      </c>
      <c r="AT74">
        <v>4.3417600160000003</v>
      </c>
      <c r="AV74">
        <v>5.6592842589999997</v>
      </c>
      <c r="AW74">
        <v>6.914559422</v>
      </c>
    </row>
    <row r="75" spans="1:49" x14ac:dyDescent="0.2">
      <c r="A75" t="s">
        <v>139</v>
      </c>
      <c r="B75" s="73">
        <v>24016</v>
      </c>
      <c r="D75">
        <v>5.019178878</v>
      </c>
      <c r="E75">
        <v>4.399167286</v>
      </c>
      <c r="F75">
        <v>2.9738086579999998</v>
      </c>
      <c r="H75">
        <v>6.1241149640000003</v>
      </c>
      <c r="I75">
        <v>3.0627734809999998</v>
      </c>
      <c r="M75">
        <v>5.3416826540000004</v>
      </c>
      <c r="N75">
        <v>3.6288257829999999</v>
      </c>
      <c r="P75">
        <v>5.8606001340000002</v>
      </c>
      <c r="T75">
        <v>5.2547513659999998</v>
      </c>
      <c r="U75">
        <v>5.1415684219999997</v>
      </c>
      <c r="V75">
        <v>5.4803655500000001</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5.2875110980000004</v>
      </c>
      <c r="AP75">
        <v>7.5109683739999999</v>
      </c>
      <c r="AT75">
        <v>2.1947753460000001</v>
      </c>
      <c r="AV75">
        <v>6.346898404</v>
      </c>
      <c r="AW75">
        <v>5.5849368559999997</v>
      </c>
    </row>
    <row r="76" spans="1:49" x14ac:dyDescent="0.2">
      <c r="A76" t="s">
        <v>140</v>
      </c>
      <c r="B76" s="73">
        <v>24108</v>
      </c>
      <c r="D76">
        <v>2.3671980700000002</v>
      </c>
      <c r="E76">
        <v>1.9583144349999999</v>
      </c>
      <c r="F76">
        <v>2.9716978979999999</v>
      </c>
      <c r="H76">
        <v>8.1503950179999993</v>
      </c>
      <c r="I76">
        <v>3.4257111450000002</v>
      </c>
      <c r="M76">
        <v>4.5498727739999998</v>
      </c>
      <c r="N76">
        <v>2.891405765</v>
      </c>
      <c r="P76">
        <v>6.7052440000000004</v>
      </c>
      <c r="T76">
        <v>5.1902312320000004</v>
      </c>
      <c r="U76">
        <v>5.6505594129999999</v>
      </c>
      <c r="V76">
        <v>6.5802410809999996</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6.2188292330000001</v>
      </c>
      <c r="AP76">
        <v>6.3514702630000004</v>
      </c>
      <c r="AT76">
        <v>3.1242828770000002</v>
      </c>
      <c r="AV76">
        <v>8.4621648740000008</v>
      </c>
      <c r="AW76">
        <v>4.2913908430000003</v>
      </c>
    </row>
    <row r="77" spans="1:49" x14ac:dyDescent="0.2">
      <c r="A77" t="s">
        <v>141</v>
      </c>
      <c r="B77" s="73">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6.8539279009999996</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6.259928275</v>
      </c>
      <c r="AP77">
        <v>4.6413947029999996</v>
      </c>
      <c r="AT77">
        <v>2.530094971</v>
      </c>
      <c r="AV77">
        <v>8.4774958389999995</v>
      </c>
      <c r="AW77">
        <v>3.759659917</v>
      </c>
    </row>
    <row r="78" spans="1:49" x14ac:dyDescent="0.2">
      <c r="A78" t="s">
        <v>142</v>
      </c>
      <c r="B78" s="73">
        <v>24289</v>
      </c>
      <c r="D78">
        <v>1.0248161760000001</v>
      </c>
      <c r="E78">
        <v>5.6253714439999998</v>
      </c>
      <c r="F78">
        <v>2.9691284339999999</v>
      </c>
      <c r="H78">
        <v>8.0867238449999999</v>
      </c>
      <c r="I78">
        <v>4.5397851869999997</v>
      </c>
      <c r="M78">
        <v>3.4243037620000001</v>
      </c>
      <c r="N78">
        <v>2.6362851310000002</v>
      </c>
      <c r="P78">
        <v>8.6694578660000001</v>
      </c>
      <c r="T78">
        <v>1.645746945</v>
      </c>
      <c r="U78">
        <v>5.3551115009999997</v>
      </c>
      <c r="V78">
        <v>6.4937875800000002</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6.3619533300000004</v>
      </c>
      <c r="AP78">
        <v>3.7571193379999999</v>
      </c>
      <c r="AT78">
        <v>2.6123488350000001</v>
      </c>
      <c r="AV78">
        <v>7.4901360869999998</v>
      </c>
      <c r="AW78">
        <v>3.8838498910000001</v>
      </c>
    </row>
    <row r="79" spans="1:49" x14ac:dyDescent="0.2">
      <c r="A79" t="s">
        <v>143</v>
      </c>
      <c r="B79" s="73">
        <v>24381</v>
      </c>
      <c r="D79">
        <v>4.1870700879999996</v>
      </c>
      <c r="E79">
        <v>3.8190904730000002</v>
      </c>
      <c r="F79">
        <v>3.1032883409999998</v>
      </c>
      <c r="H79">
        <v>6.6089894320000004</v>
      </c>
      <c r="I79">
        <v>2.1442471799999998</v>
      </c>
      <c r="M79">
        <v>2.8662204469999999</v>
      </c>
      <c r="N79">
        <v>2.711722355</v>
      </c>
      <c r="P79">
        <v>9.7082582120000005</v>
      </c>
      <c r="T79">
        <v>1.4962223699999999</v>
      </c>
      <c r="U79">
        <v>5.0387777610000004</v>
      </c>
      <c r="V79">
        <v>5.7505854870000004</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5.7832587650000002</v>
      </c>
      <c r="AP79">
        <v>3.646398429</v>
      </c>
      <c r="AT79">
        <v>8.8233064999999999E-2</v>
      </c>
      <c r="AV79">
        <v>6.0428748450000001</v>
      </c>
      <c r="AW79">
        <v>5.7482575379999998</v>
      </c>
    </row>
    <row r="80" spans="1:49" x14ac:dyDescent="0.2">
      <c r="A80" t="s">
        <v>144</v>
      </c>
      <c r="B80" s="73">
        <v>24473</v>
      </c>
      <c r="D80">
        <v>4.6180192399999997</v>
      </c>
      <c r="E80">
        <v>4.2742414159999997</v>
      </c>
      <c r="F80">
        <v>3.3795503980000001</v>
      </c>
      <c r="H80">
        <v>5.3227089589999999</v>
      </c>
      <c r="I80">
        <v>3.5905131300000002</v>
      </c>
      <c r="M80">
        <v>0.65753600899999998</v>
      </c>
      <c r="N80">
        <v>2.9188379699999998</v>
      </c>
      <c r="P80">
        <v>6.8124141429999998</v>
      </c>
      <c r="T80">
        <v>5.3523466669999999</v>
      </c>
      <c r="U80">
        <v>4.1620741189999997</v>
      </c>
      <c r="V80">
        <v>4.4879731280000001</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4.666692501</v>
      </c>
      <c r="AP80">
        <v>4.2777137590000001</v>
      </c>
      <c r="AT80">
        <v>3.10840747</v>
      </c>
      <c r="AV80">
        <v>4.5050201740000002</v>
      </c>
      <c r="AW80">
        <v>4.360363048</v>
      </c>
    </row>
    <row r="81" spans="1:49" x14ac:dyDescent="0.2">
      <c r="A81" t="s">
        <v>145</v>
      </c>
      <c r="B81" s="73">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3.5991916850000001</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4.0923886080000003</v>
      </c>
      <c r="AP81">
        <v>5.6377482150000002</v>
      </c>
      <c r="AT81">
        <v>2.7802792620000001</v>
      </c>
      <c r="AV81">
        <v>2.9250362509999999</v>
      </c>
      <c r="AW81">
        <v>6.6565824950000003</v>
      </c>
    </row>
    <row r="82" spans="1:49" x14ac:dyDescent="0.2">
      <c r="A82" t="s">
        <v>146</v>
      </c>
      <c r="B82" s="73">
        <v>24654</v>
      </c>
      <c r="D82">
        <v>7.3886639680000004</v>
      </c>
      <c r="E82">
        <v>2.9300308020000001</v>
      </c>
      <c r="F82">
        <v>3.9128704480000001</v>
      </c>
      <c r="H82">
        <v>3.1012533709999999</v>
      </c>
      <c r="I82">
        <v>1.6763022830000001</v>
      </c>
      <c r="M82">
        <v>-2.2378792789999999</v>
      </c>
      <c r="N82">
        <v>3.4549168780000001</v>
      </c>
      <c r="P82">
        <v>3.7736444169999999</v>
      </c>
      <c r="T82">
        <v>3.677660328</v>
      </c>
      <c r="U82">
        <v>4.5674214409999996</v>
      </c>
      <c r="V82">
        <v>3.371102252</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3.5678289219999999</v>
      </c>
      <c r="AP82">
        <v>6.9426240989999997</v>
      </c>
      <c r="AT82">
        <v>3.8104064339999999</v>
      </c>
      <c r="AV82">
        <v>2.6375152810000002</v>
      </c>
      <c r="AW82">
        <v>5.6760761469999998</v>
      </c>
    </row>
    <row r="83" spans="1:49" x14ac:dyDescent="0.2">
      <c r="A83" t="s">
        <v>147</v>
      </c>
      <c r="B83" s="73">
        <v>24746</v>
      </c>
      <c r="D83">
        <v>6.396461156</v>
      </c>
      <c r="E83">
        <v>1.969745836</v>
      </c>
      <c r="F83">
        <v>4.0020776060000003</v>
      </c>
      <c r="H83">
        <v>3.4949482110000001</v>
      </c>
      <c r="I83">
        <v>1.7722052740000001</v>
      </c>
      <c r="M83">
        <v>0</v>
      </c>
      <c r="N83">
        <v>3.519794933</v>
      </c>
      <c r="P83">
        <v>3.500479377</v>
      </c>
      <c r="T83">
        <v>1.9567360899999999</v>
      </c>
      <c r="U83">
        <v>4.3769435269999999</v>
      </c>
      <c r="V83">
        <v>3.7696390640000002</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3.8717820170000001</v>
      </c>
      <c r="AP83">
        <v>8.1806455549999999</v>
      </c>
      <c r="AT83">
        <v>4.8361977549999997</v>
      </c>
      <c r="AV83">
        <v>2.7384927970000001</v>
      </c>
      <c r="AW83">
        <v>9.3783651740000007</v>
      </c>
    </row>
    <row r="84" spans="1:49" x14ac:dyDescent="0.2">
      <c r="A84" t="s">
        <v>148</v>
      </c>
      <c r="B84" s="73">
        <v>24838</v>
      </c>
      <c r="D84">
        <v>6.6212578960000004</v>
      </c>
      <c r="E84">
        <v>2.6975959309999999</v>
      </c>
      <c r="F84">
        <v>3.9077364920000002</v>
      </c>
      <c r="H84">
        <v>2.65787795</v>
      </c>
      <c r="I84">
        <v>1.1308896879999999</v>
      </c>
      <c r="M84">
        <v>2.8926405810000002</v>
      </c>
      <c r="N84">
        <v>3.4528052329999999</v>
      </c>
      <c r="P84">
        <v>2.4785926549999999</v>
      </c>
      <c r="T84">
        <v>-1.68227821</v>
      </c>
      <c r="U84">
        <v>4.8220617240000001</v>
      </c>
      <c r="V84">
        <v>4.324802569</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4.2933437379999999</v>
      </c>
      <c r="AP84">
        <v>9.34170357</v>
      </c>
      <c r="AT84">
        <v>2.1068449409999999</v>
      </c>
      <c r="AV84">
        <v>2.6708397609999999</v>
      </c>
      <c r="AW84">
        <v>7.0401236650000003</v>
      </c>
    </row>
    <row r="85" spans="1:49" x14ac:dyDescent="0.2">
      <c r="A85" t="s">
        <v>149</v>
      </c>
      <c r="B85" s="73">
        <v>24929</v>
      </c>
      <c r="D85">
        <v>1.7034640270000001</v>
      </c>
      <c r="E85">
        <v>3.0919965270000001</v>
      </c>
      <c r="F85">
        <v>3.8183401830000001</v>
      </c>
      <c r="H85">
        <v>3.7371455710000001</v>
      </c>
      <c r="I85">
        <v>-6.5956367000000002E-2</v>
      </c>
      <c r="M85">
        <v>4.6175088840000003</v>
      </c>
      <c r="N85">
        <v>3.2574726269999998</v>
      </c>
      <c r="P85">
        <v>4.3778761040000003</v>
      </c>
      <c r="T85">
        <v>0.62448734400000006</v>
      </c>
      <c r="U85">
        <v>6.054590299</v>
      </c>
      <c r="V85">
        <v>5.2914617320000001</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5.097219623</v>
      </c>
      <c r="AP85">
        <v>10.41790887</v>
      </c>
      <c r="AT85">
        <v>-0.66640725599999995</v>
      </c>
      <c r="AV85">
        <v>3.845214871</v>
      </c>
      <c r="AW85">
        <v>4.9809812850000004</v>
      </c>
    </row>
    <row r="86" spans="1:49" x14ac:dyDescent="0.2">
      <c r="A86" t="s">
        <v>150</v>
      </c>
      <c r="B86" s="73">
        <v>25020</v>
      </c>
      <c r="D86">
        <v>5.770473054</v>
      </c>
      <c r="E86">
        <v>3.4257367689999998</v>
      </c>
      <c r="F86">
        <v>3.7341442059999999</v>
      </c>
      <c r="H86">
        <v>4.3603917340000002</v>
      </c>
      <c r="I86">
        <v>1.480760364</v>
      </c>
      <c r="M86">
        <v>5.7612672170000003</v>
      </c>
      <c r="N86">
        <v>3.4687645909999998</v>
      </c>
      <c r="P86">
        <v>6.2679917859999996</v>
      </c>
      <c r="T86">
        <v>1.4172811059999999</v>
      </c>
      <c r="U86">
        <v>-3.0465918479999998</v>
      </c>
      <c r="V86">
        <v>5.4794843039999996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5.5065198620000002</v>
      </c>
      <c r="AP86">
        <v>10.206450526999999</v>
      </c>
      <c r="AT86">
        <v>4.4416426590000002</v>
      </c>
      <c r="AV86">
        <v>5.5155815099999996</v>
      </c>
      <c r="AW86">
        <v>5.2791186689999998</v>
      </c>
    </row>
    <row r="87" spans="1:49" x14ac:dyDescent="0.2">
      <c r="A87" t="s">
        <v>151</v>
      </c>
      <c r="B87" s="73">
        <v>25112</v>
      </c>
      <c r="D87">
        <v>5.1928613749999997</v>
      </c>
      <c r="E87">
        <v>5.9975590710000004</v>
      </c>
      <c r="F87">
        <v>4.1220676579999997</v>
      </c>
      <c r="H87">
        <v>5.4106085000000004</v>
      </c>
      <c r="I87">
        <v>5.5106272670000003</v>
      </c>
      <c r="M87">
        <v>5.5347002420000004</v>
      </c>
      <c r="N87">
        <v>4.0764540819999997</v>
      </c>
      <c r="P87">
        <v>5.3183672189999998</v>
      </c>
      <c r="T87">
        <v>2.3162995460000002</v>
      </c>
      <c r="U87">
        <v>6.957438518</v>
      </c>
      <c r="V87">
        <v>6.2548215899999997</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6.2120612680000002</v>
      </c>
      <c r="AP87">
        <v>8.7880090850000006</v>
      </c>
      <c r="AT87">
        <v>6.9083291170000001</v>
      </c>
      <c r="AV87">
        <v>5.3366682330000001</v>
      </c>
      <c r="AW87">
        <v>1.320678553</v>
      </c>
    </row>
    <row r="88" spans="1:49" x14ac:dyDescent="0.2">
      <c r="A88" t="s">
        <v>152</v>
      </c>
      <c r="B88" s="73">
        <v>25204</v>
      </c>
      <c r="D88">
        <v>8.1729382190000006</v>
      </c>
      <c r="E88">
        <v>5.2524329139999999</v>
      </c>
      <c r="F88">
        <v>4.9959539160000004</v>
      </c>
      <c r="H88">
        <v>6.4354755990000001</v>
      </c>
      <c r="I88">
        <v>7.524885244</v>
      </c>
      <c r="M88">
        <v>5.7675793840000003</v>
      </c>
      <c r="N88">
        <v>5.0715837910000001</v>
      </c>
      <c r="P88">
        <v>10.381103957000001</v>
      </c>
      <c r="T88">
        <v>4.8722736409999996</v>
      </c>
      <c r="U88">
        <v>7.01025557</v>
      </c>
      <c r="V88">
        <v>6.674441882</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6.7661636610000002</v>
      </c>
      <c r="AP88">
        <v>6.2576475409999999</v>
      </c>
      <c r="AT88">
        <v>3.906173779</v>
      </c>
      <c r="AV88">
        <v>4.95956536</v>
      </c>
      <c r="AW88">
        <v>5.1454364610000001</v>
      </c>
    </row>
    <row r="89" spans="1:49" x14ac:dyDescent="0.2">
      <c r="A89" t="s">
        <v>153</v>
      </c>
      <c r="B89" s="73">
        <v>25294</v>
      </c>
      <c r="D89">
        <v>8.3892163899999996</v>
      </c>
      <c r="E89">
        <v>4.9503151580000004</v>
      </c>
      <c r="F89">
        <v>5.851068068</v>
      </c>
      <c r="H89">
        <v>6.9411104129999996</v>
      </c>
      <c r="I89">
        <v>3.3101487540000001</v>
      </c>
      <c r="M89">
        <v>7.1748878920000001</v>
      </c>
      <c r="N89">
        <v>6.4464206879999999</v>
      </c>
      <c r="P89">
        <v>11.909356618</v>
      </c>
      <c r="T89">
        <v>8.8929964540000004</v>
      </c>
      <c r="U89">
        <v>4.1757645480000001</v>
      </c>
      <c r="V89">
        <v>5.9737340630000002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6.162342078</v>
      </c>
      <c r="AP89">
        <v>2.6898799929999999</v>
      </c>
      <c r="AT89">
        <v>5.2282109800000001</v>
      </c>
      <c r="AV89">
        <v>4.471598105</v>
      </c>
      <c r="AW89">
        <v>4.1904337639999998</v>
      </c>
    </row>
    <row r="90" spans="1:49" x14ac:dyDescent="0.2">
      <c r="A90" t="s">
        <v>154</v>
      </c>
      <c r="B90" s="73">
        <v>25385</v>
      </c>
      <c r="D90">
        <v>6.4388554039999999</v>
      </c>
      <c r="E90">
        <v>5.6863843449999996</v>
      </c>
      <c r="F90">
        <v>6.6749996500000002</v>
      </c>
      <c r="H90">
        <v>4.6248433430000002</v>
      </c>
      <c r="I90">
        <v>6.3566595970000002</v>
      </c>
      <c r="M90">
        <v>7.7128063300000003</v>
      </c>
      <c r="N90">
        <v>6.9366916759999997</v>
      </c>
      <c r="P90">
        <v>8.2470201529999994</v>
      </c>
      <c r="T90">
        <v>8.1627036139999998</v>
      </c>
      <c r="U90">
        <v>15.486192588</v>
      </c>
      <c r="V90">
        <v>6.1352684970000002</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6.1856356129999996</v>
      </c>
      <c r="AP90">
        <v>0.54938416599999995</v>
      </c>
      <c r="AT90">
        <v>2.3825843619999998</v>
      </c>
      <c r="AV90">
        <v>3.067141538</v>
      </c>
      <c r="AW90">
        <v>3.6430468239999998</v>
      </c>
    </row>
    <row r="91" spans="1:49" x14ac:dyDescent="0.2">
      <c r="A91" t="s">
        <v>155</v>
      </c>
      <c r="B91" s="73">
        <v>25477</v>
      </c>
      <c r="D91">
        <v>6.7911664439999999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5.0179555210000002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5.4668654859999997</v>
      </c>
      <c r="AP91">
        <v>1.4130804349999999</v>
      </c>
      <c r="AT91">
        <v>5.5458967469999996</v>
      </c>
      <c r="AV91">
        <v>2.9500970409999998</v>
      </c>
      <c r="AW91">
        <v>7.2189401010000003</v>
      </c>
    </row>
    <row r="92" spans="1:49" x14ac:dyDescent="0.2">
      <c r="A92" t="s">
        <v>156</v>
      </c>
      <c r="B92" s="73">
        <v>25569</v>
      </c>
      <c r="D92">
        <v>5.3255734209999996</v>
      </c>
      <c r="E92">
        <v>6.4321924050000003</v>
      </c>
      <c r="F92">
        <v>6.9114492309999997</v>
      </c>
      <c r="H92">
        <v>4.3733458870000002</v>
      </c>
      <c r="I92">
        <v>5.0076745970000003</v>
      </c>
      <c r="M92">
        <v>7.6923035469999999</v>
      </c>
      <c r="N92">
        <v>5.3716580059999997</v>
      </c>
      <c r="P92">
        <v>6.3001114239999998</v>
      </c>
      <c r="T92">
        <v>10.432124647</v>
      </c>
      <c r="U92">
        <v>4.4304365749999999</v>
      </c>
      <c r="V92">
        <v>4.0407359310000004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4.5682802359999997</v>
      </c>
      <c r="AP92">
        <v>3.82646095</v>
      </c>
      <c r="AT92">
        <v>6.8836553939999998</v>
      </c>
      <c r="AV92">
        <v>2.046645083</v>
      </c>
      <c r="AW92">
        <v>3.8090533190000002</v>
      </c>
    </row>
    <row r="93" spans="1:49" x14ac:dyDescent="0.2">
      <c r="A93" t="s">
        <v>157</v>
      </c>
      <c r="B93" s="73">
        <v>25659</v>
      </c>
      <c r="D93">
        <v>8.2674672910000009</v>
      </c>
      <c r="E93">
        <v>7.3956079729999997</v>
      </c>
      <c r="F93">
        <v>6.7809903489999996</v>
      </c>
      <c r="H93">
        <v>3.6913991749999999</v>
      </c>
      <c r="I93">
        <v>9.7301857060000003</v>
      </c>
      <c r="M93">
        <v>3.372586353</v>
      </c>
      <c r="N93">
        <v>3.4090197020000002</v>
      </c>
      <c r="P93">
        <v>4.5771558140000002</v>
      </c>
      <c r="T93">
        <v>6.1981758720000002</v>
      </c>
      <c r="U93">
        <v>6.2312983580000001</v>
      </c>
      <c r="V93">
        <v>3.442699636</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4.0827507020000002</v>
      </c>
      <c r="AP93">
        <v>7.4918797660000003</v>
      </c>
      <c r="AT93">
        <v>8.7819518510000005</v>
      </c>
      <c r="AV93">
        <v>0.32493460299999999</v>
      </c>
      <c r="AW93">
        <v>5.286849847</v>
      </c>
    </row>
    <row r="94" spans="1:49" x14ac:dyDescent="0.2">
      <c r="A94" t="s">
        <v>158</v>
      </c>
      <c r="B94" s="73">
        <v>25750</v>
      </c>
      <c r="D94">
        <v>8.2993913970000008</v>
      </c>
      <c r="E94">
        <v>8.1320386360000008</v>
      </c>
      <c r="F94">
        <v>6.6687506189999999</v>
      </c>
      <c r="H94">
        <v>3.1786803950000002</v>
      </c>
      <c r="I94">
        <v>7.2580858050000003</v>
      </c>
      <c r="M94">
        <v>6.1208679159999999</v>
      </c>
      <c r="N94">
        <v>2.0965405760000002</v>
      </c>
      <c r="P94">
        <v>5.0983771759999996</v>
      </c>
      <c r="T94">
        <v>8.8488637679999993</v>
      </c>
      <c r="U94">
        <v>4.9963780680000003</v>
      </c>
      <c r="V94">
        <v>3.4360412669999998</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4.1022294539999997</v>
      </c>
      <c r="AP94">
        <v>10.913052805</v>
      </c>
      <c r="AT94">
        <v>6.7972988299999999</v>
      </c>
      <c r="AV94">
        <v>0.16283545099999999</v>
      </c>
      <c r="AW94">
        <v>7.5259985330000001</v>
      </c>
    </row>
    <row r="95" spans="1:49" x14ac:dyDescent="0.2">
      <c r="A95" t="s">
        <v>159</v>
      </c>
      <c r="B95" s="73">
        <v>25842</v>
      </c>
      <c r="D95">
        <v>6.3074816340000002</v>
      </c>
      <c r="E95">
        <v>7.6354461340000004</v>
      </c>
      <c r="F95">
        <v>6.1482731639999999</v>
      </c>
      <c r="H95">
        <v>3.1366283990000001</v>
      </c>
      <c r="I95">
        <v>4.4141130239999997</v>
      </c>
      <c r="M95">
        <v>5.8295372700000003</v>
      </c>
      <c r="N95">
        <v>1.387056399</v>
      </c>
      <c r="P95">
        <v>3.7010235869999999</v>
      </c>
      <c r="T95">
        <v>7.8910597810000001</v>
      </c>
      <c r="U95">
        <v>5.44556343</v>
      </c>
      <c r="V95">
        <v>3.799010827</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4.1539164470000003</v>
      </c>
      <c r="AP95">
        <v>9.4969466929999999</v>
      </c>
      <c r="AT95">
        <v>5.8530655620000003</v>
      </c>
      <c r="AV95">
        <v>0.42258147600000001</v>
      </c>
      <c r="AW95">
        <v>1.642860733</v>
      </c>
    </row>
    <row r="96" spans="1:49" x14ac:dyDescent="0.2">
      <c r="A96" t="s">
        <v>160</v>
      </c>
      <c r="B96" s="73">
        <v>25934</v>
      </c>
      <c r="D96">
        <v>4.4078679630000002</v>
      </c>
      <c r="E96">
        <v>7.8744988830000002</v>
      </c>
      <c r="F96">
        <v>5.2132185719999997</v>
      </c>
      <c r="H96">
        <v>1.86252244</v>
      </c>
      <c r="I96">
        <v>5.0716411480000003</v>
      </c>
      <c r="M96">
        <v>5.1112656220000003</v>
      </c>
      <c r="N96">
        <v>1.252016091</v>
      </c>
      <c r="P96">
        <v>3.3621367289999999</v>
      </c>
      <c r="T96">
        <v>7.3862729089999997</v>
      </c>
      <c r="U96">
        <v>6.2615214750000003</v>
      </c>
      <c r="V96">
        <v>3.0878485499999999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3.5032693269999999</v>
      </c>
      <c r="AP96">
        <v>8.5739412640000001</v>
      </c>
      <c r="AT96">
        <v>5.583959611</v>
      </c>
      <c r="AV96">
        <v>-0.16670359100000001</v>
      </c>
      <c r="AW96">
        <v>6.658863094</v>
      </c>
    </row>
    <row r="97" spans="1:49" x14ac:dyDescent="0.2">
      <c r="A97" t="s">
        <v>161</v>
      </c>
      <c r="B97" s="73">
        <v>26024</v>
      </c>
      <c r="D97">
        <v>3.5190615840000001</v>
      </c>
      <c r="E97">
        <v>6.0571129639999999</v>
      </c>
      <c r="F97">
        <v>4.3193173250000001</v>
      </c>
      <c r="H97">
        <v>0.62791107999999995</v>
      </c>
      <c r="I97">
        <v>4.1634773100000002</v>
      </c>
      <c r="M97">
        <v>4.763644266</v>
      </c>
      <c r="N97">
        <v>1.679226286</v>
      </c>
      <c r="P97">
        <v>2.257438171</v>
      </c>
      <c r="T97">
        <v>1.5108712820000001</v>
      </c>
      <c r="U97">
        <v>4.4031521790000001</v>
      </c>
      <c r="V97">
        <v>3.324304777</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3.566099023</v>
      </c>
      <c r="AP97">
        <v>5.47193606</v>
      </c>
      <c r="AT97">
        <v>3.05815547</v>
      </c>
      <c r="AV97">
        <v>2.6972368489999998</v>
      </c>
      <c r="AW97">
        <v>5.9578837580000004</v>
      </c>
    </row>
    <row r="98" spans="1:49" x14ac:dyDescent="0.2">
      <c r="A98" t="s">
        <v>162</v>
      </c>
      <c r="B98" s="73">
        <v>26115</v>
      </c>
      <c r="D98">
        <v>1.9169301320000001</v>
      </c>
      <c r="E98">
        <v>5.6061854809999998</v>
      </c>
      <c r="F98">
        <v>3.4563476299999998</v>
      </c>
      <c r="H98">
        <v>3.5509556670000002</v>
      </c>
      <c r="I98">
        <v>4.5793483549999996</v>
      </c>
      <c r="M98">
        <v>2.872243992</v>
      </c>
      <c r="N98">
        <v>2.2447775079999999</v>
      </c>
      <c r="P98">
        <v>4.0867079190000002</v>
      </c>
      <c r="T98">
        <v>4.0938675340000001</v>
      </c>
      <c r="U98">
        <v>4.9804699140000004</v>
      </c>
      <c r="V98">
        <v>3.422889895</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3.5884452480000002</v>
      </c>
      <c r="AP98">
        <v>6.4667199699999998</v>
      </c>
      <c r="AT98">
        <v>1.0680157699999999</v>
      </c>
      <c r="AV98">
        <v>3.106613002</v>
      </c>
      <c r="AW98">
        <v>2.9924324879999999</v>
      </c>
    </row>
    <row r="99" spans="1:49" x14ac:dyDescent="0.2">
      <c r="A99" t="s">
        <v>163</v>
      </c>
      <c r="B99" s="73">
        <v>26207</v>
      </c>
      <c r="D99">
        <v>5.3379172290000003</v>
      </c>
      <c r="E99">
        <v>5.2624996849999999</v>
      </c>
      <c r="F99">
        <v>3.317883862</v>
      </c>
      <c r="H99">
        <v>5.3423770020000001</v>
      </c>
      <c r="I99">
        <v>3.7755455489999998</v>
      </c>
      <c r="M99">
        <v>2.7330862069999999</v>
      </c>
      <c r="N99">
        <v>2.9457561600000002</v>
      </c>
      <c r="P99">
        <v>5.4627988079999996</v>
      </c>
      <c r="T99">
        <v>2.1588058289999998</v>
      </c>
      <c r="U99">
        <v>5.242837937</v>
      </c>
      <c r="V99">
        <v>3.2666618500000002</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3.569726261</v>
      </c>
      <c r="AP99">
        <v>6.3978232730000002</v>
      </c>
      <c r="AT99">
        <v>-5.4475929999999997E-3</v>
      </c>
      <c r="AV99">
        <v>3.0058948110000001</v>
      </c>
      <c r="AW99">
        <v>5.5526369899999999</v>
      </c>
    </row>
    <row r="100" spans="1:49" x14ac:dyDescent="0.2">
      <c r="A100" t="s">
        <v>164</v>
      </c>
      <c r="B100" s="73">
        <v>26299</v>
      </c>
      <c r="D100">
        <v>4.5006886159999997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3.9008031440000002</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4.044230475</v>
      </c>
      <c r="AP100">
        <v>8.1217201459999995</v>
      </c>
      <c r="AT100">
        <v>-1.4417705220000001</v>
      </c>
      <c r="AV100">
        <v>4.3672048009999997</v>
      </c>
      <c r="AW100">
        <v>2.6978854330000002</v>
      </c>
    </row>
    <row r="101" spans="1:49" x14ac:dyDescent="0.2">
      <c r="A101" t="s">
        <v>165</v>
      </c>
      <c r="B101" s="73">
        <v>26390</v>
      </c>
      <c r="D101">
        <v>1.9984081199999999</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4.4324830850000003</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4.7059022099999996</v>
      </c>
      <c r="AP101">
        <v>8.0893149080000004</v>
      </c>
      <c r="AT101">
        <v>0.115212672</v>
      </c>
      <c r="AV101">
        <v>3.4760721280000002</v>
      </c>
      <c r="AW101">
        <v>0.60241049999999996</v>
      </c>
    </row>
    <row r="102" spans="1:49" x14ac:dyDescent="0.2">
      <c r="A102" t="s">
        <v>166</v>
      </c>
      <c r="B102" s="73">
        <v>26481</v>
      </c>
      <c r="D102">
        <v>3.8358942890000001</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5.115585651</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5.3052730820000003</v>
      </c>
      <c r="AP102">
        <v>5.9866225469999996</v>
      </c>
      <c r="AT102">
        <v>1.499043691</v>
      </c>
      <c r="AV102">
        <v>5.2551864569999998</v>
      </c>
      <c r="AW102">
        <v>2.4904153089999999</v>
      </c>
    </row>
    <row r="103" spans="1:49" x14ac:dyDescent="0.2">
      <c r="A103" t="s">
        <v>167</v>
      </c>
      <c r="B103" s="73">
        <v>26573</v>
      </c>
      <c r="D103">
        <v>0.165251016</v>
      </c>
      <c r="E103">
        <v>4.2334192000000002</v>
      </c>
      <c r="F103">
        <v>5.54800966</v>
      </c>
      <c r="H103">
        <v>3.8926032080000001</v>
      </c>
      <c r="I103">
        <v>2.821710999</v>
      </c>
      <c r="M103">
        <v>4.0242537379999996</v>
      </c>
      <c r="N103">
        <v>5.5685538890000004</v>
      </c>
      <c r="P103">
        <v>8.4495594179999998</v>
      </c>
      <c r="T103">
        <v>6.460207456</v>
      </c>
      <c r="U103">
        <v>3.4811269810000001</v>
      </c>
      <c r="V103">
        <v>5.0802432460000002</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5.2450396670000003</v>
      </c>
      <c r="AP103">
        <v>10.538172441</v>
      </c>
      <c r="AT103">
        <v>2.5171712890000002</v>
      </c>
      <c r="AV103">
        <v>5.3819387049999996</v>
      </c>
      <c r="AW103">
        <v>1.234980502</v>
      </c>
    </row>
    <row r="104" spans="1:49" x14ac:dyDescent="0.2">
      <c r="A104" t="s">
        <v>168</v>
      </c>
      <c r="B104" s="73">
        <v>26665</v>
      </c>
      <c r="D104">
        <v>1.5533175850000001</v>
      </c>
      <c r="E104">
        <v>9.3341664879999993</v>
      </c>
      <c r="F104">
        <v>5.7965316160000002</v>
      </c>
      <c r="H104">
        <v>5.1910915229999999</v>
      </c>
      <c r="I104">
        <v>3.858307849</v>
      </c>
      <c r="M104">
        <v>5.7296882589999996</v>
      </c>
      <c r="N104">
        <v>5.4526261299999996</v>
      </c>
      <c r="P104">
        <v>8.4149720230000007</v>
      </c>
      <c r="T104">
        <v>9.32866441</v>
      </c>
      <c r="U104">
        <v>4.3054886259999998</v>
      </c>
      <c r="V104">
        <v>6.4317988499999998</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6.5317974400000001</v>
      </c>
      <c r="AP104">
        <v>7.4592348309999998</v>
      </c>
      <c r="AT104">
        <v>5.2971229610000004</v>
      </c>
      <c r="AV104">
        <v>6.8944758869999996</v>
      </c>
      <c r="AW104">
        <v>2.2926101160000001</v>
      </c>
    </row>
    <row r="105" spans="1:49" x14ac:dyDescent="0.2">
      <c r="A105" t="s">
        <v>169</v>
      </c>
      <c r="B105" s="73">
        <v>26755</v>
      </c>
      <c r="D105">
        <v>5.4540267499999997</v>
      </c>
      <c r="E105">
        <v>4.3848718250000003</v>
      </c>
      <c r="F105">
        <v>6.0362919909999997</v>
      </c>
      <c r="H105">
        <v>8.3164406999999994</v>
      </c>
      <c r="I105">
        <v>3.426767677</v>
      </c>
      <c r="M105">
        <v>7.0833735039999999</v>
      </c>
      <c r="N105">
        <v>4.9998126479999998</v>
      </c>
      <c r="P105">
        <v>8.6476950769999998</v>
      </c>
      <c r="T105">
        <v>7.938035706</v>
      </c>
      <c r="U105">
        <v>5.0081555660000001</v>
      </c>
      <c r="V105">
        <v>7.5221420050000001</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7.3639092750000001</v>
      </c>
      <c r="AP105">
        <v>11.813054079</v>
      </c>
      <c r="AT105">
        <v>5.4977662819999997</v>
      </c>
      <c r="AV105">
        <v>7.5618882919999999</v>
      </c>
      <c r="AW105">
        <v>4.2262898299999998</v>
      </c>
    </row>
    <row r="106" spans="1:49" x14ac:dyDescent="0.2">
      <c r="A106" t="s">
        <v>170</v>
      </c>
      <c r="B106" s="73">
        <v>26846</v>
      </c>
      <c r="D106">
        <v>3.3412672360000002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6.7090657269999996</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6.6281046950000002</v>
      </c>
      <c r="AP106">
        <v>12.001911494</v>
      </c>
      <c r="AT106">
        <v>5.3359921469999998</v>
      </c>
      <c r="AV106">
        <v>6.3196600160000003</v>
      </c>
      <c r="AW106">
        <v>2.6884494270000001</v>
      </c>
    </row>
    <row r="107" spans="1:49" x14ac:dyDescent="0.2">
      <c r="A107" t="s">
        <v>171</v>
      </c>
      <c r="B107" s="73">
        <v>26938</v>
      </c>
      <c r="D107">
        <v>4.9147061729999999</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5.5112982209999997</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5.6625617459999997</v>
      </c>
      <c r="AP107">
        <v>9.9568537710000005</v>
      </c>
      <c r="AT107">
        <v>3.218574002</v>
      </c>
      <c r="AV107">
        <v>4.7710873080000002</v>
      </c>
      <c r="AW107">
        <v>5.5931005550000004</v>
      </c>
    </row>
    <row r="108" spans="1:49" x14ac:dyDescent="0.2">
      <c r="A108" t="s">
        <v>172</v>
      </c>
      <c r="B108" s="73">
        <v>27030</v>
      </c>
      <c r="D108">
        <v>6.4063533000000001</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4.7451338850000004</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5.0156935450000004</v>
      </c>
      <c r="AP108">
        <v>11.108521497</v>
      </c>
      <c r="AT108">
        <v>2.874429106</v>
      </c>
      <c r="AV108">
        <v>4.0237563989999998</v>
      </c>
      <c r="AW108">
        <v>5.7541460530000004</v>
      </c>
    </row>
    <row r="109" spans="1:49" x14ac:dyDescent="0.2">
      <c r="A109" t="s">
        <v>173</v>
      </c>
      <c r="B109" s="73">
        <v>27120</v>
      </c>
      <c r="D109">
        <v>3.746081255</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1.2974645709999999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2.168205741</v>
      </c>
      <c r="AP109">
        <v>7.4233125979999999</v>
      </c>
      <c r="AT109">
        <v>1.6510817840000001</v>
      </c>
      <c r="AV109">
        <v>0.63877387699999999</v>
      </c>
      <c r="AW109">
        <v>6.358559004</v>
      </c>
    </row>
    <row r="110" spans="1:49" x14ac:dyDescent="0.2">
      <c r="A110" t="s">
        <v>174</v>
      </c>
      <c r="B110" s="73">
        <v>27211</v>
      </c>
      <c r="D110">
        <v>1.4494365069999999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0.70142025399999997</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1.524155352</v>
      </c>
      <c r="AP110">
        <v>3.0596339650000002</v>
      </c>
      <c r="AT110">
        <v>3.3442566930000002</v>
      </c>
      <c r="AV110">
        <v>-0.208418196</v>
      </c>
      <c r="AW110">
        <v>8.3020411490000008</v>
      </c>
    </row>
    <row r="111" spans="1:49" x14ac:dyDescent="0.2">
      <c r="A111" t="s">
        <v>175</v>
      </c>
      <c r="B111" s="73">
        <v>27303</v>
      </c>
      <c r="D111">
        <v>1.633827623</v>
      </c>
      <c r="E111">
        <v>4.2189515479999997</v>
      </c>
      <c r="F111">
        <v>4.0998002639999997</v>
      </c>
      <c r="H111">
        <v>3.6558943359999998</v>
      </c>
      <c r="I111">
        <v>1.0508729020000001</v>
      </c>
      <c r="M111">
        <v>1.018885974</v>
      </c>
      <c r="N111">
        <v>-1.513912865</v>
      </c>
      <c r="P111">
        <v>5.4165874069999997</v>
      </c>
      <c r="T111">
        <v>2.8543461809999999</v>
      </c>
      <c r="U111">
        <v>3.731282303</v>
      </c>
      <c r="V111">
        <v>0.51732828399999997</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1.1754442789999999</v>
      </c>
      <c r="AP111">
        <v>-1.58756096</v>
      </c>
      <c r="AT111">
        <v>3.9873338789999999</v>
      </c>
      <c r="AV111">
        <v>-0.62900049300000005</v>
      </c>
      <c r="AW111">
        <v>6.4499670370000004</v>
      </c>
    </row>
    <row r="112" spans="1:49" x14ac:dyDescent="0.2">
      <c r="A112" t="s">
        <v>176</v>
      </c>
      <c r="B112" s="73">
        <v>27395</v>
      </c>
      <c r="D112">
        <v>-0.74174644099999998</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-1.2948202660000001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-0.57095608200000003</v>
      </c>
      <c r="AP112">
        <v>-3.87999106</v>
      </c>
      <c r="AT112">
        <v>3.9827251929999998</v>
      </c>
      <c r="AV112">
        <v>-1.9454493939999999</v>
      </c>
      <c r="AW112">
        <v>3.4524541609999999</v>
      </c>
    </row>
    <row r="113" spans="1:49" x14ac:dyDescent="0.2">
      <c r="A113" t="s">
        <v>177</v>
      </c>
      <c r="B113" s="73">
        <v>27485</v>
      </c>
      <c r="D113">
        <v>-0.36890463699999998</v>
      </c>
      <c r="E113">
        <v>-1.044334184</v>
      </c>
      <c r="F113">
        <v>-0.58180467899999999</v>
      </c>
      <c r="H113">
        <v>-9.4838176999999996E-2</v>
      </c>
      <c r="I113">
        <v>-7.6334982760000001</v>
      </c>
      <c r="M113">
        <v>-1.907951274</v>
      </c>
      <c r="N113">
        <v>-2.3941894349999999</v>
      </c>
      <c r="P113">
        <v>1.533483615</v>
      </c>
      <c r="T113">
        <v>3.199966447</v>
      </c>
      <c r="U113">
        <v>-0.53277569499999999</v>
      </c>
      <c r="V113">
        <v>-1.223302516</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-0.64705216600000004</v>
      </c>
      <c r="AP113">
        <v>-6.3031667379999998</v>
      </c>
      <c r="AT113">
        <v>5.2066730550000004</v>
      </c>
      <c r="AV113">
        <v>-2.2990475950000002</v>
      </c>
      <c r="AW113">
        <v>1.1481333979999999</v>
      </c>
    </row>
    <row r="114" spans="1:49" x14ac:dyDescent="0.2">
      <c r="A114" t="s">
        <v>178</v>
      </c>
      <c r="B114" s="73">
        <v>27576</v>
      </c>
      <c r="D114">
        <v>4.9022984909999998</v>
      </c>
      <c r="E114">
        <v>-1.6493434499999999</v>
      </c>
      <c r="F114">
        <v>-2.8146526650000001</v>
      </c>
      <c r="H114">
        <v>0.108099839</v>
      </c>
      <c r="I114">
        <v>-8.8987608139999992</v>
      </c>
      <c r="M114">
        <v>-2.3251792359999999</v>
      </c>
      <c r="N114">
        <v>-1.822995884</v>
      </c>
      <c r="P114">
        <v>0.18323616300000001</v>
      </c>
      <c r="T114">
        <v>2.151917847</v>
      </c>
      <c r="U114">
        <v>-0.778119228</v>
      </c>
      <c r="V114">
        <v>-1.1921043280000001</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-0.57743738</v>
      </c>
      <c r="AP114">
        <v>-5.7853006640000002</v>
      </c>
      <c r="AT114">
        <v>2.2511498900000002</v>
      </c>
      <c r="AV114">
        <v>-1.8342624000000001</v>
      </c>
      <c r="AW114">
        <v>1.496718934</v>
      </c>
    </row>
    <row r="115" spans="1:49" x14ac:dyDescent="0.2">
      <c r="A115" t="s">
        <v>179</v>
      </c>
      <c r="B115" s="73">
        <v>27668</v>
      </c>
      <c r="D115">
        <v>2.5304802569999998</v>
      </c>
      <c r="E115">
        <v>-1.1656475719999999</v>
      </c>
      <c r="F115">
        <v>-2.4828131089999999</v>
      </c>
      <c r="H115">
        <v>2.077805015</v>
      </c>
      <c r="I115">
        <v>-7.6965470969999998</v>
      </c>
      <c r="M115">
        <v>-1.262668305</v>
      </c>
      <c r="N115">
        <v>-0.36875089100000003</v>
      </c>
      <c r="P115">
        <v>-8.4209259999999994E-2</v>
      </c>
      <c r="T115">
        <v>-1.8385690999999999E-2</v>
      </c>
      <c r="U115">
        <v>-1.3247337239999999</v>
      </c>
      <c r="V115">
        <v>0.120279598</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0.49226277499999999</v>
      </c>
      <c r="AP115">
        <v>-4.0954954910000003</v>
      </c>
      <c r="AT115">
        <v>1.7499713059999999</v>
      </c>
      <c r="AV115">
        <v>0.79868486900000002</v>
      </c>
      <c r="AW115">
        <v>1.1636219919999999</v>
      </c>
    </row>
    <row r="116" spans="1:49" x14ac:dyDescent="0.2">
      <c r="A116" t="s">
        <v>180</v>
      </c>
      <c r="B116" s="73">
        <v>27760</v>
      </c>
      <c r="D116">
        <v>0.88330074700000005</v>
      </c>
      <c r="E116">
        <v>2.4369479360000001</v>
      </c>
      <c r="F116">
        <v>0.598638212</v>
      </c>
      <c r="H116">
        <v>3.7497569149999999</v>
      </c>
      <c r="I116">
        <v>-4.9599920480000002</v>
      </c>
      <c r="M116">
        <v>1.965095402</v>
      </c>
      <c r="N116">
        <v>1.9869563260000001</v>
      </c>
      <c r="P116">
        <v>0.55150649900000004</v>
      </c>
      <c r="T116">
        <v>-1.0110395679999999</v>
      </c>
      <c r="U116">
        <v>1.541171217</v>
      </c>
      <c r="V116">
        <v>2.3266353959999999</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2.496785719</v>
      </c>
      <c r="AP116">
        <v>-1.082823198</v>
      </c>
      <c r="AT116">
        <v>1.665345573</v>
      </c>
      <c r="AV116">
        <v>2.554017472</v>
      </c>
      <c r="AW116">
        <v>2.9696268510000001</v>
      </c>
    </row>
    <row r="117" spans="1:49" x14ac:dyDescent="0.2">
      <c r="A117" t="s">
        <v>181</v>
      </c>
      <c r="B117" s="73">
        <v>27851</v>
      </c>
      <c r="D117">
        <v>4.9243678070000003</v>
      </c>
      <c r="E117">
        <v>1.922441045</v>
      </c>
      <c r="F117">
        <v>3.7227357460000001</v>
      </c>
      <c r="H117">
        <v>6.2150226079999999</v>
      </c>
      <c r="I117">
        <v>-2.980754583</v>
      </c>
      <c r="M117">
        <v>3.478330696</v>
      </c>
      <c r="N117">
        <v>5.2669248250000003</v>
      </c>
      <c r="P117">
        <v>2.0631012969999998</v>
      </c>
      <c r="T117">
        <v>-2.209725062</v>
      </c>
      <c r="U117">
        <v>3.4971578170000002</v>
      </c>
      <c r="V117">
        <v>4.8711023899999999</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4.718652112</v>
      </c>
      <c r="AP117">
        <v>3.3496270859999999</v>
      </c>
      <c r="AT117">
        <v>-0.66309279300000001</v>
      </c>
      <c r="AV117">
        <v>6.1523893620000001</v>
      </c>
      <c r="AW117">
        <v>4.7424597909999999</v>
      </c>
    </row>
    <row r="118" spans="1:49" x14ac:dyDescent="0.2">
      <c r="A118" t="s">
        <v>182</v>
      </c>
      <c r="B118" s="73">
        <v>27942</v>
      </c>
      <c r="D118">
        <v>2.0291347630000001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5.292103698</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5.229486133</v>
      </c>
      <c r="AP118">
        <v>7.5253203900000001</v>
      </c>
      <c r="AT118">
        <v>2.2727820840000001</v>
      </c>
      <c r="AV118">
        <v>6.1725884579999999</v>
      </c>
      <c r="AW118">
        <v>0.91316457799999995</v>
      </c>
    </row>
    <row r="119" spans="1:49" x14ac:dyDescent="0.2">
      <c r="A119" t="s">
        <v>183</v>
      </c>
      <c r="B119" s="73">
        <v>28034</v>
      </c>
      <c r="D119">
        <v>3.9936620519999999</v>
      </c>
      <c r="E119">
        <v>6.271508978</v>
      </c>
      <c r="F119">
        <v>7.2799970820000004</v>
      </c>
      <c r="H119">
        <v>5.6147783990000004</v>
      </c>
      <c r="I119">
        <v>1.3602969810000001</v>
      </c>
      <c r="M119">
        <v>4.4407161579999999</v>
      </c>
      <c r="N119">
        <v>7.3680911699999996</v>
      </c>
      <c r="P119">
        <v>3.8753856569999998</v>
      </c>
      <c r="T119">
        <v>1.045094982</v>
      </c>
      <c r="U119">
        <v>4.5561140140000003</v>
      </c>
      <c r="V119">
        <v>4.8524727199999997</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5.0094167780000003</v>
      </c>
      <c r="AP119">
        <v>7.9106166929999997</v>
      </c>
      <c r="AT119">
        <v>0.80023707899999996</v>
      </c>
      <c r="AV119">
        <v>4.9586369960000001</v>
      </c>
      <c r="AW119">
        <v>2.4935091680000001</v>
      </c>
    </row>
    <row r="120" spans="1:49" x14ac:dyDescent="0.2">
      <c r="A120" t="s">
        <v>184</v>
      </c>
      <c r="B120" s="73">
        <v>28126</v>
      </c>
      <c r="D120">
        <v>6.508150509</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4.4919869510000003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4.5738548100000003</v>
      </c>
      <c r="AP120">
        <v>8.8209556510000002</v>
      </c>
      <c r="AT120">
        <v>-0.93126427700000003</v>
      </c>
      <c r="AV120">
        <v>4.3148066380000003</v>
      </c>
      <c r="AW120">
        <v>0.91245953000000002</v>
      </c>
    </row>
    <row r="121" spans="1:49" x14ac:dyDescent="0.2">
      <c r="A121" t="s">
        <v>185</v>
      </c>
      <c r="B121" s="73">
        <v>28216</v>
      </c>
      <c r="D121">
        <v>1.447520946</v>
      </c>
      <c r="E121">
        <v>5.7995771390000002</v>
      </c>
      <c r="F121">
        <v>2.3375426780000002</v>
      </c>
      <c r="H121">
        <v>4.2925459659999996</v>
      </c>
      <c r="I121">
        <v>3.263372763</v>
      </c>
      <c r="M121">
        <v>4.2784128739999998</v>
      </c>
      <c r="N121">
        <v>2.3777219660000002</v>
      </c>
      <c r="P121">
        <v>3.7349985939999999</v>
      </c>
      <c r="T121">
        <v>1.6206796400000001</v>
      </c>
      <c r="U121">
        <v>4.075391261</v>
      </c>
      <c r="V121">
        <v>3.8963624179999998</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3.8248906749999998</v>
      </c>
      <c r="AP121">
        <v>7.2456827690000001</v>
      </c>
      <c r="AT121">
        <v>-1.30067347</v>
      </c>
      <c r="AV121">
        <v>3.2259646420000001</v>
      </c>
      <c r="AW121">
        <v>-0.614192603</v>
      </c>
    </row>
    <row r="122" spans="1:49" x14ac:dyDescent="0.2">
      <c r="A122" t="s">
        <v>186</v>
      </c>
      <c r="B122" s="73">
        <v>28307</v>
      </c>
      <c r="D122">
        <v>2.5666157100000002</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3.9511974109999999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3.668047386</v>
      </c>
      <c r="AP122">
        <v>5.5725124580000003</v>
      </c>
      <c r="AT122">
        <v>-2.0340981440000001</v>
      </c>
      <c r="AV122">
        <v>4.4663240980000003</v>
      </c>
      <c r="AW122">
        <v>1.506490138</v>
      </c>
    </row>
    <row r="123" spans="1:49" x14ac:dyDescent="0.2">
      <c r="A123" t="s">
        <v>187</v>
      </c>
      <c r="B123" s="73">
        <v>28399</v>
      </c>
      <c r="D123">
        <v>1.3081521899999999</v>
      </c>
      <c r="E123">
        <v>3.323848768</v>
      </c>
      <c r="F123">
        <v>-0.52053081099999998</v>
      </c>
      <c r="H123">
        <v>2.7175646160000002</v>
      </c>
      <c r="I123">
        <v>1.844026124</v>
      </c>
      <c r="M123">
        <v>3.2738524519999999</v>
      </c>
      <c r="N123">
        <v>2.5776509089999999</v>
      </c>
      <c r="P123">
        <v>2.365980875</v>
      </c>
      <c r="T123">
        <v>0.46285714300000003</v>
      </c>
      <c r="U123">
        <v>3.2814657390000002</v>
      </c>
      <c r="V123">
        <v>4.0559478579999997</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3.7044469269999998</v>
      </c>
      <c r="AP123">
        <v>6.1403183319999997</v>
      </c>
      <c r="AT123">
        <v>-1.359968742</v>
      </c>
      <c r="AV123">
        <v>5.770897368</v>
      </c>
      <c r="AW123">
        <v>-1.235059012</v>
      </c>
    </row>
    <row r="124" spans="1:49" x14ac:dyDescent="0.2">
      <c r="A124" t="s">
        <v>188</v>
      </c>
      <c r="B124" s="73">
        <v>28491</v>
      </c>
      <c r="D124">
        <v>0.115794016</v>
      </c>
      <c r="E124">
        <v>4.285985599</v>
      </c>
      <c r="F124">
        <v>0.69545750500000003</v>
      </c>
      <c r="H124">
        <v>4.127065204</v>
      </c>
      <c r="I124">
        <v>0.653462337</v>
      </c>
      <c r="M124">
        <v>3.1410810539999998</v>
      </c>
      <c r="N124">
        <v>1.0573249149999999</v>
      </c>
      <c r="P124">
        <v>2.2645578720000001</v>
      </c>
      <c r="T124">
        <v>-0.600702709</v>
      </c>
      <c r="U124">
        <v>2.2434185310000001</v>
      </c>
      <c r="V124">
        <v>3.7728368579999998</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3.5667248969999998</v>
      </c>
      <c r="AP124">
        <v>3.56440774</v>
      </c>
      <c r="AT124">
        <v>-1.487679529</v>
      </c>
      <c r="AV124">
        <v>5.0120285630000003</v>
      </c>
      <c r="AW124">
        <v>2.9635579999999998E-3</v>
      </c>
    </row>
    <row r="125" spans="1:49" x14ac:dyDescent="0.2">
      <c r="A125" t="s">
        <v>189</v>
      </c>
      <c r="B125" s="73">
        <v>28581</v>
      </c>
      <c r="D125">
        <v>1.3747966009999999</v>
      </c>
      <c r="E125">
        <v>-0.46307324700000002</v>
      </c>
      <c r="F125">
        <v>1.9120884279999999</v>
      </c>
      <c r="H125">
        <v>3.5303749619999998</v>
      </c>
      <c r="I125">
        <v>0.699460199</v>
      </c>
      <c r="M125">
        <v>2.6892331980000002</v>
      </c>
      <c r="N125">
        <v>0.331433003</v>
      </c>
      <c r="P125">
        <v>2.094121339</v>
      </c>
      <c r="T125">
        <v>1.349033954</v>
      </c>
      <c r="U125">
        <v>2.5303020890000001</v>
      </c>
      <c r="V125">
        <v>3.489928812</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3.4608767490000001</v>
      </c>
      <c r="AP125">
        <v>3.1122015350000001</v>
      </c>
      <c r="AT125">
        <v>2.1881546520000001</v>
      </c>
      <c r="AV125">
        <v>4.1170623419999997</v>
      </c>
      <c r="AW125">
        <v>1.8698211890000001</v>
      </c>
    </row>
    <row r="126" spans="1:49" x14ac:dyDescent="0.2">
      <c r="A126" t="s">
        <v>190</v>
      </c>
      <c r="B126" s="73">
        <v>28672</v>
      </c>
      <c r="D126">
        <v>0.78088228999999998</v>
      </c>
      <c r="E126">
        <v>-1.3271791999999999E-2</v>
      </c>
      <c r="F126">
        <v>3.121929803</v>
      </c>
      <c r="H126">
        <v>3.6835576159999999</v>
      </c>
      <c r="I126">
        <v>0.93266087200000003</v>
      </c>
      <c r="M126">
        <v>2.5150666820000001</v>
      </c>
      <c r="N126">
        <v>2.5885641860000002</v>
      </c>
      <c r="P126">
        <v>1.838992317</v>
      </c>
      <c r="T126">
        <v>2.1862301839999998</v>
      </c>
      <c r="U126">
        <v>3.7837411310000002</v>
      </c>
      <c r="V126">
        <v>4.8259820319999998</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4.5957734080000003</v>
      </c>
      <c r="AP126">
        <v>2.6913831369999999</v>
      </c>
      <c r="AT126">
        <v>2.7417413659999998</v>
      </c>
      <c r="AV126">
        <v>6.0781477989999999</v>
      </c>
      <c r="AW126">
        <v>3.7390286800000001</v>
      </c>
    </row>
    <row r="127" spans="1:49" x14ac:dyDescent="0.2">
      <c r="A127" t="s">
        <v>191</v>
      </c>
      <c r="B127" s="73">
        <v>28764</v>
      </c>
      <c r="D127">
        <v>2.7515379819999999</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4.8898312160000001</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4.5762333890000004</v>
      </c>
      <c r="AP127">
        <v>2.2162262930000001</v>
      </c>
      <c r="AT127">
        <v>0.47918653700000002</v>
      </c>
      <c r="AV127">
        <v>5.2457734220000001</v>
      </c>
      <c r="AW127">
        <v>3.020486778</v>
      </c>
    </row>
    <row r="128" spans="1:49" x14ac:dyDescent="0.2">
      <c r="A128" t="s">
        <v>192</v>
      </c>
      <c r="B128" s="73">
        <v>28856</v>
      </c>
      <c r="D128">
        <v>3.9345981710000002</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5.4582488659999999</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5.0945450289999998</v>
      </c>
      <c r="AP128">
        <v>3.2453616689999998</v>
      </c>
      <c r="AT128">
        <v>2.7238524480000001</v>
      </c>
      <c r="AV128">
        <v>6.6580958829999997</v>
      </c>
      <c r="AW128">
        <v>3.4270181169999998</v>
      </c>
    </row>
    <row r="129" spans="1:49" x14ac:dyDescent="0.2">
      <c r="A129" t="s">
        <v>193</v>
      </c>
      <c r="B129" s="73">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5.1386051349999997</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4.864559828</v>
      </c>
      <c r="AP129">
        <v>3.8437365350000001</v>
      </c>
      <c r="AT129">
        <v>3.170025801</v>
      </c>
      <c r="AV129">
        <v>6.5099130890000003</v>
      </c>
      <c r="AW129">
        <v>3.5349033799999998</v>
      </c>
    </row>
    <row r="130" spans="1:49" x14ac:dyDescent="0.2">
      <c r="A130" t="s">
        <v>194</v>
      </c>
      <c r="B130" s="73">
        <v>29037</v>
      </c>
      <c r="D130">
        <v>3.4807282709999998</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4.0838038589999996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4.0955909320000004</v>
      </c>
      <c r="AP130">
        <v>5.5485959200000003</v>
      </c>
      <c r="AT130">
        <v>3.2184847329999999</v>
      </c>
      <c r="AV130">
        <v>2.6568550630000001</v>
      </c>
      <c r="AW130">
        <v>2.2279847450000001</v>
      </c>
    </row>
    <row r="131" spans="1:49" x14ac:dyDescent="0.2">
      <c r="A131" t="s">
        <v>195</v>
      </c>
      <c r="B131" s="73">
        <v>29129</v>
      </c>
      <c r="D131">
        <v>2.878590397</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3.600916507</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3.6625756420000002</v>
      </c>
      <c r="AP131">
        <v>6.3808896490000002</v>
      </c>
      <c r="AT131">
        <v>5.6827228539999997</v>
      </c>
      <c r="AV131">
        <v>2.3899154130000002</v>
      </c>
      <c r="AW131">
        <v>4.1110716209999998</v>
      </c>
    </row>
    <row r="132" spans="1:49" x14ac:dyDescent="0.2">
      <c r="A132" t="s">
        <v>196</v>
      </c>
      <c r="B132" s="73">
        <v>29221</v>
      </c>
      <c r="D132">
        <v>4.0026818180000001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2.8971308750000002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3.0107888209999998</v>
      </c>
      <c r="AP132">
        <v>6.7449461099999999</v>
      </c>
      <c r="AT132">
        <v>4.0999790039999997</v>
      </c>
      <c r="AV132">
        <v>1.284557672</v>
      </c>
      <c r="AW132">
        <v>5.2893079710000004</v>
      </c>
    </row>
    <row r="133" spans="1:49" x14ac:dyDescent="0.2">
      <c r="A133" t="s">
        <v>197</v>
      </c>
      <c r="B133" s="73">
        <v>29312</v>
      </c>
      <c r="D133">
        <v>1.6806609610000001</v>
      </c>
      <c r="E133">
        <v>4.6452179940000002</v>
      </c>
      <c r="F133">
        <v>6.7817348669999999</v>
      </c>
      <c r="H133">
        <v>3.4469167920000001</v>
      </c>
      <c r="I133">
        <v>5.0215022610000002</v>
      </c>
      <c r="M133">
        <v>4.5684691209999997</v>
      </c>
      <c r="N133">
        <v>3.1248799759999999</v>
      </c>
      <c r="P133">
        <v>1.423891899</v>
      </c>
      <c r="T133">
        <v>6.2369617540000002</v>
      </c>
      <c r="U133">
        <v>3.4988682130000002</v>
      </c>
      <c r="V133">
        <v>2.692446726</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3.0044046419999999</v>
      </c>
      <c r="AP133">
        <v>7.284454126</v>
      </c>
      <c r="AT133">
        <v>5.1850214379999997</v>
      </c>
      <c r="AV133">
        <v>1.4207752659999999</v>
      </c>
      <c r="AW133">
        <v>5.6039667550000001</v>
      </c>
    </row>
    <row r="134" spans="1:49" x14ac:dyDescent="0.2">
      <c r="A134" t="s">
        <v>198</v>
      </c>
      <c r="B134" s="73">
        <v>29403</v>
      </c>
      <c r="D134">
        <v>3.6091356669999999</v>
      </c>
      <c r="E134">
        <v>2.2297488219999999</v>
      </c>
      <c r="F134">
        <v>5.6951136609999997</v>
      </c>
      <c r="H134">
        <v>2.0394943919999999</v>
      </c>
      <c r="I134">
        <v>4.8102279379999997</v>
      </c>
      <c r="M134">
        <v>0.76620878999999997</v>
      </c>
      <c r="N134">
        <v>-1.2197605199999999</v>
      </c>
      <c r="P134">
        <v>1.6106818730000001</v>
      </c>
      <c r="T134">
        <v>3.2864830970000001</v>
      </c>
      <c r="U134">
        <v>1.952557675</v>
      </c>
      <c r="V134">
        <v>0.21004695500000001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0.67837897000000003</v>
      </c>
      <c r="AP134">
        <v>5.0227779870000004</v>
      </c>
      <c r="AT134">
        <v>-1.4123995890000001</v>
      </c>
      <c r="AV134">
        <v>-0.77506271299999996</v>
      </c>
      <c r="AW134">
        <v>6.9208087220000003</v>
      </c>
    </row>
    <row r="135" spans="1:49" x14ac:dyDescent="0.2">
      <c r="A135" t="s">
        <v>199</v>
      </c>
      <c r="B135" s="73">
        <v>29495</v>
      </c>
      <c r="D135">
        <v>3.1964119969999998</v>
      </c>
      <c r="E135">
        <v>1.8666246769999999</v>
      </c>
      <c r="F135">
        <v>3.671015497</v>
      </c>
      <c r="H135">
        <v>1.2219010429999999</v>
      </c>
      <c r="I135">
        <v>4.3108990240000002</v>
      </c>
      <c r="M135">
        <v>0.36643914300000002</v>
      </c>
      <c r="N135">
        <v>-1.8762502169999999</v>
      </c>
      <c r="P135">
        <v>0.96494896299999999</v>
      </c>
      <c r="T135">
        <v>7.5169662749999997</v>
      </c>
      <c r="U135">
        <v>0.71042974000000003</v>
      </c>
      <c r="V135">
        <v>-6.6774537999999994E-2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0.48520785900000002</v>
      </c>
      <c r="AP135">
        <v>3.2903907029999999</v>
      </c>
      <c r="AT135">
        <v>2.0490370200000001</v>
      </c>
      <c r="AV135">
        <v>-1.6237974310000001</v>
      </c>
      <c r="AW135">
        <v>7.9456179090000001</v>
      </c>
    </row>
    <row r="136" spans="1:49" x14ac:dyDescent="0.2">
      <c r="A136" t="s">
        <v>200</v>
      </c>
      <c r="B136" s="73">
        <v>29587</v>
      </c>
      <c r="D136">
        <v>2.9873262930000002</v>
      </c>
      <c r="E136">
        <v>0.58604324100000005</v>
      </c>
      <c r="F136">
        <v>1.8529221149999999</v>
      </c>
      <c r="H136">
        <v>1.9403879820000001</v>
      </c>
      <c r="I136">
        <v>3.3718549520000001</v>
      </c>
      <c r="M136">
        <v>-0.37748671900000003</v>
      </c>
      <c r="N136">
        <v>-1.7498374290000001</v>
      </c>
      <c r="P136">
        <v>1.194843181</v>
      </c>
      <c r="T136">
        <v>3.3582471589999998</v>
      </c>
      <c r="U136">
        <v>0.380149609</v>
      </c>
      <c r="V136">
        <v>0.52101861900000002</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0.96794813199999996</v>
      </c>
      <c r="AP136">
        <v>2.8912564010000001</v>
      </c>
      <c r="AT136">
        <v>-5.4837886000000002E-2</v>
      </c>
      <c r="AV136">
        <v>-3.9131615000000002E-2</v>
      </c>
      <c r="AW136">
        <v>6.0127037339999996</v>
      </c>
    </row>
    <row r="137" spans="1:49" x14ac:dyDescent="0.2">
      <c r="A137" t="s">
        <v>201</v>
      </c>
      <c r="B137" s="73">
        <v>29677</v>
      </c>
      <c r="D137">
        <v>2.9226493750000002</v>
      </c>
      <c r="E137">
        <v>-1.1679114390000001</v>
      </c>
      <c r="F137">
        <v>-1.818304235</v>
      </c>
      <c r="H137">
        <v>3.4626741280000002</v>
      </c>
      <c r="I137">
        <v>1.332675023</v>
      </c>
      <c r="M137">
        <v>6.6002819999999999E-3</v>
      </c>
      <c r="N137">
        <v>-3.080016289</v>
      </c>
      <c r="P137">
        <v>-4.7428330999999997E-2</v>
      </c>
      <c r="T137">
        <v>1.4651830219999999</v>
      </c>
      <c r="U137">
        <v>-0.33579537399999998</v>
      </c>
      <c r="V137">
        <v>1.363933576</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1.4438527290000001</v>
      </c>
      <c r="AP137">
        <v>1.7492467039999999</v>
      </c>
      <c r="AT137">
        <v>-2.4909400759999998</v>
      </c>
      <c r="AV137">
        <v>1.599979772</v>
      </c>
      <c r="AW137">
        <v>5.1687644280000002</v>
      </c>
    </row>
    <row r="138" spans="1:49" x14ac:dyDescent="0.2">
      <c r="A138" t="s">
        <v>202</v>
      </c>
      <c r="B138" s="73">
        <v>29768</v>
      </c>
      <c r="D138">
        <v>4.2457001810000001</v>
      </c>
      <c r="E138">
        <v>0.88496202300000004</v>
      </c>
      <c r="F138">
        <v>0.28122027199999999</v>
      </c>
      <c r="H138">
        <v>4.6588211749999999</v>
      </c>
      <c r="I138">
        <v>2.0186914570000001</v>
      </c>
      <c r="M138">
        <v>0.40335047400000001</v>
      </c>
      <c r="N138">
        <v>-1.2754455339999999</v>
      </c>
      <c r="P138">
        <v>-0.49631049599999999</v>
      </c>
      <c r="T138">
        <v>3.1363820320000002</v>
      </c>
      <c r="U138">
        <v>0.87128124299999998</v>
      </c>
      <c r="V138">
        <v>2.5714744450000002</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2.7469108219999998</v>
      </c>
      <c r="AP138">
        <v>1.857852665</v>
      </c>
      <c r="AT138">
        <v>2.3268107649999998</v>
      </c>
      <c r="AV138">
        <v>2.968700707</v>
      </c>
      <c r="AW138">
        <v>5.4606395079999999</v>
      </c>
    </row>
    <row r="139" spans="1:49" x14ac:dyDescent="0.2">
      <c r="A139" t="s">
        <v>203</v>
      </c>
      <c r="B139" s="73">
        <v>29860</v>
      </c>
      <c r="D139">
        <v>5.7812120460000003</v>
      </c>
      <c r="E139">
        <v>0.29226715199999997</v>
      </c>
      <c r="F139">
        <v>0.83877797499999995</v>
      </c>
      <c r="H139">
        <v>3.8384630890000002</v>
      </c>
      <c r="I139">
        <v>2.0775180500000001</v>
      </c>
      <c r="M139">
        <v>1.0688095719999999</v>
      </c>
      <c r="N139">
        <v>0.66580399199999996</v>
      </c>
      <c r="P139">
        <v>0.34405483799999997</v>
      </c>
      <c r="T139">
        <v>-1.2768622919999999</v>
      </c>
      <c r="U139">
        <v>1.61024747</v>
      </c>
      <c r="V139">
        <v>2.948556033</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3.1074219790000002</v>
      </c>
      <c r="AP139">
        <v>2.0325545749999998</v>
      </c>
      <c r="AT139">
        <v>-0.65963311199999997</v>
      </c>
      <c r="AV139">
        <v>4.3257650209999996</v>
      </c>
      <c r="AW139">
        <v>5.1945727679999996</v>
      </c>
    </row>
    <row r="140" spans="1:49" x14ac:dyDescent="0.2">
      <c r="A140" t="s">
        <v>204</v>
      </c>
      <c r="B140" s="73">
        <v>29952</v>
      </c>
      <c r="D140">
        <v>3.573087943</v>
      </c>
      <c r="E140">
        <v>-0.395863295</v>
      </c>
      <c r="F140">
        <v>1.3160517839999999</v>
      </c>
      <c r="H140">
        <v>1.955909127</v>
      </c>
      <c r="I140">
        <v>1.0087413940000001</v>
      </c>
      <c r="M140">
        <v>1.1233869780000001</v>
      </c>
      <c r="N140">
        <v>0.21651036400000001</v>
      </c>
      <c r="P140">
        <v>-0.33420707700000002</v>
      </c>
      <c r="T140">
        <v>1.8821198610000001</v>
      </c>
      <c r="U140">
        <v>2.2578164510000001</v>
      </c>
      <c r="V140">
        <v>1.4940372829999999</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1.8574390860000001</v>
      </c>
      <c r="AP140">
        <v>0.84441548200000005</v>
      </c>
      <c r="AT140">
        <v>0.18589722</v>
      </c>
      <c r="AV140">
        <v>1.2999011570000001</v>
      </c>
      <c r="AW140">
        <v>5.6134761129999999</v>
      </c>
    </row>
    <row r="141" spans="1:49" x14ac:dyDescent="0.2">
      <c r="A141" t="s">
        <v>205</v>
      </c>
      <c r="B141" s="73">
        <v>30042</v>
      </c>
      <c r="D141">
        <v>2.3349855669999999</v>
      </c>
      <c r="E141">
        <v>2.3331765519999998</v>
      </c>
      <c r="F141">
        <v>1.428611638</v>
      </c>
      <c r="H141">
        <v>-1.416253252</v>
      </c>
      <c r="I141">
        <v>0.36489798699999998</v>
      </c>
      <c r="M141">
        <v>0.30872657100000001</v>
      </c>
      <c r="N141">
        <v>1.378547221</v>
      </c>
      <c r="P141">
        <v>0.64585859700000003</v>
      </c>
      <c r="T141">
        <v>2.7094084949999999</v>
      </c>
      <c r="U141">
        <v>2.6905860530000001</v>
      </c>
      <c r="V141">
        <v>-1.9575095000000001E-2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0.50354272300000003</v>
      </c>
      <c r="AP141">
        <v>2.8314113120000002</v>
      </c>
      <c r="AT141">
        <v>-0.142823336</v>
      </c>
      <c r="AV141">
        <v>-2.1903489820000002</v>
      </c>
      <c r="AW141">
        <v>3.3514524570000002</v>
      </c>
    </row>
    <row r="142" spans="1:49" x14ac:dyDescent="0.2">
      <c r="A142" t="s">
        <v>206</v>
      </c>
      <c r="B142" s="73">
        <v>30133</v>
      </c>
      <c r="D142">
        <v>1.6859659010000001</v>
      </c>
      <c r="E142">
        <v>1.610946582</v>
      </c>
      <c r="F142">
        <v>0.240429213</v>
      </c>
      <c r="H142">
        <v>-3.6400568990000002</v>
      </c>
      <c r="I142">
        <v>-1.2365794139999999</v>
      </c>
      <c r="M142">
        <v>-5.9283060999999998E-2</v>
      </c>
      <c r="N142">
        <v>3.3366614399999999</v>
      </c>
      <c r="P142">
        <v>1.1400823389999999</v>
      </c>
      <c r="T142">
        <v>2.5210908380000001</v>
      </c>
      <c r="U142">
        <v>2.6803487910000001</v>
      </c>
      <c r="V142">
        <v>0.29436388299999999</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0.53856136499999996</v>
      </c>
      <c r="AP142">
        <v>1.36695612</v>
      </c>
      <c r="AT142">
        <v>2.0297517699999998</v>
      </c>
      <c r="AV142">
        <v>-1.0105681470000001</v>
      </c>
      <c r="AW142">
        <v>0.29869293899999999</v>
      </c>
    </row>
    <row r="143" spans="1:49" x14ac:dyDescent="0.2">
      <c r="A143" t="s">
        <v>207</v>
      </c>
      <c r="B143" s="73">
        <v>30225</v>
      </c>
      <c r="D143">
        <v>-0.98866111800000001</v>
      </c>
      <c r="E143">
        <v>1.6127488720000001</v>
      </c>
      <c r="F143">
        <v>0.78557447899999999</v>
      </c>
      <c r="H143">
        <v>-3.619406541</v>
      </c>
      <c r="I143">
        <v>-2.4951899129999999</v>
      </c>
      <c r="M143">
        <v>-1.3070915160000001</v>
      </c>
      <c r="N143">
        <v>3.7696047300000002</v>
      </c>
      <c r="P143">
        <v>1.3701869390000001</v>
      </c>
      <c r="T143">
        <v>3.123627312</v>
      </c>
      <c r="U143">
        <v>2.0878937569999998</v>
      </c>
      <c r="V143">
        <v>-0.53924261699999998</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-0.252698486</v>
      </c>
      <c r="AP143">
        <v>2.0069998299999998</v>
      </c>
      <c r="AT143">
        <v>-4.1905780000000004E-3</v>
      </c>
      <c r="AV143">
        <v>-2.555921433</v>
      </c>
      <c r="AW143">
        <v>-1.165397177</v>
      </c>
    </row>
    <row r="144" spans="1:49" x14ac:dyDescent="0.2">
      <c r="A144" t="s">
        <v>208</v>
      </c>
      <c r="B144" s="73">
        <v>30317</v>
      </c>
      <c r="D144">
        <v>-2.1650955449999998</v>
      </c>
      <c r="E144">
        <v>2.0796073860000002</v>
      </c>
      <c r="F144">
        <v>-0.120160379</v>
      </c>
      <c r="H144">
        <v>-4.0694495389999998</v>
      </c>
      <c r="I144">
        <v>-2.3620265840000001</v>
      </c>
      <c r="M144">
        <v>-0.99258529799999995</v>
      </c>
      <c r="N144">
        <v>3.5969389270000001</v>
      </c>
      <c r="P144">
        <v>1.829180091</v>
      </c>
      <c r="T144">
        <v>4.0204180850000002</v>
      </c>
      <c r="U144">
        <v>2.1283586940000001</v>
      </c>
      <c r="V144">
        <v>4.4071210999999999E-2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1.2333975E-2</v>
      </c>
      <c r="AP144">
        <v>2.335787302</v>
      </c>
      <c r="AT144">
        <v>3.1014331159999999</v>
      </c>
      <c r="AV144">
        <v>-1.443156179</v>
      </c>
      <c r="AW144">
        <v>-3.8546370259999998</v>
      </c>
    </row>
    <row r="145" spans="1:49" x14ac:dyDescent="0.2">
      <c r="A145" t="s">
        <v>209</v>
      </c>
      <c r="B145" s="73">
        <v>30407</v>
      </c>
      <c r="D145">
        <v>-2.3489279359999999</v>
      </c>
      <c r="E145">
        <v>1.264709721</v>
      </c>
      <c r="F145">
        <v>-0.235342511</v>
      </c>
      <c r="H145">
        <v>-1.3036433839999999</v>
      </c>
      <c r="I145">
        <v>-0.76536861199999995</v>
      </c>
      <c r="M145">
        <v>-0.46822745700000001</v>
      </c>
      <c r="N145">
        <v>2.774982482</v>
      </c>
      <c r="P145">
        <v>1.7823934619999999</v>
      </c>
      <c r="T145">
        <v>3.497922505</v>
      </c>
      <c r="U145">
        <v>1.793294288</v>
      </c>
      <c r="V145">
        <v>1.3505529380000001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1.110901256</v>
      </c>
      <c r="AP145">
        <v>0.83359598000000001</v>
      </c>
      <c r="AT145">
        <v>1.6462159380000001</v>
      </c>
      <c r="AV145">
        <v>1.4314555769999999</v>
      </c>
      <c r="AW145">
        <v>-4.4534992339999997</v>
      </c>
    </row>
    <row r="146" spans="1:49" x14ac:dyDescent="0.2">
      <c r="A146" t="s">
        <v>210</v>
      </c>
      <c r="B146" s="73">
        <v>30498</v>
      </c>
      <c r="D146">
        <v>-3.3994545930000002</v>
      </c>
      <c r="E146">
        <v>2.2896633899999999</v>
      </c>
      <c r="F146">
        <v>-0.45643871200000002</v>
      </c>
      <c r="H146">
        <v>1.8143211260000001</v>
      </c>
      <c r="I146">
        <v>-6.0419610000000002E-3</v>
      </c>
      <c r="M146">
        <v>1.2026173739999999</v>
      </c>
      <c r="N146">
        <v>3.2408993760000002</v>
      </c>
      <c r="P146">
        <v>2.0235361649999999</v>
      </c>
      <c r="T146">
        <v>3.5642522250000002</v>
      </c>
      <c r="U146">
        <v>1.10982088</v>
      </c>
      <c r="V146">
        <v>2.4245081480000001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1.971310388</v>
      </c>
      <c r="AP146">
        <v>1.293490896</v>
      </c>
      <c r="AT146">
        <v>0.32836833399999998</v>
      </c>
      <c r="AV146">
        <v>3.2685328839999999</v>
      </c>
      <c r="AW146">
        <v>-3.249435611</v>
      </c>
    </row>
    <row r="147" spans="1:49" x14ac:dyDescent="0.2">
      <c r="A147" t="s">
        <v>211</v>
      </c>
      <c r="B147" s="73">
        <v>30590</v>
      </c>
      <c r="D147">
        <v>-3.3848584000000001E-2</v>
      </c>
      <c r="E147">
        <v>3.2171430029999999</v>
      </c>
      <c r="F147">
        <v>0.261423772</v>
      </c>
      <c r="H147">
        <v>3.8633880629999999</v>
      </c>
      <c r="I147">
        <v>1.202043234</v>
      </c>
      <c r="M147">
        <v>1.999914709</v>
      </c>
      <c r="N147">
        <v>0.86569867099999998</v>
      </c>
      <c r="P147">
        <v>1.490332279</v>
      </c>
      <c r="T147">
        <v>3.393440295</v>
      </c>
      <c r="U147">
        <v>1.143480262</v>
      </c>
      <c r="V147">
        <v>4.069637986</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3.4724483149999998</v>
      </c>
      <c r="AP147">
        <v>-0.68235848700000001</v>
      </c>
      <c r="AT147">
        <v>2.7348417120000001</v>
      </c>
      <c r="AV147">
        <v>5.7371696849999996</v>
      </c>
      <c r="AW147">
        <v>-2.1090845909999998</v>
      </c>
    </row>
    <row r="148" spans="1:49" x14ac:dyDescent="0.2">
      <c r="A148" t="s">
        <v>212</v>
      </c>
      <c r="B148" s="73">
        <v>30682</v>
      </c>
      <c r="D148">
        <v>3.2669748959999998</v>
      </c>
      <c r="E148">
        <v>4.4460173860000003</v>
      </c>
      <c r="F148">
        <v>2.0277877200000001</v>
      </c>
      <c r="H148">
        <v>6.1516575939999996</v>
      </c>
      <c r="I148">
        <v>1.8622186919999999</v>
      </c>
      <c r="M148">
        <v>3.16368421</v>
      </c>
      <c r="N148">
        <v>3.2046974370000001</v>
      </c>
      <c r="P148">
        <v>1.7872824009999999</v>
      </c>
      <c r="T148">
        <v>1.850726737</v>
      </c>
      <c r="U148">
        <v>1.1821405229999999</v>
      </c>
      <c r="V148">
        <v>5.3483779499999997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4.7438329010000002</v>
      </c>
      <c r="AP148">
        <v>-2.12369048</v>
      </c>
      <c r="AT148">
        <v>2.8016803779999999</v>
      </c>
      <c r="AV148">
        <v>7.8999749809999997</v>
      </c>
      <c r="AW148">
        <v>2.541563112</v>
      </c>
    </row>
    <row r="149" spans="1:49" x14ac:dyDescent="0.2">
      <c r="A149" t="s">
        <v>213</v>
      </c>
      <c r="B149" s="73">
        <v>30773</v>
      </c>
      <c r="D149">
        <v>6.937725167</v>
      </c>
      <c r="E149">
        <v>1.8337830740000001</v>
      </c>
      <c r="F149">
        <v>2.422061448</v>
      </c>
      <c r="H149">
        <v>6.2012423300000004</v>
      </c>
      <c r="I149">
        <v>2.1814163510000002</v>
      </c>
      <c r="M149">
        <v>3.589300546</v>
      </c>
      <c r="N149">
        <v>4.0099992599999998</v>
      </c>
      <c r="P149">
        <v>2.2555617030000001</v>
      </c>
      <c r="T149">
        <v>3.3376902249999998</v>
      </c>
      <c r="U149">
        <v>1.2589239759999999</v>
      </c>
      <c r="V149">
        <v>5.7599103100000004</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5.4103812619999996</v>
      </c>
      <c r="AP149">
        <v>-3.765904581</v>
      </c>
      <c r="AT149">
        <v>6.3247612200000001</v>
      </c>
      <c r="AV149">
        <v>8.5782754620000006</v>
      </c>
      <c r="AW149">
        <v>5.9162508359999997</v>
      </c>
    </row>
    <row r="150" spans="1:49" x14ac:dyDescent="0.2">
      <c r="A150" t="s">
        <v>214</v>
      </c>
      <c r="B150" s="73">
        <v>30864</v>
      </c>
      <c r="D150">
        <v>8.3375227190000007</v>
      </c>
      <c r="E150">
        <v>-0.19121944599999999</v>
      </c>
      <c r="F150">
        <v>2.530255302</v>
      </c>
      <c r="H150">
        <v>6.1913223820000001</v>
      </c>
      <c r="I150">
        <v>2.498528404</v>
      </c>
      <c r="M150">
        <v>0.89535167299999996</v>
      </c>
      <c r="N150">
        <v>3.6275763560000001</v>
      </c>
      <c r="P150">
        <v>1.3145948160000001</v>
      </c>
      <c r="T150">
        <v>2.4021804410000001</v>
      </c>
      <c r="U150">
        <v>1.6649395739999999</v>
      </c>
      <c r="V150">
        <v>5.2732622300000003</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4.9590899459999997</v>
      </c>
      <c r="AP150">
        <v>-3.9015060840000002</v>
      </c>
      <c r="AT150">
        <v>3.8963503070000001</v>
      </c>
      <c r="AV150">
        <v>7.9966966749999999</v>
      </c>
      <c r="AW150">
        <v>7.66954987</v>
      </c>
    </row>
    <row r="151" spans="1:49" x14ac:dyDescent="0.2">
      <c r="A151" t="s">
        <v>215</v>
      </c>
      <c r="B151" s="73">
        <v>30956</v>
      </c>
      <c r="D151">
        <v>6.2929520940000003</v>
      </c>
      <c r="E151">
        <v>-0.110557619</v>
      </c>
      <c r="F151">
        <v>1.9731701399999999</v>
      </c>
      <c r="H151">
        <v>5.45844766</v>
      </c>
      <c r="I151">
        <v>3.8409109159999999</v>
      </c>
      <c r="M151">
        <v>3.8594318680000002</v>
      </c>
      <c r="N151">
        <v>5.9398106300000002</v>
      </c>
      <c r="P151">
        <v>2.0468881680000002</v>
      </c>
      <c r="T151">
        <v>2.3757209559999999</v>
      </c>
      <c r="U151">
        <v>2.0388852069999999</v>
      </c>
      <c r="V151">
        <v>5.0259487490000003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4.8509199519999999</v>
      </c>
      <c r="AP151">
        <v>-9.2261706999999998E-2</v>
      </c>
      <c r="AT151">
        <v>4.0964046889999999</v>
      </c>
      <c r="AV151">
        <v>6.9008370829999999</v>
      </c>
      <c r="AW151">
        <v>4.6782508939999996</v>
      </c>
    </row>
    <row r="152" spans="1:49" x14ac:dyDescent="0.2">
      <c r="A152" t="s">
        <v>216</v>
      </c>
      <c r="B152" s="73">
        <v>31048</v>
      </c>
      <c r="D152">
        <v>5.2727003630000002</v>
      </c>
      <c r="E152">
        <v>-0.173153478</v>
      </c>
      <c r="F152">
        <v>1.4962036240000001</v>
      </c>
      <c r="H152">
        <v>5.7961787769999997</v>
      </c>
      <c r="I152">
        <v>4.3184408730000001</v>
      </c>
      <c r="M152">
        <v>3.3047477669999998</v>
      </c>
      <c r="N152">
        <v>3.9996288760000001</v>
      </c>
      <c r="P152">
        <v>1.5211875159999999</v>
      </c>
      <c r="T152">
        <v>3.8360941589999999</v>
      </c>
      <c r="U152">
        <v>1.7420037960000001</v>
      </c>
      <c r="V152">
        <v>4.1758587819999997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4.0340405160000001</v>
      </c>
      <c r="AP152">
        <v>0.33095451199999998</v>
      </c>
      <c r="AT152">
        <v>2.9893881969999998</v>
      </c>
      <c r="AV152">
        <v>5.575799462</v>
      </c>
      <c r="AW152">
        <v>2.2467392519999998</v>
      </c>
    </row>
    <row r="153" spans="1:49" x14ac:dyDescent="0.2">
      <c r="A153" t="s">
        <v>217</v>
      </c>
      <c r="B153" s="73">
        <v>31138</v>
      </c>
      <c r="D153">
        <v>4.1817066130000002</v>
      </c>
      <c r="E153">
        <v>1.6456211089999999</v>
      </c>
      <c r="F153">
        <v>1.5195545989999999</v>
      </c>
      <c r="H153">
        <v>5.5872330000000003</v>
      </c>
      <c r="I153">
        <v>4.2978765259999996</v>
      </c>
      <c r="M153">
        <v>1.400567503</v>
      </c>
      <c r="N153">
        <v>2.9930081959999999</v>
      </c>
      <c r="P153">
        <v>1.811958929</v>
      </c>
      <c r="T153">
        <v>2.9272259109999998</v>
      </c>
      <c r="U153">
        <v>1.252720472</v>
      </c>
      <c r="V153">
        <v>3.765727713</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3.5474968730000001</v>
      </c>
      <c r="AP153">
        <v>2.2110111849999998</v>
      </c>
      <c r="AT153">
        <v>0.85621081399999999</v>
      </c>
      <c r="AV153">
        <v>4.5550933889999996</v>
      </c>
      <c r="AW153">
        <v>-5.8200821999999999E-2</v>
      </c>
    </row>
    <row r="154" spans="1:49" x14ac:dyDescent="0.2">
      <c r="A154" t="s">
        <v>218</v>
      </c>
      <c r="B154" s="73">
        <v>31229</v>
      </c>
      <c r="D154">
        <v>5.3037063480000004</v>
      </c>
      <c r="E154">
        <v>2.5276691339999999</v>
      </c>
      <c r="F154">
        <v>1.7347935139999999</v>
      </c>
      <c r="H154">
        <v>3.8917403880000001</v>
      </c>
      <c r="I154">
        <v>4.6687493800000004</v>
      </c>
      <c r="M154">
        <v>4.0559485850000003</v>
      </c>
      <c r="N154">
        <v>3.3414112330000001</v>
      </c>
      <c r="P154">
        <v>2.0308733129999998</v>
      </c>
      <c r="T154">
        <v>3.9473090630000001</v>
      </c>
      <c r="U154">
        <v>1.5149695350000001</v>
      </c>
      <c r="V154">
        <v>4.0618052389999999</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3.960902607</v>
      </c>
      <c r="AP154">
        <v>4.2851239000000003</v>
      </c>
      <c r="AT154">
        <v>3.4886037650000001</v>
      </c>
      <c r="AV154">
        <v>3.6842175049999999</v>
      </c>
      <c r="AW154">
        <v>-2.804155293</v>
      </c>
    </row>
    <row r="155" spans="1:49" x14ac:dyDescent="0.2">
      <c r="A155" t="s">
        <v>219</v>
      </c>
      <c r="B155" s="73">
        <v>31321</v>
      </c>
      <c r="D155">
        <v>5.8289483000000004</v>
      </c>
      <c r="E155">
        <v>3.1012017260000002</v>
      </c>
      <c r="F155">
        <v>2.1308122300000001</v>
      </c>
      <c r="H155">
        <v>4.7692235739999997</v>
      </c>
      <c r="I155">
        <v>3.0115491680000002</v>
      </c>
      <c r="M155">
        <v>2.6166356469999998</v>
      </c>
      <c r="N155">
        <v>4.6393871969999996</v>
      </c>
      <c r="P155">
        <v>2.1985309759999998</v>
      </c>
      <c r="T155">
        <v>3.541247485</v>
      </c>
      <c r="U155">
        <v>1.7984600319999999</v>
      </c>
      <c r="V155">
        <v>4.149228237</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3.9048742170000001</v>
      </c>
      <c r="AP155">
        <v>1.4560214650000001</v>
      </c>
      <c r="AT155">
        <v>3.2653368189999998</v>
      </c>
      <c r="AV155">
        <v>4.2624449269999998</v>
      </c>
      <c r="AW155">
        <v>-1.426912484</v>
      </c>
    </row>
    <row r="156" spans="1:49" x14ac:dyDescent="0.2">
      <c r="A156" t="s">
        <v>220</v>
      </c>
      <c r="B156" s="73">
        <v>31413</v>
      </c>
      <c r="D156">
        <v>4.8328705489999999</v>
      </c>
      <c r="E156">
        <v>1.7054354549999999</v>
      </c>
      <c r="F156">
        <v>2.0025774859999999</v>
      </c>
      <c r="H156">
        <v>4.7179629949999997</v>
      </c>
      <c r="I156">
        <v>3.115772255</v>
      </c>
      <c r="M156">
        <v>2.3705422679999999</v>
      </c>
      <c r="N156">
        <v>6.135595919</v>
      </c>
      <c r="P156">
        <v>3.2404803860000002</v>
      </c>
      <c r="T156">
        <v>2.505634363</v>
      </c>
      <c r="U156">
        <v>1.8652232049999999</v>
      </c>
      <c r="V156">
        <v>4.2095006709999998</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4.0899657420000004</v>
      </c>
      <c r="AP156">
        <v>3.3055672039999999</v>
      </c>
      <c r="AT156">
        <v>1.285841368</v>
      </c>
      <c r="AV156">
        <v>4.182268594</v>
      </c>
      <c r="AW156">
        <v>-0.52662913</v>
      </c>
    </row>
    <row r="157" spans="1:49" x14ac:dyDescent="0.2">
      <c r="A157" t="s">
        <v>221</v>
      </c>
      <c r="B157" s="73">
        <v>31503</v>
      </c>
      <c r="D157">
        <v>3.9982676480000001</v>
      </c>
      <c r="E157">
        <v>2.1245604280000001</v>
      </c>
      <c r="F157">
        <v>2.124696369</v>
      </c>
      <c r="H157">
        <v>3.119680206</v>
      </c>
      <c r="I157">
        <v>2.4628475949999999</v>
      </c>
      <c r="M157">
        <v>2.342772922</v>
      </c>
      <c r="N157">
        <v>6.7147378289999997</v>
      </c>
      <c r="P157">
        <v>2.3890152260000002</v>
      </c>
      <c r="T157">
        <v>1.865262234</v>
      </c>
      <c r="U157">
        <v>2.0741560670000001</v>
      </c>
      <c r="V157">
        <v>3.8143823060000002</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3.54215108</v>
      </c>
      <c r="AP157">
        <v>3.542920579</v>
      </c>
      <c r="AT157">
        <v>3.1920268190000001</v>
      </c>
      <c r="AV157">
        <v>4.145589749</v>
      </c>
      <c r="AW157">
        <v>-1.1226635039999999</v>
      </c>
    </row>
    <row r="158" spans="1:49" x14ac:dyDescent="0.2">
      <c r="A158" t="s">
        <v>222</v>
      </c>
      <c r="B158" s="73">
        <v>31594</v>
      </c>
      <c r="D158">
        <v>1.5671873679999999</v>
      </c>
      <c r="E158">
        <v>3.199522231</v>
      </c>
      <c r="F158">
        <v>1.960227312</v>
      </c>
      <c r="H158">
        <v>3.3763978080000001</v>
      </c>
      <c r="I158">
        <v>2.082496473</v>
      </c>
      <c r="M158">
        <v>2.4931797109999998</v>
      </c>
      <c r="N158">
        <v>4.711821745</v>
      </c>
      <c r="P158">
        <v>4.9260230590000003</v>
      </c>
      <c r="T158">
        <v>1.1674333830000001</v>
      </c>
      <c r="U158">
        <v>2.5766965329999998</v>
      </c>
      <c r="V158">
        <v>3.120961442</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3.0985182120000001</v>
      </c>
      <c r="AP158">
        <v>3.7013073400000001</v>
      </c>
      <c r="AT158">
        <v>2.6238172020000001</v>
      </c>
      <c r="AV158">
        <v>3.7015803869999999</v>
      </c>
      <c r="AW158">
        <v>0.28924069499999999</v>
      </c>
    </row>
    <row r="159" spans="1:49" x14ac:dyDescent="0.2">
      <c r="A159" t="s">
        <v>223</v>
      </c>
      <c r="B159" s="73">
        <v>31686</v>
      </c>
      <c r="D159">
        <v>0.49554897799999997</v>
      </c>
      <c r="E159">
        <v>1.7728227299999999</v>
      </c>
      <c r="F159">
        <v>2.521071836</v>
      </c>
      <c r="H159">
        <v>2.2101351849999999</v>
      </c>
      <c r="I159">
        <v>1.8497644959999999</v>
      </c>
      <c r="M159">
        <v>1.9223791969999999</v>
      </c>
      <c r="N159">
        <v>2.4381696920000002</v>
      </c>
      <c r="P159">
        <v>3.1172711020000001</v>
      </c>
      <c r="T159">
        <v>5.0524679360000002</v>
      </c>
      <c r="U159">
        <v>2.1707458750000002</v>
      </c>
      <c r="V159">
        <v>2.6401805079999998</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2.6040484880000001</v>
      </c>
      <c r="AP159">
        <v>4.6477217370000004</v>
      </c>
      <c r="AT159">
        <v>2.0001534589999999</v>
      </c>
      <c r="AV159">
        <v>3.1192412740000002</v>
      </c>
      <c r="AW159">
        <v>0.780967301</v>
      </c>
    </row>
    <row r="160" spans="1:49" x14ac:dyDescent="0.2">
      <c r="A160" t="s">
        <v>224</v>
      </c>
      <c r="B160" s="73">
        <v>31778</v>
      </c>
      <c r="D160">
        <v>2.41344241</v>
      </c>
      <c r="E160">
        <v>2.2739677829999998</v>
      </c>
      <c r="F160">
        <v>0.81353945999999999</v>
      </c>
      <c r="H160">
        <v>-6.1759828000000003E-2</v>
      </c>
      <c r="I160">
        <v>0.79657618799999996</v>
      </c>
      <c r="M160">
        <v>2.3247305100000002</v>
      </c>
      <c r="N160">
        <v>0.89610323700000005</v>
      </c>
      <c r="P160">
        <v>2.597685566</v>
      </c>
      <c r="T160">
        <v>2.9099844799999999</v>
      </c>
      <c r="U160">
        <v>2.1796339759999999</v>
      </c>
      <c r="V160">
        <v>2.5039684520000001</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2.3922718619999999</v>
      </c>
      <c r="AP160">
        <v>4.661705392</v>
      </c>
      <c r="AT160">
        <v>3.3484518620000001</v>
      </c>
      <c r="AV160">
        <v>2.908033321</v>
      </c>
      <c r="AW160">
        <v>0.13336261499999999</v>
      </c>
    </row>
    <row r="161" spans="1:49" x14ac:dyDescent="0.2">
      <c r="A161" t="s">
        <v>225</v>
      </c>
      <c r="B161" s="73">
        <v>31868</v>
      </c>
      <c r="D161">
        <v>2.735717578</v>
      </c>
      <c r="E161">
        <v>0.50285412500000004</v>
      </c>
      <c r="F161">
        <v>0.97242633199999995</v>
      </c>
      <c r="H161">
        <v>2.2747543179999998</v>
      </c>
      <c r="I161">
        <v>0.43665946300000003</v>
      </c>
      <c r="M161">
        <v>0.33051952299999998</v>
      </c>
      <c r="N161">
        <v>-1.5389017359999999</v>
      </c>
      <c r="P161">
        <v>4.404611021</v>
      </c>
      <c r="T161">
        <v>3.636363636</v>
      </c>
      <c r="U161">
        <v>2.0767724909999998</v>
      </c>
      <c r="V161">
        <v>2.1744819290000001</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2.2729150919999999</v>
      </c>
      <c r="AP161">
        <v>5.1620075249999999</v>
      </c>
      <c r="AT161">
        <v>1.7608902099999999</v>
      </c>
      <c r="AV161">
        <v>2.7158406190000002</v>
      </c>
      <c r="AW161">
        <v>2.0777651320000001</v>
      </c>
    </row>
    <row r="162" spans="1:49" x14ac:dyDescent="0.2">
      <c r="A162" t="s">
        <v>226</v>
      </c>
      <c r="B162" s="73">
        <v>31959</v>
      </c>
      <c r="D162">
        <v>4.5372373860000001</v>
      </c>
      <c r="E162">
        <v>1.053910812</v>
      </c>
      <c r="F162">
        <v>1.887003395</v>
      </c>
      <c r="H162">
        <v>3.010131747</v>
      </c>
      <c r="I162">
        <v>0.71055154700000001</v>
      </c>
      <c r="M162">
        <v>1.4159557760000001</v>
      </c>
      <c r="N162">
        <v>1.7412943400000001</v>
      </c>
      <c r="P162">
        <v>3.5016152229999999</v>
      </c>
      <c r="T162">
        <v>4.9847711380000002</v>
      </c>
      <c r="U162">
        <v>2.1154421669999999</v>
      </c>
      <c r="V162">
        <v>3.149115085</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3.2842653820000001</v>
      </c>
      <c r="AP162">
        <v>5.6532818010000003</v>
      </c>
      <c r="AT162">
        <v>3.493861017</v>
      </c>
      <c r="AV162">
        <v>3.3584793799999999</v>
      </c>
      <c r="AW162">
        <v>1.739358961</v>
      </c>
    </row>
    <row r="163" spans="1:49" x14ac:dyDescent="0.2">
      <c r="A163" t="s">
        <v>227</v>
      </c>
      <c r="B163" s="73">
        <v>32051</v>
      </c>
      <c r="D163">
        <v>6.1335877439999997</v>
      </c>
      <c r="E163">
        <v>2.1984127170000001</v>
      </c>
      <c r="F163">
        <v>2.0546591809999999</v>
      </c>
      <c r="H163">
        <v>4.4461734890000004</v>
      </c>
      <c r="I163">
        <v>2.0691688450000001</v>
      </c>
      <c r="M163">
        <v>1.3695269969999999</v>
      </c>
      <c r="N163">
        <v>0.37490674499999999</v>
      </c>
      <c r="P163">
        <v>6.389218713</v>
      </c>
      <c r="T163">
        <v>0.99066880400000001</v>
      </c>
      <c r="U163">
        <v>2.4700831330000002</v>
      </c>
      <c r="V163">
        <v>3.5408203060000001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3.7278721190000002</v>
      </c>
      <c r="AP163">
        <v>6.7169371499999997</v>
      </c>
      <c r="AT163">
        <v>4.1607392299999999</v>
      </c>
      <c r="AV163">
        <v>3.2669261519999999</v>
      </c>
      <c r="AW163">
        <v>1.8813654200000001</v>
      </c>
    </row>
    <row r="164" spans="1:49" x14ac:dyDescent="0.2">
      <c r="A164" t="s">
        <v>228</v>
      </c>
      <c r="B164" s="73">
        <v>32143</v>
      </c>
      <c r="D164">
        <v>6.5208020729999996</v>
      </c>
      <c r="E164">
        <v>2.9502189489999999</v>
      </c>
      <c r="F164">
        <v>4.580977496</v>
      </c>
      <c r="H164">
        <v>6.5650137409999996</v>
      </c>
      <c r="I164">
        <v>3.002373349</v>
      </c>
      <c r="M164">
        <v>1.9745416950000001</v>
      </c>
      <c r="N164">
        <v>0.60326235399999995</v>
      </c>
      <c r="P164">
        <v>7.8765426270000001</v>
      </c>
      <c r="T164">
        <v>4.9474257469999996</v>
      </c>
      <c r="U164">
        <v>3.8338312000000001</v>
      </c>
      <c r="V164">
        <v>4.6533041400000004</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4.9731140490000003</v>
      </c>
      <c r="AP164">
        <v>6.2934178300000001</v>
      </c>
      <c r="AT164">
        <v>4.1684212660000002</v>
      </c>
      <c r="AV164">
        <v>4.479019138</v>
      </c>
      <c r="AW164">
        <v>2.700870283</v>
      </c>
    </row>
    <row r="165" spans="1:49" x14ac:dyDescent="0.2">
      <c r="A165" t="s">
        <v>229</v>
      </c>
      <c r="B165" s="73">
        <v>32234</v>
      </c>
      <c r="D165">
        <v>5.9607838900000001</v>
      </c>
      <c r="E165">
        <v>2.7860016010000002</v>
      </c>
      <c r="F165">
        <v>4.8759065120000002</v>
      </c>
      <c r="H165">
        <v>5.680408989</v>
      </c>
      <c r="I165">
        <v>3.0790208149999998</v>
      </c>
      <c r="M165">
        <v>3.651100816</v>
      </c>
      <c r="N165">
        <v>3.208773044</v>
      </c>
      <c r="P165">
        <v>6.0512867940000001</v>
      </c>
      <c r="T165">
        <v>5.4751808430000004</v>
      </c>
      <c r="U165">
        <v>4.8565366829999999</v>
      </c>
      <c r="V165">
        <v>5.382825746</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5.5077122359999997</v>
      </c>
      <c r="AP165">
        <v>9.1659396599999994</v>
      </c>
      <c r="AT165">
        <v>4.1914481019999998</v>
      </c>
      <c r="AV165">
        <v>4.2421895689999998</v>
      </c>
      <c r="AW165">
        <v>3.491728867</v>
      </c>
    </row>
    <row r="166" spans="1:49" x14ac:dyDescent="0.2">
      <c r="A166" t="s">
        <v>230</v>
      </c>
      <c r="B166" s="73">
        <v>32325</v>
      </c>
      <c r="D166">
        <v>4.3951132299999998</v>
      </c>
      <c r="E166">
        <v>2.8570131910000001</v>
      </c>
      <c r="F166">
        <v>4.6901283649999996</v>
      </c>
      <c r="H166">
        <v>5.2568858150000004</v>
      </c>
      <c r="I166">
        <v>2.9478302670000001</v>
      </c>
      <c r="M166">
        <v>3.212995673</v>
      </c>
      <c r="N166">
        <v>0.233664662</v>
      </c>
      <c r="P166">
        <v>5.7661639400000002</v>
      </c>
      <c r="T166">
        <v>4.5029215870000003</v>
      </c>
      <c r="U166">
        <v>4.2748114910000004</v>
      </c>
      <c r="V166">
        <v>4.8241504620000004</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0.13825010500000001</v>
      </c>
      <c r="AN166">
        <v>4.5367456749999997</v>
      </c>
      <c r="AP166">
        <v>7.9348066319999999</v>
      </c>
      <c r="AT166">
        <v>2.1337312829999999</v>
      </c>
      <c r="AV166">
        <v>4.4846042170000002</v>
      </c>
      <c r="AW166">
        <v>3.8562228009999999</v>
      </c>
    </row>
    <row r="167" spans="1:49" x14ac:dyDescent="0.2">
      <c r="A167" t="s">
        <v>231</v>
      </c>
      <c r="B167" s="73">
        <v>32417</v>
      </c>
      <c r="D167">
        <v>3.3735053100000001</v>
      </c>
      <c r="E167">
        <v>3.3105577209999999</v>
      </c>
      <c r="F167">
        <v>4.5160470349999997</v>
      </c>
      <c r="H167">
        <v>3.6882730910000001</v>
      </c>
      <c r="I167">
        <v>2.8230877030000001</v>
      </c>
      <c r="M167">
        <v>3.6649901840000001</v>
      </c>
      <c r="N167">
        <v>-0.29460659</v>
      </c>
      <c r="P167">
        <v>5.4943583220000001</v>
      </c>
      <c r="T167">
        <v>5.3809833930000002</v>
      </c>
      <c r="U167">
        <v>4.9023323220000004</v>
      </c>
      <c r="V167">
        <v>4.7795791589999999</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-0.17451408400000001</v>
      </c>
      <c r="AN167">
        <v>4.490263798</v>
      </c>
      <c r="AP167">
        <v>7.1006943089999996</v>
      </c>
      <c r="AT167">
        <v>1.1529419999999999</v>
      </c>
      <c r="AV167">
        <v>4.1928663229999996</v>
      </c>
      <c r="AW167">
        <v>4.8703041279999999</v>
      </c>
    </row>
    <row r="168" spans="1:49" x14ac:dyDescent="0.2">
      <c r="A168" t="s">
        <v>232</v>
      </c>
      <c r="B168" s="73">
        <v>32509</v>
      </c>
      <c r="D168">
        <v>2.919693074</v>
      </c>
      <c r="E168">
        <v>3.6929269229999999</v>
      </c>
      <c r="F168">
        <v>4.1954032899999998</v>
      </c>
      <c r="H168">
        <v>3.0797576289999999</v>
      </c>
      <c r="I168">
        <v>3.8099339140000001</v>
      </c>
      <c r="M168">
        <v>3.2340519740000002</v>
      </c>
      <c r="N168">
        <v>1.5531106450000001</v>
      </c>
      <c r="P168">
        <v>3.14762561</v>
      </c>
      <c r="T168">
        <v>5.2570653040000002</v>
      </c>
      <c r="U168">
        <v>4.2393345849999999</v>
      </c>
      <c r="V168">
        <v>4.1960271589999998</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-1.5018540490000001</v>
      </c>
      <c r="AN168">
        <v>3.8230138199999999</v>
      </c>
      <c r="AP168">
        <v>7.2294921539999999</v>
      </c>
      <c r="AT168">
        <v>2.973773091</v>
      </c>
      <c r="AV168">
        <v>3.798971044</v>
      </c>
      <c r="AW168">
        <v>4.5712658050000003</v>
      </c>
    </row>
    <row r="169" spans="1:49" x14ac:dyDescent="0.2">
      <c r="A169" t="s">
        <v>233</v>
      </c>
      <c r="B169" s="73">
        <v>32599</v>
      </c>
      <c r="D169">
        <v>3.5245211799999998</v>
      </c>
      <c r="E169">
        <v>5.6142010239999998</v>
      </c>
      <c r="F169">
        <v>3.957928973</v>
      </c>
      <c r="H169">
        <v>2.757474014</v>
      </c>
      <c r="I169">
        <v>3.880393357</v>
      </c>
      <c r="M169">
        <v>5.2677450759999997</v>
      </c>
      <c r="N169">
        <v>1.704190256</v>
      </c>
      <c r="P169">
        <v>5.2415838130000001</v>
      </c>
      <c r="T169">
        <v>5.1752000320000002</v>
      </c>
      <c r="U169">
        <v>4.2878979319999999</v>
      </c>
      <c r="V169">
        <v>4.517879411</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0.14276478500000001</v>
      </c>
      <c r="AN169">
        <v>4.2260300629999996</v>
      </c>
      <c r="AP169">
        <v>6.4186785510000002</v>
      </c>
      <c r="AT169">
        <v>2.6522244740000001</v>
      </c>
      <c r="AV169">
        <v>4.3152399350000001</v>
      </c>
      <c r="AW169">
        <v>3.6609273579999999</v>
      </c>
    </row>
    <row r="170" spans="1:49" x14ac:dyDescent="0.2">
      <c r="A170" t="s">
        <v>234</v>
      </c>
      <c r="B170" s="73">
        <v>32690</v>
      </c>
      <c r="D170">
        <v>5.6316132850000002</v>
      </c>
      <c r="E170">
        <v>4.2042384000000004</v>
      </c>
      <c r="F170">
        <v>3.9878434719999998</v>
      </c>
      <c r="H170">
        <v>2.244657331</v>
      </c>
      <c r="I170">
        <v>5.1019615290000004</v>
      </c>
      <c r="M170">
        <v>3.8096044760000001</v>
      </c>
      <c r="N170">
        <v>-0.38632293600000001</v>
      </c>
      <c r="P170">
        <v>4.9929994610000001</v>
      </c>
      <c r="T170">
        <v>6.1700879769999997</v>
      </c>
      <c r="U170">
        <v>4.5196780780000001</v>
      </c>
      <c r="V170">
        <v>3.8769807009999999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1.2030831790000001</v>
      </c>
      <c r="AN170">
        <v>3.9052543150000001</v>
      </c>
      <c r="AP170">
        <v>4.4385845780000004</v>
      </c>
      <c r="AT170">
        <v>3.146058595</v>
      </c>
      <c r="AV170">
        <v>3.7482928750000002</v>
      </c>
      <c r="AW170">
        <v>3.3766366639999998</v>
      </c>
    </row>
    <row r="171" spans="1:49" x14ac:dyDescent="0.2">
      <c r="A171" t="s">
        <v>235</v>
      </c>
      <c r="B171" s="73">
        <v>32782</v>
      </c>
      <c r="D171">
        <v>5.6582692530000003</v>
      </c>
      <c r="E171">
        <v>3.3512560429999998</v>
      </c>
      <c r="F171">
        <v>3.1070158999999999</v>
      </c>
      <c r="H171">
        <v>2.6011457679999999</v>
      </c>
      <c r="I171">
        <v>4.6638269699999997</v>
      </c>
      <c r="M171">
        <v>3.5839561240000002</v>
      </c>
      <c r="N171">
        <v>3.4985423000000002E-2</v>
      </c>
      <c r="P171">
        <v>4.5152553849999997</v>
      </c>
      <c r="T171">
        <v>6.1143298570000004</v>
      </c>
      <c r="U171">
        <v>4.2905902380000001</v>
      </c>
      <c r="V171">
        <v>3.69758933</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-0.16331209499999999</v>
      </c>
      <c r="AN171">
        <v>3.8261529529999998</v>
      </c>
      <c r="AP171">
        <v>5.6930811569999999</v>
      </c>
      <c r="AT171">
        <v>3.0075387760000001</v>
      </c>
      <c r="AV171">
        <v>3.9081130530000001</v>
      </c>
      <c r="AW171">
        <v>2.0867109940000002</v>
      </c>
    </row>
    <row r="172" spans="1:49" x14ac:dyDescent="0.2">
      <c r="A172" t="s">
        <v>236</v>
      </c>
      <c r="B172" s="73">
        <v>32874</v>
      </c>
      <c r="D172">
        <v>3.7332152139999999</v>
      </c>
      <c r="E172">
        <v>3.4708611230000002</v>
      </c>
      <c r="F172">
        <v>3.4324837760000002</v>
      </c>
      <c r="H172">
        <v>1.6730314260000001</v>
      </c>
      <c r="I172">
        <v>4.2210572979999998</v>
      </c>
      <c r="M172">
        <v>3.5647693409999999</v>
      </c>
      <c r="N172">
        <v>-0.74857180400000001</v>
      </c>
      <c r="P172">
        <v>4.5762999410000003</v>
      </c>
      <c r="T172">
        <v>4.2360347379999999</v>
      </c>
      <c r="U172">
        <v>4.7802087799999997</v>
      </c>
      <c r="V172">
        <v>3.4802267320000002</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0.52305755300000001</v>
      </c>
      <c r="AN172">
        <v>3.6205313289999999</v>
      </c>
      <c r="AP172">
        <v>5.1854990430000001</v>
      </c>
      <c r="AT172">
        <v>2.1909303680000001</v>
      </c>
      <c r="AV172">
        <v>2.743803255</v>
      </c>
      <c r="AW172">
        <v>0.51118522899999996</v>
      </c>
    </row>
    <row r="173" spans="1:49" x14ac:dyDescent="0.2">
      <c r="A173" t="s">
        <v>237</v>
      </c>
      <c r="B173" s="73">
        <v>32964</v>
      </c>
      <c r="D173">
        <v>3.5065159019999999</v>
      </c>
      <c r="E173">
        <v>3.8908232219999999</v>
      </c>
      <c r="F173">
        <v>4.2568378060000001</v>
      </c>
      <c r="H173">
        <v>1.4740295080000001</v>
      </c>
      <c r="I173">
        <v>5.6765362909999997</v>
      </c>
      <c r="M173">
        <v>4.6210307669999997</v>
      </c>
      <c r="N173">
        <v>-2.403286338</v>
      </c>
      <c r="P173">
        <v>3.062070109</v>
      </c>
      <c r="T173">
        <v>4.4003165859999998</v>
      </c>
      <c r="U173">
        <v>3.9859247209999999</v>
      </c>
      <c r="V173">
        <v>2.9851000160000001</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-0.91332599000000003</v>
      </c>
      <c r="AN173">
        <v>3.3381094830000002</v>
      </c>
      <c r="AP173">
        <v>2.399309825</v>
      </c>
      <c r="AT173">
        <v>2.2395397149999998</v>
      </c>
      <c r="AV173">
        <v>2.821303844</v>
      </c>
      <c r="AW173">
        <v>-2.7499771999999999E-2</v>
      </c>
    </row>
    <row r="174" spans="1:49" x14ac:dyDescent="0.2">
      <c r="A174" t="s">
        <v>238</v>
      </c>
      <c r="B174" s="73">
        <v>33055</v>
      </c>
      <c r="D174">
        <v>1.496779174</v>
      </c>
      <c r="E174">
        <v>4.5137954860000002</v>
      </c>
      <c r="F174">
        <v>2.8990650310000001</v>
      </c>
      <c r="H174">
        <v>0.66907213399999999</v>
      </c>
      <c r="I174">
        <v>4.4036911229999998</v>
      </c>
      <c r="M174">
        <v>4.7138869809999999</v>
      </c>
      <c r="N174">
        <v>1.8295618680000001</v>
      </c>
      <c r="P174">
        <v>3.7923394130000001</v>
      </c>
      <c r="T174">
        <v>1.1850196470000001</v>
      </c>
      <c r="U174">
        <v>3.5405071549999998</v>
      </c>
      <c r="V174">
        <v>3.5485385890000001</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-1.4995885010000001</v>
      </c>
      <c r="AN174">
        <v>3.8839601880000001</v>
      </c>
      <c r="AP174">
        <v>5.8107886249999998</v>
      </c>
      <c r="AT174">
        <v>1.2437843879999999</v>
      </c>
      <c r="AV174">
        <v>2.4127729549999999</v>
      </c>
      <c r="AW174">
        <v>-0.54150713699999997</v>
      </c>
    </row>
    <row r="175" spans="1:49" x14ac:dyDescent="0.2">
      <c r="A175" t="s">
        <v>239</v>
      </c>
      <c r="B175" s="73">
        <v>33147</v>
      </c>
      <c r="D175">
        <v>7.4165872999999993E-2</v>
      </c>
      <c r="E175">
        <v>4.5109601890000004</v>
      </c>
      <c r="F175">
        <v>2.6544734330000002</v>
      </c>
      <c r="H175">
        <v>-0.399573277</v>
      </c>
      <c r="I175">
        <v>3.283475224</v>
      </c>
      <c r="M175">
        <v>5.9514963319999996</v>
      </c>
      <c r="N175">
        <v>3.6641139229999999</v>
      </c>
      <c r="P175">
        <v>2.1145436879999999</v>
      </c>
      <c r="T175">
        <v>-2.136296465</v>
      </c>
      <c r="U175">
        <v>2.9061212269999999</v>
      </c>
      <c r="V175">
        <v>3.126968373</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0.53072797699999996</v>
      </c>
      <c r="AN175">
        <v>3.2513056649999998</v>
      </c>
      <c r="AP175">
        <v>4.4884801809999999</v>
      </c>
      <c r="AT175">
        <v>0.41008955800000002</v>
      </c>
      <c r="AV175">
        <v>1.7272166369999999</v>
      </c>
      <c r="AW175">
        <v>-0.70487321400000003</v>
      </c>
    </row>
    <row r="176" spans="1:49" x14ac:dyDescent="0.2">
      <c r="A176" t="s">
        <v>240</v>
      </c>
      <c r="B176" s="73">
        <v>33239</v>
      </c>
      <c r="D176">
        <v>0.93989742200000004</v>
      </c>
      <c r="E176">
        <v>3.8747718619999998</v>
      </c>
      <c r="F176">
        <v>2.5680475939999998</v>
      </c>
      <c r="H176">
        <v>-1.0760529210000001</v>
      </c>
      <c r="I176">
        <v>1.4976656939999999</v>
      </c>
      <c r="M176">
        <v>6.5816151930000002</v>
      </c>
      <c r="N176">
        <v>0.87859741999999996</v>
      </c>
      <c r="P176">
        <v>6.1524110800000003</v>
      </c>
      <c r="T176">
        <v>-2.7433752990000002</v>
      </c>
      <c r="U176">
        <v>1.726425085</v>
      </c>
      <c r="V176">
        <v>1.8267626779999999</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1.9025564699999999</v>
      </c>
      <c r="AN176">
        <v>2.515229551</v>
      </c>
      <c r="AP176">
        <v>6.3810663500000002</v>
      </c>
      <c r="AT176">
        <v>0.240339254</v>
      </c>
      <c r="AV176">
        <v>0.60285869599999997</v>
      </c>
      <c r="AW176">
        <v>6.1578020000000004E-3</v>
      </c>
    </row>
    <row r="177" spans="1:49" x14ac:dyDescent="0.2">
      <c r="A177" t="s">
        <v>241</v>
      </c>
      <c r="B177" s="73">
        <v>33329</v>
      </c>
      <c r="D177">
        <v>-1.1485991179999999</v>
      </c>
      <c r="E177">
        <v>3.3210353690000001</v>
      </c>
      <c r="F177">
        <v>0.55354087900000004</v>
      </c>
      <c r="H177">
        <v>-3.3984860320000001</v>
      </c>
      <c r="I177">
        <v>-7.1667696000000003E-2</v>
      </c>
      <c r="M177">
        <v>7.3739444860000001</v>
      </c>
      <c r="N177">
        <v>1.7422071729999999</v>
      </c>
      <c r="P177">
        <v>3.208298155</v>
      </c>
      <c r="T177">
        <v>-5.9139187010000001</v>
      </c>
      <c r="U177">
        <v>1.0716710570000001</v>
      </c>
      <c r="V177">
        <v>1.390302902</v>
      </c>
      <c r="X177">
        <v>-1.2449363019999999</v>
      </c>
      <c r="Y177">
        <v>0.42717564200000002</v>
      </c>
      <c r="AB177">
        <v>3.8384998100000001</v>
      </c>
      <c r="AC177">
        <v>1.0767254900000001</v>
      </c>
      <c r="AE177">
        <v>1.782873688</v>
      </c>
      <c r="AF177">
        <v>5.5964706509999997</v>
      </c>
      <c r="AG177">
        <v>11.71973054</v>
      </c>
      <c r="AH177">
        <v>8.6800132699999999</v>
      </c>
      <c r="AJ177">
        <v>5.1688401300000004</v>
      </c>
      <c r="AK177">
        <v>2.602306005</v>
      </c>
      <c r="AL177">
        <v>3.6383269619999998</v>
      </c>
      <c r="AM177">
        <v>-0.39521936800000002</v>
      </c>
      <c r="AN177">
        <v>1.6696788229999999</v>
      </c>
      <c r="AP177">
        <v>2.855283649</v>
      </c>
      <c r="AT177">
        <v>-0.283530703</v>
      </c>
      <c r="AV177">
        <v>-0.95024069700000002</v>
      </c>
      <c r="AW177">
        <v>-0.86866982299999995</v>
      </c>
    </row>
    <row r="178" spans="1:49" x14ac:dyDescent="0.2">
      <c r="A178" t="s">
        <v>242</v>
      </c>
      <c r="B178" s="73">
        <v>33420</v>
      </c>
      <c r="D178">
        <v>-1.4352474719999999</v>
      </c>
      <c r="E178">
        <v>3.1513738870000001</v>
      </c>
      <c r="F178">
        <v>2.088652658</v>
      </c>
      <c r="H178">
        <v>-2.5444951750000002</v>
      </c>
      <c r="I178">
        <v>-1.6006701569999999</v>
      </c>
      <c r="M178">
        <v>6.2830563489999998</v>
      </c>
      <c r="N178">
        <v>0.57802191999999997</v>
      </c>
      <c r="P178">
        <v>2.7208127850000001</v>
      </c>
      <c r="T178">
        <v>-5.7427194049999999</v>
      </c>
      <c r="U178">
        <v>0.96712845400000003</v>
      </c>
      <c r="V178">
        <v>1.0124907219999999</v>
      </c>
      <c r="X178">
        <v>-1.873654854</v>
      </c>
      <c r="Y178">
        <v>1.528585007</v>
      </c>
      <c r="AB178">
        <v>1.766355814</v>
      </c>
      <c r="AC178">
        <v>0.64635575099999998</v>
      </c>
      <c r="AE178">
        <v>0.91829299900000005</v>
      </c>
      <c r="AF178">
        <v>3.5823236110000001</v>
      </c>
      <c r="AG178">
        <v>11.097758274</v>
      </c>
      <c r="AH178">
        <v>9.8636366370000008</v>
      </c>
      <c r="AJ178">
        <v>4.5104897890000002</v>
      </c>
      <c r="AK178">
        <v>2.9432686280000002</v>
      </c>
      <c r="AL178">
        <v>3.0668068079999999</v>
      </c>
      <c r="AM178">
        <v>-1.0571968220000001</v>
      </c>
      <c r="AN178">
        <v>1.3263809769999999</v>
      </c>
      <c r="AP178">
        <v>2.948468552</v>
      </c>
      <c r="AT178">
        <v>-1.1257929769999999</v>
      </c>
      <c r="AV178">
        <v>-0.53888796000000005</v>
      </c>
      <c r="AW178">
        <v>-1.010671037</v>
      </c>
    </row>
    <row r="179" spans="1:49" x14ac:dyDescent="0.2">
      <c r="A179" t="s">
        <v>243</v>
      </c>
      <c r="B179" s="73">
        <v>33512</v>
      </c>
      <c r="D179">
        <v>-0.43797156100000001</v>
      </c>
      <c r="E179">
        <v>3.4406282949999998</v>
      </c>
      <c r="F179">
        <v>2.6411033810000002</v>
      </c>
      <c r="H179">
        <v>-1.718605731</v>
      </c>
      <c r="I179">
        <v>-1.239576309</v>
      </c>
      <c r="M179">
        <v>3.8637192759999999</v>
      </c>
      <c r="N179">
        <v>1.0316925029999999</v>
      </c>
      <c r="P179">
        <v>3.8064650430000002</v>
      </c>
      <c r="T179">
        <v>-5.6610296450000002</v>
      </c>
      <c r="U179">
        <v>0.80221680100000003</v>
      </c>
      <c r="V179">
        <v>0.66599083100000001</v>
      </c>
      <c r="X179">
        <v>-1.062534136</v>
      </c>
      <c r="Y179">
        <v>11.008330267</v>
      </c>
      <c r="AB179">
        <v>0.89215626000000003</v>
      </c>
      <c r="AC179">
        <v>-0.27596642900000001</v>
      </c>
      <c r="AE179">
        <v>0.79282625799999995</v>
      </c>
      <c r="AF179">
        <v>1.648629178</v>
      </c>
      <c r="AG179">
        <v>9.9272663290000001</v>
      </c>
      <c r="AH179">
        <v>9.229549875</v>
      </c>
      <c r="AJ179">
        <v>3.295725258</v>
      </c>
      <c r="AK179">
        <v>1.974937366</v>
      </c>
      <c r="AL179">
        <v>3.836181394</v>
      </c>
      <c r="AM179">
        <v>-1.6404663129999999</v>
      </c>
      <c r="AN179">
        <v>1.244003312</v>
      </c>
      <c r="AP179">
        <v>3.331830515</v>
      </c>
      <c r="AT179">
        <v>-0.81982652199999995</v>
      </c>
      <c r="AV179">
        <v>-0.10271685</v>
      </c>
      <c r="AW179">
        <v>-0.96583420200000003</v>
      </c>
    </row>
    <row r="180" spans="1:49" x14ac:dyDescent="0.2">
      <c r="A180" t="s">
        <v>244</v>
      </c>
      <c r="B180" s="73">
        <v>33604</v>
      </c>
      <c r="D180">
        <v>-0.964417784</v>
      </c>
      <c r="E180">
        <v>3.3667390909999999</v>
      </c>
      <c r="F180">
        <v>1.923674275</v>
      </c>
      <c r="H180">
        <v>-0.651858245</v>
      </c>
      <c r="I180">
        <v>-0.458837628</v>
      </c>
      <c r="M180">
        <v>3.3928246569999998</v>
      </c>
      <c r="N180">
        <v>1.122398727</v>
      </c>
      <c r="P180">
        <v>0.521509895</v>
      </c>
      <c r="T180">
        <v>-6.2297171999999996</v>
      </c>
      <c r="U180">
        <v>0.93590097900000002</v>
      </c>
      <c r="V180">
        <v>1.570739691</v>
      </c>
      <c r="X180">
        <v>-0.55445469700000005</v>
      </c>
      <c r="Y180">
        <v>0.14541929200000001</v>
      </c>
      <c r="AB180">
        <v>1.28419913</v>
      </c>
      <c r="AC180">
        <v>-1.5706143960000001</v>
      </c>
      <c r="AE180">
        <v>2.6425274609999998</v>
      </c>
      <c r="AF180">
        <v>2.5573797479999998</v>
      </c>
      <c r="AG180">
        <v>10.433958193</v>
      </c>
      <c r="AH180">
        <v>6.8743679740000001</v>
      </c>
      <c r="AJ180">
        <v>3.841641702</v>
      </c>
      <c r="AK180">
        <v>2.2952543200000002</v>
      </c>
      <c r="AL180">
        <v>1.869764722</v>
      </c>
      <c r="AM180">
        <v>-2.1493630939999999</v>
      </c>
      <c r="AN180">
        <v>1.6336354989999999</v>
      </c>
      <c r="AP180">
        <v>0.679243402</v>
      </c>
      <c r="AT180">
        <v>-2.0857428680000001</v>
      </c>
      <c r="AV180">
        <v>1.1665033419999999</v>
      </c>
      <c r="AW180">
        <v>-1.2279126199999999</v>
      </c>
    </row>
    <row r="181" spans="1:49" x14ac:dyDescent="0.2">
      <c r="A181" t="s">
        <v>245</v>
      </c>
      <c r="B181" s="73">
        <v>33695</v>
      </c>
      <c r="D181">
        <v>1.0974194509999999</v>
      </c>
      <c r="E181">
        <v>3.0495318519999999</v>
      </c>
      <c r="F181">
        <v>3.8005079309999998</v>
      </c>
      <c r="H181">
        <v>0.85990007800000001</v>
      </c>
      <c r="I181">
        <v>0.14653021199999999</v>
      </c>
      <c r="M181">
        <v>2.0731408820000001</v>
      </c>
      <c r="N181">
        <v>2.2773063929999999</v>
      </c>
      <c r="P181">
        <v>3.5136924930000002</v>
      </c>
      <c r="T181">
        <v>-4.0574485060000001</v>
      </c>
      <c r="U181">
        <v>2.0722492720000001</v>
      </c>
      <c r="V181">
        <v>2.0253756489999999</v>
      </c>
      <c r="X181">
        <v>-0.25218927499999999</v>
      </c>
      <c r="Y181">
        <v>1.9322141269999999</v>
      </c>
      <c r="AB181">
        <v>2.3515433369999998</v>
      </c>
      <c r="AC181">
        <v>-2.8069782939999999</v>
      </c>
      <c r="AE181">
        <v>0.92673500099999995</v>
      </c>
      <c r="AF181">
        <v>1.703118948</v>
      </c>
      <c r="AG181">
        <v>8.3372773410000001</v>
      </c>
      <c r="AH181">
        <v>3.977650213</v>
      </c>
      <c r="AJ181">
        <v>3.5471799370000001</v>
      </c>
      <c r="AK181">
        <v>3.4394888030000001</v>
      </c>
      <c r="AL181">
        <v>3.1606322100000002</v>
      </c>
      <c r="AM181">
        <v>0.57888077800000004</v>
      </c>
      <c r="AN181">
        <v>2.399102069</v>
      </c>
      <c r="AP181">
        <v>4.9051033329999996</v>
      </c>
      <c r="AT181">
        <v>-0.87867711400000004</v>
      </c>
      <c r="AV181">
        <v>2.8588691050000001</v>
      </c>
      <c r="AW181">
        <v>-1.1336506559999999</v>
      </c>
    </row>
    <row r="182" spans="1:49" x14ac:dyDescent="0.2">
      <c r="A182" t="s">
        <v>246</v>
      </c>
      <c r="B182" s="73">
        <v>33786</v>
      </c>
      <c r="D182">
        <v>1.989118691</v>
      </c>
      <c r="E182">
        <v>2.607366721</v>
      </c>
      <c r="F182">
        <v>1.3552142890000001</v>
      </c>
      <c r="H182">
        <v>0.51440589000000003</v>
      </c>
      <c r="I182">
        <v>0.70939517100000005</v>
      </c>
      <c r="M182">
        <v>1.8249384529999999</v>
      </c>
      <c r="N182">
        <v>0.37830800199999998</v>
      </c>
      <c r="P182">
        <v>0.93326662599999999</v>
      </c>
      <c r="T182">
        <v>-3.9869593829999999</v>
      </c>
      <c r="U182">
        <v>1.7150466470000001</v>
      </c>
      <c r="V182">
        <v>1.972998443</v>
      </c>
      <c r="X182">
        <v>-0.24117129500000001</v>
      </c>
      <c r="Y182">
        <v>0.534086375</v>
      </c>
      <c r="AB182">
        <v>3.4239162099999998</v>
      </c>
      <c r="AC182">
        <v>-3.5887627790000001</v>
      </c>
      <c r="AE182">
        <v>1.423993004</v>
      </c>
      <c r="AF182">
        <v>0.86259139299999998</v>
      </c>
      <c r="AG182">
        <v>7.3144682510000001</v>
      </c>
      <c r="AH182">
        <v>1.618965795</v>
      </c>
      <c r="AJ182">
        <v>3.6589576090000002</v>
      </c>
      <c r="AK182">
        <v>1.3016518420000001</v>
      </c>
      <c r="AL182">
        <v>3.1592387569999998</v>
      </c>
      <c r="AM182">
        <v>1.2742958280000001</v>
      </c>
      <c r="AN182">
        <v>2.111710671</v>
      </c>
      <c r="AP182">
        <v>1.939972161</v>
      </c>
      <c r="AT182">
        <v>-0.24341441699999999</v>
      </c>
      <c r="AV182">
        <v>3.1697558209999999</v>
      </c>
      <c r="AW182">
        <v>-1.5178454260000001</v>
      </c>
    </row>
    <row r="183" spans="1:49" x14ac:dyDescent="0.2">
      <c r="A183" t="s">
        <v>247</v>
      </c>
      <c r="B183" s="73">
        <v>33878</v>
      </c>
      <c r="D183">
        <v>2.5510253089999999</v>
      </c>
      <c r="E183">
        <v>1.5621256349999999</v>
      </c>
      <c r="F183">
        <v>0.98695105599999999</v>
      </c>
      <c r="H183">
        <v>0.91901447599999997</v>
      </c>
      <c r="I183">
        <v>-0.316181453</v>
      </c>
      <c r="M183">
        <v>1.869969805</v>
      </c>
      <c r="N183">
        <v>2.3430315190000002</v>
      </c>
      <c r="P183">
        <v>0.240639413</v>
      </c>
      <c r="T183">
        <v>-2.7698039460000001</v>
      </c>
      <c r="U183">
        <v>1.437520871</v>
      </c>
      <c r="V183">
        <v>2.2987303639999999</v>
      </c>
      <c r="X183">
        <v>0.61486137100000005</v>
      </c>
      <c r="Y183">
        <v>0.23657761099999999</v>
      </c>
      <c r="AB183">
        <v>3.9130961489999998</v>
      </c>
      <c r="AC183">
        <v>-3.5184460689999999</v>
      </c>
      <c r="AE183">
        <v>1.1625386639999999</v>
      </c>
      <c r="AF183">
        <v>1.2053187489999999</v>
      </c>
      <c r="AG183">
        <v>5.1316524049999996</v>
      </c>
      <c r="AH183">
        <v>0.62824913100000002</v>
      </c>
      <c r="AJ183">
        <v>4.4273363100000003</v>
      </c>
      <c r="AK183">
        <v>1.196066069</v>
      </c>
      <c r="AL183">
        <v>4.7665932079999997</v>
      </c>
      <c r="AM183">
        <v>0.176631278</v>
      </c>
      <c r="AN183">
        <v>2.3320715829999998</v>
      </c>
      <c r="AP183">
        <v>0.50825329900000005</v>
      </c>
      <c r="AT183">
        <v>-1.207304618</v>
      </c>
      <c r="AV183">
        <v>3.6653228790000001</v>
      </c>
      <c r="AW183">
        <v>-2.6202395740000002</v>
      </c>
    </row>
    <row r="184" spans="1:49" x14ac:dyDescent="0.2">
      <c r="A184" t="s">
        <v>248</v>
      </c>
      <c r="B184" s="73">
        <v>33970</v>
      </c>
      <c r="D184">
        <v>4.6098763180000004</v>
      </c>
      <c r="E184">
        <v>0.639191222</v>
      </c>
      <c r="F184">
        <v>-0.75984834700000004</v>
      </c>
      <c r="H184">
        <v>1.306211706</v>
      </c>
      <c r="I184">
        <v>-1.4291989570000001</v>
      </c>
      <c r="M184">
        <v>0.23962235200000001</v>
      </c>
      <c r="N184">
        <v>2.9060358289999999</v>
      </c>
      <c r="P184">
        <v>-0.905532012</v>
      </c>
      <c r="T184">
        <v>-2.3113528209999998</v>
      </c>
      <c r="U184">
        <v>0.71562057199999995</v>
      </c>
      <c r="V184">
        <v>2.0182209179999999</v>
      </c>
      <c r="X184">
        <v>1.133782538</v>
      </c>
      <c r="Y184">
        <v>8.1679574000000005E-2</v>
      </c>
      <c r="AB184">
        <v>3.6779694850000002</v>
      </c>
      <c r="AC184">
        <v>-2.5239499259999998</v>
      </c>
      <c r="AE184">
        <v>-0.70021035300000001</v>
      </c>
      <c r="AF184">
        <v>-0.14120840800000001</v>
      </c>
      <c r="AG184">
        <v>4.1645832340000002</v>
      </c>
      <c r="AH184">
        <v>1.1293975199999999</v>
      </c>
      <c r="AJ184">
        <v>2.6601164449999999</v>
      </c>
      <c r="AK184">
        <v>0.46280552899999999</v>
      </c>
      <c r="AL184">
        <v>3.2595494779999998</v>
      </c>
      <c r="AM184">
        <v>0.78916728700000005</v>
      </c>
      <c r="AN184">
        <v>1.95015922</v>
      </c>
      <c r="AP184">
        <v>0.32415702899999999</v>
      </c>
      <c r="AT184">
        <v>-2.411837217</v>
      </c>
      <c r="AV184">
        <v>4.382587644</v>
      </c>
      <c r="AW184">
        <v>-3.2812704789999998</v>
      </c>
    </row>
    <row r="185" spans="1:49" x14ac:dyDescent="0.2">
      <c r="A185" t="s">
        <v>249</v>
      </c>
      <c r="B185" s="73">
        <v>34060</v>
      </c>
      <c r="D185">
        <v>4.5535084880000003</v>
      </c>
      <c r="E185">
        <v>1.4420690999999999E-2</v>
      </c>
      <c r="F185">
        <v>-2.875422564</v>
      </c>
      <c r="H185">
        <v>1.880252874</v>
      </c>
      <c r="I185">
        <v>-2.3195820230000002</v>
      </c>
      <c r="K185">
        <v>15.3</v>
      </c>
      <c r="M185">
        <v>-1.9745281400000001</v>
      </c>
      <c r="N185">
        <v>0.225781391</v>
      </c>
      <c r="P185">
        <v>-2.7998344180000001</v>
      </c>
      <c r="T185">
        <v>-2.396353108</v>
      </c>
      <c r="U185">
        <v>-0.81475670499999997</v>
      </c>
      <c r="V185">
        <v>1.438733686</v>
      </c>
      <c r="X185">
        <v>1.843925343</v>
      </c>
      <c r="Y185">
        <v>-4.6879161859999998</v>
      </c>
      <c r="AB185">
        <v>3.0848158909999999</v>
      </c>
      <c r="AC185">
        <v>-0.90747498400000004</v>
      </c>
      <c r="AE185">
        <v>-1.1046737419999999</v>
      </c>
      <c r="AF185">
        <v>0.95266193499999996</v>
      </c>
      <c r="AG185">
        <v>4.3797738920000002</v>
      </c>
      <c r="AH185">
        <v>2.4985630730000001</v>
      </c>
      <c r="AJ185">
        <v>2.6360445939999999</v>
      </c>
      <c r="AK185">
        <v>0.37124305099999999</v>
      </c>
      <c r="AL185">
        <v>0.444114114</v>
      </c>
      <c r="AM185">
        <v>2.143926896</v>
      </c>
      <c r="AN185">
        <v>1.2880731169999999</v>
      </c>
      <c r="AP185">
        <v>-2.7195940840000001</v>
      </c>
      <c r="AT185">
        <v>-5.0671609350000004</v>
      </c>
      <c r="AV185">
        <v>3.319981753</v>
      </c>
      <c r="AW185">
        <v>-1.346412639</v>
      </c>
    </row>
    <row r="186" spans="1:49" x14ac:dyDescent="0.2">
      <c r="A186" t="s">
        <v>250</v>
      </c>
      <c r="B186" s="73">
        <v>34151</v>
      </c>
      <c r="D186">
        <v>4.415659346</v>
      </c>
      <c r="E186">
        <v>0.10537650699999999</v>
      </c>
      <c r="F186">
        <v>-0.68682945299999998</v>
      </c>
      <c r="H186">
        <v>2.6824140139999999</v>
      </c>
      <c r="I186">
        <v>-0.84439633999999997</v>
      </c>
      <c r="K186">
        <v>13.5</v>
      </c>
      <c r="M186">
        <v>-1.239498099</v>
      </c>
      <c r="N186">
        <v>0.61426908300000005</v>
      </c>
      <c r="P186">
        <v>-1.522315216</v>
      </c>
      <c r="T186">
        <v>-1.476589514</v>
      </c>
      <c r="U186">
        <v>-0.71043418899999999</v>
      </c>
      <c r="V186">
        <v>1.2022496810000001</v>
      </c>
      <c r="X186">
        <v>2.4686226979999999</v>
      </c>
      <c r="Y186">
        <v>7.6328890000000003E-3</v>
      </c>
      <c r="AB186">
        <v>2.5342366269999999</v>
      </c>
      <c r="AC186">
        <v>0.94924331100000003</v>
      </c>
      <c r="AE186">
        <v>-1.2867544150000001</v>
      </c>
      <c r="AF186">
        <v>-3.6541774999999999E-2</v>
      </c>
      <c r="AG186">
        <v>6.3114789780000002</v>
      </c>
      <c r="AH186">
        <v>4.0021739619999996</v>
      </c>
      <c r="AJ186">
        <v>1.2475291390000001</v>
      </c>
      <c r="AK186">
        <v>1.5553236399999999</v>
      </c>
      <c r="AL186">
        <v>1.6578513969999999</v>
      </c>
      <c r="AM186">
        <v>4.3952566549999998</v>
      </c>
      <c r="AN186">
        <v>1.4183333950000001</v>
      </c>
      <c r="AP186">
        <v>-1.7677233299999999</v>
      </c>
      <c r="AT186">
        <v>-3.3305313600000002</v>
      </c>
      <c r="AV186">
        <v>2.8066673899999999</v>
      </c>
      <c r="AW186">
        <v>-5.9836001999999999E-2</v>
      </c>
    </row>
    <row r="187" spans="1:49" x14ac:dyDescent="0.2">
      <c r="A187" t="s">
        <v>251</v>
      </c>
      <c r="B187" s="73">
        <v>34243</v>
      </c>
      <c r="D187">
        <v>3.5206188950000001</v>
      </c>
      <c r="E187">
        <v>1.0460614500000001</v>
      </c>
      <c r="F187">
        <v>-0.67939716699999997</v>
      </c>
      <c r="H187">
        <v>3.1073545660000002</v>
      </c>
      <c r="I187">
        <v>0.53118964700000004</v>
      </c>
      <c r="K187">
        <v>12.9</v>
      </c>
      <c r="M187">
        <v>-0.476525174</v>
      </c>
      <c r="N187">
        <v>-1.8805949829999999</v>
      </c>
      <c r="P187">
        <v>-0.40105551</v>
      </c>
      <c r="T187">
        <v>-9.7364866999999994E-2</v>
      </c>
      <c r="U187">
        <v>-0.60783869599999996</v>
      </c>
      <c r="V187">
        <v>0.96064709000000004</v>
      </c>
      <c r="X187">
        <v>2.642756463</v>
      </c>
      <c r="Y187">
        <v>-1.1815995189999999</v>
      </c>
      <c r="AB187">
        <v>2.3825161700000002</v>
      </c>
      <c r="AC187">
        <v>2.7045342130000001</v>
      </c>
      <c r="AE187">
        <v>-1.2230942520000001</v>
      </c>
      <c r="AF187">
        <v>-0.87078218500000004</v>
      </c>
      <c r="AG187">
        <v>8.1983578680000004</v>
      </c>
      <c r="AH187">
        <v>5.0170326220000003</v>
      </c>
      <c r="AJ187">
        <v>1.337463794</v>
      </c>
      <c r="AK187">
        <v>2.0747717259999998</v>
      </c>
      <c r="AL187">
        <v>2.342647135</v>
      </c>
      <c r="AM187">
        <v>7.3357991240000002</v>
      </c>
      <c r="AN187">
        <v>1.303022774</v>
      </c>
      <c r="AP187">
        <v>-0.741093157</v>
      </c>
      <c r="AT187">
        <v>-0.56446438899999996</v>
      </c>
      <c r="AV187">
        <v>2.286515761</v>
      </c>
      <c r="AW187">
        <v>2.40739064</v>
      </c>
    </row>
    <row r="188" spans="1:49" x14ac:dyDescent="0.2">
      <c r="A188" t="s">
        <v>252</v>
      </c>
      <c r="B188" s="73">
        <v>34335</v>
      </c>
      <c r="D188">
        <v>3.2840586890000001</v>
      </c>
      <c r="E188">
        <v>2.0648255369999999</v>
      </c>
      <c r="F188">
        <v>1.5178115889999999</v>
      </c>
      <c r="H188">
        <v>2.966663906</v>
      </c>
      <c r="I188">
        <v>1.9097884899999999</v>
      </c>
      <c r="K188">
        <v>14.1</v>
      </c>
      <c r="M188">
        <v>-0.24914224900000001</v>
      </c>
      <c r="N188">
        <v>0.71009518100000002</v>
      </c>
      <c r="P188">
        <v>0.62998015100000004</v>
      </c>
      <c r="T188">
        <v>1.3728095149999999</v>
      </c>
      <c r="U188">
        <v>-0.113759637</v>
      </c>
      <c r="V188">
        <v>1.5079125529999999</v>
      </c>
      <c r="X188">
        <v>2.6437127249999999</v>
      </c>
      <c r="Y188">
        <v>-0.45491642199999999</v>
      </c>
      <c r="AB188">
        <v>2.774481921</v>
      </c>
      <c r="AC188">
        <v>4.0463093209999998</v>
      </c>
      <c r="AE188">
        <v>0.19169810800000001</v>
      </c>
      <c r="AF188">
        <v>0.39374597500000003</v>
      </c>
      <c r="AG188">
        <v>8.574414268</v>
      </c>
      <c r="AH188">
        <v>5.2694722860000001</v>
      </c>
      <c r="AJ188">
        <v>2.587237155</v>
      </c>
      <c r="AK188">
        <v>1.0608119890000001</v>
      </c>
      <c r="AL188">
        <v>6.7481240109999998</v>
      </c>
      <c r="AM188">
        <v>6.9875213220000001</v>
      </c>
      <c r="AN188">
        <v>1.917567858</v>
      </c>
      <c r="AP188">
        <v>-0.24897242</v>
      </c>
      <c r="AT188">
        <v>0.63978164299999996</v>
      </c>
      <c r="AV188">
        <v>2.607615494</v>
      </c>
      <c r="AW188">
        <v>4.1665479489999999</v>
      </c>
    </row>
    <row r="189" spans="1:49" x14ac:dyDescent="0.2">
      <c r="A189" t="s">
        <v>253</v>
      </c>
      <c r="B189" s="73">
        <v>34425</v>
      </c>
      <c r="C189">
        <v>7.2689223480000003</v>
      </c>
      <c r="D189">
        <v>4.2317364289999997</v>
      </c>
      <c r="E189">
        <v>2.6387803019999998</v>
      </c>
      <c r="F189">
        <v>3.0147085210000002</v>
      </c>
      <c r="H189">
        <v>3.8195590460000002</v>
      </c>
      <c r="I189">
        <v>2.5746087700000002</v>
      </c>
      <c r="K189">
        <v>14.1</v>
      </c>
      <c r="M189">
        <v>1.878706574</v>
      </c>
      <c r="N189">
        <v>3.1804639030000001</v>
      </c>
      <c r="P189">
        <v>2.4178249250000001</v>
      </c>
      <c r="T189">
        <v>1.8082554909999999</v>
      </c>
      <c r="U189">
        <v>1.1741818020000001</v>
      </c>
      <c r="V189">
        <v>2.304746792</v>
      </c>
      <c r="X189">
        <v>3.1280039569999998</v>
      </c>
      <c r="Y189">
        <v>1.4485328369999999</v>
      </c>
      <c r="AB189">
        <v>3.643862215</v>
      </c>
      <c r="AC189">
        <v>4.7413433720000002</v>
      </c>
      <c r="AE189">
        <v>1.095820351</v>
      </c>
      <c r="AF189">
        <v>0.169848783</v>
      </c>
      <c r="AG189">
        <v>9.5604005710000006</v>
      </c>
      <c r="AH189">
        <v>4.9292080460000003</v>
      </c>
      <c r="AJ189">
        <v>3.6766739930000001</v>
      </c>
      <c r="AK189">
        <v>1.9453249690000001</v>
      </c>
      <c r="AL189">
        <v>6.230043931</v>
      </c>
      <c r="AM189">
        <v>6.8504663990000001</v>
      </c>
      <c r="AN189">
        <v>2.6595361550000001</v>
      </c>
      <c r="AP189">
        <v>1.4263210209999999</v>
      </c>
      <c r="AR189">
        <v>5.9738342690000001</v>
      </c>
      <c r="AT189">
        <v>3.689588375</v>
      </c>
      <c r="AV189">
        <v>3.4305230139999998</v>
      </c>
      <c r="AW189">
        <v>2.7957711860000001</v>
      </c>
    </row>
    <row r="190" spans="1:49" x14ac:dyDescent="0.2">
      <c r="A190" t="s">
        <v>254</v>
      </c>
      <c r="B190" s="73">
        <v>34516</v>
      </c>
      <c r="C190">
        <v>6.4505317590000004</v>
      </c>
      <c r="D190">
        <v>4.8689019829999998</v>
      </c>
      <c r="E190">
        <v>2.232272424</v>
      </c>
      <c r="F190">
        <v>3.157014963</v>
      </c>
      <c r="H190">
        <v>4.386336064</v>
      </c>
      <c r="I190">
        <v>0.402783104</v>
      </c>
      <c r="K190">
        <v>13.3</v>
      </c>
      <c r="M190">
        <v>2.1505686239999999</v>
      </c>
      <c r="N190">
        <v>6.643431971</v>
      </c>
      <c r="P190">
        <v>2.649333553</v>
      </c>
      <c r="T190">
        <v>2.8899358140000002</v>
      </c>
      <c r="U190">
        <v>2.2293264000000002</v>
      </c>
      <c r="V190">
        <v>2.9275711609999999</v>
      </c>
      <c r="X190">
        <v>3.8135842489999998</v>
      </c>
      <c r="Y190">
        <v>0.95861763700000002</v>
      </c>
      <c r="AB190">
        <v>4.8797148640000003</v>
      </c>
      <c r="AC190">
        <v>4.6878555559999997</v>
      </c>
      <c r="AE190">
        <v>2.0736462489999998</v>
      </c>
      <c r="AF190">
        <v>0.22828364800000001</v>
      </c>
      <c r="AG190">
        <v>8.5629789229999993</v>
      </c>
      <c r="AH190">
        <v>4.26791433</v>
      </c>
      <c r="AJ190">
        <v>5.5776456120000004</v>
      </c>
      <c r="AK190">
        <v>2.861042796</v>
      </c>
      <c r="AL190">
        <v>6.848864667</v>
      </c>
      <c r="AM190">
        <v>5.2341127539999999</v>
      </c>
      <c r="AN190">
        <v>2.7873507769999999</v>
      </c>
      <c r="AP190">
        <v>2.6891601600000001</v>
      </c>
      <c r="AR190">
        <v>5.7936380359999999</v>
      </c>
      <c r="AT190">
        <v>3.3915680859999999</v>
      </c>
      <c r="AV190">
        <v>4.2253997019999998</v>
      </c>
      <c r="AW190">
        <v>3.0948162739999998</v>
      </c>
    </row>
    <row r="191" spans="1:49" x14ac:dyDescent="0.2">
      <c r="A191" t="s">
        <v>255</v>
      </c>
      <c r="B191" s="73">
        <v>34608</v>
      </c>
      <c r="C191">
        <v>4.6161711079999996</v>
      </c>
      <c r="D191">
        <v>5.548267439</v>
      </c>
      <c r="E191">
        <v>2.1181025739999999</v>
      </c>
      <c r="F191">
        <v>3.119258394</v>
      </c>
      <c r="H191">
        <v>4.7227622010000001</v>
      </c>
      <c r="I191">
        <v>1.122489651</v>
      </c>
      <c r="K191">
        <v>13.1</v>
      </c>
      <c r="M191">
        <v>2.2591524089999999</v>
      </c>
      <c r="N191">
        <v>5.9677727090000001</v>
      </c>
      <c r="P191">
        <v>2.2342948960000002</v>
      </c>
      <c r="T191">
        <v>4.6403420520000003</v>
      </c>
      <c r="U191">
        <v>2.6547570469999999</v>
      </c>
      <c r="V191">
        <v>3.4689352960000002</v>
      </c>
      <c r="X191">
        <v>4.1261151659999999</v>
      </c>
      <c r="Y191">
        <v>3.3148751029999999</v>
      </c>
      <c r="AB191">
        <v>6.4162312000000004</v>
      </c>
      <c r="AC191">
        <v>3.7524366150000001</v>
      </c>
      <c r="AE191">
        <v>2.8722827909999999</v>
      </c>
      <c r="AF191">
        <v>2.1363152599999999</v>
      </c>
      <c r="AG191">
        <v>8.3908405330000004</v>
      </c>
      <c r="AH191">
        <v>3.4659694010000002</v>
      </c>
      <c r="AJ191">
        <v>5.3144922689999996</v>
      </c>
      <c r="AK191">
        <v>2.8007548450000002</v>
      </c>
      <c r="AL191">
        <v>3.3383870550000001</v>
      </c>
      <c r="AM191">
        <v>4.9097640790000003</v>
      </c>
      <c r="AN191">
        <v>3.3055441430000001</v>
      </c>
      <c r="AP191">
        <v>2.4410032510000002</v>
      </c>
      <c r="AR191">
        <v>6.5673745480000001</v>
      </c>
      <c r="AT191">
        <v>3.1791976800000001</v>
      </c>
      <c r="AV191">
        <v>4.3367848599999999</v>
      </c>
      <c r="AW191">
        <v>2.9341200280000002</v>
      </c>
    </row>
    <row r="192" spans="1:49" x14ac:dyDescent="0.2">
      <c r="A192" t="s">
        <v>256</v>
      </c>
      <c r="B192" s="73">
        <v>34700</v>
      </c>
      <c r="C192">
        <v>5.0681131859999997</v>
      </c>
      <c r="D192">
        <v>4.7277007820000003</v>
      </c>
      <c r="E192">
        <v>2.77457537</v>
      </c>
      <c r="F192">
        <v>3.864636253</v>
      </c>
      <c r="H192">
        <v>5.0334568900000001</v>
      </c>
      <c r="I192">
        <v>1.022453579</v>
      </c>
      <c r="K192">
        <v>12</v>
      </c>
      <c r="M192">
        <v>3.5572715769999999</v>
      </c>
      <c r="N192">
        <v>6.3003058660000004</v>
      </c>
      <c r="P192">
        <v>2.2316238830000001</v>
      </c>
      <c r="T192">
        <v>6.4715426860000003</v>
      </c>
      <c r="U192">
        <v>3.2816471919999999</v>
      </c>
      <c r="V192">
        <v>3.397615386</v>
      </c>
      <c r="X192">
        <v>3.9955689560000001</v>
      </c>
      <c r="Y192">
        <v>2.2622029910000001</v>
      </c>
      <c r="AB192">
        <v>8.0284883219999994</v>
      </c>
      <c r="AC192">
        <v>2.1922290769999999</v>
      </c>
      <c r="AE192">
        <v>3.0824702859999999</v>
      </c>
      <c r="AF192">
        <v>1.094984322</v>
      </c>
      <c r="AG192">
        <v>10.5357919</v>
      </c>
      <c r="AH192">
        <v>2.6695102519999998</v>
      </c>
      <c r="AJ192">
        <v>5.1498473020000004</v>
      </c>
      <c r="AK192">
        <v>4.4219934969999999</v>
      </c>
      <c r="AL192">
        <v>3.7315699609999999</v>
      </c>
      <c r="AM192">
        <v>5.323198885</v>
      </c>
      <c r="AN192">
        <v>3.404871983</v>
      </c>
      <c r="AP192">
        <v>3.3256759589999998</v>
      </c>
      <c r="AR192">
        <v>6.4727279229999999</v>
      </c>
      <c r="AT192">
        <v>4.9321828610000003</v>
      </c>
      <c r="AV192">
        <v>4.115926516</v>
      </c>
      <c r="AW192">
        <v>3.9596525379999998</v>
      </c>
    </row>
    <row r="193" spans="1:49" x14ac:dyDescent="0.2">
      <c r="A193" t="s">
        <v>257</v>
      </c>
      <c r="B193" s="73">
        <v>34790</v>
      </c>
      <c r="C193">
        <v>1.9970600549999999</v>
      </c>
      <c r="D193">
        <v>3.0857047949999998</v>
      </c>
      <c r="E193">
        <v>3.3018241189999999</v>
      </c>
      <c r="F193">
        <v>3.0818700109999999</v>
      </c>
      <c r="H193">
        <v>4.4702881970000004</v>
      </c>
      <c r="I193">
        <v>0.133388126</v>
      </c>
      <c r="K193">
        <v>11.9</v>
      </c>
      <c r="L193">
        <v>6.3630145929999999</v>
      </c>
      <c r="M193">
        <v>1.79071673</v>
      </c>
      <c r="N193">
        <v>5.5565488859999999</v>
      </c>
      <c r="P193">
        <v>2.550954548</v>
      </c>
      <c r="T193">
        <v>4.894454605</v>
      </c>
      <c r="U193">
        <v>3.120433791</v>
      </c>
      <c r="V193">
        <v>2.8954207799999998</v>
      </c>
      <c r="X193">
        <v>3.1767147499999999</v>
      </c>
      <c r="Y193">
        <v>3.03725171</v>
      </c>
      <c r="AB193">
        <v>13.301595794000001</v>
      </c>
      <c r="AC193">
        <v>-2.0558247220000001</v>
      </c>
      <c r="AE193">
        <v>3.587752552</v>
      </c>
      <c r="AF193">
        <v>1.3008810630000001</v>
      </c>
      <c r="AG193">
        <v>9.6482497079999998</v>
      </c>
      <c r="AH193">
        <v>2.8991998130000001</v>
      </c>
      <c r="AJ193">
        <v>-1.9026510839999999</v>
      </c>
      <c r="AK193">
        <v>3.5822382500000001</v>
      </c>
      <c r="AL193">
        <v>4.1081904270000003</v>
      </c>
      <c r="AM193">
        <v>5.0083906359999997</v>
      </c>
      <c r="AN193">
        <v>2.8288504799999998</v>
      </c>
      <c r="AP193">
        <v>3.1569404720000001</v>
      </c>
      <c r="AR193">
        <v>6.188113736</v>
      </c>
      <c r="AT193">
        <v>5.0791121160000001</v>
      </c>
      <c r="AV193">
        <v>3.481130297</v>
      </c>
      <c r="AW193">
        <v>4.268641734</v>
      </c>
    </row>
    <row r="194" spans="1:49" x14ac:dyDescent="0.2">
      <c r="A194" t="s">
        <v>258</v>
      </c>
      <c r="B194" s="73">
        <v>34881</v>
      </c>
      <c r="C194">
        <v>-3.8574167670000001</v>
      </c>
      <c r="D194">
        <v>2.27434687</v>
      </c>
      <c r="E194">
        <v>3.5615033309999999</v>
      </c>
      <c r="F194">
        <v>2.3387633970000001</v>
      </c>
      <c r="H194">
        <v>3.0071970669999999</v>
      </c>
      <c r="I194">
        <v>1.2421927960000001</v>
      </c>
      <c r="K194">
        <v>11</v>
      </c>
      <c r="L194">
        <v>5.7609878969999997</v>
      </c>
      <c r="M194">
        <v>2.291196974</v>
      </c>
      <c r="N194">
        <v>2.2595483120000002</v>
      </c>
      <c r="P194">
        <v>2.9612889020000002</v>
      </c>
      <c r="T194">
        <v>6.7852862539999999</v>
      </c>
      <c r="U194">
        <v>2.504586942</v>
      </c>
      <c r="V194">
        <v>2.5326446900000001</v>
      </c>
      <c r="X194">
        <v>2.3814920640000001</v>
      </c>
      <c r="Y194">
        <v>2.76173387</v>
      </c>
      <c r="AB194">
        <v>12.235903279</v>
      </c>
      <c r="AC194">
        <v>-0.24167387700000001</v>
      </c>
      <c r="AE194">
        <v>2.9156826429999998</v>
      </c>
      <c r="AF194">
        <v>2.8242295479999999</v>
      </c>
      <c r="AG194">
        <v>10.069263578999999</v>
      </c>
      <c r="AH194">
        <v>3.201401948</v>
      </c>
      <c r="AJ194">
        <v>-8.6249630830000008</v>
      </c>
      <c r="AK194">
        <v>3.207608445</v>
      </c>
      <c r="AL194">
        <v>2.626607361</v>
      </c>
      <c r="AM194">
        <v>5.6467955779999999</v>
      </c>
      <c r="AN194">
        <v>2.636808013</v>
      </c>
      <c r="AP194">
        <v>3.0380996850000002</v>
      </c>
      <c r="AR194">
        <v>6.6567678130000001</v>
      </c>
      <c r="AT194">
        <v>4.4670793440000001</v>
      </c>
      <c r="AV194">
        <v>2.402168869</v>
      </c>
      <c r="AW194">
        <v>3.5580212520000001</v>
      </c>
    </row>
    <row r="195" spans="1:49" x14ac:dyDescent="0.2">
      <c r="A195" t="s">
        <v>259</v>
      </c>
      <c r="B195" s="73">
        <v>34973</v>
      </c>
      <c r="C195">
        <v>-4.4699240060000003</v>
      </c>
      <c r="D195">
        <v>3.781420765</v>
      </c>
      <c r="E195">
        <v>2.8636862789999999</v>
      </c>
      <c r="F195">
        <v>2.6651651109999999</v>
      </c>
      <c r="H195">
        <v>1.841001315</v>
      </c>
      <c r="I195">
        <v>0.672180416</v>
      </c>
      <c r="K195">
        <v>10.4</v>
      </c>
      <c r="L195">
        <v>7.3886555300000003</v>
      </c>
      <c r="M195">
        <v>1.7740072019999999</v>
      </c>
      <c r="N195">
        <v>3.169757063</v>
      </c>
      <c r="P195">
        <v>2.5625784760000001</v>
      </c>
      <c r="T195">
        <v>3.9298161280000001</v>
      </c>
      <c r="U195">
        <v>2.0295960169999998</v>
      </c>
      <c r="V195">
        <v>2.493880925</v>
      </c>
      <c r="X195">
        <v>2.2756038630000002</v>
      </c>
      <c r="Y195">
        <v>0.61570380899999999</v>
      </c>
      <c r="AB195">
        <v>10.901864712</v>
      </c>
      <c r="AC195">
        <v>-1.6544689690000001</v>
      </c>
      <c r="AE195">
        <v>2.7329493419999999</v>
      </c>
      <c r="AF195">
        <v>2.8430069279999999</v>
      </c>
      <c r="AG195">
        <v>10.495409042</v>
      </c>
      <c r="AH195">
        <v>3.6966430450000001</v>
      </c>
      <c r="AJ195">
        <v>-7.6036388559999999</v>
      </c>
      <c r="AK195">
        <v>3.2358056130000001</v>
      </c>
      <c r="AL195">
        <v>6.4915176370000003</v>
      </c>
      <c r="AM195">
        <v>4.826191058</v>
      </c>
      <c r="AN195">
        <v>2.5905507399999999</v>
      </c>
      <c r="AP195">
        <v>3.0192699209999998</v>
      </c>
      <c r="AR195">
        <v>5.2800684410000001</v>
      </c>
      <c r="AT195">
        <v>3.783012238</v>
      </c>
      <c r="AV195">
        <v>2.673106856</v>
      </c>
      <c r="AW195">
        <v>3.0858739719999999</v>
      </c>
    </row>
    <row r="196" spans="1:49" x14ac:dyDescent="0.2">
      <c r="A196" t="s">
        <v>260</v>
      </c>
      <c r="B196" s="73">
        <v>35065</v>
      </c>
      <c r="C196">
        <v>-4.9173277889999998</v>
      </c>
      <c r="D196">
        <v>2.6815064280000001</v>
      </c>
      <c r="E196">
        <v>1.8433704449999999</v>
      </c>
      <c r="F196">
        <v>1.174873872</v>
      </c>
      <c r="H196">
        <v>1.5176381409999999</v>
      </c>
      <c r="I196">
        <v>0.24277483999999999</v>
      </c>
      <c r="K196">
        <v>10.8</v>
      </c>
      <c r="L196">
        <v>4.281259436</v>
      </c>
      <c r="M196">
        <v>0.61928585700000005</v>
      </c>
      <c r="N196">
        <v>1.381050318</v>
      </c>
      <c r="P196">
        <v>2.956822426</v>
      </c>
      <c r="T196">
        <v>1.4272316979999999</v>
      </c>
      <c r="U196">
        <v>1.306871823</v>
      </c>
      <c r="V196">
        <v>2.170762989</v>
      </c>
      <c r="X196">
        <v>1.9593228499999999</v>
      </c>
      <c r="Y196">
        <v>2.036812447</v>
      </c>
      <c r="AB196">
        <v>8.6672436519999998</v>
      </c>
      <c r="AC196">
        <v>-1.3838775130000001</v>
      </c>
      <c r="AE196">
        <v>2.62018562</v>
      </c>
      <c r="AF196">
        <v>3.50889316</v>
      </c>
      <c r="AG196">
        <v>8.3054064000000007</v>
      </c>
      <c r="AH196">
        <v>4.4061177049999998</v>
      </c>
      <c r="AJ196">
        <v>-6.9146857629999996</v>
      </c>
      <c r="AK196">
        <v>2.9959663249999999</v>
      </c>
      <c r="AL196">
        <v>3.7068225469999998</v>
      </c>
      <c r="AM196">
        <v>4.1451912719999999</v>
      </c>
      <c r="AN196">
        <v>2.1780424090000001</v>
      </c>
      <c r="AP196">
        <v>2.4854236890000001</v>
      </c>
      <c r="AR196">
        <v>5.7850100429999998</v>
      </c>
      <c r="AT196">
        <v>3.2764586160000002</v>
      </c>
      <c r="AV196">
        <v>2.1995799090000001</v>
      </c>
      <c r="AW196">
        <v>1.5456032310000001</v>
      </c>
    </row>
    <row r="197" spans="1:49" x14ac:dyDescent="0.2">
      <c r="A197" t="s">
        <v>261</v>
      </c>
      <c r="B197" s="73">
        <v>35156</v>
      </c>
      <c r="C197">
        <v>-0.77166357100000005</v>
      </c>
      <c r="D197">
        <v>4.3276222459999998</v>
      </c>
      <c r="E197">
        <v>1.704238251</v>
      </c>
      <c r="F197">
        <v>1.026925133</v>
      </c>
      <c r="H197">
        <v>0.65194081800000003</v>
      </c>
      <c r="I197">
        <v>1.175792317</v>
      </c>
      <c r="J197">
        <v>8.3984463900000002</v>
      </c>
      <c r="K197">
        <v>10.9</v>
      </c>
      <c r="L197">
        <v>4.9779603449999996</v>
      </c>
      <c r="M197">
        <v>0.117692428</v>
      </c>
      <c r="N197">
        <v>0.87755667599999998</v>
      </c>
      <c r="O197">
        <v>1.331644295</v>
      </c>
      <c r="P197">
        <v>2.3959618489999999</v>
      </c>
      <c r="Q197">
        <v>0.72962773800000003</v>
      </c>
      <c r="R197">
        <v>2.0304575909999998</v>
      </c>
      <c r="T197">
        <v>4.1164302599999996</v>
      </c>
      <c r="U197">
        <v>1.3617677290000001</v>
      </c>
      <c r="V197">
        <v>2.1455321120000002</v>
      </c>
      <c r="X197">
        <v>2.1480132269999999</v>
      </c>
      <c r="Y197">
        <v>2.6325315859999998</v>
      </c>
      <c r="Z197">
        <v>2.7734019999999999E-3</v>
      </c>
      <c r="AB197">
        <v>7.8709245489999997</v>
      </c>
      <c r="AC197">
        <v>6.3547264749999997</v>
      </c>
      <c r="AD197">
        <v>6.3831329940000003</v>
      </c>
      <c r="AE197">
        <v>1.570670279</v>
      </c>
      <c r="AF197">
        <v>3.2083816889999999</v>
      </c>
      <c r="AG197">
        <v>8.1119510849999994</v>
      </c>
      <c r="AH197">
        <v>4.4175863770000001</v>
      </c>
      <c r="AI197">
        <v>-0.43192533500000002</v>
      </c>
      <c r="AJ197">
        <v>1.4169652930000001</v>
      </c>
      <c r="AK197">
        <v>2.7202935209999999</v>
      </c>
      <c r="AL197">
        <v>6.1019670809999997</v>
      </c>
      <c r="AM197">
        <v>4.343291775</v>
      </c>
      <c r="AN197">
        <v>2.526539439</v>
      </c>
      <c r="AO197">
        <v>8.39099328</v>
      </c>
      <c r="AP197">
        <v>3.1146749059999999</v>
      </c>
      <c r="AR197">
        <v>5.9661532350000002</v>
      </c>
      <c r="AS197">
        <v>1.3188679489999999</v>
      </c>
      <c r="AT197">
        <v>2.673177565</v>
      </c>
      <c r="AV197">
        <v>2.6011039930000002</v>
      </c>
      <c r="AW197">
        <v>3.1688665930000002</v>
      </c>
    </row>
    <row r="198" spans="1:49" x14ac:dyDescent="0.2">
      <c r="A198" t="s">
        <v>262</v>
      </c>
      <c r="B198" s="73">
        <v>35247</v>
      </c>
      <c r="C198">
        <v>5.4362585990000003</v>
      </c>
      <c r="D198">
        <v>4.6232131919999997</v>
      </c>
      <c r="E198">
        <v>2.142674467</v>
      </c>
      <c r="F198">
        <v>1.309798977</v>
      </c>
      <c r="H198">
        <v>1.311865775</v>
      </c>
      <c r="I198">
        <v>0.70593479999999997</v>
      </c>
      <c r="J198">
        <v>6.7390280679999996</v>
      </c>
      <c r="K198">
        <v>9.4</v>
      </c>
      <c r="L198">
        <v>5.3014189490000003</v>
      </c>
      <c r="M198">
        <v>0.74013674100000004</v>
      </c>
      <c r="N198">
        <v>3.90660937</v>
      </c>
      <c r="O198">
        <v>1.4832700050000001</v>
      </c>
      <c r="P198">
        <v>2.516124698</v>
      </c>
      <c r="Q198">
        <v>3.4673055700000002</v>
      </c>
      <c r="R198">
        <v>1.6672605110000001</v>
      </c>
      <c r="T198">
        <v>2.1928688599999999</v>
      </c>
      <c r="U198">
        <v>1.0509286449999999</v>
      </c>
      <c r="V198">
        <v>2.888540753</v>
      </c>
      <c r="X198">
        <v>1.992839644</v>
      </c>
      <c r="Y198">
        <v>2.252642313</v>
      </c>
      <c r="Z198">
        <v>-0.41620439300000001</v>
      </c>
      <c r="AB198">
        <v>8.3343556860000003</v>
      </c>
      <c r="AC198">
        <v>3.886748587</v>
      </c>
      <c r="AD198">
        <v>5.2963480949999999</v>
      </c>
      <c r="AE198">
        <v>1.3925237180000001</v>
      </c>
      <c r="AF198">
        <v>3.5542789460000002</v>
      </c>
      <c r="AG198">
        <v>8.1101791399999996</v>
      </c>
      <c r="AH198">
        <v>-3.9181841720000001</v>
      </c>
      <c r="AI198">
        <v>-1.0802827939999999</v>
      </c>
      <c r="AJ198">
        <v>8.0380121720000002</v>
      </c>
      <c r="AK198">
        <v>3.057056759</v>
      </c>
      <c r="AL198">
        <v>5.0400789399999999</v>
      </c>
      <c r="AM198">
        <v>3.9433363049999999</v>
      </c>
      <c r="AN198">
        <v>3.3157799880000001</v>
      </c>
      <c r="AO198">
        <v>8.8026742700000007</v>
      </c>
      <c r="AP198">
        <v>3.135435389</v>
      </c>
      <c r="AR198">
        <v>5.46155422</v>
      </c>
      <c r="AS198">
        <v>2.2652510160000001</v>
      </c>
      <c r="AT198">
        <v>1.3633909289999999</v>
      </c>
      <c r="AV198">
        <v>4.0021270639999997</v>
      </c>
      <c r="AW198">
        <v>4.0987108829999999</v>
      </c>
    </row>
    <row r="199" spans="1:49" x14ac:dyDescent="0.2">
      <c r="A199" t="s">
        <v>263</v>
      </c>
      <c r="B199" s="73">
        <v>35339</v>
      </c>
      <c r="C199">
        <v>8.2760598040000009</v>
      </c>
      <c r="D199">
        <v>3.1067776729999999</v>
      </c>
      <c r="E199">
        <v>2.2459541920000001</v>
      </c>
      <c r="F199">
        <v>1.1697046499999999</v>
      </c>
      <c r="H199">
        <v>2.0526832650000002</v>
      </c>
      <c r="I199">
        <v>-9.9825194000000006E-2</v>
      </c>
      <c r="J199">
        <v>7.463833953</v>
      </c>
      <c r="K199">
        <v>9.1999999999999993</v>
      </c>
      <c r="L199">
        <v>2.7466179799999999</v>
      </c>
      <c r="M199">
        <v>0.90718403700000005</v>
      </c>
      <c r="N199">
        <v>3.7677123140000002</v>
      </c>
      <c r="O199">
        <v>1.8085170930000001</v>
      </c>
      <c r="P199">
        <v>2.9788823889999998</v>
      </c>
      <c r="Q199">
        <v>7.1198577150000002</v>
      </c>
      <c r="R199">
        <v>1.799814848</v>
      </c>
      <c r="T199">
        <v>3.25219704</v>
      </c>
      <c r="U199">
        <v>1.5935539359999999</v>
      </c>
      <c r="V199">
        <v>2.7956967349999999</v>
      </c>
      <c r="X199">
        <v>2.1130457859999998</v>
      </c>
      <c r="Y199">
        <v>3.088905697</v>
      </c>
      <c r="Z199">
        <v>-0.54425196399999998</v>
      </c>
      <c r="AB199">
        <v>5.7740306229999998</v>
      </c>
      <c r="AC199">
        <v>2.8897116559999998</v>
      </c>
      <c r="AD199">
        <v>5.2764363080000001</v>
      </c>
      <c r="AE199">
        <v>1.093062771</v>
      </c>
      <c r="AF199">
        <v>2.4764419630000001</v>
      </c>
      <c r="AG199">
        <v>7.7745011499999999</v>
      </c>
      <c r="AH199">
        <v>2.470185329</v>
      </c>
      <c r="AI199">
        <v>3.4583925899999999</v>
      </c>
      <c r="AJ199">
        <v>7.8170527429999996</v>
      </c>
      <c r="AK199">
        <v>3.6852796049999998</v>
      </c>
      <c r="AL199">
        <v>6.0416577900000004</v>
      </c>
      <c r="AM199">
        <v>3.6687367160000002</v>
      </c>
      <c r="AN199">
        <v>3.2016017030000001</v>
      </c>
      <c r="AO199">
        <v>5.9761438880000002</v>
      </c>
      <c r="AP199">
        <v>4.0832396019999999</v>
      </c>
      <c r="AR199">
        <v>7.4724572729999998</v>
      </c>
      <c r="AS199">
        <v>3.3914444640000001</v>
      </c>
      <c r="AT199">
        <v>1.346789099</v>
      </c>
      <c r="AV199">
        <v>4.0499213899999997</v>
      </c>
      <c r="AW199">
        <v>4.6447513850000002</v>
      </c>
    </row>
    <row r="200" spans="1:49" x14ac:dyDescent="0.2">
      <c r="A200" t="s">
        <v>264</v>
      </c>
      <c r="B200" s="73">
        <v>35431</v>
      </c>
      <c r="C200">
        <v>9.410196998</v>
      </c>
      <c r="D200">
        <v>4.0865811599999997</v>
      </c>
      <c r="E200">
        <v>2.0449244700000002</v>
      </c>
      <c r="F200">
        <v>1.7578966380000001</v>
      </c>
      <c r="H200">
        <v>2.4547085740000001</v>
      </c>
      <c r="I200">
        <v>0.46352470400000001</v>
      </c>
      <c r="J200">
        <v>6.9195036290000003</v>
      </c>
      <c r="K200">
        <v>10.3</v>
      </c>
      <c r="L200">
        <v>3.673384172</v>
      </c>
      <c r="M200">
        <v>1.6195632419999999</v>
      </c>
      <c r="N200">
        <v>3.049006173</v>
      </c>
      <c r="O200">
        <v>1.894465595</v>
      </c>
      <c r="P200">
        <v>2.7472162569999998</v>
      </c>
      <c r="Q200">
        <v>8.0325955810000007</v>
      </c>
      <c r="R200">
        <v>1.608400297</v>
      </c>
      <c r="T200">
        <v>5.134502586</v>
      </c>
      <c r="U200">
        <v>1.5468538890000001</v>
      </c>
      <c r="V200">
        <v>3.2275690899999998</v>
      </c>
      <c r="X200">
        <v>3.4487621530000001</v>
      </c>
      <c r="Y200">
        <v>3.5811319720000001</v>
      </c>
      <c r="Z200">
        <v>1.11714826</v>
      </c>
      <c r="AB200">
        <v>6.3215394299999996</v>
      </c>
      <c r="AC200">
        <v>5.172166153</v>
      </c>
      <c r="AD200">
        <v>6.0198684919999996</v>
      </c>
      <c r="AE200">
        <v>-4.2468404000000001E-2</v>
      </c>
      <c r="AF200">
        <v>3.3719252599999998</v>
      </c>
      <c r="AG200">
        <v>7.5851555900000003</v>
      </c>
      <c r="AH200">
        <v>2.7512388959999998</v>
      </c>
      <c r="AI200">
        <v>8.6702709010000003</v>
      </c>
      <c r="AJ200">
        <v>8.9865411099999992</v>
      </c>
      <c r="AK200">
        <v>3.6838023940000002</v>
      </c>
      <c r="AL200">
        <v>3.0688962740000001</v>
      </c>
      <c r="AM200">
        <v>4.3239556979999998</v>
      </c>
      <c r="AN200">
        <v>3.6260278170000002</v>
      </c>
      <c r="AO200">
        <v>1.826203062</v>
      </c>
      <c r="AP200">
        <v>3.6746886189999999</v>
      </c>
      <c r="AR200">
        <v>7.5407260789999997</v>
      </c>
      <c r="AS200">
        <v>4.9532831860000002</v>
      </c>
      <c r="AT200">
        <v>0.99758187200000004</v>
      </c>
      <c r="AV200">
        <v>4.4213144519999998</v>
      </c>
      <c r="AW200">
        <v>5.2723973409999996</v>
      </c>
    </row>
    <row r="201" spans="1:49" x14ac:dyDescent="0.2">
      <c r="A201" t="s">
        <v>265</v>
      </c>
      <c r="B201" s="73">
        <v>35521</v>
      </c>
      <c r="C201">
        <v>8.7186427490000007</v>
      </c>
      <c r="D201">
        <v>3.0394531499999999</v>
      </c>
      <c r="E201">
        <v>1.9291526370000001</v>
      </c>
      <c r="F201">
        <v>2.9854071520000001</v>
      </c>
      <c r="G201">
        <v>4.7892920180000003</v>
      </c>
      <c r="H201">
        <v>3.7348895089999998</v>
      </c>
      <c r="I201">
        <v>0.75392019200000004</v>
      </c>
      <c r="J201">
        <v>4.8607614630000002</v>
      </c>
      <c r="K201">
        <v>10.1</v>
      </c>
      <c r="L201">
        <v>0.85551421100000002</v>
      </c>
      <c r="M201">
        <v>1.9205127019999999</v>
      </c>
      <c r="N201">
        <v>4.3267001179999998</v>
      </c>
      <c r="O201">
        <v>1.9589153070000001</v>
      </c>
      <c r="P201">
        <v>3.1805677819999998</v>
      </c>
      <c r="Q201">
        <v>10.951749365</v>
      </c>
      <c r="R201">
        <v>2.0219484209999998</v>
      </c>
      <c r="T201">
        <v>4.4901087049999999</v>
      </c>
      <c r="U201">
        <v>1.2212476000000001</v>
      </c>
      <c r="V201">
        <v>3.2448114879999999</v>
      </c>
      <c r="X201">
        <v>4.7234561399999997</v>
      </c>
      <c r="Y201">
        <v>3.6099204560000002</v>
      </c>
      <c r="Z201">
        <v>1.513028955</v>
      </c>
      <c r="AB201">
        <v>7.1166916950000001</v>
      </c>
      <c r="AC201">
        <v>4.9790982530000001</v>
      </c>
      <c r="AD201">
        <v>5.4078303270000001</v>
      </c>
      <c r="AE201">
        <v>7.2796069000000005E-2</v>
      </c>
      <c r="AF201">
        <v>2.8000023999999999</v>
      </c>
      <c r="AG201">
        <v>6.0648618689999996</v>
      </c>
      <c r="AH201">
        <v>2.1871841120000002</v>
      </c>
      <c r="AI201">
        <v>7.8830210879999996</v>
      </c>
      <c r="AJ201">
        <v>6.3190912499999996</v>
      </c>
      <c r="AK201">
        <v>4.3861176650000004</v>
      </c>
      <c r="AL201">
        <v>4.2616232759999999</v>
      </c>
      <c r="AM201">
        <v>2.4904705589999998</v>
      </c>
      <c r="AN201">
        <v>3.519262511</v>
      </c>
      <c r="AO201">
        <v>6.0310584450000002</v>
      </c>
      <c r="AP201">
        <v>4.5539999690000004</v>
      </c>
      <c r="AR201">
        <v>6.8014700860000001</v>
      </c>
      <c r="AS201">
        <v>4.8073964760000001</v>
      </c>
      <c r="AT201">
        <v>1.184332862</v>
      </c>
      <c r="AV201">
        <v>4.3141345409999996</v>
      </c>
      <c r="AW201">
        <v>3.8375015160000001</v>
      </c>
    </row>
    <row r="202" spans="1:49" x14ac:dyDescent="0.2">
      <c r="A202" t="s">
        <v>266</v>
      </c>
      <c r="B202" s="73">
        <v>35612</v>
      </c>
      <c r="C202">
        <v>7.9303330599999997</v>
      </c>
      <c r="D202">
        <v>5.3799550360000001</v>
      </c>
      <c r="E202">
        <v>1.3799515819999999</v>
      </c>
      <c r="F202">
        <v>3.849557522</v>
      </c>
      <c r="G202">
        <v>4.5637454870000003</v>
      </c>
      <c r="H202">
        <v>4.1813046429999998</v>
      </c>
      <c r="I202">
        <v>1.659510469</v>
      </c>
      <c r="J202">
        <v>6.0661685460000001</v>
      </c>
      <c r="K202">
        <v>10</v>
      </c>
      <c r="L202">
        <v>-0.17551285599999999</v>
      </c>
      <c r="M202">
        <v>1.8560924430000001</v>
      </c>
      <c r="N202">
        <v>3.320563274</v>
      </c>
      <c r="O202">
        <v>2.497562619</v>
      </c>
      <c r="P202">
        <v>3.3533221919999998</v>
      </c>
      <c r="Q202">
        <v>13.679320344000001</v>
      </c>
      <c r="R202">
        <v>2.531672258</v>
      </c>
      <c r="T202">
        <v>5.2462617219999998</v>
      </c>
      <c r="U202">
        <v>2.2085259370000001</v>
      </c>
      <c r="V202">
        <v>3.1164609099999998</v>
      </c>
      <c r="X202">
        <v>5.3864389350000001</v>
      </c>
      <c r="Y202">
        <v>4.7848213590000004</v>
      </c>
      <c r="Z202">
        <v>3.1709579799999998</v>
      </c>
      <c r="AA202">
        <v>3.2718699999999998</v>
      </c>
      <c r="AB202">
        <v>9.8977875770000008</v>
      </c>
      <c r="AC202">
        <v>5.2539259960000004</v>
      </c>
      <c r="AD202">
        <v>4.5773011449999998</v>
      </c>
      <c r="AE202">
        <v>1.507795945</v>
      </c>
      <c r="AF202">
        <v>0.74565773700000004</v>
      </c>
      <c r="AG202">
        <v>7.6559367079999996</v>
      </c>
      <c r="AH202">
        <v>11.230126650000001</v>
      </c>
      <c r="AI202">
        <v>12.49666025</v>
      </c>
      <c r="AJ202">
        <v>7.3484158529999997</v>
      </c>
      <c r="AK202">
        <v>4.3099945569999996</v>
      </c>
      <c r="AL202">
        <v>6.9230689380000001</v>
      </c>
      <c r="AM202">
        <v>3.5800061680000002</v>
      </c>
      <c r="AN202">
        <v>3.6636898599999999</v>
      </c>
      <c r="AO202">
        <v>5.1781525100000003</v>
      </c>
      <c r="AP202">
        <v>4.2534843499999999</v>
      </c>
      <c r="AR202">
        <v>7.1230961439999998</v>
      </c>
      <c r="AS202">
        <v>5.9681767560000001</v>
      </c>
      <c r="AT202">
        <v>3.2972932479999999</v>
      </c>
      <c r="AV202">
        <v>4.3080749789999997</v>
      </c>
      <c r="AW202">
        <v>3.258806281</v>
      </c>
    </row>
    <row r="203" spans="1:49" x14ac:dyDescent="0.2">
      <c r="A203" t="s">
        <v>267</v>
      </c>
      <c r="B203" s="73">
        <v>35704</v>
      </c>
      <c r="C203">
        <v>8.1630179300000005</v>
      </c>
      <c r="D203">
        <v>4.717808636</v>
      </c>
      <c r="E203">
        <v>2.295440938</v>
      </c>
      <c r="F203">
        <v>4.2847508019999996</v>
      </c>
      <c r="G203">
        <v>1.8728215880000001</v>
      </c>
      <c r="H203">
        <v>4.5112719959999996</v>
      </c>
      <c r="I203">
        <v>3.210484396</v>
      </c>
      <c r="J203">
        <v>7.3216404080000004</v>
      </c>
      <c r="K203">
        <v>8.6</v>
      </c>
      <c r="L203">
        <v>-1.270408896</v>
      </c>
      <c r="M203">
        <v>1.8365648809999999</v>
      </c>
      <c r="N203">
        <v>2.7383265689999998</v>
      </c>
      <c r="O203">
        <v>2.7366276009999999</v>
      </c>
      <c r="P203">
        <v>3.6941371410000001</v>
      </c>
      <c r="Q203">
        <v>13.142516111999999</v>
      </c>
      <c r="R203">
        <v>2.720810578</v>
      </c>
      <c r="T203">
        <v>7.1058599549999997</v>
      </c>
      <c r="U203">
        <v>2.382594707</v>
      </c>
      <c r="V203">
        <v>3.332453525</v>
      </c>
      <c r="X203">
        <v>4.9457456759999996</v>
      </c>
      <c r="Y203">
        <v>5.0277661580000004</v>
      </c>
      <c r="Z203">
        <v>4.2141028709999997</v>
      </c>
      <c r="AA203">
        <v>3.9952100000000002</v>
      </c>
      <c r="AB203">
        <v>12.593391762</v>
      </c>
      <c r="AC203">
        <v>6.1305583329999997</v>
      </c>
      <c r="AD203">
        <v>3.2766659690000002</v>
      </c>
      <c r="AE203">
        <v>2.038184679</v>
      </c>
      <c r="AF203">
        <v>0.81583904100000004</v>
      </c>
      <c r="AG203">
        <v>6.632700464</v>
      </c>
      <c r="AH203">
        <v>4.394313167</v>
      </c>
      <c r="AI203">
        <v>10.628413889999999</v>
      </c>
      <c r="AJ203">
        <v>7.5789575989999998</v>
      </c>
      <c r="AK203">
        <v>4.364193094</v>
      </c>
      <c r="AL203">
        <v>3.3637152050000001</v>
      </c>
      <c r="AM203">
        <v>2.654062192</v>
      </c>
      <c r="AN203">
        <v>3.8299464400000001</v>
      </c>
      <c r="AO203">
        <v>4.0019606730000001</v>
      </c>
      <c r="AP203">
        <v>4.1960411479999999</v>
      </c>
      <c r="AR203">
        <v>6.2417695020000004</v>
      </c>
      <c r="AS203">
        <v>5.5265108019999998</v>
      </c>
      <c r="AT203">
        <v>3.570033257</v>
      </c>
      <c r="AV203">
        <v>4.6738025749999998</v>
      </c>
      <c r="AW203">
        <v>2.1444353330000001</v>
      </c>
    </row>
    <row r="204" spans="1:49" x14ac:dyDescent="0.2">
      <c r="A204" t="s">
        <v>268</v>
      </c>
      <c r="B204" s="73">
        <v>35796</v>
      </c>
      <c r="C204">
        <v>7.6628909869999999</v>
      </c>
      <c r="D204">
        <v>5.259586154</v>
      </c>
      <c r="E204">
        <v>3.2262535589999999</v>
      </c>
      <c r="F204">
        <v>4.0450113349999999</v>
      </c>
      <c r="G204">
        <v>3.7272072949999999</v>
      </c>
      <c r="H204">
        <v>4.6802185999999999</v>
      </c>
      <c r="I204">
        <v>3.3146261340000001</v>
      </c>
      <c r="J204">
        <v>8.0859379370000006</v>
      </c>
      <c r="K204">
        <v>8.6</v>
      </c>
      <c r="L204">
        <v>-1.5643183119999999</v>
      </c>
      <c r="M204">
        <v>1.8232226090000001</v>
      </c>
      <c r="N204">
        <v>2.6893725270000002</v>
      </c>
      <c r="O204">
        <v>3.4412964430000001</v>
      </c>
      <c r="P204">
        <v>4.5665101049999999</v>
      </c>
      <c r="Q204">
        <v>14.36215951</v>
      </c>
      <c r="R204">
        <v>3.5025833820000001</v>
      </c>
      <c r="T204">
        <v>8.2339361289999999</v>
      </c>
      <c r="U204">
        <v>3.3706384140000001</v>
      </c>
      <c r="V204">
        <v>3.2652755490000001</v>
      </c>
      <c r="X204">
        <v>4.5887920409999996</v>
      </c>
      <c r="Y204">
        <v>4.9176276630000002</v>
      </c>
      <c r="Z204">
        <v>3.822851354</v>
      </c>
      <c r="AA204">
        <v>4.0108499999999996</v>
      </c>
      <c r="AB204">
        <v>12.966069377</v>
      </c>
      <c r="AC204">
        <v>6.7253382159999999</v>
      </c>
      <c r="AD204">
        <v>3.4701571480000002</v>
      </c>
      <c r="AE204">
        <v>4.1717018619999999</v>
      </c>
      <c r="AF204">
        <v>-0.26377967200000002</v>
      </c>
      <c r="AG204">
        <v>4.3807778529999997</v>
      </c>
      <c r="AH204">
        <v>4.1597021070000002</v>
      </c>
      <c r="AI204">
        <v>5.4529748729999996</v>
      </c>
      <c r="AJ204">
        <v>7.0155133159999998</v>
      </c>
      <c r="AK204">
        <v>4.9569828249999999</v>
      </c>
      <c r="AL204">
        <v>6.5330506509999999</v>
      </c>
      <c r="AM204">
        <v>1.13063107</v>
      </c>
      <c r="AN204">
        <v>3.7845166620000001</v>
      </c>
      <c r="AO204">
        <v>10.217622715999999</v>
      </c>
      <c r="AP204">
        <v>4.6012456019999997</v>
      </c>
      <c r="AR204">
        <v>3.6425165970000002</v>
      </c>
      <c r="AS204">
        <v>4.115633689</v>
      </c>
      <c r="AT204">
        <v>4.9597599719999996</v>
      </c>
      <c r="AV204">
        <v>4.4876844580000004</v>
      </c>
      <c r="AW204">
        <v>1.2090326570000001</v>
      </c>
    </row>
    <row r="205" spans="1:49" x14ac:dyDescent="0.2">
      <c r="A205" t="s">
        <v>269</v>
      </c>
      <c r="B205" s="73">
        <v>35886</v>
      </c>
      <c r="C205">
        <v>5.993873078</v>
      </c>
      <c r="D205">
        <v>5.3146803499999997</v>
      </c>
      <c r="E205">
        <v>3.4150203179999998</v>
      </c>
      <c r="F205">
        <v>3.2801514329999999</v>
      </c>
      <c r="G205">
        <v>0.73301472199999995</v>
      </c>
      <c r="H205">
        <v>4.7765522340000004</v>
      </c>
      <c r="I205">
        <v>3.5073005890000002</v>
      </c>
      <c r="J205">
        <v>6.4817695090000003</v>
      </c>
      <c r="K205">
        <v>7.3</v>
      </c>
      <c r="L205">
        <v>-1.1606668149999999</v>
      </c>
      <c r="M205">
        <v>3.3392338810000002</v>
      </c>
      <c r="N205">
        <v>2.9456331389999999</v>
      </c>
      <c r="O205">
        <v>3.8407679039999998</v>
      </c>
      <c r="P205">
        <v>4.4224996130000003</v>
      </c>
      <c r="Q205">
        <v>11.264366507</v>
      </c>
      <c r="R205">
        <v>3.8130323439999998</v>
      </c>
      <c r="T205">
        <v>6.1931278010000002</v>
      </c>
      <c r="U205">
        <v>3.9227791949999999</v>
      </c>
      <c r="V205">
        <v>3.2244354319999999</v>
      </c>
      <c r="X205">
        <v>3.4540718859999999</v>
      </c>
      <c r="Y205">
        <v>5.5748591770000004</v>
      </c>
      <c r="Z205">
        <v>3.7459654370000002</v>
      </c>
      <c r="AA205">
        <v>4.9169499999999999</v>
      </c>
      <c r="AB205">
        <v>10.127689912999999</v>
      </c>
      <c r="AC205">
        <v>-0.35297505699999998</v>
      </c>
      <c r="AD205">
        <v>3.7889089079999998</v>
      </c>
      <c r="AE205">
        <v>3.0740214469999998</v>
      </c>
      <c r="AF205">
        <v>-1.733327413</v>
      </c>
      <c r="AG205">
        <v>-3.1890635450000002</v>
      </c>
      <c r="AH205">
        <v>4.6161454370000001</v>
      </c>
      <c r="AI205">
        <v>12.321888355</v>
      </c>
      <c r="AJ205">
        <v>7.8115445340000003</v>
      </c>
      <c r="AK205">
        <v>5.2249159440000001</v>
      </c>
      <c r="AL205">
        <v>4.7484274649999998</v>
      </c>
      <c r="AM205">
        <v>0.94170827800000001</v>
      </c>
      <c r="AN205">
        <v>3.5723756519999998</v>
      </c>
      <c r="AO205">
        <v>5.6587797179999999</v>
      </c>
      <c r="AP205">
        <v>4.398434698</v>
      </c>
      <c r="AR205">
        <v>4.4358653510000003</v>
      </c>
      <c r="AS205">
        <v>4.2171143869999996</v>
      </c>
      <c r="AT205">
        <v>4.4480872979999999</v>
      </c>
      <c r="AV205">
        <v>4.8550058829999996</v>
      </c>
      <c r="AW205">
        <v>1.0060257560000001</v>
      </c>
    </row>
    <row r="206" spans="1:49" x14ac:dyDescent="0.2">
      <c r="A206" t="s">
        <v>270</v>
      </c>
      <c r="B206" s="73">
        <v>35977</v>
      </c>
      <c r="C206">
        <v>6.4868224349999997</v>
      </c>
      <c r="D206">
        <v>3.211634659</v>
      </c>
      <c r="E206">
        <v>4.2020956180000004</v>
      </c>
      <c r="F206">
        <v>2.0451640389999999</v>
      </c>
      <c r="G206">
        <v>1.679318313</v>
      </c>
      <c r="H206">
        <v>3.661507904</v>
      </c>
      <c r="I206">
        <v>4.0019867219999998</v>
      </c>
      <c r="J206">
        <v>6.1222192050000004</v>
      </c>
      <c r="K206">
        <v>6.9</v>
      </c>
      <c r="L206">
        <v>-0.57459312600000001</v>
      </c>
      <c r="M206">
        <v>1.575506415</v>
      </c>
      <c r="N206">
        <v>0.44307299100000003</v>
      </c>
      <c r="O206">
        <v>3.042656746</v>
      </c>
      <c r="P206">
        <v>4.6511873689999996</v>
      </c>
      <c r="Q206">
        <v>6.1731247979999999</v>
      </c>
      <c r="R206">
        <v>3.0045024859999998</v>
      </c>
      <c r="T206">
        <v>6.7158987530000003</v>
      </c>
      <c r="U206">
        <v>3.697757078</v>
      </c>
      <c r="V206">
        <v>2.6312119059999999</v>
      </c>
      <c r="X206">
        <v>3.323224357</v>
      </c>
      <c r="Y206">
        <v>4.2545392660000001</v>
      </c>
      <c r="Z206">
        <v>4.1685019719999996</v>
      </c>
      <c r="AA206">
        <v>5.8582799999999997</v>
      </c>
      <c r="AB206">
        <v>8.6081289139999999</v>
      </c>
      <c r="AC206">
        <v>9.1079244500000005</v>
      </c>
      <c r="AD206">
        <v>3.2940119939999999</v>
      </c>
      <c r="AE206">
        <v>2.2946703739999998</v>
      </c>
      <c r="AF206">
        <v>-1.413809707</v>
      </c>
      <c r="AG206">
        <v>-7.263875197</v>
      </c>
      <c r="AH206">
        <v>6.9947089599999996</v>
      </c>
      <c r="AI206">
        <v>7.3808068850000002</v>
      </c>
      <c r="AJ206">
        <v>6.1474010400000001</v>
      </c>
      <c r="AK206">
        <v>4.8858975940000002</v>
      </c>
      <c r="AL206">
        <v>3.4402248389999999</v>
      </c>
      <c r="AM206">
        <v>-0.51066618100000005</v>
      </c>
      <c r="AN206">
        <v>2.7457969879999999</v>
      </c>
      <c r="AO206">
        <v>3.950015821</v>
      </c>
      <c r="AP206">
        <v>5.0472234340000002</v>
      </c>
      <c r="AR206">
        <v>2.9229060690000002</v>
      </c>
      <c r="AS206">
        <v>2.6144246089999998</v>
      </c>
      <c r="AT206">
        <v>4.5990440929999998</v>
      </c>
      <c r="AV206">
        <v>4.0957268410000003</v>
      </c>
      <c r="AW206">
        <v>0.51821165899999999</v>
      </c>
    </row>
    <row r="207" spans="1:49" x14ac:dyDescent="0.2">
      <c r="A207" t="s">
        <v>271</v>
      </c>
      <c r="B207" s="73">
        <v>36069</v>
      </c>
      <c r="C207">
        <v>3.5557256609999999</v>
      </c>
      <c r="D207">
        <v>5.0131956400000002</v>
      </c>
      <c r="E207">
        <v>3.5605801019999999</v>
      </c>
      <c r="F207">
        <v>1.4491988490000001</v>
      </c>
      <c r="G207">
        <v>0.49360678299999999</v>
      </c>
      <c r="H207">
        <v>3.381592962</v>
      </c>
      <c r="I207">
        <v>2.8394423940000002</v>
      </c>
      <c r="J207">
        <v>3.1852906320000001</v>
      </c>
      <c r="K207">
        <v>7.8</v>
      </c>
      <c r="L207">
        <v>4.8266944999999999E-2</v>
      </c>
      <c r="M207">
        <v>1.734068336</v>
      </c>
      <c r="N207">
        <v>2.5781058319999999</v>
      </c>
      <c r="O207">
        <v>2.857286228</v>
      </c>
      <c r="P207">
        <v>4.3980719920000002</v>
      </c>
      <c r="Q207">
        <v>3.2834198040000002</v>
      </c>
      <c r="R207">
        <v>2.9107151309999999</v>
      </c>
      <c r="T207">
        <v>5.5678996209999996</v>
      </c>
      <c r="U207">
        <v>3.599928979</v>
      </c>
      <c r="V207">
        <v>2.5859792590000001</v>
      </c>
      <c r="X207">
        <v>3.1629554660000001</v>
      </c>
      <c r="Y207">
        <v>2.975993538</v>
      </c>
      <c r="Z207">
        <v>4.1530710690000001</v>
      </c>
      <c r="AA207">
        <v>6.5088699999999999</v>
      </c>
      <c r="AB207">
        <v>10.889019055</v>
      </c>
      <c r="AC207">
        <v>10.067178757000001</v>
      </c>
      <c r="AD207">
        <v>4.2504585500000003</v>
      </c>
      <c r="AE207">
        <v>1.77414987</v>
      </c>
      <c r="AF207">
        <v>-1.4379726500000001</v>
      </c>
      <c r="AG207">
        <v>-6.3848271839999997</v>
      </c>
      <c r="AH207">
        <v>7.750321853</v>
      </c>
      <c r="AI207">
        <v>4.5096498839999999</v>
      </c>
      <c r="AJ207">
        <v>4.703848882</v>
      </c>
      <c r="AK207">
        <v>4.2664461139999998</v>
      </c>
      <c r="AL207">
        <v>1.694102631</v>
      </c>
      <c r="AM207">
        <v>-0.17215746600000001</v>
      </c>
      <c r="AN207">
        <v>2.555131276</v>
      </c>
      <c r="AO207">
        <v>5.0981629420000001</v>
      </c>
      <c r="AP207">
        <v>4.847647587</v>
      </c>
      <c r="AR207">
        <v>0.41647193199999999</v>
      </c>
      <c r="AS207">
        <v>2.6114952570000001</v>
      </c>
      <c r="AT207">
        <v>4.3776317179999999</v>
      </c>
      <c r="AV207">
        <v>4.0977686230000003</v>
      </c>
      <c r="AW207">
        <v>0.19842209599999999</v>
      </c>
    </row>
    <row r="208" spans="1:49" x14ac:dyDescent="0.2">
      <c r="A208" t="s">
        <v>272</v>
      </c>
      <c r="B208" s="73">
        <v>36161</v>
      </c>
      <c r="C208">
        <v>-0.42983384800000002</v>
      </c>
      <c r="D208">
        <v>5.0702972129999999</v>
      </c>
      <c r="E208">
        <v>2.880063636</v>
      </c>
      <c r="F208">
        <v>1.1130361740000001</v>
      </c>
      <c r="G208">
        <v>-1.4617654090000001</v>
      </c>
      <c r="H208">
        <v>3.7833187339999998</v>
      </c>
      <c r="I208">
        <v>1.809775149</v>
      </c>
      <c r="J208">
        <v>-2.4305129390000002</v>
      </c>
      <c r="K208">
        <v>9.1</v>
      </c>
      <c r="L208">
        <v>0.31325931299999998</v>
      </c>
      <c r="M208">
        <v>0.56970094800000004</v>
      </c>
      <c r="N208">
        <v>2.9211877319999999</v>
      </c>
      <c r="O208">
        <v>1.8523065649999999</v>
      </c>
      <c r="P208">
        <v>4.1090174829999997</v>
      </c>
      <c r="Q208">
        <v>-1.676426406</v>
      </c>
      <c r="R208">
        <v>1.9577350200000001</v>
      </c>
      <c r="T208">
        <v>3.4558935549999998</v>
      </c>
      <c r="U208">
        <v>3.2612121460000001</v>
      </c>
      <c r="V208">
        <v>2.7466624199999998</v>
      </c>
      <c r="X208">
        <v>2.6869006610000001</v>
      </c>
      <c r="Y208">
        <v>2.8072379789999999</v>
      </c>
      <c r="Z208">
        <v>3.347565152</v>
      </c>
      <c r="AA208">
        <v>6.2047100000000004</v>
      </c>
      <c r="AB208">
        <v>5.9660939590000002</v>
      </c>
      <c r="AC208">
        <v>10.565392908</v>
      </c>
      <c r="AD208">
        <v>3.341054771</v>
      </c>
      <c r="AE208">
        <v>-0.49749491400000001</v>
      </c>
      <c r="AF208">
        <v>-0.68404506700000001</v>
      </c>
      <c r="AG208">
        <v>-3.6086065399999998</v>
      </c>
      <c r="AH208">
        <v>7.2134153269999999</v>
      </c>
      <c r="AI208">
        <v>1.5727398880000001</v>
      </c>
      <c r="AJ208">
        <v>2.3071754449999999</v>
      </c>
      <c r="AK208">
        <v>3.887741933</v>
      </c>
      <c r="AL208">
        <v>0.79029035299999995</v>
      </c>
      <c r="AM208">
        <v>1.0360700249999999</v>
      </c>
      <c r="AN208">
        <v>2.4721145729999998</v>
      </c>
      <c r="AO208">
        <v>3.5846040879999999</v>
      </c>
      <c r="AP208">
        <v>4.9318881450000003</v>
      </c>
      <c r="AR208">
        <v>8.5449418280000007</v>
      </c>
      <c r="AS208">
        <v>3.001034084</v>
      </c>
      <c r="AT208">
        <v>3.508671079</v>
      </c>
      <c r="AV208">
        <v>4.8795407759999998</v>
      </c>
      <c r="AW208">
        <v>0.28104335499999999</v>
      </c>
    </row>
    <row r="209" spans="1:49" x14ac:dyDescent="0.2">
      <c r="A209" t="s">
        <v>273</v>
      </c>
      <c r="B209" s="73">
        <v>36251</v>
      </c>
      <c r="C209">
        <v>-2.1764920640000001</v>
      </c>
      <c r="D209">
        <v>5.1442224870000004</v>
      </c>
      <c r="E209">
        <v>2.8023804229999998</v>
      </c>
      <c r="F209">
        <v>1.9047993089999999</v>
      </c>
      <c r="G209">
        <v>0.80693300199999995</v>
      </c>
      <c r="H209">
        <v>4.1941041669999999</v>
      </c>
      <c r="I209">
        <v>0.98093847700000003</v>
      </c>
      <c r="J209">
        <v>-2.3450965419999998</v>
      </c>
      <c r="K209">
        <v>8.9</v>
      </c>
      <c r="L209">
        <v>0.38975258499999998</v>
      </c>
      <c r="M209">
        <v>0.78150363700000003</v>
      </c>
      <c r="N209">
        <v>2.3110575400000002</v>
      </c>
      <c r="O209">
        <v>2.2019768919999998</v>
      </c>
      <c r="P209">
        <v>4.2351979980000003</v>
      </c>
      <c r="Q209">
        <v>-3.214105644</v>
      </c>
      <c r="R209">
        <v>2.1957195110000001</v>
      </c>
      <c r="T209">
        <v>5.934262693</v>
      </c>
      <c r="U209">
        <v>2.9179351609999999</v>
      </c>
      <c r="V209">
        <v>2.8144567380000001</v>
      </c>
      <c r="X209">
        <v>2.5958655309999998</v>
      </c>
      <c r="Y209">
        <v>2.3617043550000001</v>
      </c>
      <c r="Z209">
        <v>2.542323756</v>
      </c>
      <c r="AA209">
        <v>6.1985200000000003</v>
      </c>
      <c r="AB209">
        <v>9.2675911129999999</v>
      </c>
      <c r="AC209">
        <v>13.130337029</v>
      </c>
      <c r="AD209">
        <v>0.97411349899999999</v>
      </c>
      <c r="AE209">
        <v>0.83675098800000003</v>
      </c>
      <c r="AF209">
        <v>-0.84034914800000005</v>
      </c>
      <c r="AG209">
        <v>6.5833975389999999</v>
      </c>
      <c r="AH209">
        <v>8.9879145509999994</v>
      </c>
      <c r="AI209">
        <v>-0.61011642899999996</v>
      </c>
      <c r="AJ209">
        <v>2.4009654290000002</v>
      </c>
      <c r="AK209">
        <v>4.2134169999999997</v>
      </c>
      <c r="AL209">
        <v>0.54892903500000001</v>
      </c>
      <c r="AM209">
        <v>2.814452373</v>
      </c>
      <c r="AN209">
        <v>2.6912286070000002</v>
      </c>
      <c r="AO209">
        <v>1.3812654660000001</v>
      </c>
      <c r="AP209">
        <v>4.809349106</v>
      </c>
      <c r="AR209">
        <v>3.1043771910000002</v>
      </c>
      <c r="AS209">
        <v>4.0360260060000002</v>
      </c>
      <c r="AT209">
        <v>4.2544940139999996</v>
      </c>
      <c r="AU209">
        <v>-4.0900212749999998</v>
      </c>
      <c r="AV209">
        <v>4.8218579320000003</v>
      </c>
      <c r="AW209">
        <v>0.97953619599999997</v>
      </c>
    </row>
    <row r="210" spans="1:49" x14ac:dyDescent="0.2">
      <c r="A210" t="s">
        <v>274</v>
      </c>
      <c r="B210" s="73">
        <v>36342</v>
      </c>
      <c r="C210">
        <v>-5.1405824490000001</v>
      </c>
      <c r="D210">
        <v>4.5248583309999999</v>
      </c>
      <c r="E210">
        <v>3.0157186220000001</v>
      </c>
      <c r="F210">
        <v>2.956680585</v>
      </c>
      <c r="G210">
        <v>-0.56703097800000002</v>
      </c>
      <c r="H210">
        <v>5.0096612140000003</v>
      </c>
      <c r="I210">
        <v>0.66862295500000002</v>
      </c>
      <c r="J210">
        <v>-3.9997431510000001</v>
      </c>
      <c r="K210">
        <v>7.9</v>
      </c>
      <c r="L210">
        <v>0.46980111899999999</v>
      </c>
      <c r="M210">
        <v>1.220940342</v>
      </c>
      <c r="N210">
        <v>3.6219454010000001</v>
      </c>
      <c r="O210">
        <v>2.319158426</v>
      </c>
      <c r="P210">
        <v>4.2950051499999997</v>
      </c>
      <c r="Q210">
        <v>-1.8098439639999999</v>
      </c>
      <c r="R210">
        <v>2.3710610729999999</v>
      </c>
      <c r="T210">
        <v>4.3902316719999996</v>
      </c>
      <c r="U210">
        <v>2.811587694</v>
      </c>
      <c r="V210">
        <v>2.9454067949999998</v>
      </c>
      <c r="X210">
        <v>2.1710676449999999</v>
      </c>
      <c r="Y210">
        <v>2.8619761800000001</v>
      </c>
      <c r="Z210">
        <v>2.1044928779999998</v>
      </c>
      <c r="AA210">
        <v>7.5313600000000003</v>
      </c>
      <c r="AB210">
        <v>8.4611959060000004</v>
      </c>
      <c r="AC210">
        <v>0.14220792800000001</v>
      </c>
      <c r="AD210">
        <v>5.145577007</v>
      </c>
      <c r="AE210">
        <v>0.63299058900000005</v>
      </c>
      <c r="AF210">
        <v>-2.3716739000000001E-2</v>
      </c>
      <c r="AG210">
        <v>12.161310752</v>
      </c>
      <c r="AH210">
        <v>7.5635883159999997</v>
      </c>
      <c r="AI210">
        <v>-1.6856887860000001</v>
      </c>
      <c r="AJ210">
        <v>2.2725721879999998</v>
      </c>
      <c r="AK210">
        <v>4.6244231960000004</v>
      </c>
      <c r="AL210">
        <v>-0.53229845600000003</v>
      </c>
      <c r="AM210">
        <v>3.1546785399999999</v>
      </c>
      <c r="AN210">
        <v>2.9691969340000002</v>
      </c>
      <c r="AO210">
        <v>4.0122869769999996</v>
      </c>
      <c r="AP210">
        <v>3.7630549900000001</v>
      </c>
      <c r="AR210">
        <v>1.338683375</v>
      </c>
      <c r="AS210">
        <v>7.723274183</v>
      </c>
      <c r="AT210">
        <v>3.536364442</v>
      </c>
      <c r="AU210">
        <v>-3.8649236720000002</v>
      </c>
      <c r="AV210">
        <v>4.7275315129999997</v>
      </c>
      <c r="AW210">
        <v>1.639478496</v>
      </c>
    </row>
    <row r="211" spans="1:49" x14ac:dyDescent="0.2">
      <c r="A211" t="s">
        <v>275</v>
      </c>
      <c r="B211" s="73">
        <v>36434</v>
      </c>
      <c r="C211">
        <v>-5.1249172659999997</v>
      </c>
      <c r="D211">
        <v>3.7718943610000002</v>
      </c>
      <c r="E211">
        <v>3.7279720360000002</v>
      </c>
      <c r="F211">
        <v>4.1475853459999996</v>
      </c>
      <c r="G211">
        <v>-0.46033405900000002</v>
      </c>
      <c r="H211">
        <v>5.6907144110000001</v>
      </c>
      <c r="I211">
        <v>1.1458443599999999</v>
      </c>
      <c r="J211">
        <v>-1.1379738340000001</v>
      </c>
      <c r="K211">
        <v>7.6</v>
      </c>
      <c r="L211">
        <v>1.5202867980000001</v>
      </c>
      <c r="M211">
        <v>1.884277516</v>
      </c>
      <c r="N211">
        <v>2.3813169689999998</v>
      </c>
      <c r="O211">
        <v>2.888593062</v>
      </c>
      <c r="P211">
        <v>4.6924943099999998</v>
      </c>
      <c r="Q211">
        <v>-0.696146449</v>
      </c>
      <c r="R211">
        <v>2.9063496240000002</v>
      </c>
      <c r="T211">
        <v>3.6449176670000001</v>
      </c>
      <c r="U211">
        <v>3.3600345580000002</v>
      </c>
      <c r="V211">
        <v>3.3159350569999999</v>
      </c>
      <c r="X211">
        <v>3.2616807310000002</v>
      </c>
      <c r="Y211">
        <v>2.8964432969999998</v>
      </c>
      <c r="Z211">
        <v>3.0414705899999999</v>
      </c>
      <c r="AA211">
        <v>6.92997</v>
      </c>
      <c r="AB211">
        <v>8.5698723210000001</v>
      </c>
      <c r="AC211">
        <v>1.2471659690000001</v>
      </c>
      <c r="AD211">
        <v>4.595801926</v>
      </c>
      <c r="AE211">
        <v>1.364548648</v>
      </c>
      <c r="AF211">
        <v>0.32594151100000002</v>
      </c>
      <c r="AG211">
        <v>13.301165229</v>
      </c>
      <c r="AH211">
        <v>8.6475909410000007</v>
      </c>
      <c r="AI211">
        <v>2.7648405399999998</v>
      </c>
      <c r="AJ211">
        <v>2.739787432</v>
      </c>
      <c r="AK211">
        <v>5.1676466049999998</v>
      </c>
      <c r="AL211">
        <v>3.3655285780000002</v>
      </c>
      <c r="AM211">
        <v>5.9459342670000002</v>
      </c>
      <c r="AN211">
        <v>3.4296680469999998</v>
      </c>
      <c r="AO211">
        <v>5.4242822930000001</v>
      </c>
      <c r="AP211">
        <v>3.6315866510000001</v>
      </c>
      <c r="AR211">
        <v>1.5359790600000001</v>
      </c>
      <c r="AS211">
        <v>4.029228356</v>
      </c>
      <c r="AT211">
        <v>3.7724837660000001</v>
      </c>
      <c r="AU211">
        <v>-4.1374980250000002</v>
      </c>
      <c r="AV211">
        <v>4.8002052370000001</v>
      </c>
      <c r="AW211">
        <v>2.9748264569999998</v>
      </c>
    </row>
    <row r="212" spans="1:49" x14ac:dyDescent="0.2">
      <c r="A212" t="s">
        <v>276</v>
      </c>
      <c r="B212" s="73">
        <v>36526</v>
      </c>
      <c r="C212">
        <v>-1.0144211869999999</v>
      </c>
      <c r="D212">
        <v>3.981283125</v>
      </c>
      <c r="E212">
        <v>3.912393851</v>
      </c>
      <c r="F212">
        <v>5.145646191</v>
      </c>
      <c r="G212">
        <v>2.146137339</v>
      </c>
      <c r="H212">
        <v>5.7387065660000003</v>
      </c>
      <c r="I212">
        <v>3.9222641359999999</v>
      </c>
      <c r="J212">
        <v>4.7467718369999998</v>
      </c>
      <c r="K212">
        <v>6.7</v>
      </c>
      <c r="L212">
        <v>2.4887443039999999</v>
      </c>
      <c r="M212">
        <v>3.1126046170000001</v>
      </c>
      <c r="N212">
        <v>3.4814985630000002</v>
      </c>
      <c r="O212">
        <v>3.9264511249999998</v>
      </c>
      <c r="P212">
        <v>4.7295792910000003</v>
      </c>
      <c r="Q212">
        <v>3.7650045150000002</v>
      </c>
      <c r="R212">
        <v>3.948406356</v>
      </c>
      <c r="T212">
        <v>3.6104361489999999</v>
      </c>
      <c r="U212">
        <v>4.0112022889999999</v>
      </c>
      <c r="V212">
        <v>3.5872262140000002</v>
      </c>
      <c r="X212">
        <v>3.9159560249999998</v>
      </c>
      <c r="Y212">
        <v>3.7243394639999998</v>
      </c>
      <c r="Z212">
        <v>4.1452537200000004</v>
      </c>
      <c r="AA212">
        <v>7.2888799999999998</v>
      </c>
      <c r="AB212">
        <v>14.068412661</v>
      </c>
      <c r="AC212">
        <v>2.493294406</v>
      </c>
      <c r="AD212">
        <v>5.7060249540000001</v>
      </c>
      <c r="AE212">
        <v>3.4564813189999999</v>
      </c>
      <c r="AF212">
        <v>-0.44144726000000001</v>
      </c>
      <c r="AG212">
        <v>13.732506182</v>
      </c>
      <c r="AH212">
        <v>7.5412695039999997</v>
      </c>
      <c r="AI212">
        <v>8.9750765759999993</v>
      </c>
      <c r="AJ212">
        <v>3.5439278289999998</v>
      </c>
      <c r="AK212">
        <v>5.6801320799999999</v>
      </c>
      <c r="AL212">
        <v>4.6086900020000003</v>
      </c>
      <c r="AM212">
        <v>6.1661467380000001</v>
      </c>
      <c r="AN212">
        <v>3.9228755799999999</v>
      </c>
      <c r="AO212">
        <v>7.2566743330000003</v>
      </c>
      <c r="AP212">
        <v>3.4476035110000001</v>
      </c>
      <c r="AR212">
        <v>-5.9972178720000002</v>
      </c>
      <c r="AS212">
        <v>5.0542762269999999</v>
      </c>
      <c r="AT212">
        <v>4.5074052660000001</v>
      </c>
      <c r="AU212">
        <v>-1.0176265069999999</v>
      </c>
      <c r="AV212">
        <v>4.82762665</v>
      </c>
      <c r="AW212">
        <v>4.007388325</v>
      </c>
    </row>
    <row r="213" spans="1:49" x14ac:dyDescent="0.2">
      <c r="A213" t="s">
        <v>277</v>
      </c>
      <c r="B213" s="73">
        <v>36617</v>
      </c>
      <c r="C213">
        <v>-0.106447324</v>
      </c>
      <c r="D213">
        <v>3.6291557729999999</v>
      </c>
      <c r="E213">
        <v>4.3632696920000003</v>
      </c>
      <c r="F213">
        <v>4.7982425710000003</v>
      </c>
      <c r="G213">
        <v>2.883701206</v>
      </c>
      <c r="H213">
        <v>5.516373336</v>
      </c>
      <c r="I213">
        <v>4.5242313569999997</v>
      </c>
      <c r="J213">
        <v>5.4707188149999997</v>
      </c>
      <c r="K213">
        <v>8.6999999999999993</v>
      </c>
      <c r="L213">
        <v>3.7868942749999999</v>
      </c>
      <c r="M213">
        <v>3.3908313419999998</v>
      </c>
      <c r="N213">
        <v>3.5523246369999999</v>
      </c>
      <c r="O213">
        <v>4.1549100819999998</v>
      </c>
      <c r="P213">
        <v>5.352987572</v>
      </c>
      <c r="Q213">
        <v>8.5286261250000006</v>
      </c>
      <c r="R213">
        <v>4.1664241659999997</v>
      </c>
      <c r="T213">
        <v>4.969214053</v>
      </c>
      <c r="U213">
        <v>4.4285310249999998</v>
      </c>
      <c r="V213">
        <v>3.9328539569999998</v>
      </c>
      <c r="X213">
        <v>4.3154259929999998</v>
      </c>
      <c r="Y213">
        <v>3.3304217739999999</v>
      </c>
      <c r="Z213">
        <v>4.9335873819999998</v>
      </c>
      <c r="AA213">
        <v>7.7907500000000001</v>
      </c>
      <c r="AB213">
        <v>8.5104895670000005</v>
      </c>
      <c r="AC213">
        <v>2.4501929869999999</v>
      </c>
      <c r="AD213">
        <v>9.0336687199999997</v>
      </c>
      <c r="AE213">
        <v>3.8799192539999998</v>
      </c>
      <c r="AF213">
        <v>2.6627341100000002</v>
      </c>
      <c r="AG213">
        <v>12.474605041</v>
      </c>
      <c r="AH213">
        <v>10.085298909</v>
      </c>
      <c r="AI213">
        <v>6.232969711</v>
      </c>
      <c r="AJ213">
        <v>4.429808789</v>
      </c>
      <c r="AK213">
        <v>4.5948738799999997</v>
      </c>
      <c r="AL213">
        <v>5.392929627</v>
      </c>
      <c r="AM213">
        <v>6.4479413640000001</v>
      </c>
      <c r="AN213">
        <v>4.2952791039999996</v>
      </c>
      <c r="AO213">
        <v>6.2648598209999999</v>
      </c>
      <c r="AP213">
        <v>4.3626133400000002</v>
      </c>
      <c r="AR213">
        <v>-1.7173876109999999</v>
      </c>
      <c r="AS213">
        <v>4.439305858</v>
      </c>
      <c r="AT213">
        <v>4.0370589050000003</v>
      </c>
      <c r="AU213">
        <v>2.2652062910000001</v>
      </c>
      <c r="AV213">
        <v>4.2259558589999999</v>
      </c>
      <c r="AW213">
        <v>4.2214284720000004</v>
      </c>
    </row>
    <row r="214" spans="1:49" x14ac:dyDescent="0.2">
      <c r="A214" t="s">
        <v>278</v>
      </c>
      <c r="B214" s="73">
        <v>36708</v>
      </c>
      <c r="C214">
        <v>-0.59039067000000001</v>
      </c>
      <c r="D214">
        <v>4.263651211</v>
      </c>
      <c r="E214">
        <v>3.688748328</v>
      </c>
      <c r="F214">
        <v>4.1276962460000002</v>
      </c>
      <c r="G214">
        <v>4.0880292899999997</v>
      </c>
      <c r="H214">
        <v>5.8847515399999999</v>
      </c>
      <c r="I214">
        <v>4.260350807</v>
      </c>
      <c r="J214">
        <v>5.163414822</v>
      </c>
      <c r="K214">
        <v>9.1</v>
      </c>
      <c r="L214">
        <v>4.5073324250000004</v>
      </c>
      <c r="M214">
        <v>4.24010877</v>
      </c>
      <c r="N214">
        <v>4.1931464649999999</v>
      </c>
      <c r="O214">
        <v>4.507370506</v>
      </c>
      <c r="P214">
        <v>5.4219317360000003</v>
      </c>
      <c r="Q214">
        <v>10.278861027</v>
      </c>
      <c r="R214">
        <v>4.5497856639999998</v>
      </c>
      <c r="T214">
        <v>5.2191665670000003</v>
      </c>
      <c r="U214">
        <v>4.5973020880000002</v>
      </c>
      <c r="V214">
        <v>4.6111947850000004</v>
      </c>
      <c r="X214">
        <v>4.6757787830000002</v>
      </c>
      <c r="Y214">
        <v>3.3189444950000002</v>
      </c>
      <c r="Z214">
        <v>4.9822537499999999</v>
      </c>
      <c r="AA214">
        <v>5.2191700000000001</v>
      </c>
      <c r="AB214">
        <v>10.364490656999999</v>
      </c>
      <c r="AC214">
        <v>6.1666819940000002</v>
      </c>
      <c r="AD214">
        <v>7.8739694550000001</v>
      </c>
      <c r="AE214">
        <v>4.351585247</v>
      </c>
      <c r="AF214">
        <v>2.7614495579999998</v>
      </c>
      <c r="AG214">
        <v>9.1874736769999998</v>
      </c>
      <c r="AH214">
        <v>6.3481697109999997</v>
      </c>
      <c r="AI214">
        <v>7.5964132790000001</v>
      </c>
      <c r="AJ214">
        <v>5.3857707689999996</v>
      </c>
      <c r="AK214">
        <v>4.5989091970000002</v>
      </c>
      <c r="AL214">
        <v>3.8235571629999998</v>
      </c>
      <c r="AM214">
        <v>5.6259226519999999</v>
      </c>
      <c r="AN214">
        <v>4.8336181180000004</v>
      </c>
      <c r="AO214">
        <v>5.1051684100000001</v>
      </c>
      <c r="AP214">
        <v>3.2718818559999998</v>
      </c>
      <c r="AR214">
        <v>0.96989069500000002</v>
      </c>
      <c r="AS214">
        <v>1.5857649549999999</v>
      </c>
      <c r="AT214">
        <v>5.9522111840000003</v>
      </c>
      <c r="AU214">
        <v>6.8490946040000003</v>
      </c>
      <c r="AV214">
        <v>5.2446827689999997</v>
      </c>
      <c r="AW214">
        <v>4.3497465819999999</v>
      </c>
    </row>
    <row r="215" spans="1:49" x14ac:dyDescent="0.2">
      <c r="A215" t="s">
        <v>279</v>
      </c>
      <c r="B215" s="73">
        <v>36800</v>
      </c>
      <c r="C215">
        <v>-0.55752517599999996</v>
      </c>
      <c r="D215">
        <v>3.3276824860000001</v>
      </c>
      <c r="E215">
        <v>2.8138513519999999</v>
      </c>
      <c r="F215">
        <v>3.1129765649999999</v>
      </c>
      <c r="G215">
        <v>5.138599793</v>
      </c>
      <c r="H215">
        <v>5.3137609430000001</v>
      </c>
      <c r="I215">
        <v>4.4698164900000004</v>
      </c>
      <c r="J215">
        <v>4.1373935380000004</v>
      </c>
      <c r="K215">
        <v>8.8000000000000007</v>
      </c>
      <c r="L215">
        <v>4.8926757109999999</v>
      </c>
      <c r="M215">
        <v>3.0235947329999999</v>
      </c>
      <c r="N215">
        <v>3.8391861660000002</v>
      </c>
      <c r="O215">
        <v>3.8730838840000001</v>
      </c>
      <c r="P215">
        <v>5.1615893279999998</v>
      </c>
      <c r="Q215">
        <v>10.499845089000001</v>
      </c>
      <c r="R215">
        <v>3.9258723450000002</v>
      </c>
      <c r="T215">
        <v>6.3000215019999999</v>
      </c>
      <c r="U215">
        <v>3.9758324630000001</v>
      </c>
      <c r="V215">
        <v>3.618410753</v>
      </c>
      <c r="X215">
        <v>3.4244879190000002</v>
      </c>
      <c r="Y215">
        <v>4.848009813</v>
      </c>
      <c r="Z215">
        <v>4.0144202010000001</v>
      </c>
      <c r="AA215">
        <v>5.3047599999999999</v>
      </c>
      <c r="AB215">
        <v>8.6177581159999992</v>
      </c>
      <c r="AC215">
        <v>8.5355223309999992</v>
      </c>
      <c r="AD215">
        <v>10.688439462</v>
      </c>
      <c r="AE215">
        <v>4.0684382220000002</v>
      </c>
      <c r="AF215">
        <v>2.242779557</v>
      </c>
      <c r="AG215">
        <v>9.1592371569999997</v>
      </c>
      <c r="AH215">
        <v>5.1765102220000001</v>
      </c>
      <c r="AI215">
        <v>7.2225542029999996</v>
      </c>
      <c r="AJ215">
        <v>5.4318235440000002</v>
      </c>
      <c r="AK215">
        <v>4.0292995060000001</v>
      </c>
      <c r="AL215">
        <v>2.7206355960000002</v>
      </c>
      <c r="AM215">
        <v>3.1474947229999999</v>
      </c>
      <c r="AN215">
        <v>4.1135187780000004</v>
      </c>
      <c r="AO215">
        <v>3.2280543320000001</v>
      </c>
      <c r="AP215">
        <v>3.7673411749999999</v>
      </c>
      <c r="AR215">
        <v>2.2218340959999998</v>
      </c>
      <c r="AS215">
        <v>5.4935479760000003</v>
      </c>
      <c r="AT215">
        <v>5.9762049499999996</v>
      </c>
      <c r="AU215">
        <v>10.300768391</v>
      </c>
      <c r="AV215">
        <v>3.9740844960000001</v>
      </c>
      <c r="AW215">
        <v>4.2449725249999997</v>
      </c>
    </row>
    <row r="216" spans="1:49" x14ac:dyDescent="0.2">
      <c r="A216" t="s">
        <v>280</v>
      </c>
      <c r="B216" s="73">
        <v>36892</v>
      </c>
      <c r="C216">
        <v>-1.8935236049999999</v>
      </c>
      <c r="D216">
        <v>1.234410265</v>
      </c>
      <c r="E216">
        <v>3.8407172460000001</v>
      </c>
      <c r="F216">
        <v>2.9024691360000001</v>
      </c>
      <c r="G216">
        <v>4.9572644600000002</v>
      </c>
      <c r="H216">
        <v>4.0306702640000003</v>
      </c>
      <c r="I216">
        <v>3.0681435380000002</v>
      </c>
      <c r="J216">
        <v>3.1334353190000002</v>
      </c>
      <c r="K216">
        <v>7.5</v>
      </c>
      <c r="L216">
        <v>4.2278822439999999</v>
      </c>
      <c r="M216">
        <v>1.925958447</v>
      </c>
      <c r="N216">
        <v>3.4080580610000002</v>
      </c>
      <c r="O216">
        <v>3.3776364820000002</v>
      </c>
      <c r="P216">
        <v>5.0536212029999996</v>
      </c>
      <c r="Q216">
        <v>10.133565414</v>
      </c>
      <c r="R216">
        <v>3.4078362680000001</v>
      </c>
      <c r="T216">
        <v>6.5215331409999999</v>
      </c>
      <c r="U216">
        <v>3.3787022809999998</v>
      </c>
      <c r="V216">
        <v>2.9611185409999998</v>
      </c>
      <c r="X216">
        <v>2.3200624200000002</v>
      </c>
      <c r="Y216">
        <v>4.6622546160000002</v>
      </c>
      <c r="Z216">
        <v>4.7197080810000003</v>
      </c>
      <c r="AA216">
        <v>3.6380599999999998</v>
      </c>
      <c r="AB216">
        <v>7.17345437</v>
      </c>
      <c r="AC216">
        <v>2.9371746070000002</v>
      </c>
      <c r="AD216">
        <v>8.4539170709999993</v>
      </c>
      <c r="AE216">
        <v>3.9475530380000001</v>
      </c>
      <c r="AF216">
        <v>3.199096151</v>
      </c>
      <c r="AG216">
        <v>5.752766405</v>
      </c>
      <c r="AH216">
        <v>6.228152058</v>
      </c>
      <c r="AI216">
        <v>2.4376136530000001</v>
      </c>
      <c r="AJ216">
        <v>3.569486833</v>
      </c>
      <c r="AK216">
        <v>3.919383045</v>
      </c>
      <c r="AL216">
        <v>1.0231318069999999</v>
      </c>
      <c r="AM216">
        <v>2.102241362</v>
      </c>
      <c r="AN216">
        <v>3.3471881159999999</v>
      </c>
      <c r="AO216">
        <v>4.2187505390000002</v>
      </c>
      <c r="AP216">
        <v>3.8654236829999999</v>
      </c>
      <c r="AR216">
        <v>3.270736555</v>
      </c>
      <c r="AS216">
        <v>4.3800272680000001</v>
      </c>
      <c r="AT216">
        <v>3.697530752</v>
      </c>
      <c r="AU216">
        <v>8.6398569419999998</v>
      </c>
      <c r="AV216">
        <v>2.9016204719999998</v>
      </c>
      <c r="AW216">
        <v>3.9881983710000002</v>
      </c>
    </row>
    <row r="217" spans="1:49" x14ac:dyDescent="0.2">
      <c r="A217" t="s">
        <v>281</v>
      </c>
      <c r="B217" s="73">
        <v>36982</v>
      </c>
      <c r="C217">
        <v>-1.397726021</v>
      </c>
      <c r="D217">
        <v>1.8715006030000001</v>
      </c>
      <c r="E217">
        <v>2.3209407789999998</v>
      </c>
      <c r="F217">
        <v>2.2335000489999999</v>
      </c>
      <c r="G217">
        <v>4.2538116219999997</v>
      </c>
      <c r="H217">
        <v>2.9349821249999999</v>
      </c>
      <c r="I217">
        <v>2.3293704339999999</v>
      </c>
      <c r="J217">
        <v>3.9099250919999999</v>
      </c>
      <c r="K217">
        <v>9.5</v>
      </c>
      <c r="L217">
        <v>4.0178279679999997</v>
      </c>
      <c r="M217">
        <v>2.508870736</v>
      </c>
      <c r="N217">
        <v>1.297581844</v>
      </c>
      <c r="O217">
        <v>3.1841830419999999</v>
      </c>
      <c r="P217">
        <v>4.4974332270000001</v>
      </c>
      <c r="Q217">
        <v>7.6345770850000001</v>
      </c>
      <c r="R217">
        <v>3.1544524100000002</v>
      </c>
      <c r="T217">
        <v>3.9426770640000002</v>
      </c>
      <c r="U217">
        <v>3.0040069709999999</v>
      </c>
      <c r="V217">
        <v>2.4236243700000002</v>
      </c>
      <c r="X217">
        <v>2.1870603050000001</v>
      </c>
      <c r="Y217">
        <v>5.5570850160000003</v>
      </c>
      <c r="Z217">
        <v>4.5789765669999998</v>
      </c>
      <c r="AA217">
        <v>2.0556999999999999</v>
      </c>
      <c r="AB217">
        <v>8.0249883719999993</v>
      </c>
      <c r="AC217">
        <v>3.236197523</v>
      </c>
      <c r="AD217">
        <v>4.8421867230000002</v>
      </c>
      <c r="AE217">
        <v>3.5811526339999999</v>
      </c>
      <c r="AF217">
        <v>2.2296489209999999</v>
      </c>
      <c r="AG217">
        <v>5.0579225250000004</v>
      </c>
      <c r="AH217">
        <v>2.6482949480000002</v>
      </c>
      <c r="AI217">
        <v>3.9723940519999998</v>
      </c>
      <c r="AJ217">
        <v>1.6942445230000001</v>
      </c>
      <c r="AK217">
        <v>3.3883473799999999</v>
      </c>
      <c r="AL217">
        <v>0.71623913299999997</v>
      </c>
      <c r="AM217">
        <v>0.98931361799999995</v>
      </c>
      <c r="AN217">
        <v>2.5959065809999999</v>
      </c>
      <c r="AO217">
        <v>3.1653847100000001</v>
      </c>
      <c r="AP217">
        <v>1.2865530599999999</v>
      </c>
      <c r="AR217">
        <v>2.9083153309999998</v>
      </c>
      <c r="AS217">
        <v>4.602326766</v>
      </c>
      <c r="AT217">
        <v>3.3949491510000001</v>
      </c>
      <c r="AU217">
        <v>1.4738609680000001</v>
      </c>
      <c r="AV217">
        <v>2.195542847</v>
      </c>
      <c r="AW217">
        <v>3.4184222970000002</v>
      </c>
    </row>
    <row r="218" spans="1:49" x14ac:dyDescent="0.2">
      <c r="A218" t="s">
        <v>282</v>
      </c>
      <c r="B218" s="73">
        <v>37073</v>
      </c>
      <c r="C218">
        <v>-0.61697928899999999</v>
      </c>
      <c r="D218">
        <v>1.7455025900000001</v>
      </c>
      <c r="E218">
        <v>1.4278967929999999</v>
      </c>
      <c r="F218">
        <v>1.521366065</v>
      </c>
      <c r="G218">
        <v>2.2940022199999999</v>
      </c>
      <c r="H218">
        <v>2.0000249349999999</v>
      </c>
      <c r="I218">
        <v>2.4641055120000002</v>
      </c>
      <c r="J218">
        <v>4.7493133460000001</v>
      </c>
      <c r="K218">
        <v>8.6</v>
      </c>
      <c r="L218">
        <v>3.2293324019999998</v>
      </c>
      <c r="M218">
        <v>1.614648595</v>
      </c>
      <c r="N218">
        <v>0.64632245799999999</v>
      </c>
      <c r="O218">
        <v>2.343826419</v>
      </c>
      <c r="P218">
        <v>3.9678712649999999</v>
      </c>
      <c r="Q218">
        <v>5.1354683210000003</v>
      </c>
      <c r="R218">
        <v>2.2581775980000001</v>
      </c>
      <c r="T218">
        <v>3.2710920379999999</v>
      </c>
      <c r="U218">
        <v>2.186958701</v>
      </c>
      <c r="V218">
        <v>1.3529920360000001</v>
      </c>
      <c r="X218">
        <v>1.9971500820000001</v>
      </c>
      <c r="Y218">
        <v>4.3170669449999997</v>
      </c>
      <c r="Z218">
        <v>4.3268324460000001</v>
      </c>
      <c r="AA218">
        <v>4.0395099999999999</v>
      </c>
      <c r="AB218">
        <v>6.2863762540000003</v>
      </c>
      <c r="AC218">
        <v>5.7035978009999999</v>
      </c>
      <c r="AD218">
        <v>1.1322831019999999</v>
      </c>
      <c r="AE218">
        <v>2.3397883660000001</v>
      </c>
      <c r="AF218">
        <v>0.983897409</v>
      </c>
      <c r="AG218">
        <v>5.0230569850000002</v>
      </c>
      <c r="AH218">
        <v>2.7140566019999999</v>
      </c>
      <c r="AI218">
        <v>8.8806372459999992</v>
      </c>
      <c r="AJ218">
        <v>-0.36247533599999998</v>
      </c>
      <c r="AK218">
        <v>2.7634846720000001</v>
      </c>
      <c r="AL218">
        <v>2.010408746</v>
      </c>
      <c r="AM218">
        <v>2.3771802979999999</v>
      </c>
      <c r="AN218">
        <v>1.465570225</v>
      </c>
      <c r="AO218">
        <v>1.4755945340000001</v>
      </c>
      <c r="AP218">
        <v>2.8097831050000002</v>
      </c>
      <c r="AR218">
        <v>2.9723576970000001</v>
      </c>
      <c r="AS218">
        <v>3.4193257259999998</v>
      </c>
      <c r="AT218">
        <v>0.86584747799999995</v>
      </c>
      <c r="AU218">
        <v>-7.0600679099999999</v>
      </c>
      <c r="AV218">
        <v>0.99193295699999995</v>
      </c>
      <c r="AW218">
        <v>2.9877310829999999</v>
      </c>
    </row>
    <row r="219" spans="1:49" x14ac:dyDescent="0.2">
      <c r="A219" t="s">
        <v>283</v>
      </c>
      <c r="B219" s="73">
        <v>37165</v>
      </c>
      <c r="C219">
        <v>-4.9917471659999997</v>
      </c>
      <c r="D219">
        <v>2.7079356240000001</v>
      </c>
      <c r="E219">
        <v>1.029870939</v>
      </c>
      <c r="F219">
        <v>0.86014731499999997</v>
      </c>
      <c r="G219">
        <v>0.57731626800000002</v>
      </c>
      <c r="H219">
        <v>0.90588392600000001</v>
      </c>
      <c r="I219">
        <v>1.5108465579999999</v>
      </c>
      <c r="J219">
        <v>2.5480296880000002</v>
      </c>
      <c r="K219">
        <v>8</v>
      </c>
      <c r="L219">
        <v>2.3498407960000001</v>
      </c>
      <c r="M219">
        <v>1.473312741</v>
      </c>
      <c r="N219">
        <v>1.270204581</v>
      </c>
      <c r="O219">
        <v>1.8955442199999999</v>
      </c>
      <c r="P219">
        <v>3.8164644089999999</v>
      </c>
      <c r="Q219">
        <v>5.9987848379999997</v>
      </c>
      <c r="R219">
        <v>1.8779229660000001</v>
      </c>
      <c r="T219">
        <v>2.3216613480000001</v>
      </c>
      <c r="U219">
        <v>1.8321667930000001</v>
      </c>
      <c r="V219">
        <v>0.78799465099999999</v>
      </c>
      <c r="X219">
        <v>2.0843411760000001</v>
      </c>
      <c r="Y219">
        <v>4.0643412909999999</v>
      </c>
      <c r="Z219">
        <v>4.3677902570000002</v>
      </c>
      <c r="AA219">
        <v>3.94624</v>
      </c>
      <c r="AB219">
        <v>3.7222825099999999</v>
      </c>
      <c r="AC219">
        <v>8.066897E-3</v>
      </c>
      <c r="AD219">
        <v>-2.899958952</v>
      </c>
      <c r="AE219">
        <v>1.4260854190000001</v>
      </c>
      <c r="AF219">
        <v>-0.141895355</v>
      </c>
      <c r="AG219">
        <v>3.5876551980000002</v>
      </c>
      <c r="AH219">
        <v>2.40733446</v>
      </c>
      <c r="AI219">
        <v>3.3852323790000001</v>
      </c>
      <c r="AJ219">
        <v>-1.152979787</v>
      </c>
      <c r="AK219">
        <v>2.0995866950000002</v>
      </c>
      <c r="AL219">
        <v>2.2735523280000001</v>
      </c>
      <c r="AM219">
        <v>2.7532370460000002</v>
      </c>
      <c r="AN219">
        <v>0.90469575300000005</v>
      </c>
      <c r="AO219">
        <v>1.875577048</v>
      </c>
      <c r="AP219">
        <v>1.4737829280000001</v>
      </c>
      <c r="AR219">
        <v>2.7471175419999998</v>
      </c>
      <c r="AS219">
        <v>2.8352966180000001</v>
      </c>
      <c r="AT219">
        <v>0.46088514600000002</v>
      </c>
      <c r="AU219">
        <v>-7.2775891540000002</v>
      </c>
      <c r="AV219">
        <v>0.48735236700000001</v>
      </c>
      <c r="AW219">
        <v>2.2487530549999999</v>
      </c>
    </row>
    <row r="220" spans="1:49" x14ac:dyDescent="0.2">
      <c r="A220" t="s">
        <v>284</v>
      </c>
      <c r="B220" s="73">
        <v>37257</v>
      </c>
      <c r="C220">
        <v>-10.676443041000001</v>
      </c>
      <c r="D220">
        <v>4.3241713849999996</v>
      </c>
      <c r="E220">
        <v>2.6194512999999999E-2</v>
      </c>
      <c r="F220">
        <v>-0.215954218</v>
      </c>
      <c r="G220">
        <v>-0.919462856</v>
      </c>
      <c r="H220">
        <v>1.346715383</v>
      </c>
      <c r="I220">
        <v>0.29779623300000002</v>
      </c>
      <c r="J220">
        <v>2.2284162140000001</v>
      </c>
      <c r="K220">
        <v>7.5</v>
      </c>
      <c r="L220">
        <v>2.5512227360000002</v>
      </c>
      <c r="M220">
        <v>1.6674100940000001</v>
      </c>
      <c r="N220">
        <v>9.1785342000000006E-2</v>
      </c>
      <c r="O220">
        <v>1.3396619590000001</v>
      </c>
      <c r="P220">
        <v>3.4685902130000001</v>
      </c>
      <c r="Q220">
        <v>5.1872648090000002</v>
      </c>
      <c r="R220">
        <v>1.33596128</v>
      </c>
      <c r="T220">
        <v>0.96070451700000004</v>
      </c>
      <c r="U220">
        <v>1.029692501</v>
      </c>
      <c r="V220">
        <v>0.28694972699999999</v>
      </c>
      <c r="X220">
        <v>2.0230960389999999</v>
      </c>
      <c r="Y220">
        <v>2.8802126440000002</v>
      </c>
      <c r="Z220">
        <v>3.2331568850000001</v>
      </c>
      <c r="AA220">
        <v>6.2881999999999998</v>
      </c>
      <c r="AB220">
        <v>5.0227009560000004</v>
      </c>
      <c r="AC220">
        <v>7.1488667499999998</v>
      </c>
      <c r="AD220">
        <v>-3.3041676139999998</v>
      </c>
      <c r="AE220">
        <v>-0.19529538699999999</v>
      </c>
      <c r="AF220">
        <v>-1.4403099500000001</v>
      </c>
      <c r="AG220">
        <v>5.7566119650000003</v>
      </c>
      <c r="AH220">
        <v>4.4730133109999999</v>
      </c>
      <c r="AI220">
        <v>8.1426106380000007</v>
      </c>
      <c r="AJ220">
        <v>-0.92598451900000001</v>
      </c>
      <c r="AK220">
        <v>1.1146564859999999</v>
      </c>
      <c r="AL220">
        <v>3.1218322829999998</v>
      </c>
      <c r="AM220">
        <v>4.0753086090000004</v>
      </c>
      <c r="AN220">
        <v>0.50445971999999994</v>
      </c>
      <c r="AO220">
        <v>-0.73375662799999997</v>
      </c>
      <c r="AP220">
        <v>2.2092510619999999</v>
      </c>
      <c r="AR220">
        <v>4.3738158470000004</v>
      </c>
      <c r="AS220">
        <v>3.1351179830000002</v>
      </c>
      <c r="AT220">
        <v>1.618099231</v>
      </c>
      <c r="AU220">
        <v>-10.129126144000001</v>
      </c>
      <c r="AV220">
        <v>0.170642236</v>
      </c>
      <c r="AW220">
        <v>2.1659898750000002</v>
      </c>
    </row>
    <row r="221" spans="1:49" x14ac:dyDescent="0.2">
      <c r="A221" t="s">
        <v>285</v>
      </c>
      <c r="B221" s="73">
        <v>37347</v>
      </c>
      <c r="C221">
        <v>-15.219743824</v>
      </c>
      <c r="D221">
        <v>4.0446981659999999</v>
      </c>
      <c r="E221">
        <v>1.234245472</v>
      </c>
      <c r="F221">
        <v>0.58514592700000001</v>
      </c>
      <c r="G221">
        <v>0.99135796499999995</v>
      </c>
      <c r="H221">
        <v>2.309048819</v>
      </c>
      <c r="I221">
        <v>0.16721707399999999</v>
      </c>
      <c r="J221">
        <v>2.0162269460000002</v>
      </c>
      <c r="K221">
        <v>8.9</v>
      </c>
      <c r="L221">
        <v>1.255544526</v>
      </c>
      <c r="M221">
        <v>-0.85936547900000004</v>
      </c>
      <c r="N221">
        <v>1.156465893</v>
      </c>
      <c r="O221">
        <v>0.40821589600000002</v>
      </c>
      <c r="P221">
        <v>2.81718344</v>
      </c>
      <c r="Q221">
        <v>4.4139324020000004</v>
      </c>
      <c r="R221">
        <v>0.55050658500000005</v>
      </c>
      <c r="T221">
        <v>1.126430168</v>
      </c>
      <c r="U221">
        <v>0.85884176000000001</v>
      </c>
      <c r="V221">
        <v>0.44560006200000002</v>
      </c>
      <c r="X221">
        <v>1.693117859</v>
      </c>
      <c r="Y221">
        <v>2.4525552749999999</v>
      </c>
      <c r="Z221">
        <v>4.789777569</v>
      </c>
      <c r="AA221">
        <v>6.5698699999999999</v>
      </c>
      <c r="AB221">
        <v>5.334970545</v>
      </c>
      <c r="AC221">
        <v>0.26552225000000002</v>
      </c>
      <c r="AD221">
        <v>-1.7518378029999999</v>
      </c>
      <c r="AE221">
        <v>-0.74491987299999995</v>
      </c>
      <c r="AF221">
        <v>-2.0015920600000001</v>
      </c>
      <c r="AG221">
        <v>7.1345765419999996</v>
      </c>
      <c r="AH221">
        <v>3.226006935</v>
      </c>
      <c r="AI221">
        <v>5.7649423879999997</v>
      </c>
      <c r="AJ221">
        <v>-1.6236556710000001</v>
      </c>
      <c r="AK221">
        <v>0.38873254600000001</v>
      </c>
      <c r="AL221">
        <v>0.88159529000000003</v>
      </c>
      <c r="AM221">
        <v>4.6357231099999998</v>
      </c>
      <c r="AN221">
        <v>0.79805609099999997</v>
      </c>
      <c r="AO221">
        <v>0.83575206300000005</v>
      </c>
      <c r="AP221">
        <v>2.7121519489999999</v>
      </c>
      <c r="AR221">
        <v>3.9724983279999999</v>
      </c>
      <c r="AS221">
        <v>3.2181243679999998</v>
      </c>
      <c r="AT221">
        <v>1.0922100539999999</v>
      </c>
      <c r="AU221">
        <v>-1.6959707850000001</v>
      </c>
      <c r="AV221">
        <v>1.3288120480000001</v>
      </c>
      <c r="AW221">
        <v>2.6447575589999999</v>
      </c>
    </row>
    <row r="222" spans="1:49" x14ac:dyDescent="0.2">
      <c r="A222" t="s">
        <v>286</v>
      </c>
      <c r="B222" s="73">
        <v>37438</v>
      </c>
      <c r="C222">
        <v>-14.147871056</v>
      </c>
      <c r="D222">
        <v>4.9686239729999997</v>
      </c>
      <c r="E222">
        <v>2.001417005</v>
      </c>
      <c r="F222">
        <v>1.42783499</v>
      </c>
      <c r="G222">
        <v>2.0582817869999999</v>
      </c>
      <c r="H222">
        <v>2.6354387780000001</v>
      </c>
      <c r="I222">
        <v>-0.16500577299999999</v>
      </c>
      <c r="J222">
        <v>0.96893394899999996</v>
      </c>
      <c r="K222">
        <v>8.8000000000000007</v>
      </c>
      <c r="L222">
        <v>1.4937941320000001</v>
      </c>
      <c r="M222">
        <v>-0.36021390199999997</v>
      </c>
      <c r="N222">
        <v>0.65505192400000001</v>
      </c>
      <c r="O222">
        <v>0.85696691000000003</v>
      </c>
      <c r="P222">
        <v>2.8945752659999999</v>
      </c>
      <c r="Q222">
        <v>7.931210375</v>
      </c>
      <c r="R222">
        <v>1.032736643</v>
      </c>
      <c r="T222">
        <v>2.0048186380000002</v>
      </c>
      <c r="U222">
        <v>1.134503402</v>
      </c>
      <c r="V222">
        <v>0.85340155100000004</v>
      </c>
      <c r="X222">
        <v>1.8844650060000001</v>
      </c>
      <c r="Y222">
        <v>5.0225698220000004</v>
      </c>
      <c r="Z222">
        <v>4.5241278329999997</v>
      </c>
      <c r="AA222">
        <v>5.0481699999999998</v>
      </c>
      <c r="AB222">
        <v>4.3411258569999998</v>
      </c>
      <c r="AC222">
        <v>0.95163852900000001</v>
      </c>
      <c r="AD222">
        <v>-0.810197159</v>
      </c>
      <c r="AE222">
        <v>5.6115224999999998E-2</v>
      </c>
      <c r="AF222">
        <v>-0.46034185599999999</v>
      </c>
      <c r="AG222">
        <v>7.6773988439999998</v>
      </c>
      <c r="AH222">
        <v>6.3657351770000004</v>
      </c>
      <c r="AI222">
        <v>4.9181089360000003</v>
      </c>
      <c r="AJ222">
        <v>-0.18446900299999999</v>
      </c>
      <c r="AK222">
        <v>0.23151022800000001</v>
      </c>
      <c r="AL222">
        <v>3.1610112739999998</v>
      </c>
      <c r="AM222">
        <v>4.5266823670000003</v>
      </c>
      <c r="AN222">
        <v>1.460126238</v>
      </c>
      <c r="AO222">
        <v>2.2108532869999999</v>
      </c>
      <c r="AP222">
        <v>1.2559850130000001</v>
      </c>
      <c r="AR222">
        <v>3.9241550809999999</v>
      </c>
      <c r="AS222">
        <v>2.843929428</v>
      </c>
      <c r="AT222">
        <v>2.6879131510000001</v>
      </c>
      <c r="AU222">
        <v>7.7675409220000002</v>
      </c>
      <c r="AV222">
        <v>1.3228839020000001</v>
      </c>
      <c r="AW222">
        <v>3.4303290679999998</v>
      </c>
    </row>
    <row r="223" spans="1:49" x14ac:dyDescent="0.2">
      <c r="A223" t="s">
        <v>287</v>
      </c>
      <c r="B223" s="73">
        <v>37530</v>
      </c>
      <c r="C223">
        <v>-9.897878081</v>
      </c>
      <c r="D223">
        <v>4.0411289630000002</v>
      </c>
      <c r="E223">
        <v>2.3038425120000001</v>
      </c>
      <c r="F223">
        <v>2.1656617100000002</v>
      </c>
      <c r="G223">
        <v>3.8602053550000002</v>
      </c>
      <c r="H223">
        <v>3.5927041059999998</v>
      </c>
      <c r="I223">
        <v>0.23546225100000001</v>
      </c>
      <c r="J223">
        <v>2.2663078919999999</v>
      </c>
      <c r="K223">
        <v>9.6</v>
      </c>
      <c r="L223">
        <v>1.519330472</v>
      </c>
      <c r="M223">
        <v>0.29096179700000002</v>
      </c>
      <c r="N223">
        <v>9.8620025E-2</v>
      </c>
      <c r="O223">
        <v>1.174860996</v>
      </c>
      <c r="P223">
        <v>2.5728777809999999</v>
      </c>
      <c r="Q223">
        <v>7.8670739999999997</v>
      </c>
      <c r="R223">
        <v>1.3211516640000001</v>
      </c>
      <c r="T223">
        <v>1.126803875</v>
      </c>
      <c r="U223">
        <v>1.2800573200000001</v>
      </c>
      <c r="V223">
        <v>1.641876157</v>
      </c>
      <c r="X223">
        <v>2.1210039709999999</v>
      </c>
      <c r="Y223">
        <v>3.943039937</v>
      </c>
      <c r="Z223">
        <v>4.5597082970000002</v>
      </c>
      <c r="AA223">
        <v>4.3806500000000002</v>
      </c>
      <c r="AB223">
        <v>7.2373246230000001</v>
      </c>
      <c r="AC223">
        <v>2.5984119460000001</v>
      </c>
      <c r="AD223">
        <v>0.37089228000000002</v>
      </c>
      <c r="AE223">
        <v>0.57130500399999995</v>
      </c>
      <c r="AF223">
        <v>0.95225537199999999</v>
      </c>
      <c r="AG223">
        <v>8.3909467919999994</v>
      </c>
      <c r="AH223">
        <v>3.2276442259999998</v>
      </c>
      <c r="AI223">
        <v>8.5413522119999996</v>
      </c>
      <c r="AJ223">
        <v>0.37470171800000002</v>
      </c>
      <c r="AK223">
        <v>0.212975631</v>
      </c>
      <c r="AL223">
        <v>0.39411656</v>
      </c>
      <c r="AM223">
        <v>4.9542949319999998</v>
      </c>
      <c r="AN223">
        <v>2.067742059</v>
      </c>
      <c r="AO223">
        <v>2.6669494459999998</v>
      </c>
      <c r="AP223">
        <v>0.64939600500000005</v>
      </c>
      <c r="AR223">
        <v>5.840887725</v>
      </c>
      <c r="AS223">
        <v>3.4196942080000001</v>
      </c>
      <c r="AT223">
        <v>2.9035830119999999</v>
      </c>
      <c r="AU223">
        <v>7.8896032150000002</v>
      </c>
      <c r="AV223">
        <v>2.1406699900000001</v>
      </c>
      <c r="AW223">
        <v>4.3237458149999997</v>
      </c>
    </row>
    <row r="224" spans="1:49" x14ac:dyDescent="0.2">
      <c r="A224" t="s">
        <v>288</v>
      </c>
      <c r="B224" s="73">
        <v>37622</v>
      </c>
      <c r="C224">
        <v>-3.4831756490000001</v>
      </c>
      <c r="D224">
        <v>3.636500281</v>
      </c>
      <c r="E224">
        <v>1.2670640419999999</v>
      </c>
      <c r="F224">
        <v>2.6499621260000001</v>
      </c>
      <c r="G224">
        <v>5.2023341759999999</v>
      </c>
      <c r="H224">
        <v>3.5307100930000002</v>
      </c>
      <c r="I224">
        <v>-0.113581342</v>
      </c>
      <c r="J224">
        <v>3.411896075</v>
      </c>
      <c r="K224">
        <v>9.1</v>
      </c>
      <c r="L224">
        <v>1.671351657</v>
      </c>
      <c r="M224">
        <v>0.26800379299999999</v>
      </c>
      <c r="N224">
        <v>-3.4579327999999999E-2</v>
      </c>
      <c r="O224">
        <v>1.2145603890000001</v>
      </c>
      <c r="P224">
        <v>2.6429937410000002</v>
      </c>
      <c r="Q224">
        <v>7.0856292569999999</v>
      </c>
      <c r="R224">
        <v>1.3359957920000001</v>
      </c>
      <c r="T224">
        <v>2.5661358179999998</v>
      </c>
      <c r="U224">
        <v>1.2075092919999999</v>
      </c>
      <c r="V224">
        <v>1.74995671</v>
      </c>
      <c r="X224">
        <v>2.787727694</v>
      </c>
      <c r="Y224">
        <v>4.4677284549999996</v>
      </c>
      <c r="Z224">
        <v>5.0656458190000002</v>
      </c>
      <c r="AA224">
        <v>2.11781</v>
      </c>
      <c r="AB224">
        <v>6.6029262700000002</v>
      </c>
      <c r="AC224">
        <v>-1.462542032</v>
      </c>
      <c r="AD224">
        <v>0.71104264800000005</v>
      </c>
      <c r="AE224">
        <v>1.1245467229999999</v>
      </c>
      <c r="AF224">
        <v>1.5793334990000001</v>
      </c>
      <c r="AG224">
        <v>7.6823850499999997</v>
      </c>
      <c r="AH224">
        <v>0.242984006</v>
      </c>
      <c r="AI224">
        <v>9.2596249319999995</v>
      </c>
      <c r="AJ224">
        <v>1.255927894</v>
      </c>
      <c r="AK224">
        <v>4.0300272999999998E-2</v>
      </c>
      <c r="AL224">
        <v>0.65304353800000003</v>
      </c>
      <c r="AM224">
        <v>4.7947622860000001</v>
      </c>
      <c r="AN224">
        <v>2.211472278</v>
      </c>
      <c r="AO224">
        <v>2.4608115879999999</v>
      </c>
      <c r="AP224">
        <v>-1.4802233300000001</v>
      </c>
      <c r="AR224">
        <v>4.294945255</v>
      </c>
      <c r="AS224">
        <v>4.1385943660000004</v>
      </c>
      <c r="AT224">
        <v>2.1797309550000001</v>
      </c>
      <c r="AU224">
        <v>12.077725729999999</v>
      </c>
      <c r="AV224">
        <v>1.9912861850000001</v>
      </c>
      <c r="AW224">
        <v>4.388621949</v>
      </c>
    </row>
    <row r="225" spans="1:49" x14ac:dyDescent="0.2">
      <c r="A225" t="s">
        <v>289</v>
      </c>
      <c r="B225" s="73">
        <v>37712</v>
      </c>
      <c r="C225">
        <v>5.274229353</v>
      </c>
      <c r="D225">
        <v>3.0605494590000002</v>
      </c>
      <c r="E225">
        <v>1.1241926449999999</v>
      </c>
      <c r="F225">
        <v>1.5068068569999999</v>
      </c>
      <c r="G225">
        <v>2.3957798229999998</v>
      </c>
      <c r="H225">
        <v>2.5810371669999999</v>
      </c>
      <c r="I225">
        <v>-0.77692315000000001</v>
      </c>
      <c r="J225">
        <v>3.4423785630000001</v>
      </c>
      <c r="K225">
        <v>11.1</v>
      </c>
      <c r="L225">
        <v>2.8959249059999999</v>
      </c>
      <c r="M225">
        <v>-0.70573230099999995</v>
      </c>
      <c r="N225">
        <v>0.53488712900000002</v>
      </c>
      <c r="O225">
        <v>0.80900886999999999</v>
      </c>
      <c r="P225">
        <v>3.1593662220000001</v>
      </c>
      <c r="Q225">
        <v>8.7837476120000009</v>
      </c>
      <c r="R225">
        <v>1.012647023</v>
      </c>
      <c r="T225">
        <v>1.1795343140000001</v>
      </c>
      <c r="U225">
        <v>1.031236244</v>
      </c>
      <c r="V225">
        <v>1.3970329210000001</v>
      </c>
      <c r="X225">
        <v>2.8205682470000002</v>
      </c>
      <c r="Y225">
        <v>5.7784367750000003</v>
      </c>
      <c r="Z225">
        <v>3.5350474709999999</v>
      </c>
      <c r="AA225">
        <v>3.5805899999999999</v>
      </c>
      <c r="AB225">
        <v>3.142372484</v>
      </c>
      <c r="AC225">
        <v>6.5433807059999998</v>
      </c>
      <c r="AD225">
        <v>1.537870469</v>
      </c>
      <c r="AE225">
        <v>0.66322040800000004</v>
      </c>
      <c r="AF225">
        <v>1.4716047430000001</v>
      </c>
      <c r="AG225">
        <v>4.3182279120000002</v>
      </c>
      <c r="AH225">
        <v>-0.30210705700000001</v>
      </c>
      <c r="AI225">
        <v>10.005215256</v>
      </c>
      <c r="AJ225">
        <v>2.185821228</v>
      </c>
      <c r="AK225">
        <v>0.67193139499999999</v>
      </c>
      <c r="AL225">
        <v>1.7226585800000001</v>
      </c>
      <c r="AM225">
        <v>4.4439599159999998</v>
      </c>
      <c r="AN225">
        <v>1.853903895</v>
      </c>
      <c r="AO225">
        <v>2.601922617</v>
      </c>
      <c r="AP225">
        <v>-1.5517664680000001</v>
      </c>
      <c r="AR225">
        <v>5.8061245479999997</v>
      </c>
      <c r="AS225">
        <v>2.7394152169999999</v>
      </c>
      <c r="AT225">
        <v>3.5497864319999999</v>
      </c>
      <c r="AU225">
        <v>8.0882987750000002</v>
      </c>
      <c r="AV225">
        <v>1.6761889400000001</v>
      </c>
      <c r="AW225">
        <v>3.9226323839999999</v>
      </c>
    </row>
    <row r="226" spans="1:49" x14ac:dyDescent="0.2">
      <c r="A226" t="s">
        <v>290</v>
      </c>
      <c r="B226" s="73">
        <v>37803</v>
      </c>
      <c r="C226">
        <v>8.1469202010000004</v>
      </c>
      <c r="D226">
        <v>1.7478582199999999</v>
      </c>
      <c r="E226">
        <v>0.74989790700000003</v>
      </c>
      <c r="F226">
        <v>0.86047940999999994</v>
      </c>
      <c r="G226">
        <v>0.94430612800000002</v>
      </c>
      <c r="H226">
        <v>1.8296107960000001</v>
      </c>
      <c r="I226">
        <v>-0.90723455600000003</v>
      </c>
      <c r="J226">
        <v>4.5666152960000002</v>
      </c>
      <c r="K226">
        <v>9.1</v>
      </c>
      <c r="L226">
        <v>3.4371002869999998</v>
      </c>
      <c r="M226">
        <v>-1.029136139</v>
      </c>
      <c r="N226">
        <v>-0.39022355600000003</v>
      </c>
      <c r="O226">
        <v>0.35166563099999998</v>
      </c>
      <c r="P226">
        <v>2.8586515100000001</v>
      </c>
      <c r="Q226">
        <v>7.542121227</v>
      </c>
      <c r="R226">
        <v>0.55253285399999996</v>
      </c>
      <c r="T226">
        <v>1.629539742</v>
      </c>
      <c r="U226">
        <v>0.35137946199999998</v>
      </c>
      <c r="V226">
        <v>1.361815778</v>
      </c>
      <c r="X226">
        <v>2.9373794869999998</v>
      </c>
      <c r="Y226">
        <v>5.2951285600000002</v>
      </c>
      <c r="Z226">
        <v>4.0107501609999998</v>
      </c>
      <c r="AA226">
        <v>5.5461299999999998</v>
      </c>
      <c r="AB226">
        <v>2.9868290989999999</v>
      </c>
      <c r="AC226">
        <v>-0.37864703199999999</v>
      </c>
      <c r="AD226">
        <v>0.71798731400000004</v>
      </c>
      <c r="AE226">
        <v>9.2906420000000003E-2</v>
      </c>
      <c r="AF226">
        <v>1.348042655</v>
      </c>
      <c r="AG226">
        <v>2.3035458499999999</v>
      </c>
      <c r="AH226">
        <v>0.434553878</v>
      </c>
      <c r="AI226">
        <v>8.5744319579999999</v>
      </c>
      <c r="AJ226">
        <v>1.49229089</v>
      </c>
      <c r="AK226">
        <v>-2.3899152E-2</v>
      </c>
      <c r="AL226">
        <v>-0.822423342</v>
      </c>
      <c r="AM226">
        <v>3.5365104390000002</v>
      </c>
      <c r="AN226">
        <v>1.5663838569999999</v>
      </c>
      <c r="AO226">
        <v>3.8142841920000001</v>
      </c>
      <c r="AP226">
        <v>-1.9719000099999999</v>
      </c>
      <c r="AR226">
        <v>6.33166326</v>
      </c>
      <c r="AS226">
        <v>3.0422898809999999</v>
      </c>
      <c r="AT226">
        <v>1.315840025</v>
      </c>
      <c r="AU226">
        <v>3.9642978769999999</v>
      </c>
      <c r="AV226">
        <v>1.956993642</v>
      </c>
      <c r="AW226">
        <v>3.1216897989999999</v>
      </c>
    </row>
    <row r="227" spans="1:49" x14ac:dyDescent="0.2">
      <c r="A227" t="s">
        <v>291</v>
      </c>
      <c r="B227" s="73">
        <v>37895</v>
      </c>
      <c r="C227">
        <v>10.707165721999999</v>
      </c>
      <c r="D227">
        <v>3.1984996109999999</v>
      </c>
      <c r="E227">
        <v>0.74386217300000002</v>
      </c>
      <c r="F227">
        <v>0.733625686</v>
      </c>
      <c r="G227">
        <v>0.65627277799999995</v>
      </c>
      <c r="H227">
        <v>1.3331146899999999</v>
      </c>
      <c r="I227">
        <v>-0.15325496399999999</v>
      </c>
      <c r="J227">
        <v>4.5751448029999997</v>
      </c>
      <c r="K227">
        <v>10</v>
      </c>
      <c r="L227">
        <v>3.8544160220000001</v>
      </c>
      <c r="M227">
        <v>-0.75723085300000004</v>
      </c>
      <c r="N227">
        <v>-0.38683434</v>
      </c>
      <c r="O227">
        <v>0.47688062399999998</v>
      </c>
      <c r="P227">
        <v>2.9025761800000001</v>
      </c>
      <c r="Q227">
        <v>6.4658695780000004</v>
      </c>
      <c r="R227">
        <v>0.70430585499999998</v>
      </c>
      <c r="T227">
        <v>3.0864465679999999</v>
      </c>
      <c r="U227">
        <v>0.604721701</v>
      </c>
      <c r="V227">
        <v>1.993284692</v>
      </c>
      <c r="X227">
        <v>3.2241734499999999</v>
      </c>
      <c r="Y227">
        <v>5.3477605940000004</v>
      </c>
      <c r="Z227">
        <v>4.2867635000000002</v>
      </c>
      <c r="AA227">
        <v>7.6850500000000004</v>
      </c>
      <c r="AB227">
        <v>1.890845283</v>
      </c>
      <c r="AC227">
        <v>0.65401804600000002</v>
      </c>
      <c r="AD227">
        <v>1.470320549</v>
      </c>
      <c r="AE227">
        <v>-0.20750273999999999</v>
      </c>
      <c r="AF227">
        <v>1.3284973229999999</v>
      </c>
      <c r="AG227">
        <v>2.2141562349999999</v>
      </c>
      <c r="AH227">
        <v>3.100756718</v>
      </c>
      <c r="AI227">
        <v>9.5337912219999996</v>
      </c>
      <c r="AJ227">
        <v>0.66541104900000003</v>
      </c>
      <c r="AK227">
        <v>-9.0331270000000005E-2</v>
      </c>
      <c r="AL227">
        <v>2.08615488</v>
      </c>
      <c r="AM227">
        <v>4.4926791939999999</v>
      </c>
      <c r="AN227">
        <v>2.1062503549999998</v>
      </c>
      <c r="AO227">
        <v>3.6922286579999999</v>
      </c>
      <c r="AP227">
        <v>-0.65138245100000003</v>
      </c>
      <c r="AR227">
        <v>4.4181870400000003</v>
      </c>
      <c r="AS227">
        <v>3.3234298130000002</v>
      </c>
      <c r="AT227">
        <v>2.203069223</v>
      </c>
      <c r="AU227">
        <v>5.4870934240000002</v>
      </c>
      <c r="AV227">
        <v>3.2399083019999999</v>
      </c>
      <c r="AW227">
        <v>2.52095906</v>
      </c>
    </row>
    <row r="228" spans="1:49" x14ac:dyDescent="0.2">
      <c r="A228" t="s">
        <v>292</v>
      </c>
      <c r="B228" s="73">
        <v>37987</v>
      </c>
      <c r="C228">
        <v>11.646839589000001</v>
      </c>
      <c r="D228">
        <v>4.0477354060000001</v>
      </c>
      <c r="E228">
        <v>1.3456047630000001</v>
      </c>
      <c r="F228">
        <v>1.0565153730000001</v>
      </c>
      <c r="G228">
        <v>0.68153836999999995</v>
      </c>
      <c r="H228">
        <v>1.475555706</v>
      </c>
      <c r="I228">
        <v>1.5262157489999999</v>
      </c>
      <c r="J228">
        <v>3.259144005</v>
      </c>
      <c r="K228">
        <v>10</v>
      </c>
      <c r="L228">
        <v>4.120358349</v>
      </c>
      <c r="M228">
        <v>-0.35156150899999999</v>
      </c>
      <c r="N228">
        <v>1.8049206820000001</v>
      </c>
      <c r="O228">
        <v>1.0563141949999999</v>
      </c>
      <c r="P228">
        <v>3.008540784</v>
      </c>
      <c r="Q228">
        <v>8.4519283749999996</v>
      </c>
      <c r="R228">
        <v>1.2857440120000001</v>
      </c>
      <c r="T228">
        <v>2.113220514</v>
      </c>
      <c r="U228">
        <v>1.384465085</v>
      </c>
      <c r="V228">
        <v>2.7632600799999998</v>
      </c>
      <c r="X228">
        <v>3.1330876920000001</v>
      </c>
      <c r="Y228">
        <v>6.7759668309999999</v>
      </c>
      <c r="Z228">
        <v>4.1147304770000002</v>
      </c>
      <c r="AA228">
        <v>11.133620000000001</v>
      </c>
      <c r="AB228">
        <v>6.1147076690000004</v>
      </c>
      <c r="AC228">
        <v>1.9157067839999999</v>
      </c>
      <c r="AD228">
        <v>2.0010678550000001</v>
      </c>
      <c r="AE228">
        <v>0.35321594499999998</v>
      </c>
      <c r="AF228">
        <v>2.1469098070000001</v>
      </c>
      <c r="AG228">
        <v>3.7733173820000001</v>
      </c>
      <c r="AH228">
        <v>7.3558727079999997</v>
      </c>
      <c r="AI228">
        <v>6.596572117</v>
      </c>
      <c r="AJ228">
        <v>1.534430196</v>
      </c>
      <c r="AK228">
        <v>0.29448898000000001</v>
      </c>
      <c r="AL228">
        <v>0.97862737899999996</v>
      </c>
      <c r="AM228">
        <v>4.4635716590000003</v>
      </c>
      <c r="AN228">
        <v>2.863571361</v>
      </c>
      <c r="AO228">
        <v>3.8846482340000001</v>
      </c>
      <c r="AP228">
        <v>0.47393297699999998</v>
      </c>
      <c r="AR228">
        <v>5.4685269810000001</v>
      </c>
      <c r="AS228">
        <v>2.2625433039999998</v>
      </c>
      <c r="AT228">
        <v>2.6793836529999999</v>
      </c>
      <c r="AU228">
        <v>6.405673062</v>
      </c>
      <c r="AV228">
        <v>4.2950765200000003</v>
      </c>
      <c r="AW228">
        <v>2.261629374</v>
      </c>
    </row>
    <row r="229" spans="1:49" x14ac:dyDescent="0.2">
      <c r="A229" t="s">
        <v>293</v>
      </c>
      <c r="B229" s="73">
        <v>38078</v>
      </c>
      <c r="C229">
        <v>11.179734771</v>
      </c>
      <c r="D229">
        <v>4.6555532480000004</v>
      </c>
      <c r="E229">
        <v>1.5655967420000001</v>
      </c>
      <c r="F229">
        <v>2.8420434530000001</v>
      </c>
      <c r="G229">
        <v>2.5332047000000002</v>
      </c>
      <c r="H229">
        <v>1.6440291789999999</v>
      </c>
      <c r="I229">
        <v>2.872348422</v>
      </c>
      <c r="J229">
        <v>4.810334611</v>
      </c>
      <c r="K229">
        <v>10.6</v>
      </c>
      <c r="L229">
        <v>4.0132278770000003</v>
      </c>
      <c r="M229">
        <v>0.98208276800000005</v>
      </c>
      <c r="N229">
        <v>1.7499471470000001</v>
      </c>
      <c r="O229">
        <v>1.8668391019999999</v>
      </c>
      <c r="P229">
        <v>2.6741176129999999</v>
      </c>
      <c r="Q229">
        <v>8.4787211619999994</v>
      </c>
      <c r="R229">
        <v>2.1334478410000002</v>
      </c>
      <c r="T229">
        <v>4.152698172</v>
      </c>
      <c r="U229">
        <v>2.127079068</v>
      </c>
      <c r="V229">
        <v>3.1375245020000002</v>
      </c>
      <c r="X229">
        <v>3.016035467</v>
      </c>
      <c r="Y229">
        <v>6.5109272929999999</v>
      </c>
      <c r="Z229">
        <v>4.9188749930000002</v>
      </c>
      <c r="AA229">
        <v>9.0831300000000006</v>
      </c>
      <c r="AB229">
        <v>6.5360900810000002</v>
      </c>
      <c r="AC229">
        <v>4.3013516420000002</v>
      </c>
      <c r="AD229">
        <v>3.298043168</v>
      </c>
      <c r="AE229">
        <v>0.915864499</v>
      </c>
      <c r="AF229">
        <v>2.8325076450000002</v>
      </c>
      <c r="AG229">
        <v>5.7726765809999998</v>
      </c>
      <c r="AH229">
        <v>6.8029662330000003</v>
      </c>
      <c r="AI229">
        <v>9.5320873160000001</v>
      </c>
      <c r="AJ229">
        <v>2.710681326</v>
      </c>
      <c r="AK229">
        <v>1.184842103</v>
      </c>
      <c r="AL229">
        <v>4.5310308670000001</v>
      </c>
      <c r="AM229">
        <v>5.6638390540000003</v>
      </c>
      <c r="AN229">
        <v>3.4512072800000002</v>
      </c>
      <c r="AO229">
        <v>6.6152404889999996</v>
      </c>
      <c r="AP229">
        <v>1.2747061150000001</v>
      </c>
      <c r="AQ229">
        <v>6.6646506250000002</v>
      </c>
      <c r="AR229">
        <v>4.9731875419999998</v>
      </c>
      <c r="AS229">
        <v>3.3053349249999999</v>
      </c>
      <c r="AT229">
        <v>3.3732228470000001</v>
      </c>
      <c r="AU229">
        <v>9.2450567899999996</v>
      </c>
      <c r="AV229">
        <v>4.3533820859999999</v>
      </c>
      <c r="AW229">
        <v>3.154859005</v>
      </c>
    </row>
    <row r="230" spans="1:49" x14ac:dyDescent="0.2">
      <c r="A230" t="s">
        <v>294</v>
      </c>
      <c r="B230" s="73">
        <v>38169</v>
      </c>
      <c r="C230">
        <v>6.531458475</v>
      </c>
      <c r="D230">
        <v>4.9068854330000002</v>
      </c>
      <c r="E230">
        <v>2.2861449669999998</v>
      </c>
      <c r="F230">
        <v>3.6094313969999998</v>
      </c>
      <c r="G230">
        <v>6.265538791</v>
      </c>
      <c r="H230">
        <v>3.0032687450000002</v>
      </c>
      <c r="I230">
        <v>3.5588332079999998</v>
      </c>
      <c r="J230">
        <v>6.2039289359999996</v>
      </c>
      <c r="K230">
        <v>11.6</v>
      </c>
      <c r="L230">
        <v>4.1440925289999999</v>
      </c>
      <c r="M230">
        <v>1.3697656819999999</v>
      </c>
      <c r="N230">
        <v>3.3166103059999998</v>
      </c>
      <c r="O230">
        <v>2.4242120809999999</v>
      </c>
      <c r="P230">
        <v>3.139803256</v>
      </c>
      <c r="Q230">
        <v>5.3029077940000002</v>
      </c>
      <c r="R230">
        <v>2.6696332819999999</v>
      </c>
      <c r="T230">
        <v>3.558635394</v>
      </c>
      <c r="U230">
        <v>3.0106040919999999</v>
      </c>
      <c r="V230">
        <v>3.166394844</v>
      </c>
      <c r="X230">
        <v>2.7909674729999998</v>
      </c>
      <c r="Y230">
        <v>4.637807316</v>
      </c>
      <c r="Z230">
        <v>5.0216360560000002</v>
      </c>
      <c r="AA230">
        <v>8.9182000000000006</v>
      </c>
      <c r="AB230">
        <v>8.3442412560000001</v>
      </c>
      <c r="AC230">
        <v>6.4040747199999997</v>
      </c>
      <c r="AD230">
        <v>4.5581454959999999</v>
      </c>
      <c r="AE230">
        <v>1.5062055809999999</v>
      </c>
      <c r="AF230">
        <v>2.1474885129999999</v>
      </c>
      <c r="AG230">
        <v>6.7447940510000004</v>
      </c>
      <c r="AH230">
        <v>4.3103939499999999</v>
      </c>
      <c r="AI230">
        <v>8.3935117560000005</v>
      </c>
      <c r="AJ230">
        <v>4.0665592139999998</v>
      </c>
      <c r="AK230">
        <v>2.0195915609999999</v>
      </c>
      <c r="AL230">
        <v>5.2474233090000002</v>
      </c>
      <c r="AM230">
        <v>6.1111765809999996</v>
      </c>
      <c r="AN230">
        <v>3.6409076549999999</v>
      </c>
      <c r="AO230">
        <v>5.2708633709999999</v>
      </c>
      <c r="AP230">
        <v>2.7674509939999998</v>
      </c>
      <c r="AQ230">
        <v>7.5209468179999996</v>
      </c>
      <c r="AR230">
        <v>4.1030152859999998</v>
      </c>
      <c r="AS230">
        <v>4.3843693769999996</v>
      </c>
      <c r="AT230">
        <v>4.4015877210000003</v>
      </c>
      <c r="AU230">
        <v>11.413895422</v>
      </c>
      <c r="AV230">
        <v>4.2348116490000001</v>
      </c>
      <c r="AW230">
        <v>4.088062152</v>
      </c>
    </row>
    <row r="231" spans="1:49" x14ac:dyDescent="0.2">
      <c r="A231" t="s">
        <v>295</v>
      </c>
      <c r="B231" s="73">
        <v>38261</v>
      </c>
      <c r="C231">
        <v>9.2042785929999997</v>
      </c>
      <c r="D231">
        <v>3.911325224</v>
      </c>
      <c r="E231">
        <v>2.9471183879999998</v>
      </c>
      <c r="F231">
        <v>4.0872538839999999</v>
      </c>
      <c r="G231">
        <v>6.5863453510000003</v>
      </c>
      <c r="H231">
        <v>3.8311862329999999</v>
      </c>
      <c r="I231">
        <v>2.586778475</v>
      </c>
      <c r="J231">
        <v>8.4877062339999991</v>
      </c>
      <c r="K231">
        <v>9.8000000000000007</v>
      </c>
      <c r="L231">
        <v>4.8071999200000004</v>
      </c>
      <c r="M231">
        <v>0.41221011600000002</v>
      </c>
      <c r="N231">
        <v>3.2055743539999999</v>
      </c>
      <c r="O231">
        <v>2.1198931679999999</v>
      </c>
      <c r="P231">
        <v>3.4277161139999999</v>
      </c>
      <c r="Q231">
        <v>6.635269976</v>
      </c>
      <c r="R231">
        <v>2.3512623910000001</v>
      </c>
      <c r="T231">
        <v>3.4449337350000002</v>
      </c>
      <c r="U231">
        <v>2.5868838859999999</v>
      </c>
      <c r="V231">
        <v>2.7200953440000002</v>
      </c>
      <c r="X231">
        <v>2.042502952</v>
      </c>
      <c r="Y231">
        <v>5.3731311120000003</v>
      </c>
      <c r="Z231">
        <v>5.0286258070000001</v>
      </c>
      <c r="AA231">
        <v>8.6693599999999993</v>
      </c>
      <c r="AB231">
        <v>6.8792409350000003</v>
      </c>
      <c r="AC231">
        <v>11.422376965</v>
      </c>
      <c r="AD231">
        <v>4.9765480760000003</v>
      </c>
      <c r="AE231">
        <v>1.5683681350000001</v>
      </c>
      <c r="AF231">
        <v>2.4701548</v>
      </c>
      <c r="AG231">
        <v>5.1456188139999997</v>
      </c>
      <c r="AH231">
        <v>5.6299416620000002</v>
      </c>
      <c r="AI231">
        <v>6.5646037359999996</v>
      </c>
      <c r="AJ231">
        <v>3.8832175109999998</v>
      </c>
      <c r="AK231">
        <v>2.0814376179999998</v>
      </c>
      <c r="AL231">
        <v>2.5906483630000001</v>
      </c>
      <c r="AM231">
        <v>4.2203216110000001</v>
      </c>
      <c r="AN231">
        <v>3.1860465819999999</v>
      </c>
      <c r="AO231">
        <v>3.5870989619999998</v>
      </c>
      <c r="AP231">
        <v>1.903675089</v>
      </c>
      <c r="AQ231">
        <v>7.3373553889999998</v>
      </c>
      <c r="AR231">
        <v>6.0857670949999996</v>
      </c>
      <c r="AS231">
        <v>3.9207454309999998</v>
      </c>
      <c r="AT231">
        <v>3.7089873180000001</v>
      </c>
      <c r="AU231">
        <v>9.5469283340000004</v>
      </c>
      <c r="AV231">
        <v>3.4908340689999999</v>
      </c>
      <c r="AW231">
        <v>5.219011064</v>
      </c>
    </row>
    <row r="232" spans="1:49" x14ac:dyDescent="0.2">
      <c r="A232" t="s">
        <v>296</v>
      </c>
      <c r="B232" s="73">
        <v>38353</v>
      </c>
      <c r="C232">
        <v>8.7966264630000008</v>
      </c>
      <c r="D232">
        <v>3.0084574989999999</v>
      </c>
      <c r="E232">
        <v>3.1527524200000001</v>
      </c>
      <c r="F232">
        <v>3.736801233</v>
      </c>
      <c r="G232">
        <v>6.3044534710000004</v>
      </c>
      <c r="H232">
        <v>3.860541692</v>
      </c>
      <c r="I232">
        <v>1.527874806</v>
      </c>
      <c r="J232">
        <v>9.1632328269999999</v>
      </c>
      <c r="K232">
        <v>8.8000000000000007</v>
      </c>
      <c r="L232">
        <v>5.6118775300000001</v>
      </c>
      <c r="M232">
        <v>3.7919386999999999E-2</v>
      </c>
      <c r="N232">
        <v>2.4131564349999999</v>
      </c>
      <c r="O232">
        <v>1.74340005</v>
      </c>
      <c r="P232">
        <v>3.2429521590000001</v>
      </c>
      <c r="Q232">
        <v>6.0817636750000004</v>
      </c>
      <c r="R232">
        <v>2.038228148</v>
      </c>
      <c r="T232">
        <v>4.8098763350000002</v>
      </c>
      <c r="U232">
        <v>2.6163641379999998</v>
      </c>
      <c r="V232">
        <v>2.3375580490000001</v>
      </c>
      <c r="X232">
        <v>1.594642326</v>
      </c>
      <c r="Y232">
        <v>2.7748216029999999</v>
      </c>
      <c r="Z232">
        <v>4.4097400770000004</v>
      </c>
      <c r="AA232">
        <v>7.2525399999999998</v>
      </c>
      <c r="AB232">
        <v>4.0019871450000002</v>
      </c>
      <c r="AC232">
        <v>9.1287078459999993</v>
      </c>
      <c r="AD232">
        <v>5.8949368199999999</v>
      </c>
      <c r="AE232">
        <v>0.88895674499999999</v>
      </c>
      <c r="AF232">
        <v>1.1703767490000001</v>
      </c>
      <c r="AG232">
        <v>3.2181314620000001</v>
      </c>
      <c r="AH232">
        <v>0.70147814100000005</v>
      </c>
      <c r="AI232">
        <v>7.6639627619999997</v>
      </c>
      <c r="AJ232">
        <v>4.1163660929999999</v>
      </c>
      <c r="AK232">
        <v>1.7591751200000001</v>
      </c>
      <c r="AL232">
        <v>3.5653992739999998</v>
      </c>
      <c r="AM232">
        <v>3.241452169</v>
      </c>
      <c r="AN232">
        <v>2.7936408369999999</v>
      </c>
      <c r="AO232">
        <v>4.3928864059999997</v>
      </c>
      <c r="AP232">
        <v>1.219915938</v>
      </c>
      <c r="AQ232">
        <v>6.5934981119999998</v>
      </c>
      <c r="AR232">
        <v>5.9321343889999998</v>
      </c>
      <c r="AS232">
        <v>3.685662657</v>
      </c>
      <c r="AT232">
        <v>3.949648131</v>
      </c>
      <c r="AU232">
        <v>8.057711694</v>
      </c>
      <c r="AV232">
        <v>3.3557659160000002</v>
      </c>
      <c r="AW232">
        <v>5.7326717079999998</v>
      </c>
    </row>
    <row r="233" spans="1:49" x14ac:dyDescent="0.2">
      <c r="A233" t="s">
        <v>297</v>
      </c>
      <c r="B233" s="73">
        <v>38443</v>
      </c>
      <c r="C233">
        <v>8.3867983289999994</v>
      </c>
      <c r="D233">
        <v>2.987883708</v>
      </c>
      <c r="E233">
        <v>2.135790981</v>
      </c>
      <c r="F233">
        <v>2.7429484980000001</v>
      </c>
      <c r="G233">
        <v>5.6099083050000003</v>
      </c>
      <c r="H233">
        <v>3.4746737969999999</v>
      </c>
      <c r="I233">
        <v>1.7299256169999999</v>
      </c>
      <c r="J233">
        <v>6.4994248079999997</v>
      </c>
      <c r="K233">
        <v>11.1</v>
      </c>
      <c r="L233">
        <v>6.4629873130000002</v>
      </c>
      <c r="M233">
        <v>0.21317087500000001</v>
      </c>
      <c r="N233">
        <v>1.552318238</v>
      </c>
      <c r="O233">
        <v>1.4845955879999999</v>
      </c>
      <c r="P233">
        <v>3.6259924080000001</v>
      </c>
      <c r="Q233">
        <v>5.4982470430000001</v>
      </c>
      <c r="R233">
        <v>1.6674006130000001</v>
      </c>
      <c r="T233">
        <v>4.5125116810000003</v>
      </c>
      <c r="U233">
        <v>1.9440216210000001</v>
      </c>
      <c r="V233">
        <v>2.5076363069999998</v>
      </c>
      <c r="X233">
        <v>1.757313168</v>
      </c>
      <c r="Y233">
        <v>0.33570945699999999</v>
      </c>
      <c r="Z233">
        <v>3.8471129570000002</v>
      </c>
      <c r="AA233">
        <v>8.7341800000000003</v>
      </c>
      <c r="AB233">
        <v>6.188939596</v>
      </c>
      <c r="AC233">
        <v>1.997800807</v>
      </c>
      <c r="AD233">
        <v>4.0125069709999996</v>
      </c>
      <c r="AE233">
        <v>0.47035294900000002</v>
      </c>
      <c r="AF233">
        <v>0.95037701900000005</v>
      </c>
      <c r="AG233">
        <v>2.806402673</v>
      </c>
      <c r="AH233">
        <v>0.51341394299999998</v>
      </c>
      <c r="AI233">
        <v>6.9762824610000003</v>
      </c>
      <c r="AJ233">
        <v>2.844668462</v>
      </c>
      <c r="AK233">
        <v>1.171867896</v>
      </c>
      <c r="AL233">
        <v>1.6524118109999999</v>
      </c>
      <c r="AM233">
        <v>2.69076491</v>
      </c>
      <c r="AN233">
        <v>2.774985263</v>
      </c>
      <c r="AO233">
        <v>2.4818644679999999</v>
      </c>
      <c r="AP233">
        <v>1.0856134639999999</v>
      </c>
      <c r="AQ233">
        <v>6.4568699169999997</v>
      </c>
      <c r="AR233">
        <v>5.8711415770000004</v>
      </c>
      <c r="AS233">
        <v>3.600539006</v>
      </c>
      <c r="AT233">
        <v>2.4616516389999998</v>
      </c>
      <c r="AU233">
        <v>10.009156426000001</v>
      </c>
      <c r="AV233">
        <v>3.9086174410000001</v>
      </c>
      <c r="AW233">
        <v>5.2148270559999998</v>
      </c>
    </row>
    <row r="234" spans="1:49" x14ac:dyDescent="0.2">
      <c r="A234" t="s">
        <v>298</v>
      </c>
      <c r="B234" s="73">
        <v>38534</v>
      </c>
      <c r="C234">
        <v>11.948188939</v>
      </c>
      <c r="D234">
        <v>2.7531348759999998</v>
      </c>
      <c r="E234">
        <v>2.4345200729999998</v>
      </c>
      <c r="F234">
        <v>2.3741121110000001</v>
      </c>
      <c r="G234">
        <v>4.2076546920000002</v>
      </c>
      <c r="H234">
        <v>3.0019295459999999</v>
      </c>
      <c r="I234">
        <v>2.2080364170000002</v>
      </c>
      <c r="J234">
        <v>5.9181925509999997</v>
      </c>
      <c r="K234">
        <v>11.1</v>
      </c>
      <c r="L234">
        <v>6.6631595600000004</v>
      </c>
      <c r="M234">
        <v>0.23537477500000001</v>
      </c>
      <c r="N234">
        <v>2.938909518</v>
      </c>
      <c r="O234">
        <v>1.418044385</v>
      </c>
      <c r="P234">
        <v>3.5285929330000001</v>
      </c>
      <c r="Q234">
        <v>10.426398487</v>
      </c>
      <c r="R234">
        <v>1.638553989</v>
      </c>
      <c r="T234">
        <v>2.3821779319999998</v>
      </c>
      <c r="U234">
        <v>1.4740649750000001</v>
      </c>
      <c r="V234">
        <v>2.4883448960000001</v>
      </c>
      <c r="X234">
        <v>2.1825441080000001</v>
      </c>
      <c r="Y234">
        <v>0.59302548799999999</v>
      </c>
      <c r="Z234">
        <v>4.5999156030000004</v>
      </c>
      <c r="AA234">
        <v>9.5718700000000005</v>
      </c>
      <c r="AB234">
        <v>5.7995555689999998</v>
      </c>
      <c r="AC234">
        <v>10.479748649999999</v>
      </c>
      <c r="AD234">
        <v>4.2035524469999999</v>
      </c>
      <c r="AE234">
        <v>0.79087857399999995</v>
      </c>
      <c r="AF234">
        <v>1.721787725</v>
      </c>
      <c r="AG234">
        <v>3.9527455599999999</v>
      </c>
      <c r="AH234">
        <v>1.212892415</v>
      </c>
      <c r="AI234">
        <v>7.9304758800000004</v>
      </c>
      <c r="AJ234">
        <v>1.564940344</v>
      </c>
      <c r="AK234">
        <v>1.4001097259999999</v>
      </c>
      <c r="AL234">
        <v>1.9755384570000001</v>
      </c>
      <c r="AM234">
        <v>3.4410889720000002</v>
      </c>
      <c r="AN234">
        <v>2.7382224659999999</v>
      </c>
      <c r="AO234">
        <v>1.808896023</v>
      </c>
      <c r="AP234">
        <v>0.88112699299999997</v>
      </c>
      <c r="AQ234">
        <v>6.0339876200000004</v>
      </c>
      <c r="AR234">
        <v>7.3719565530000004</v>
      </c>
      <c r="AS234">
        <v>4.0937457269999999</v>
      </c>
      <c r="AT234">
        <v>2.7754602350000002</v>
      </c>
      <c r="AU234">
        <v>7.9599383059999997</v>
      </c>
      <c r="AV234">
        <v>3.6074103659999999</v>
      </c>
      <c r="AW234">
        <v>5.6268811449999996</v>
      </c>
    </row>
    <row r="235" spans="1:49" x14ac:dyDescent="0.2">
      <c r="A235" t="s">
        <v>299</v>
      </c>
      <c r="B235" s="73">
        <v>38626</v>
      </c>
      <c r="C235">
        <v>7.3361315889999998</v>
      </c>
      <c r="D235">
        <v>3.1086869529999999</v>
      </c>
      <c r="E235">
        <v>2.1696831950000002</v>
      </c>
      <c r="F235">
        <v>1.890494825</v>
      </c>
      <c r="G235">
        <v>2.132339832</v>
      </c>
      <c r="H235">
        <v>3.033425786</v>
      </c>
      <c r="I235">
        <v>3.3265578800000002</v>
      </c>
      <c r="J235">
        <v>5.4099659300000003</v>
      </c>
      <c r="K235">
        <v>10.8</v>
      </c>
      <c r="L235">
        <v>6.7709455849999998</v>
      </c>
      <c r="M235">
        <v>1.2839300389999999</v>
      </c>
      <c r="N235">
        <v>2.8112668150000002</v>
      </c>
      <c r="O235">
        <v>1.9270222969999999</v>
      </c>
      <c r="P235">
        <v>3.5558513199999999</v>
      </c>
      <c r="Q235">
        <v>10.570550846</v>
      </c>
      <c r="R235">
        <v>2.145212694</v>
      </c>
      <c r="T235">
        <v>2.7497148440000001</v>
      </c>
      <c r="U235">
        <v>1.7169478309999999</v>
      </c>
      <c r="V235">
        <v>2.6975238039999998</v>
      </c>
      <c r="X235">
        <v>2.830213868</v>
      </c>
      <c r="Y235">
        <v>0.64899672399999997</v>
      </c>
      <c r="Z235">
        <v>4.1237499240000002</v>
      </c>
      <c r="AA235">
        <v>8.4951500000000006</v>
      </c>
      <c r="AB235">
        <v>5.3584994400000001</v>
      </c>
      <c r="AC235">
        <v>5.7764454440000002</v>
      </c>
      <c r="AD235">
        <v>4.2723240059999998</v>
      </c>
      <c r="AE235">
        <v>1.431507002</v>
      </c>
      <c r="AF235">
        <v>2.128905101</v>
      </c>
      <c r="AG235">
        <v>5.0913424469999997</v>
      </c>
      <c r="AH235">
        <v>0.89588290599999998</v>
      </c>
      <c r="AI235">
        <v>12.71652963</v>
      </c>
      <c r="AJ235">
        <v>2.6399096659999999</v>
      </c>
      <c r="AK235">
        <v>2.608579642</v>
      </c>
      <c r="AL235">
        <v>4.0226213160000004</v>
      </c>
      <c r="AM235">
        <v>3.647380879</v>
      </c>
      <c r="AN235">
        <v>3.0413012500000001</v>
      </c>
      <c r="AO235">
        <v>4.3017836640000002</v>
      </c>
      <c r="AP235">
        <v>0.36549073900000001</v>
      </c>
      <c r="AQ235">
        <v>6.2926836909999997</v>
      </c>
      <c r="AR235">
        <v>6.6614230369999996</v>
      </c>
      <c r="AS235">
        <v>3.931414701</v>
      </c>
      <c r="AT235">
        <v>3.1666415859999999</v>
      </c>
      <c r="AU235">
        <v>8.2633823839999998</v>
      </c>
      <c r="AV235">
        <v>3.447674589</v>
      </c>
      <c r="AW235">
        <v>5.344718501</v>
      </c>
    </row>
    <row r="236" spans="1:49" x14ac:dyDescent="0.2">
      <c r="A236" t="s">
        <v>300</v>
      </c>
      <c r="B236" s="73">
        <v>38718</v>
      </c>
      <c r="C236">
        <v>7.8808400799999996</v>
      </c>
      <c r="D236">
        <v>3.1279877389999999</v>
      </c>
      <c r="E236">
        <v>2.7455117470000001</v>
      </c>
      <c r="F236">
        <v>2.3072367909999998</v>
      </c>
      <c r="G236">
        <v>2.6299315769999998</v>
      </c>
      <c r="H236">
        <v>3.309946552</v>
      </c>
      <c r="I236">
        <v>4.1315596320000001</v>
      </c>
      <c r="J236">
        <v>5.3908618400000003</v>
      </c>
      <c r="K236">
        <v>12.4</v>
      </c>
      <c r="L236">
        <v>6.8134879589999997</v>
      </c>
      <c r="M236">
        <v>1.8681829169999999</v>
      </c>
      <c r="N236">
        <v>2.0421723510000001</v>
      </c>
      <c r="O236">
        <v>2.2190451229999999</v>
      </c>
      <c r="P236">
        <v>3.8948059960000001</v>
      </c>
      <c r="Q236">
        <v>10.820481944999999</v>
      </c>
      <c r="R236">
        <v>2.4118381840000001</v>
      </c>
      <c r="T236">
        <v>1.51700612</v>
      </c>
      <c r="U236">
        <v>1.74628103</v>
      </c>
      <c r="V236">
        <v>2.655979785</v>
      </c>
      <c r="X236">
        <v>3.5919938450000002</v>
      </c>
      <c r="Y236">
        <v>1.54047551</v>
      </c>
      <c r="Z236">
        <v>4.8135032620000002</v>
      </c>
      <c r="AA236">
        <v>9.1244899999999998</v>
      </c>
      <c r="AB236">
        <v>6.1646418089999999</v>
      </c>
      <c r="AC236">
        <v>6.2775171350000001</v>
      </c>
      <c r="AD236">
        <v>4.8263921459999999</v>
      </c>
      <c r="AE236">
        <v>1.3208400259999999</v>
      </c>
      <c r="AF236">
        <v>2.504562285</v>
      </c>
      <c r="AG236">
        <v>5.3568202319999996</v>
      </c>
      <c r="AH236">
        <v>7.2834616509999996</v>
      </c>
      <c r="AI236">
        <v>14.346869763000001</v>
      </c>
      <c r="AJ236">
        <v>2.9891183899999998</v>
      </c>
      <c r="AK236">
        <v>3.0309570699999999</v>
      </c>
      <c r="AL236">
        <v>3.2423479290000001</v>
      </c>
      <c r="AM236">
        <v>2.8680276390000001</v>
      </c>
      <c r="AN236">
        <v>3.1178515490000001</v>
      </c>
      <c r="AO236">
        <v>5.1060565059999998</v>
      </c>
      <c r="AP236">
        <v>0.79709233000000002</v>
      </c>
      <c r="AQ236">
        <v>7.2856948949999998</v>
      </c>
      <c r="AR236">
        <v>6.5849623160000004</v>
      </c>
      <c r="AS236">
        <v>5.3288967400000002</v>
      </c>
      <c r="AT236">
        <v>3.000148179</v>
      </c>
      <c r="AU236">
        <v>10.057769952999999</v>
      </c>
      <c r="AV236">
        <v>2.9826720510000002</v>
      </c>
      <c r="AW236">
        <v>4.9292784239999996</v>
      </c>
    </row>
    <row r="237" spans="1:49" x14ac:dyDescent="0.2">
      <c r="A237" t="s">
        <v>301</v>
      </c>
      <c r="B237" s="73">
        <v>38808</v>
      </c>
      <c r="C237">
        <v>7.5842545479999997</v>
      </c>
      <c r="D237">
        <v>2.4615528329999998</v>
      </c>
      <c r="E237">
        <v>3.9418239019999999</v>
      </c>
      <c r="F237">
        <v>2.3974125279999998</v>
      </c>
      <c r="G237">
        <v>3.6051638339999998</v>
      </c>
      <c r="H237">
        <v>3.7886077760000001</v>
      </c>
      <c r="I237">
        <v>4.4776220870000003</v>
      </c>
      <c r="J237">
        <v>6.3300464620000003</v>
      </c>
      <c r="K237">
        <v>12.5</v>
      </c>
      <c r="L237">
        <v>6.7823819690000002</v>
      </c>
      <c r="M237">
        <v>2.8503194779999999</v>
      </c>
      <c r="N237">
        <v>3.7009154070000001</v>
      </c>
      <c r="O237">
        <v>2.870462496</v>
      </c>
      <c r="P237">
        <v>4.0684996870000001</v>
      </c>
      <c r="Q237">
        <v>11.409671799</v>
      </c>
      <c r="R237">
        <v>3.0995179089999998</v>
      </c>
      <c r="T237">
        <v>3.030122397</v>
      </c>
      <c r="U237">
        <v>2.2500670390000002</v>
      </c>
      <c r="V237">
        <v>2.8990885290000001</v>
      </c>
      <c r="X237">
        <v>3.5118921680000001</v>
      </c>
      <c r="Y237">
        <v>5.469142465</v>
      </c>
      <c r="Z237">
        <v>4.7242868710000003</v>
      </c>
      <c r="AA237">
        <v>9.9337700000000009</v>
      </c>
      <c r="AB237">
        <v>5.9840837789999997</v>
      </c>
      <c r="AC237">
        <v>9.1857056149999998</v>
      </c>
      <c r="AD237">
        <v>5.9853376760000003</v>
      </c>
      <c r="AE237">
        <v>1.749458875</v>
      </c>
      <c r="AF237">
        <v>2.1360588740000002</v>
      </c>
      <c r="AG237">
        <v>6.1802505989999998</v>
      </c>
      <c r="AH237">
        <v>8.2705852429999993</v>
      </c>
      <c r="AI237">
        <v>10.466573265999999</v>
      </c>
      <c r="AJ237">
        <v>4.6283352539999996</v>
      </c>
      <c r="AK237">
        <v>3.3401639699999999</v>
      </c>
      <c r="AL237">
        <v>2.2365428870000001</v>
      </c>
      <c r="AM237">
        <v>3.35526021</v>
      </c>
      <c r="AN237">
        <v>3.4026462020000001</v>
      </c>
      <c r="AO237">
        <v>5.5233855649999999</v>
      </c>
      <c r="AP237">
        <v>0.84548567900000005</v>
      </c>
      <c r="AQ237">
        <v>7.4781518159999996</v>
      </c>
      <c r="AR237">
        <v>7.7809497260000002</v>
      </c>
      <c r="AS237">
        <v>5.1654381909999998</v>
      </c>
      <c r="AT237">
        <v>4.1690956909999999</v>
      </c>
      <c r="AU237">
        <v>6.4125127470000001</v>
      </c>
      <c r="AV237">
        <v>3.2248575719999999</v>
      </c>
      <c r="AW237">
        <v>5.6985315639999996</v>
      </c>
    </row>
    <row r="238" spans="1:49" x14ac:dyDescent="0.2">
      <c r="A238" t="s">
        <v>302</v>
      </c>
      <c r="B238" s="73">
        <v>38899</v>
      </c>
      <c r="C238">
        <v>6.627991669</v>
      </c>
      <c r="D238">
        <v>2.22064599</v>
      </c>
      <c r="E238">
        <v>3.1450667289999998</v>
      </c>
      <c r="F238">
        <v>2.148910077</v>
      </c>
      <c r="G238">
        <v>2.4563326029999999</v>
      </c>
      <c r="H238">
        <v>3.0942387280000001</v>
      </c>
      <c r="I238">
        <v>4.1082720500000001</v>
      </c>
      <c r="J238">
        <v>6.8051440369999998</v>
      </c>
      <c r="K238">
        <v>13.7</v>
      </c>
      <c r="L238">
        <v>7.4951834789999996</v>
      </c>
      <c r="M238">
        <v>4.0762102789999997</v>
      </c>
      <c r="N238">
        <v>4.7316381200000004</v>
      </c>
      <c r="O238">
        <v>3.4131077460000001</v>
      </c>
      <c r="P238">
        <v>4.1583933960000001</v>
      </c>
      <c r="Q238">
        <v>9.4108716910000005</v>
      </c>
      <c r="R238">
        <v>3.71865603</v>
      </c>
      <c r="T238">
        <v>4.5328399629999998</v>
      </c>
      <c r="U238">
        <v>3.0815119420000001</v>
      </c>
      <c r="V238">
        <v>2.7782452599999998</v>
      </c>
      <c r="X238">
        <v>2.8789714370000001</v>
      </c>
      <c r="Y238">
        <v>5.5419910899999998</v>
      </c>
      <c r="Z238">
        <v>4.1279629910000004</v>
      </c>
      <c r="AA238">
        <v>8.0897500000000004</v>
      </c>
      <c r="AB238">
        <v>4.2596487940000003</v>
      </c>
      <c r="AC238">
        <v>5.6119773889999998</v>
      </c>
      <c r="AD238">
        <v>6.828779763</v>
      </c>
      <c r="AE238">
        <v>1.678303528</v>
      </c>
      <c r="AF238">
        <v>1.510653164</v>
      </c>
      <c r="AG238">
        <v>4.9750602859999997</v>
      </c>
      <c r="AH238">
        <v>7.700275134</v>
      </c>
      <c r="AI238">
        <v>13.558134889</v>
      </c>
      <c r="AJ238">
        <v>5.342148001</v>
      </c>
      <c r="AK238">
        <v>4.154503032</v>
      </c>
      <c r="AL238">
        <v>1.8303096350000001</v>
      </c>
      <c r="AM238">
        <v>2.1923047109999998</v>
      </c>
      <c r="AN238">
        <v>3.4165162439999999</v>
      </c>
      <c r="AO238">
        <v>7.7913224720000001</v>
      </c>
      <c r="AP238">
        <v>1.444794216</v>
      </c>
      <c r="AQ238">
        <v>7.9045915779999998</v>
      </c>
      <c r="AR238">
        <v>8.0362790420000003</v>
      </c>
      <c r="AS238">
        <v>5.563420078</v>
      </c>
      <c r="AT238">
        <v>5.1274428890000001</v>
      </c>
      <c r="AU238">
        <v>9.1929992210000009</v>
      </c>
      <c r="AV238">
        <v>2.9772690260000001</v>
      </c>
      <c r="AW238">
        <v>5.3098658160000003</v>
      </c>
    </row>
    <row r="239" spans="1:49" x14ac:dyDescent="0.2">
      <c r="A239" t="s">
        <v>303</v>
      </c>
      <c r="B239" s="73">
        <v>38991</v>
      </c>
      <c r="C239">
        <v>8.8677231800000005</v>
      </c>
      <c r="D239">
        <v>2.5995308079999999</v>
      </c>
      <c r="E239">
        <v>3.5648409139999999</v>
      </c>
      <c r="F239">
        <v>2.6422652389999999</v>
      </c>
      <c r="G239">
        <v>4.9260660060000001</v>
      </c>
      <c r="H239">
        <v>2.1447687110000002</v>
      </c>
      <c r="I239">
        <v>3.815607339</v>
      </c>
      <c r="J239">
        <v>5.7406324299999998</v>
      </c>
      <c r="K239">
        <v>12.2</v>
      </c>
      <c r="L239">
        <v>7.069406839</v>
      </c>
      <c r="M239">
        <v>3.9839923690000001</v>
      </c>
      <c r="N239">
        <v>3.9175672810000002</v>
      </c>
      <c r="O239">
        <v>3.2425350819999998</v>
      </c>
      <c r="P239">
        <v>4.1193412770000002</v>
      </c>
      <c r="Q239">
        <v>9.2990843259999991</v>
      </c>
      <c r="R239">
        <v>3.5364734250000001</v>
      </c>
      <c r="T239">
        <v>4.020140348</v>
      </c>
      <c r="U239">
        <v>2.582188989</v>
      </c>
      <c r="V239">
        <v>2.1214110339999999</v>
      </c>
      <c r="X239">
        <v>2.2165675660000002</v>
      </c>
      <c r="Y239">
        <v>4.5911902570000001</v>
      </c>
      <c r="Z239">
        <v>3.9230599669999999</v>
      </c>
      <c r="AA239">
        <v>10.12762</v>
      </c>
      <c r="AB239">
        <v>6.5186052549999998</v>
      </c>
      <c r="AC239">
        <v>5.6974492879999996</v>
      </c>
      <c r="AD239">
        <v>4.7515211549999998</v>
      </c>
      <c r="AE239">
        <v>1.4799107359999999</v>
      </c>
      <c r="AF239">
        <v>0.29090354699999998</v>
      </c>
      <c r="AG239">
        <v>5.0873974100000003</v>
      </c>
      <c r="AH239">
        <v>6.0920327509999996</v>
      </c>
      <c r="AI239">
        <v>11.722214411</v>
      </c>
      <c r="AJ239">
        <v>4.7548162830000003</v>
      </c>
      <c r="AK239">
        <v>3.389040595</v>
      </c>
      <c r="AL239">
        <v>2.028880944</v>
      </c>
      <c r="AM239">
        <v>2.3496465550000001</v>
      </c>
      <c r="AN239">
        <v>2.8729398079999999</v>
      </c>
      <c r="AO239">
        <v>7.4935714259999999</v>
      </c>
      <c r="AP239">
        <v>1.810916905</v>
      </c>
      <c r="AQ239">
        <v>8.4707435689999997</v>
      </c>
      <c r="AR239">
        <v>8.3324061470000004</v>
      </c>
      <c r="AS239">
        <v>6.4618443570000004</v>
      </c>
      <c r="AT239">
        <v>5.1280997719999997</v>
      </c>
      <c r="AU239">
        <v>6.861392983</v>
      </c>
      <c r="AV239">
        <v>2.3282911519999998</v>
      </c>
      <c r="AW239">
        <v>5.3280828930000004</v>
      </c>
    </row>
    <row r="240" spans="1:49" x14ac:dyDescent="0.2">
      <c r="A240" t="s">
        <v>304</v>
      </c>
      <c r="B240" s="73">
        <v>39083</v>
      </c>
      <c r="C240">
        <v>9.0658442899999994</v>
      </c>
      <c r="D240">
        <v>3.133807236</v>
      </c>
      <c r="E240">
        <v>3.7112368230000001</v>
      </c>
      <c r="F240">
        <v>3.017495577</v>
      </c>
      <c r="G240">
        <v>4.8520439230000001</v>
      </c>
      <c r="H240">
        <v>1.547877248</v>
      </c>
      <c r="I240">
        <v>4.1801171330000004</v>
      </c>
      <c r="J240">
        <v>6.4175691629999996</v>
      </c>
      <c r="K240">
        <v>12.5</v>
      </c>
      <c r="L240">
        <v>6.4936534129999997</v>
      </c>
      <c r="M240">
        <v>5.0638543460000003</v>
      </c>
      <c r="N240">
        <v>3.3004877010000002</v>
      </c>
      <c r="O240">
        <v>3.7814793240000002</v>
      </c>
      <c r="P240">
        <v>4.0653491070000003</v>
      </c>
      <c r="Q240">
        <v>9.4825442639999995</v>
      </c>
      <c r="R240">
        <v>3.8980585250000002</v>
      </c>
      <c r="T240">
        <v>4.5363799890000003</v>
      </c>
      <c r="U240">
        <v>2.5979875959999998</v>
      </c>
      <c r="V240">
        <v>2.5616738300000002</v>
      </c>
      <c r="X240">
        <v>1.7574801529999999</v>
      </c>
      <c r="Y240">
        <v>6.7162171089999996</v>
      </c>
      <c r="Z240">
        <v>3.6913794819999999</v>
      </c>
      <c r="AA240">
        <v>9.25047</v>
      </c>
      <c r="AB240">
        <v>3.5794869280000001</v>
      </c>
      <c r="AC240">
        <v>5.0045764979999996</v>
      </c>
      <c r="AD240">
        <v>4.4634614319999999</v>
      </c>
      <c r="AE240">
        <v>2.6154537960000002</v>
      </c>
      <c r="AF240">
        <v>1.458262776</v>
      </c>
      <c r="AG240">
        <v>4.8448866129999999</v>
      </c>
      <c r="AH240">
        <v>2.335149527</v>
      </c>
      <c r="AI240">
        <v>12.481426023999999</v>
      </c>
      <c r="AJ240">
        <v>3.2895800940000002</v>
      </c>
      <c r="AK240">
        <v>3.5883066910000001</v>
      </c>
      <c r="AL240">
        <v>3.6630271890000001</v>
      </c>
      <c r="AM240">
        <v>3.669739914</v>
      </c>
      <c r="AN240">
        <v>3.0931081919999999</v>
      </c>
      <c r="AO240">
        <v>3.9701846920000001</v>
      </c>
      <c r="AP240">
        <v>2.3995824699999999</v>
      </c>
      <c r="AQ240">
        <v>8.2968721649999999</v>
      </c>
      <c r="AR240">
        <v>9.7712090160000002</v>
      </c>
      <c r="AS240">
        <v>6.9064813860000003</v>
      </c>
      <c r="AT240">
        <v>5.1121261990000004</v>
      </c>
      <c r="AU240">
        <v>5.7772390839999996</v>
      </c>
      <c r="AV240">
        <v>2.6089019840000001</v>
      </c>
      <c r="AW240">
        <v>6.0745619790000003</v>
      </c>
    </row>
    <row r="241" spans="1:49" x14ac:dyDescent="0.2">
      <c r="A241" t="s">
        <v>305</v>
      </c>
      <c r="B241" s="73">
        <v>39173</v>
      </c>
      <c r="C241">
        <v>8.7732368459999996</v>
      </c>
      <c r="D241">
        <v>4.4444127870000001</v>
      </c>
      <c r="E241">
        <v>3.5385237869999999</v>
      </c>
      <c r="F241">
        <v>3.8391820170000002</v>
      </c>
      <c r="G241">
        <v>5.1440343899999998</v>
      </c>
      <c r="H241">
        <v>1.375255855</v>
      </c>
      <c r="I241">
        <v>3.6175095879999999</v>
      </c>
      <c r="J241">
        <v>6.5229027190000002</v>
      </c>
      <c r="K241">
        <v>13.8</v>
      </c>
      <c r="L241">
        <v>6.4157471030000002</v>
      </c>
      <c r="M241">
        <v>4.1370008470000004</v>
      </c>
      <c r="N241">
        <v>2.3564465540000001</v>
      </c>
      <c r="O241">
        <v>3.524352065</v>
      </c>
      <c r="P241">
        <v>3.8283603300000002</v>
      </c>
      <c r="Q241">
        <v>10.572501566</v>
      </c>
      <c r="R241">
        <v>3.701891357</v>
      </c>
      <c r="T241">
        <v>3.9631265309999999</v>
      </c>
      <c r="U241">
        <v>2.575259076</v>
      </c>
      <c r="V241">
        <v>2.0109452249999999</v>
      </c>
      <c r="X241">
        <v>2.0143544850000001</v>
      </c>
      <c r="Y241">
        <v>2.5372983040000001</v>
      </c>
      <c r="Z241">
        <v>1.6013169650000001</v>
      </c>
      <c r="AA241">
        <v>9.5572300000000006</v>
      </c>
      <c r="AB241">
        <v>7.7453374259999999</v>
      </c>
      <c r="AC241">
        <v>7.4464343800000004</v>
      </c>
      <c r="AD241">
        <v>4.784542224</v>
      </c>
      <c r="AE241">
        <v>2.2326571789999998</v>
      </c>
      <c r="AF241">
        <v>1.97344673</v>
      </c>
      <c r="AG241">
        <v>4.8809146759999997</v>
      </c>
      <c r="AH241">
        <v>7.3807618279999998</v>
      </c>
      <c r="AI241">
        <v>15.240676474000001</v>
      </c>
      <c r="AJ241">
        <v>2.218998746</v>
      </c>
      <c r="AK241">
        <v>4.1254371650000001</v>
      </c>
      <c r="AL241">
        <v>3.081328949</v>
      </c>
      <c r="AM241">
        <v>3.2475203189999999</v>
      </c>
      <c r="AN241">
        <v>2.7344065479999999</v>
      </c>
      <c r="AO241">
        <v>7.1318787459999999</v>
      </c>
      <c r="AP241">
        <v>2.6381464760000002</v>
      </c>
      <c r="AQ241">
        <v>8.1726132949999997</v>
      </c>
      <c r="AR241">
        <v>9.4836348729999997</v>
      </c>
      <c r="AS241">
        <v>8.1118276629999997</v>
      </c>
      <c r="AT241">
        <v>4.5136457300000004</v>
      </c>
      <c r="AU241">
        <v>6.486233951</v>
      </c>
      <c r="AV241">
        <v>1.5407153250000001</v>
      </c>
      <c r="AW241">
        <v>5.9354015269999998</v>
      </c>
    </row>
    <row r="242" spans="1:49" x14ac:dyDescent="0.2">
      <c r="A242" t="s">
        <v>306</v>
      </c>
      <c r="B242" s="73">
        <v>39264</v>
      </c>
      <c r="C242">
        <v>9.8082402399999999</v>
      </c>
      <c r="D242">
        <v>4.8825781060000004</v>
      </c>
      <c r="E242">
        <v>4.3780411900000002</v>
      </c>
      <c r="F242">
        <v>3.9445790430000001</v>
      </c>
      <c r="G242">
        <v>6.5188694270000003</v>
      </c>
      <c r="H242">
        <v>2.3046514180000002</v>
      </c>
      <c r="I242">
        <v>4.2253825100000002</v>
      </c>
      <c r="J242">
        <v>5.3309947959999997</v>
      </c>
      <c r="K242">
        <v>15</v>
      </c>
      <c r="L242">
        <v>5.1780029089999999</v>
      </c>
      <c r="M242">
        <v>3.2312882489999999</v>
      </c>
      <c r="N242">
        <v>-1.0530040570000001</v>
      </c>
      <c r="O242">
        <v>3.1353757550000001</v>
      </c>
      <c r="P242">
        <v>3.7533351100000001</v>
      </c>
      <c r="Q242">
        <v>8.7264887959999999</v>
      </c>
      <c r="R242">
        <v>3.1726901430000001</v>
      </c>
      <c r="T242">
        <v>5.5732974219999996</v>
      </c>
      <c r="U242">
        <v>2.327269437</v>
      </c>
      <c r="V242">
        <v>2.10001148</v>
      </c>
      <c r="X242">
        <v>2.134079066</v>
      </c>
      <c r="Y242">
        <v>5.1998824199999998</v>
      </c>
      <c r="Z242">
        <v>0.12627607599999999</v>
      </c>
      <c r="AA242">
        <v>10.72776</v>
      </c>
      <c r="AB242">
        <v>5.8363058069999996</v>
      </c>
      <c r="AC242">
        <v>8.0976028830000004</v>
      </c>
      <c r="AD242">
        <v>4.7170114510000003</v>
      </c>
      <c r="AE242">
        <v>1.7303986689999999</v>
      </c>
      <c r="AF242">
        <v>1.8541299149999999</v>
      </c>
      <c r="AG242">
        <v>5.9217927870000002</v>
      </c>
      <c r="AH242">
        <v>9.4435893699999998</v>
      </c>
      <c r="AI242">
        <v>11.945996804</v>
      </c>
      <c r="AJ242">
        <v>2.0130288460000001</v>
      </c>
      <c r="AK242">
        <v>3.1145347409999999</v>
      </c>
      <c r="AL242">
        <v>2.9509363510000002</v>
      </c>
      <c r="AM242">
        <v>3.7137411089999999</v>
      </c>
      <c r="AN242">
        <v>2.7047729870000001</v>
      </c>
      <c r="AO242">
        <v>5.91707538</v>
      </c>
      <c r="AP242">
        <v>2.10749605</v>
      </c>
      <c r="AQ242">
        <v>8.808004554</v>
      </c>
      <c r="AR242">
        <v>9.6341179179999994</v>
      </c>
      <c r="AS242">
        <v>7.183572378</v>
      </c>
      <c r="AT242">
        <v>3.3543337599999998</v>
      </c>
      <c r="AU242">
        <v>3.3699744269999998</v>
      </c>
      <c r="AV242">
        <v>1.938641595</v>
      </c>
      <c r="AW242">
        <v>5.3079738130000003</v>
      </c>
    </row>
    <row r="243" spans="1:49" x14ac:dyDescent="0.2">
      <c r="A243" t="s">
        <v>307</v>
      </c>
      <c r="B243" s="73">
        <v>39356</v>
      </c>
      <c r="C243">
        <v>8.2644789240000005</v>
      </c>
      <c r="D243">
        <v>4.5231650390000002</v>
      </c>
      <c r="E243">
        <v>3.5135622299999998</v>
      </c>
      <c r="F243">
        <v>3.832958079</v>
      </c>
      <c r="G243">
        <v>5.8902671189999998</v>
      </c>
      <c r="H243">
        <v>2.4481004830000002</v>
      </c>
      <c r="I243">
        <v>4.315850417</v>
      </c>
      <c r="J243">
        <v>4.1253670619999996</v>
      </c>
      <c r="K243">
        <v>14.3</v>
      </c>
      <c r="L243">
        <v>5.3773035499999997</v>
      </c>
      <c r="M243">
        <v>2.952319578</v>
      </c>
      <c r="N243">
        <v>0.54708885699999998</v>
      </c>
      <c r="O243">
        <v>2.9822424430000001</v>
      </c>
      <c r="P243">
        <v>3.5864202349999998</v>
      </c>
      <c r="Q243">
        <v>6.5058791879999998</v>
      </c>
      <c r="R243">
        <v>3.0644549470000002</v>
      </c>
      <c r="T243">
        <v>5.5398864200000002</v>
      </c>
      <c r="U243">
        <v>2.6812266930000002</v>
      </c>
      <c r="V243">
        <v>2.2981180270000001</v>
      </c>
      <c r="X243">
        <v>2.5925063509999999</v>
      </c>
      <c r="Y243">
        <v>4.0476039930000001</v>
      </c>
      <c r="Z243">
        <v>8.3611485999999999E-2</v>
      </c>
      <c r="AA243">
        <v>9.1108200000000004</v>
      </c>
      <c r="AB243">
        <v>1.904568263</v>
      </c>
      <c r="AC243">
        <v>7.3159385879999999</v>
      </c>
      <c r="AD243">
        <v>7.4480634669999999</v>
      </c>
      <c r="AE243">
        <v>1.5250319919999999</v>
      </c>
      <c r="AF243">
        <v>1.505053658</v>
      </c>
      <c r="AG243">
        <v>5.4630106239999998</v>
      </c>
      <c r="AH243">
        <v>8.1058289269999992</v>
      </c>
      <c r="AI243">
        <v>10.412275108999999</v>
      </c>
      <c r="AJ243">
        <v>2.370677535</v>
      </c>
      <c r="AK243">
        <v>3.646875004</v>
      </c>
      <c r="AL243">
        <v>3.2128873009999999</v>
      </c>
      <c r="AM243">
        <v>3.8186651619999998</v>
      </c>
      <c r="AN243">
        <v>2.8565482260000001</v>
      </c>
      <c r="AO243">
        <v>5.9651054920000002</v>
      </c>
      <c r="AP243">
        <v>2.4333121850000001</v>
      </c>
      <c r="AQ243">
        <v>8.7111917759999997</v>
      </c>
      <c r="AR243">
        <v>10.123132621</v>
      </c>
      <c r="AS243">
        <v>7.551967458</v>
      </c>
      <c r="AT243">
        <v>2.9432657720000002</v>
      </c>
      <c r="AU243">
        <v>4.7655240450000003</v>
      </c>
      <c r="AV243">
        <v>2.3985598499999998</v>
      </c>
      <c r="AW243">
        <v>5.090652339</v>
      </c>
    </row>
    <row r="244" spans="1:49" x14ac:dyDescent="0.2">
      <c r="A244" t="s">
        <v>308</v>
      </c>
      <c r="B244" s="73">
        <v>39448</v>
      </c>
      <c r="C244">
        <v>9.1933175170000005</v>
      </c>
      <c r="D244">
        <v>3.624118379</v>
      </c>
      <c r="E244">
        <v>3.3241940790000002</v>
      </c>
      <c r="F244">
        <v>3.0838872460000002</v>
      </c>
      <c r="G244">
        <v>6.2693181710000001</v>
      </c>
      <c r="H244">
        <v>2.1573017800000001</v>
      </c>
      <c r="I244">
        <v>4.0761422490000001</v>
      </c>
      <c r="J244">
        <v>3.761817867</v>
      </c>
      <c r="K244">
        <v>13.9</v>
      </c>
      <c r="L244">
        <v>5.2800130980000004</v>
      </c>
      <c r="M244">
        <v>2.0913689720000002</v>
      </c>
      <c r="N244">
        <v>1.834574414</v>
      </c>
      <c r="O244">
        <v>2.3316822199999998</v>
      </c>
      <c r="P244">
        <v>3.2594965839999999</v>
      </c>
      <c r="Q244">
        <v>3.3035582720000001</v>
      </c>
      <c r="R244">
        <v>2.6266702980000001</v>
      </c>
      <c r="T244">
        <v>6.0999130199999998</v>
      </c>
      <c r="U244">
        <v>2.1099401150000001</v>
      </c>
      <c r="V244">
        <v>1.7730616589999999</v>
      </c>
      <c r="X244">
        <v>2.3348071369999999</v>
      </c>
      <c r="Y244">
        <v>0.96419671900000004</v>
      </c>
      <c r="Z244">
        <v>-0.51672787499999995</v>
      </c>
      <c r="AA244">
        <v>10.897589999999999</v>
      </c>
      <c r="AB244">
        <v>5.8051487479999997</v>
      </c>
      <c r="AC244">
        <v>10.888773030999999</v>
      </c>
      <c r="AD244">
        <v>7.4269932709999997</v>
      </c>
      <c r="AE244">
        <v>-9.2100550000000003E-2</v>
      </c>
      <c r="AF244">
        <v>0.58720859800000003</v>
      </c>
      <c r="AG244">
        <v>6.9046241779999997</v>
      </c>
      <c r="AH244">
        <v>7.3967327310000002</v>
      </c>
      <c r="AI244">
        <v>4.4990055670000002</v>
      </c>
      <c r="AJ244">
        <v>2.5176389349999999</v>
      </c>
      <c r="AK244">
        <v>4.1901931030000004</v>
      </c>
      <c r="AL244">
        <v>2.4607091959999998</v>
      </c>
      <c r="AM244">
        <v>3.0800588869999999</v>
      </c>
      <c r="AN244">
        <v>2.5755524090000002</v>
      </c>
      <c r="AO244">
        <v>9.0226293109999993</v>
      </c>
      <c r="AP244">
        <v>2.8465058129999998</v>
      </c>
      <c r="AQ244">
        <v>10.092326711</v>
      </c>
      <c r="AR244">
        <v>13.922405082999999</v>
      </c>
      <c r="AS244">
        <v>5.4754574060000003</v>
      </c>
      <c r="AT244">
        <v>3.4398978840000001</v>
      </c>
      <c r="AU244">
        <v>5.9681872509999998</v>
      </c>
      <c r="AV244">
        <v>2.160883208</v>
      </c>
      <c r="AW244">
        <v>5.1261671660000001</v>
      </c>
    </row>
    <row r="245" spans="1:49" x14ac:dyDescent="0.2">
      <c r="A245" t="s">
        <v>309</v>
      </c>
      <c r="B245" s="73">
        <v>39539</v>
      </c>
      <c r="C245">
        <v>7.6846083690000002</v>
      </c>
      <c r="D245">
        <v>3.2604158989999998</v>
      </c>
      <c r="E245">
        <v>3.0580110060000001</v>
      </c>
      <c r="F245">
        <v>2.0822444760000001</v>
      </c>
      <c r="G245">
        <v>5.3787919649999996</v>
      </c>
      <c r="H245">
        <v>1.585825708</v>
      </c>
      <c r="I245">
        <v>4.3776039190000002</v>
      </c>
      <c r="J245">
        <v>5.4163627630000004</v>
      </c>
      <c r="K245">
        <v>11.5</v>
      </c>
      <c r="L245">
        <v>4.0866439830000001</v>
      </c>
      <c r="M245">
        <v>2.6556534740000002</v>
      </c>
      <c r="N245">
        <v>1.4561288299999999</v>
      </c>
      <c r="O245">
        <v>2.177061605</v>
      </c>
      <c r="P245">
        <v>2.544256265</v>
      </c>
      <c r="Q245">
        <v>-2.2316357930000001</v>
      </c>
      <c r="R245">
        <v>2.4068670970000001</v>
      </c>
      <c r="T245">
        <v>3.9604511389999999</v>
      </c>
      <c r="U245">
        <v>1.7554087819999999</v>
      </c>
      <c r="V245">
        <v>1.453400434</v>
      </c>
      <c r="X245">
        <v>2.1515632170000001</v>
      </c>
      <c r="Y245">
        <v>2.385711643</v>
      </c>
      <c r="Z245">
        <v>1.584632708</v>
      </c>
      <c r="AA245">
        <v>8.5376300000000001</v>
      </c>
      <c r="AB245">
        <v>-2.7262695429999999</v>
      </c>
      <c r="AC245">
        <v>6.0738093400000004</v>
      </c>
      <c r="AD245">
        <v>6.070431857</v>
      </c>
      <c r="AE245">
        <v>1.1786446909999999</v>
      </c>
      <c r="AF245">
        <v>0.27882695499999999</v>
      </c>
      <c r="AG245">
        <v>5.5675559789999998</v>
      </c>
      <c r="AH245">
        <v>3.360666487</v>
      </c>
      <c r="AI245">
        <v>4.8341002800000004</v>
      </c>
      <c r="AJ245">
        <v>1.5961287959999999</v>
      </c>
      <c r="AK245">
        <v>3.3474002490000001</v>
      </c>
      <c r="AL245">
        <v>1.097354766</v>
      </c>
      <c r="AM245">
        <v>1.5080085539999999</v>
      </c>
      <c r="AN245">
        <v>2.076847882</v>
      </c>
      <c r="AO245">
        <v>6.237085896</v>
      </c>
      <c r="AP245">
        <v>1.7833610639999999</v>
      </c>
      <c r="AQ245">
        <v>11.000110756</v>
      </c>
      <c r="AR245">
        <v>8.4454195890000001</v>
      </c>
      <c r="AS245">
        <v>5.1428375429999997</v>
      </c>
      <c r="AT245">
        <v>1.6198543190000001</v>
      </c>
      <c r="AU245">
        <v>6.2631362949999998</v>
      </c>
      <c r="AV245">
        <v>1.4468030009999999</v>
      </c>
      <c r="AW245">
        <v>3.881015637</v>
      </c>
    </row>
    <row r="246" spans="1:49" x14ac:dyDescent="0.2">
      <c r="A246" t="s">
        <v>310</v>
      </c>
      <c r="B246" s="73">
        <v>39630</v>
      </c>
      <c r="C246">
        <v>6.0237820910000002</v>
      </c>
      <c r="D246">
        <v>2.929987771</v>
      </c>
      <c r="E246">
        <v>2.7021011960000001</v>
      </c>
      <c r="F246">
        <v>1.682569743</v>
      </c>
      <c r="G246">
        <v>6.1678806240000004</v>
      </c>
      <c r="H246">
        <v>0.97488014300000003</v>
      </c>
      <c r="I246">
        <v>3.8128603669999999</v>
      </c>
      <c r="J246">
        <v>4.5035111759999999</v>
      </c>
      <c r="K246">
        <v>10.9</v>
      </c>
      <c r="L246">
        <v>3.9140624549999998</v>
      </c>
      <c r="M246">
        <v>1.5650485919999999</v>
      </c>
      <c r="N246">
        <v>0.97225072400000001</v>
      </c>
      <c r="O246">
        <v>1.1172671970000001</v>
      </c>
      <c r="P246">
        <v>1.7443984299999999</v>
      </c>
      <c r="Q246">
        <v>-1.622402422</v>
      </c>
      <c r="R246">
        <v>1.4272597279999999</v>
      </c>
      <c r="T246">
        <v>1.3047360459999999</v>
      </c>
      <c r="U246">
        <v>0.56017455000000005</v>
      </c>
      <c r="V246">
        <v>0.95806872200000004</v>
      </c>
      <c r="X246">
        <v>1.2219493850000001</v>
      </c>
      <c r="Y246">
        <v>-1.147594182</v>
      </c>
      <c r="Z246">
        <v>2.3764669399999998</v>
      </c>
      <c r="AA246">
        <v>6.9746899999999998</v>
      </c>
      <c r="AB246">
        <v>-3.6926383980000002</v>
      </c>
      <c r="AC246">
        <v>4.0712730219999997</v>
      </c>
      <c r="AD246">
        <v>4.4214917749999998</v>
      </c>
      <c r="AE246">
        <v>4.1693490999999999E-2</v>
      </c>
      <c r="AF246">
        <v>-0.33687676799999999</v>
      </c>
      <c r="AG246">
        <v>4.3152169730000001</v>
      </c>
      <c r="AH246">
        <v>1.1279991E-2</v>
      </c>
      <c r="AI246">
        <v>-1.001995873</v>
      </c>
      <c r="AJ246">
        <v>1.5928439560000001</v>
      </c>
      <c r="AK246">
        <v>3.3278025649999998</v>
      </c>
      <c r="AL246">
        <v>1.1494816240000001</v>
      </c>
      <c r="AM246">
        <v>0.28950551200000002</v>
      </c>
      <c r="AN246">
        <v>1.4353679210000001</v>
      </c>
      <c r="AO246">
        <v>5.2952362940000004</v>
      </c>
      <c r="AP246">
        <v>0.83514815200000003</v>
      </c>
      <c r="AQ246">
        <v>8.9406479999999995</v>
      </c>
      <c r="AR246">
        <v>7.1488706339999997</v>
      </c>
      <c r="AS246">
        <v>5.6202556680000004</v>
      </c>
      <c r="AT246">
        <v>1.100031186</v>
      </c>
      <c r="AU246">
        <v>2.4609971750000001</v>
      </c>
      <c r="AV246">
        <v>1.380132559</v>
      </c>
      <c r="AW246">
        <v>4.2945314320000003</v>
      </c>
    </row>
    <row r="247" spans="1:49" x14ac:dyDescent="0.2">
      <c r="A247" t="s">
        <v>311</v>
      </c>
      <c r="B247" s="73">
        <v>39722</v>
      </c>
      <c r="C247">
        <v>5.4360524740000002</v>
      </c>
      <c r="D247">
        <v>2.4902417049999999</v>
      </c>
      <c r="E247">
        <v>1.7219071779999999</v>
      </c>
      <c r="F247">
        <v>0.31390365999999997</v>
      </c>
      <c r="G247">
        <v>6.621673307</v>
      </c>
      <c r="H247">
        <v>1.377281448</v>
      </c>
      <c r="I247">
        <v>3.2365129129999999</v>
      </c>
      <c r="J247">
        <v>3.4671735629999998</v>
      </c>
      <c r="K247">
        <v>9.5</v>
      </c>
      <c r="L247">
        <v>2.5839556080000001</v>
      </c>
      <c r="M247">
        <v>0.40813594399999997</v>
      </c>
      <c r="N247">
        <v>-0.55189543900000004</v>
      </c>
      <c r="O247">
        <v>0.14597305499999999</v>
      </c>
      <c r="P247">
        <v>0.78426446000000005</v>
      </c>
      <c r="Q247">
        <v>-1.772980781</v>
      </c>
      <c r="R247">
        <v>0.40049992400000001</v>
      </c>
      <c r="T247">
        <v>0.729492064</v>
      </c>
      <c r="U247">
        <v>-7.5662381000000001E-2</v>
      </c>
      <c r="V247">
        <v>-0.108522098</v>
      </c>
      <c r="X247">
        <v>-0.96234991700000005</v>
      </c>
      <c r="Y247">
        <v>-0.624737981</v>
      </c>
      <c r="Z247">
        <v>1.6639210790000001</v>
      </c>
      <c r="AA247">
        <v>6.0034200000000002</v>
      </c>
      <c r="AB247">
        <v>-1.9770911870000001</v>
      </c>
      <c r="AC247">
        <v>-1.0764969369999999</v>
      </c>
      <c r="AD247">
        <v>2.6468917799999998</v>
      </c>
      <c r="AE247">
        <v>-1.413232877</v>
      </c>
      <c r="AF247">
        <v>-1.041875868</v>
      </c>
      <c r="AG247">
        <v>3.9461524219999999</v>
      </c>
      <c r="AH247">
        <v>-7.7694161999999997E-2</v>
      </c>
      <c r="AI247">
        <v>-6.7727983109999998</v>
      </c>
      <c r="AJ247">
        <v>1.2827393380000001</v>
      </c>
      <c r="AK247">
        <v>2.0610554470000002</v>
      </c>
      <c r="AL247">
        <v>-0.31454750399999998</v>
      </c>
      <c r="AM247">
        <v>-0.78874103799999995</v>
      </c>
      <c r="AN247">
        <v>0.40377231699999999</v>
      </c>
      <c r="AO247">
        <v>3.189569707</v>
      </c>
      <c r="AP247">
        <v>0.54480643100000004</v>
      </c>
      <c r="AQ247">
        <v>5.0013092029999999</v>
      </c>
      <c r="AR247">
        <v>6.1554381390000001</v>
      </c>
      <c r="AS247">
        <v>2.9276356049999999</v>
      </c>
      <c r="AT247">
        <v>-0.211287057</v>
      </c>
      <c r="AU247">
        <v>1.2943583E-2</v>
      </c>
      <c r="AV247">
        <v>0.242202378</v>
      </c>
      <c r="AW247">
        <v>3.3327331839999998</v>
      </c>
    </row>
    <row r="248" spans="1:49" x14ac:dyDescent="0.2">
      <c r="A248" t="s">
        <v>312</v>
      </c>
      <c r="B248" s="73">
        <v>39814</v>
      </c>
      <c r="C248">
        <v>-2.561678863</v>
      </c>
      <c r="D248">
        <v>1.5881362219999999</v>
      </c>
      <c r="E248">
        <v>-1.4045634950000001</v>
      </c>
      <c r="F248">
        <v>-2.2583763549999998</v>
      </c>
      <c r="G248">
        <v>1.024554502</v>
      </c>
      <c r="H248">
        <v>8.8076009999999996E-2</v>
      </c>
      <c r="I248">
        <v>-0.73088267500000004</v>
      </c>
      <c r="J248">
        <v>0.76574721800000001</v>
      </c>
      <c r="K248">
        <v>7.1</v>
      </c>
      <c r="L248">
        <v>-0.45887356099999999</v>
      </c>
      <c r="M248">
        <v>-1.845717651</v>
      </c>
      <c r="N248">
        <v>-3.867425881</v>
      </c>
      <c r="O248">
        <v>-2.1641450720000002</v>
      </c>
      <c r="P248">
        <v>-1.4757699820000001</v>
      </c>
      <c r="Q248">
        <v>-12.838645468999999</v>
      </c>
      <c r="R248">
        <v>-2.019004416</v>
      </c>
      <c r="T248">
        <v>-2.7159965779999999</v>
      </c>
      <c r="U248">
        <v>-1.7586739330000001</v>
      </c>
      <c r="V248">
        <v>-2.6351175929999999</v>
      </c>
      <c r="X248">
        <v>-3.3207677480000002</v>
      </c>
      <c r="Y248">
        <v>-1.52470938</v>
      </c>
      <c r="Z248">
        <v>-2.179745568</v>
      </c>
      <c r="AA248">
        <v>2.6664300000000001</v>
      </c>
      <c r="AB248">
        <v>-9.7962432800000006</v>
      </c>
      <c r="AC248">
        <v>2.1443322000000001E-2</v>
      </c>
      <c r="AD248">
        <v>0.40293050000000002</v>
      </c>
      <c r="AE248">
        <v>-3.6672274690000002</v>
      </c>
      <c r="AF248">
        <v>-3.8983344789999999</v>
      </c>
      <c r="AG248">
        <v>-1.5899777559999999</v>
      </c>
      <c r="AH248">
        <v>-4.5167496009999999</v>
      </c>
      <c r="AI248">
        <v>-7.9435875630000004</v>
      </c>
      <c r="AJ248">
        <v>-0.76014776299999998</v>
      </c>
      <c r="AK248">
        <v>3.4028852999999998E-2</v>
      </c>
      <c r="AL248">
        <v>-1.078735198</v>
      </c>
      <c r="AM248">
        <v>-1.6161946250000001</v>
      </c>
      <c r="AN248">
        <v>-2.282061245</v>
      </c>
      <c r="AO248">
        <v>2.2338464070000001</v>
      </c>
      <c r="AP248">
        <v>-1.8515323450000001</v>
      </c>
      <c r="AQ248">
        <v>-1.557639212</v>
      </c>
      <c r="AR248">
        <v>1.0105231880000001</v>
      </c>
      <c r="AS248">
        <v>-1.126524138</v>
      </c>
      <c r="AT248">
        <v>-4.8335136629999997</v>
      </c>
      <c r="AU248">
        <v>-5.762221898</v>
      </c>
      <c r="AV248">
        <v>-2.5403392600000001</v>
      </c>
      <c r="AW248">
        <v>1.308885463</v>
      </c>
    </row>
    <row r="249" spans="1:49" x14ac:dyDescent="0.2">
      <c r="A249" t="s">
        <v>313</v>
      </c>
      <c r="B249" s="73">
        <v>39904</v>
      </c>
      <c r="C249">
        <v>-6.9607360939999996</v>
      </c>
      <c r="D249">
        <v>1.4640808809999999</v>
      </c>
      <c r="E249">
        <v>-3.7538710420000001</v>
      </c>
      <c r="F249">
        <v>-3.6259190239999999</v>
      </c>
      <c r="G249">
        <v>-1.4905090599999999</v>
      </c>
      <c r="H249">
        <v>-2.2485177049999998</v>
      </c>
      <c r="I249">
        <v>-3.1039138730000002</v>
      </c>
      <c r="J249">
        <v>-2.5527758500000002</v>
      </c>
      <c r="K249">
        <v>6.4</v>
      </c>
      <c r="L249">
        <v>-4.3328287239999996</v>
      </c>
      <c r="M249">
        <v>-7.0267688450000003</v>
      </c>
      <c r="N249">
        <v>-5.1964215720000002</v>
      </c>
      <c r="O249">
        <v>-5.6543612799999998</v>
      </c>
      <c r="P249">
        <v>-4.2494510700000001</v>
      </c>
      <c r="Q249">
        <v>-13.223559534</v>
      </c>
      <c r="R249">
        <v>-5.3682153770000003</v>
      </c>
      <c r="T249">
        <v>-8.9056617239999998</v>
      </c>
      <c r="U249">
        <v>-3.7540472789999999</v>
      </c>
      <c r="V249">
        <v>-4.9421722890000002</v>
      </c>
      <c r="X249">
        <v>-5.6324560879999996</v>
      </c>
      <c r="Y249">
        <v>-6.7702908109999997</v>
      </c>
      <c r="Z249">
        <v>-7.0893593309999998</v>
      </c>
      <c r="AA249">
        <v>0.16417000000000001</v>
      </c>
      <c r="AB249">
        <v>-6.9073415709999999</v>
      </c>
      <c r="AC249">
        <v>-7.3756947110000004</v>
      </c>
      <c r="AD249">
        <v>-0.452077805</v>
      </c>
      <c r="AE249">
        <v>-7.2961989860000003</v>
      </c>
      <c r="AF249">
        <v>-8.8408746919999999</v>
      </c>
      <c r="AG249">
        <v>-1.896186505</v>
      </c>
      <c r="AH249">
        <v>-7.3137242179999999</v>
      </c>
      <c r="AI249">
        <v>-13.059758834</v>
      </c>
      <c r="AJ249">
        <v>-5.6491107869999997</v>
      </c>
      <c r="AK249">
        <v>-3.8756721729999999</v>
      </c>
      <c r="AL249">
        <v>-0.64733672099999995</v>
      </c>
      <c r="AM249">
        <v>-2.3018455119999999</v>
      </c>
      <c r="AN249">
        <v>-4.7257211110000004</v>
      </c>
      <c r="AO249">
        <v>1.893840832</v>
      </c>
      <c r="AP249">
        <v>-4.3289468649999998</v>
      </c>
      <c r="AQ249">
        <v>-7.4842842210000002</v>
      </c>
      <c r="AR249">
        <v>-6.0546418109999998</v>
      </c>
      <c r="AS249">
        <v>-6.9231495780000003</v>
      </c>
      <c r="AT249">
        <v>-5.4910426680000004</v>
      </c>
      <c r="AU249">
        <v>-12.933908435999999</v>
      </c>
      <c r="AV249">
        <v>-3.2823924440000001</v>
      </c>
      <c r="AW249">
        <v>-0.684149216</v>
      </c>
    </row>
    <row r="250" spans="1:49" x14ac:dyDescent="0.2">
      <c r="A250" t="s">
        <v>314</v>
      </c>
      <c r="B250" s="73">
        <v>39995</v>
      </c>
      <c r="C250">
        <v>-9.5284383930000001</v>
      </c>
      <c r="D250">
        <v>1.930913852</v>
      </c>
      <c r="E250">
        <v>-5.291539384</v>
      </c>
      <c r="F250">
        <v>-3.6410151449999999</v>
      </c>
      <c r="G250">
        <v>-1.9887826399999999</v>
      </c>
      <c r="H250">
        <v>-3.6636606239999998</v>
      </c>
      <c r="I250">
        <v>-3.3895789810000001</v>
      </c>
      <c r="J250">
        <v>-3.1917959699999998</v>
      </c>
      <c r="K250">
        <v>8.1999999999999993</v>
      </c>
      <c r="L250">
        <v>-5.3490520310000003</v>
      </c>
      <c r="M250">
        <v>-6.6606275300000002</v>
      </c>
      <c r="N250">
        <v>-6.1682680090000002</v>
      </c>
      <c r="O250">
        <v>-5.364958626</v>
      </c>
      <c r="P250">
        <v>-4.3642555490000001</v>
      </c>
      <c r="Q250">
        <v>-16.995006456999999</v>
      </c>
      <c r="R250">
        <v>-5.1911006740000003</v>
      </c>
      <c r="T250">
        <v>-8.5694242079999992</v>
      </c>
      <c r="U250">
        <v>-3.4386714810000001</v>
      </c>
      <c r="V250">
        <v>-4.888334875</v>
      </c>
      <c r="X250">
        <v>-5.5029923409999997</v>
      </c>
      <c r="Y250">
        <v>-3.564516207</v>
      </c>
      <c r="Z250">
        <v>-7.6308421949999996</v>
      </c>
      <c r="AA250">
        <v>4.8825200000000004</v>
      </c>
      <c r="AB250">
        <v>-5.0225316060000003</v>
      </c>
      <c r="AC250">
        <v>-10.205126783000001</v>
      </c>
      <c r="AD250">
        <v>0.42737093100000001</v>
      </c>
      <c r="AE250">
        <v>-6.7085625589999998</v>
      </c>
      <c r="AF250">
        <v>-6.5206598070000004</v>
      </c>
      <c r="AG250">
        <v>-1.106362311</v>
      </c>
      <c r="AH250">
        <v>-5.1190121079999997</v>
      </c>
      <c r="AI250">
        <v>-14.887804606</v>
      </c>
      <c r="AJ250">
        <v>-7.7573485919999996</v>
      </c>
      <c r="AK250">
        <v>-4.3444474729999998</v>
      </c>
      <c r="AL250">
        <v>-1.5703541620000001</v>
      </c>
      <c r="AM250">
        <v>-2.0594242170000001</v>
      </c>
      <c r="AN250">
        <v>-4.5560833489999997</v>
      </c>
      <c r="AO250">
        <v>1.693637155</v>
      </c>
      <c r="AP250">
        <v>-3.7693423250000002</v>
      </c>
      <c r="AQ250">
        <v>-9.3971492049999998</v>
      </c>
      <c r="AR250">
        <v>-5.6834378299999999</v>
      </c>
      <c r="AS250">
        <v>-9.4901432959999994</v>
      </c>
      <c r="AT250">
        <v>-5.4007586820000002</v>
      </c>
      <c r="AU250">
        <v>-6.1135173890000001</v>
      </c>
      <c r="AV250">
        <v>-3.995504779</v>
      </c>
      <c r="AW250">
        <v>-2.2188104769999999</v>
      </c>
    </row>
    <row r="251" spans="1:49" x14ac:dyDescent="0.2">
      <c r="A251" t="s">
        <v>315</v>
      </c>
      <c r="B251" s="73">
        <v>40087</v>
      </c>
      <c r="C251">
        <v>-6.7191580220000002</v>
      </c>
      <c r="D251">
        <v>1.5003727389999999</v>
      </c>
      <c r="E251">
        <v>-4.2473506780000001</v>
      </c>
      <c r="F251">
        <v>-1.849735973</v>
      </c>
      <c r="G251">
        <v>-1.1349346600000001</v>
      </c>
      <c r="H251">
        <v>-4.0173066549999996</v>
      </c>
      <c r="I251">
        <v>-2.6553854540000001</v>
      </c>
      <c r="J251">
        <v>-1.2767092659999999</v>
      </c>
      <c r="K251">
        <v>10.6</v>
      </c>
      <c r="L251">
        <v>-5.0864063609999999</v>
      </c>
      <c r="M251">
        <v>-5.5274779179999998</v>
      </c>
      <c r="N251">
        <v>-5.2906003520000002</v>
      </c>
      <c r="O251">
        <v>-4.4848339340000001</v>
      </c>
      <c r="P251">
        <v>-3.985540796</v>
      </c>
      <c r="Q251">
        <v>-18.666624690999999</v>
      </c>
      <c r="R251">
        <v>-4.3558757960000003</v>
      </c>
      <c r="T251">
        <v>-8.0415882409999995</v>
      </c>
      <c r="U251">
        <v>-3.012301092</v>
      </c>
      <c r="V251">
        <v>-3.9389683280000001</v>
      </c>
      <c r="X251">
        <v>-4.0128504549999997</v>
      </c>
      <c r="Y251">
        <v>-4.1706773479999999</v>
      </c>
      <c r="Z251">
        <v>-7.4566976990000002</v>
      </c>
      <c r="AA251">
        <v>6.63314</v>
      </c>
      <c r="AB251">
        <v>-5.5440541310000002</v>
      </c>
      <c r="AC251">
        <v>-3.7367422229999998</v>
      </c>
      <c r="AD251">
        <v>1.354309762</v>
      </c>
      <c r="AE251">
        <v>-4.9952086900000001</v>
      </c>
      <c r="AF251">
        <v>-5.3828369609999998</v>
      </c>
      <c r="AG251">
        <v>1.028926786</v>
      </c>
      <c r="AH251">
        <v>-2.2847122450000001</v>
      </c>
      <c r="AI251">
        <v>-15.789845522</v>
      </c>
      <c r="AJ251">
        <v>-5.0194541089999998</v>
      </c>
      <c r="AK251">
        <v>-3.8436950759999999</v>
      </c>
      <c r="AL251">
        <v>-1.326673352</v>
      </c>
      <c r="AM251">
        <v>-1.239016305</v>
      </c>
      <c r="AN251">
        <v>-3.5139070549999998</v>
      </c>
      <c r="AO251">
        <v>2.6271701460000001</v>
      </c>
      <c r="AP251">
        <v>-2.8401853930000001</v>
      </c>
      <c r="AQ251">
        <v>-7.6486395800000002</v>
      </c>
      <c r="AR251">
        <v>-5.4013863280000001</v>
      </c>
      <c r="AS251">
        <v>-8.7347512389999995</v>
      </c>
      <c r="AT251">
        <v>-4.9526451109999998</v>
      </c>
      <c r="AU251">
        <v>-2.085237668</v>
      </c>
      <c r="AV251">
        <v>-3.137675003</v>
      </c>
      <c r="AW251">
        <v>-2.2256643660000002</v>
      </c>
    </row>
    <row r="252" spans="1:49" x14ac:dyDescent="0.2">
      <c r="A252" t="s">
        <v>316</v>
      </c>
      <c r="B252" s="73">
        <v>40179</v>
      </c>
      <c r="C252">
        <v>-0.238941827</v>
      </c>
      <c r="D252">
        <v>2.7572036999999998</v>
      </c>
      <c r="E252">
        <v>-1.6040264769999999</v>
      </c>
      <c r="F252">
        <v>1.131078891</v>
      </c>
      <c r="G252">
        <v>5.351518059</v>
      </c>
      <c r="H252">
        <v>-1.7588737109999999</v>
      </c>
      <c r="I252">
        <v>1.003645932</v>
      </c>
      <c r="J252">
        <v>0.92581668100000003</v>
      </c>
      <c r="K252">
        <v>11.9</v>
      </c>
      <c r="L252">
        <v>-3.2386401149999999</v>
      </c>
      <c r="M252">
        <v>-3.2908877649999999</v>
      </c>
      <c r="N252">
        <v>-2.9119422089999998</v>
      </c>
      <c r="O252">
        <v>-2.3081517900000001</v>
      </c>
      <c r="P252">
        <v>-2.4303368590000001</v>
      </c>
      <c r="Q252">
        <v>-7.3549491800000002</v>
      </c>
      <c r="R252">
        <v>-2.128002167</v>
      </c>
      <c r="T252">
        <v>-6.7505678900000001</v>
      </c>
      <c r="U252">
        <v>-0.89595381299999999</v>
      </c>
      <c r="V252">
        <v>-0.98449401000000003</v>
      </c>
      <c r="X252">
        <v>-1.74462856</v>
      </c>
      <c r="Y252">
        <v>-2.6883492979999999</v>
      </c>
      <c r="Z252">
        <v>-4.110425148</v>
      </c>
      <c r="AA252">
        <v>8.7676200000000009</v>
      </c>
      <c r="AB252">
        <v>-2.717954701</v>
      </c>
      <c r="AC252">
        <v>-9.1223272580000003</v>
      </c>
      <c r="AD252">
        <v>3.5394219339999999</v>
      </c>
      <c r="AE252">
        <v>-2.122469889</v>
      </c>
      <c r="AF252">
        <v>-1.7851276089999999</v>
      </c>
      <c r="AG252">
        <v>5.2394253290000004</v>
      </c>
      <c r="AH252">
        <v>1.9276117989999999</v>
      </c>
      <c r="AI252">
        <v>-13.445828745</v>
      </c>
      <c r="AJ252">
        <v>-1.8409171</v>
      </c>
      <c r="AK252">
        <v>-2.62188036</v>
      </c>
      <c r="AL252">
        <v>-1.5823248270000001</v>
      </c>
      <c r="AM252">
        <v>0.69058768100000001</v>
      </c>
      <c r="AN252">
        <v>-0.664554278</v>
      </c>
      <c r="AO252">
        <v>4.6630191940000003</v>
      </c>
      <c r="AP252">
        <v>-1.521659332</v>
      </c>
      <c r="AQ252">
        <v>-3.5116623069999999</v>
      </c>
      <c r="AR252">
        <v>-4.7104929609999999</v>
      </c>
      <c r="AS252">
        <v>-5.3030441850000001</v>
      </c>
      <c r="AT252">
        <v>-1.016629936</v>
      </c>
      <c r="AU252">
        <v>2.4281146589999998</v>
      </c>
      <c r="AV252">
        <v>8.1657584000000005E-2</v>
      </c>
      <c r="AW252">
        <v>-1.0100383289999999</v>
      </c>
    </row>
    <row r="253" spans="1:49" x14ac:dyDescent="0.2">
      <c r="A253" t="s">
        <v>317</v>
      </c>
      <c r="B253" s="73">
        <v>40269</v>
      </c>
      <c r="C253">
        <v>6.6906483410000002</v>
      </c>
      <c r="D253">
        <v>2.2711828220000001</v>
      </c>
      <c r="E253">
        <v>-0.30011657600000002</v>
      </c>
      <c r="F253">
        <v>2.6541432469999999</v>
      </c>
      <c r="G253">
        <v>9.2655774540000007</v>
      </c>
      <c r="H253">
        <v>1.7249135680000001</v>
      </c>
      <c r="I253">
        <v>3.3339965089999999</v>
      </c>
      <c r="J253">
        <v>2.1196681810000002</v>
      </c>
      <c r="K253">
        <v>12.2</v>
      </c>
      <c r="L253">
        <v>0.84904334599999998</v>
      </c>
      <c r="M253">
        <v>2.2779730690000002</v>
      </c>
      <c r="N253">
        <v>-0.65945902199999995</v>
      </c>
      <c r="O253">
        <v>1.2319395790000001</v>
      </c>
      <c r="P253">
        <v>0.15163904</v>
      </c>
      <c r="Q253">
        <v>-3.5195263460000001</v>
      </c>
      <c r="R253">
        <v>1.2016288799999999</v>
      </c>
      <c r="T253">
        <v>0.70712215</v>
      </c>
      <c r="U253">
        <v>1.119788937</v>
      </c>
      <c r="V253">
        <v>1.9878183620000001</v>
      </c>
      <c r="X253">
        <v>0.75755443499999997</v>
      </c>
      <c r="Y253">
        <v>-3.5210780989999999</v>
      </c>
      <c r="Z253">
        <v>2.059617E-2</v>
      </c>
      <c r="AA253">
        <v>13.69473</v>
      </c>
      <c r="AB253">
        <v>-0.26407074000000003</v>
      </c>
      <c r="AC253">
        <v>-5.2163541369999997</v>
      </c>
      <c r="AD253">
        <v>4.9843902880000002</v>
      </c>
      <c r="AE253">
        <v>0.85684412600000004</v>
      </c>
      <c r="AF253">
        <v>4.2614567350000003</v>
      </c>
      <c r="AG253">
        <v>7.2046764559999996</v>
      </c>
      <c r="AH253">
        <v>5.7302869239999996</v>
      </c>
      <c r="AI253">
        <v>-10.738022146</v>
      </c>
      <c r="AJ253">
        <v>4.541546168</v>
      </c>
      <c r="AK253">
        <v>0.81761397800000002</v>
      </c>
      <c r="AL253">
        <v>1.1734144200000001</v>
      </c>
      <c r="AM253">
        <v>2.0509027689999999</v>
      </c>
      <c r="AN253">
        <v>2.3008313390000001</v>
      </c>
      <c r="AO253">
        <v>2.601041623</v>
      </c>
      <c r="AP253">
        <v>1.8521177310000001</v>
      </c>
      <c r="AQ253">
        <v>2.1546811180000001</v>
      </c>
      <c r="AR253">
        <v>7.3546530409999997</v>
      </c>
      <c r="AS253">
        <v>-1.1085271249999999</v>
      </c>
      <c r="AT253">
        <v>3.162089361</v>
      </c>
      <c r="AU253">
        <v>8.2576938200000001</v>
      </c>
      <c r="AV253">
        <v>1.768457232</v>
      </c>
      <c r="AW253">
        <v>1.7273138939999999</v>
      </c>
    </row>
    <row r="254" spans="1:49" x14ac:dyDescent="0.2">
      <c r="A254" t="s">
        <v>318</v>
      </c>
      <c r="B254" s="73">
        <v>40360</v>
      </c>
      <c r="C254">
        <v>13.960561885000001</v>
      </c>
      <c r="D254">
        <v>2.1628508590000002</v>
      </c>
      <c r="E254">
        <v>1.843112195</v>
      </c>
      <c r="F254">
        <v>3.6161084090000002</v>
      </c>
      <c r="G254">
        <v>8.3738884759999994</v>
      </c>
      <c r="H254">
        <v>3.3854023660000001</v>
      </c>
      <c r="I254">
        <v>3.5708268259999998</v>
      </c>
      <c r="J254">
        <v>6.2478935350000002</v>
      </c>
      <c r="K254">
        <v>10.8</v>
      </c>
      <c r="L254">
        <v>2.3792545010000001</v>
      </c>
      <c r="M254">
        <v>4.4033870430000004</v>
      </c>
      <c r="N254">
        <v>1.996593348</v>
      </c>
      <c r="O254">
        <v>2.2351022779999998</v>
      </c>
      <c r="P254">
        <v>0.31260337999999999</v>
      </c>
      <c r="Q254">
        <v>1.115471093</v>
      </c>
      <c r="R254">
        <v>2.2776446269999999</v>
      </c>
      <c r="T254">
        <v>3.9426311749999998</v>
      </c>
      <c r="U254">
        <v>1.739187244</v>
      </c>
      <c r="V254">
        <v>2.9673326019999999</v>
      </c>
      <c r="X254">
        <v>2.2205281569999999</v>
      </c>
      <c r="Y254">
        <v>-9.6515693720000009</v>
      </c>
      <c r="Z254">
        <v>0.83347497599999998</v>
      </c>
      <c r="AA254">
        <v>10.03998</v>
      </c>
      <c r="AB254">
        <v>0.29816057899999998</v>
      </c>
      <c r="AC254">
        <v>-1.0764242930000001</v>
      </c>
      <c r="AD254">
        <v>5.3314122560000001</v>
      </c>
      <c r="AE254">
        <v>1.935194734</v>
      </c>
      <c r="AF254">
        <v>3.482028326</v>
      </c>
      <c r="AG254">
        <v>7.8045573380000004</v>
      </c>
      <c r="AH254">
        <v>5.5668091410000002</v>
      </c>
      <c r="AI254">
        <v>-6.0437954290000002</v>
      </c>
      <c r="AJ254">
        <v>7.2841049130000002</v>
      </c>
      <c r="AK254">
        <v>1.2573240969999999</v>
      </c>
      <c r="AL254">
        <v>0.98626381799999996</v>
      </c>
      <c r="AM254">
        <v>2.828475772</v>
      </c>
      <c r="AN254">
        <v>3.2282740940000001</v>
      </c>
      <c r="AO254">
        <v>4.1186927070000001</v>
      </c>
      <c r="AP254">
        <v>2.3232618719999998</v>
      </c>
      <c r="AQ254">
        <v>4.6519784560000002</v>
      </c>
      <c r="AR254">
        <v>6.8439761949999998</v>
      </c>
      <c r="AS254">
        <v>1.7817946840000001</v>
      </c>
      <c r="AT254">
        <v>5.2297760650000003</v>
      </c>
      <c r="AU254">
        <v>8.0429741260000007</v>
      </c>
      <c r="AV254">
        <v>2.9274678449999998</v>
      </c>
      <c r="AW254">
        <v>2.9345081049999999</v>
      </c>
    </row>
    <row r="255" spans="1:49" x14ac:dyDescent="0.2">
      <c r="A255" t="s">
        <v>319</v>
      </c>
      <c r="B255" s="73">
        <v>40452</v>
      </c>
      <c r="C255">
        <v>10.250343783</v>
      </c>
      <c r="D255">
        <v>2.5873554599999999</v>
      </c>
      <c r="E255">
        <v>2.2931122199999998</v>
      </c>
      <c r="F255">
        <v>2.7498112259999998</v>
      </c>
      <c r="G255">
        <v>6.9745754099999999</v>
      </c>
      <c r="H255">
        <v>3.6517204460000001</v>
      </c>
      <c r="I255">
        <v>2.9963711430000002</v>
      </c>
      <c r="J255">
        <v>7.5274810360000002</v>
      </c>
      <c r="K255">
        <v>9.9</v>
      </c>
      <c r="L255">
        <v>2.7838252030000001</v>
      </c>
      <c r="M255">
        <v>4.6959718400000003</v>
      </c>
      <c r="N255">
        <v>3.256597062</v>
      </c>
      <c r="O255">
        <v>2.2867603070000002</v>
      </c>
      <c r="P255">
        <v>5.007437E-2</v>
      </c>
      <c r="Q255">
        <v>4.6562896919999996</v>
      </c>
      <c r="R255">
        <v>2.4210865799999999</v>
      </c>
      <c r="T255">
        <v>2.5673015069999998</v>
      </c>
      <c r="U255">
        <v>2.2389696940000001</v>
      </c>
      <c r="V255">
        <v>3.5751641510000001</v>
      </c>
      <c r="X255">
        <v>2.8720139260000002</v>
      </c>
      <c r="Y255">
        <v>-12.027950105</v>
      </c>
      <c r="Z255">
        <v>1.623903686</v>
      </c>
      <c r="AA255">
        <v>10.47142</v>
      </c>
      <c r="AB255">
        <v>2.1562219960000002</v>
      </c>
      <c r="AC255">
        <v>-4.4762662259999999</v>
      </c>
      <c r="AD255">
        <v>5.4962697780000003</v>
      </c>
      <c r="AE255">
        <v>1.829995789</v>
      </c>
      <c r="AF255">
        <v>5.4057717140000001</v>
      </c>
      <c r="AG255">
        <v>5.881250359</v>
      </c>
      <c r="AH255">
        <v>1.724398119</v>
      </c>
      <c r="AI255">
        <v>-1.3778713869999999</v>
      </c>
      <c r="AJ255">
        <v>4.8350420740000004</v>
      </c>
      <c r="AK255">
        <v>1.298589277</v>
      </c>
      <c r="AL255">
        <v>-1.5831175559999999</v>
      </c>
      <c r="AM255">
        <v>2.0673419929999999</v>
      </c>
      <c r="AN255">
        <v>3.505893189</v>
      </c>
      <c r="AO255">
        <v>4.8851109350000002</v>
      </c>
      <c r="AP255">
        <v>1.5134662210000001</v>
      </c>
      <c r="AQ255">
        <v>4.7698428740000001</v>
      </c>
      <c r="AR255">
        <v>6.1901834119999997</v>
      </c>
      <c r="AS255">
        <v>1.7870791559999999</v>
      </c>
      <c r="AT255">
        <v>6.5591259040000001</v>
      </c>
      <c r="AU255">
        <v>8.4385931349999996</v>
      </c>
      <c r="AV255">
        <v>3.3491938139999999</v>
      </c>
      <c r="AW255">
        <v>3.6105983230000001</v>
      </c>
    </row>
    <row r="256" spans="1:49" x14ac:dyDescent="0.2">
      <c r="A256" t="s">
        <v>320</v>
      </c>
      <c r="B256" s="73">
        <v>40544</v>
      </c>
      <c r="C256">
        <v>9.6974096119999995</v>
      </c>
      <c r="D256">
        <v>2.720808393</v>
      </c>
      <c r="E256">
        <v>2.994971541</v>
      </c>
      <c r="F256">
        <v>2.4470176970000002</v>
      </c>
      <c r="G256">
        <v>5.7477955669999998</v>
      </c>
      <c r="H256">
        <v>3.6018732419999999</v>
      </c>
      <c r="I256">
        <v>2.9088208729999998</v>
      </c>
      <c r="J256">
        <v>7.5275529539999999</v>
      </c>
      <c r="K256">
        <v>9.9</v>
      </c>
      <c r="L256">
        <v>3.0705295289999999</v>
      </c>
      <c r="M256">
        <v>4.7740381379999999</v>
      </c>
      <c r="N256">
        <v>2.9308156689999998</v>
      </c>
      <c r="O256">
        <v>2.4591526450000001</v>
      </c>
      <c r="P256">
        <v>0.137639866</v>
      </c>
      <c r="Q256">
        <v>6.3566196469999996</v>
      </c>
      <c r="R256">
        <v>2.5714320869999998</v>
      </c>
      <c r="T256">
        <v>5.536019488</v>
      </c>
      <c r="U256">
        <v>2.2499278679999999</v>
      </c>
      <c r="V256">
        <v>2.9967618069999999</v>
      </c>
      <c r="X256">
        <v>2.6774740779999999</v>
      </c>
      <c r="Y256">
        <v>-12.838261165</v>
      </c>
      <c r="Z256">
        <v>1.6346061169999999</v>
      </c>
      <c r="AA256">
        <v>10.68164</v>
      </c>
      <c r="AB256">
        <v>3.0165311309999998</v>
      </c>
      <c r="AC256">
        <v>-0.55538127500000001</v>
      </c>
      <c r="AD256">
        <v>5.6799962549999998</v>
      </c>
      <c r="AE256">
        <v>2.0575934020000002</v>
      </c>
      <c r="AF256">
        <v>3.2713872570000002</v>
      </c>
      <c r="AG256">
        <v>6.3777791490000002</v>
      </c>
      <c r="AH256">
        <v>2.0050869200000001</v>
      </c>
      <c r="AI256">
        <v>-0.76485081700000002</v>
      </c>
      <c r="AJ256">
        <v>3.9222211869999999</v>
      </c>
      <c r="AK256">
        <v>1.8272358799999999</v>
      </c>
      <c r="AL256">
        <v>1.125758917</v>
      </c>
      <c r="AM256">
        <v>0.26427968000000002</v>
      </c>
      <c r="AN256">
        <v>3.1646648540000002</v>
      </c>
      <c r="AO256">
        <v>3.4315303089999998</v>
      </c>
      <c r="AP256">
        <v>1.268103738</v>
      </c>
      <c r="AQ256">
        <v>4.9515095230000004</v>
      </c>
      <c r="AR256">
        <v>4.856461017</v>
      </c>
      <c r="AS256">
        <v>2.4618661720000001</v>
      </c>
      <c r="AT256">
        <v>7.7761562030000002</v>
      </c>
      <c r="AU256">
        <v>9.5775519819999992</v>
      </c>
      <c r="AV256">
        <v>2.7884496909999998</v>
      </c>
      <c r="AW256">
        <v>3.8821221100000001</v>
      </c>
    </row>
    <row r="257" spans="1:49" x14ac:dyDescent="0.2">
      <c r="A257" t="s">
        <v>321</v>
      </c>
      <c r="B257" s="73">
        <v>40634</v>
      </c>
      <c r="C257">
        <v>9.0140013579999998</v>
      </c>
      <c r="D257">
        <v>1.9674334769999999</v>
      </c>
      <c r="E257">
        <v>4.3533590090000001</v>
      </c>
      <c r="F257">
        <v>2.4095637320000001</v>
      </c>
      <c r="G257">
        <v>4.8890035640000002</v>
      </c>
      <c r="H257">
        <v>3.1402038609999998</v>
      </c>
      <c r="I257">
        <v>2.8528089570000001</v>
      </c>
      <c r="J257">
        <v>8.4974637340000001</v>
      </c>
      <c r="K257">
        <v>10.199999999999999</v>
      </c>
      <c r="L257">
        <v>2.965960554</v>
      </c>
      <c r="M257">
        <v>5.9427989529999996</v>
      </c>
      <c r="N257">
        <v>2.2718550390000001</v>
      </c>
      <c r="O257">
        <v>2.912989176</v>
      </c>
      <c r="P257">
        <v>9.6486409999999995E-3</v>
      </c>
      <c r="Q257">
        <v>7.0378213360000004</v>
      </c>
      <c r="R257">
        <v>2.999934181</v>
      </c>
      <c r="T257">
        <v>5.0726469959999996</v>
      </c>
      <c r="U257">
        <v>2.8911015799999999</v>
      </c>
      <c r="V257">
        <v>2.4567993650000002</v>
      </c>
      <c r="X257">
        <v>2.4367183809999999</v>
      </c>
      <c r="Y257">
        <v>-11.20812739</v>
      </c>
      <c r="Z257">
        <v>2.5029112179999999</v>
      </c>
      <c r="AA257">
        <v>9.8514900000000001</v>
      </c>
      <c r="AB257">
        <v>0.86127547100000001</v>
      </c>
      <c r="AC257">
        <v>1.4019793</v>
      </c>
      <c r="AD257">
        <v>5.765334255</v>
      </c>
      <c r="AE257">
        <v>2.269855781</v>
      </c>
      <c r="AF257">
        <v>1.1126526210000001</v>
      </c>
      <c r="AG257">
        <v>5.3073706820000002</v>
      </c>
      <c r="AH257">
        <v>1.433299079</v>
      </c>
      <c r="AI257">
        <v>-1.576785689</v>
      </c>
      <c r="AJ257">
        <v>3.624606977</v>
      </c>
      <c r="AK257">
        <v>2.609041666</v>
      </c>
      <c r="AL257">
        <v>-0.71685042700000001</v>
      </c>
      <c r="AM257">
        <v>1.0265522709999999</v>
      </c>
      <c r="AN257">
        <v>2.834552108</v>
      </c>
      <c r="AO257">
        <v>5.0420863039999997</v>
      </c>
      <c r="AP257">
        <v>-0.22223320899999999</v>
      </c>
      <c r="AQ257">
        <v>3.9411241459999999</v>
      </c>
      <c r="AR257">
        <v>3.3041877799999999</v>
      </c>
      <c r="AS257">
        <v>3.2562384870000001</v>
      </c>
      <c r="AT257">
        <v>5.3552594429999996</v>
      </c>
      <c r="AU257">
        <v>12.378786377999999</v>
      </c>
      <c r="AV257">
        <v>2.0306081909999998</v>
      </c>
      <c r="AW257">
        <v>3.69531593</v>
      </c>
    </row>
    <row r="258" spans="1:49" x14ac:dyDescent="0.2">
      <c r="A258" t="s">
        <v>322</v>
      </c>
      <c r="B258" s="73">
        <v>40725</v>
      </c>
      <c r="C258">
        <v>5.2897589629999997</v>
      </c>
      <c r="D258">
        <v>2.605283928</v>
      </c>
      <c r="E258">
        <v>3.1897583269999998</v>
      </c>
      <c r="F258">
        <v>1.6204249390000001</v>
      </c>
      <c r="G258">
        <v>4.8817458059999996</v>
      </c>
      <c r="H258">
        <v>2.80319874</v>
      </c>
      <c r="I258">
        <v>2.4798327929999999</v>
      </c>
      <c r="J258">
        <v>6.3761439839999996</v>
      </c>
      <c r="K258">
        <v>10</v>
      </c>
      <c r="L258">
        <v>2.0877240499999998</v>
      </c>
      <c r="M258">
        <v>3.707855318</v>
      </c>
      <c r="N258">
        <v>2.5956930520000001</v>
      </c>
      <c r="O258">
        <v>1.92146686</v>
      </c>
      <c r="P258">
        <v>-0.45651271700000001</v>
      </c>
      <c r="Q258">
        <v>7.7160290900000001</v>
      </c>
      <c r="R258">
        <v>2.0721481270000002</v>
      </c>
      <c r="T258">
        <v>2.070675525</v>
      </c>
      <c r="U258">
        <v>2.3955742880000002</v>
      </c>
      <c r="V258">
        <v>1.6068020110000001</v>
      </c>
      <c r="X258">
        <v>1.3910401459999999</v>
      </c>
      <c r="Y258">
        <v>-9.421347763</v>
      </c>
      <c r="Z258">
        <v>1.642864251</v>
      </c>
      <c r="AA258">
        <v>8.5739400000000003</v>
      </c>
      <c r="AB258">
        <v>2.191772662</v>
      </c>
      <c r="AC258">
        <v>0.22408208299999999</v>
      </c>
      <c r="AD258">
        <v>5.316295427</v>
      </c>
      <c r="AE258">
        <v>1.556687004</v>
      </c>
      <c r="AF258">
        <v>-0.94439151200000004</v>
      </c>
      <c r="AG258">
        <v>3.8512425129999999</v>
      </c>
      <c r="AH258">
        <v>-0.624527575</v>
      </c>
      <c r="AI258">
        <v>2.6324649</v>
      </c>
      <c r="AJ258">
        <v>3.0427464909999999</v>
      </c>
      <c r="AK258">
        <v>2.0694538520000001</v>
      </c>
      <c r="AL258">
        <v>-6.5040358000000006E-2</v>
      </c>
      <c r="AM258">
        <v>0.82376996999999996</v>
      </c>
      <c r="AN258">
        <v>2.094720755</v>
      </c>
      <c r="AO258">
        <v>4.8443713700000002</v>
      </c>
      <c r="AP258">
        <v>-1.196017007</v>
      </c>
      <c r="AQ258">
        <v>3.9386446780000002</v>
      </c>
      <c r="AR258">
        <v>2.817004313</v>
      </c>
      <c r="AS258">
        <v>0.92707597799999997</v>
      </c>
      <c r="AT258">
        <v>3.5396909440000002</v>
      </c>
      <c r="AU258">
        <v>11.238746556000001</v>
      </c>
      <c r="AV258">
        <v>1.737905069</v>
      </c>
      <c r="AW258">
        <v>3.4076528499999998</v>
      </c>
    </row>
    <row r="259" spans="1:49" x14ac:dyDescent="0.2">
      <c r="A259" t="s">
        <v>323</v>
      </c>
      <c r="B259" s="73">
        <v>40817</v>
      </c>
      <c r="C259">
        <v>5.6019741490000001</v>
      </c>
      <c r="D259">
        <v>3.263154986</v>
      </c>
      <c r="E259">
        <v>2.9868733590000001</v>
      </c>
      <c r="F259">
        <v>1.4881499170000001</v>
      </c>
      <c r="G259">
        <v>3.600003997</v>
      </c>
      <c r="H259">
        <v>3.4880974490000001</v>
      </c>
      <c r="I259">
        <v>1.507026947</v>
      </c>
      <c r="J259">
        <v>4.334792878</v>
      </c>
      <c r="K259">
        <v>9.4</v>
      </c>
      <c r="L259">
        <v>1.157237979</v>
      </c>
      <c r="M259">
        <v>3.7634872110000002</v>
      </c>
      <c r="N259">
        <v>-0.26152291599999999</v>
      </c>
      <c r="O259">
        <v>1.60097234</v>
      </c>
      <c r="P259">
        <v>-1.051035465</v>
      </c>
      <c r="Q259">
        <v>7.9334030650000003</v>
      </c>
      <c r="R259">
        <v>1.7464600800000001</v>
      </c>
      <c r="T259">
        <v>2.6170746540000001</v>
      </c>
      <c r="U259">
        <v>2.1085496109999999</v>
      </c>
      <c r="V259">
        <v>1.209502168</v>
      </c>
      <c r="X259">
        <v>1.0068487660000001</v>
      </c>
      <c r="Y259">
        <v>-8.1702770180000002</v>
      </c>
      <c r="Z259">
        <v>1.056176569</v>
      </c>
      <c r="AA259">
        <v>5.4526000000000003</v>
      </c>
      <c r="AB259">
        <v>-9.7173033000000006E-2</v>
      </c>
      <c r="AC259">
        <v>4.0598091299999997</v>
      </c>
      <c r="AD259">
        <v>6.3111019580000001</v>
      </c>
      <c r="AE259">
        <v>0.54524033100000002</v>
      </c>
      <c r="AF259">
        <v>-0.34534021399999998</v>
      </c>
      <c r="AG259">
        <v>3.2055896160000001</v>
      </c>
      <c r="AH259">
        <v>2.207043841</v>
      </c>
      <c r="AI259">
        <v>4.5787571040000001</v>
      </c>
      <c r="AJ259">
        <v>4.0669420829999998</v>
      </c>
      <c r="AK259">
        <v>1.6211538430000001</v>
      </c>
      <c r="AL259">
        <v>4.1291970759999996</v>
      </c>
      <c r="AM259">
        <v>2.1169287290000001</v>
      </c>
      <c r="AN259">
        <v>1.830848754</v>
      </c>
      <c r="AO259">
        <v>4.8130210790000003</v>
      </c>
      <c r="AP259">
        <v>-2.049629081</v>
      </c>
      <c r="AQ259">
        <v>4.5877987060000001</v>
      </c>
      <c r="AR259">
        <v>2.1700059899999999</v>
      </c>
      <c r="AS259">
        <v>0.46035627800000001</v>
      </c>
      <c r="AT259">
        <v>3.6555530620000001</v>
      </c>
      <c r="AU259">
        <v>11.117671024</v>
      </c>
      <c r="AV259">
        <v>0.91822084800000003</v>
      </c>
      <c r="AW259">
        <v>2.919288694</v>
      </c>
    </row>
    <row r="260" spans="1:49" x14ac:dyDescent="0.2">
      <c r="A260" t="s">
        <v>324</v>
      </c>
      <c r="B260" s="73">
        <v>40909</v>
      </c>
      <c r="C260">
        <v>4.2740288580000003</v>
      </c>
      <c r="D260">
        <v>3.4589707719999998</v>
      </c>
      <c r="E260">
        <v>1.7735182229999999</v>
      </c>
      <c r="F260">
        <v>1.272481695</v>
      </c>
      <c r="G260">
        <v>3.0531808169999999</v>
      </c>
      <c r="H260">
        <v>3.150369226</v>
      </c>
      <c r="I260">
        <v>0.85642576199999998</v>
      </c>
      <c r="J260">
        <v>5.0297316639999998</v>
      </c>
      <c r="K260">
        <v>8.8000000000000007</v>
      </c>
      <c r="L260">
        <v>0.86309468300000003</v>
      </c>
      <c r="M260">
        <v>2.6068483050000002</v>
      </c>
      <c r="N260">
        <v>0.78033347500000005</v>
      </c>
      <c r="O260">
        <v>0.55593278800000001</v>
      </c>
      <c r="P260">
        <v>-1.7587018139999999</v>
      </c>
      <c r="Q260">
        <v>5.6774754779999999</v>
      </c>
      <c r="R260">
        <v>0.72904120299999997</v>
      </c>
      <c r="T260">
        <v>0.53424172999999997</v>
      </c>
      <c r="U260">
        <v>1.5665731190000001</v>
      </c>
      <c r="V260">
        <v>1.3320055319999999</v>
      </c>
      <c r="X260">
        <v>1.0134323510000001</v>
      </c>
      <c r="Y260">
        <v>-11.530364499999999</v>
      </c>
      <c r="Z260">
        <v>2.2869406959999998</v>
      </c>
      <c r="AA260">
        <v>4.7392500000000002</v>
      </c>
      <c r="AB260">
        <v>0.70695373699999997</v>
      </c>
      <c r="AC260">
        <v>1.7255375879999999</v>
      </c>
      <c r="AD260">
        <v>5.4995125959999998</v>
      </c>
      <c r="AE260">
        <v>-0.95165847599999998</v>
      </c>
      <c r="AF260">
        <v>0.332926689</v>
      </c>
      <c r="AG260">
        <v>2.4439098600000002</v>
      </c>
      <c r="AH260">
        <v>1.1310648649999999</v>
      </c>
      <c r="AI260">
        <v>3.798845161</v>
      </c>
      <c r="AJ260">
        <v>3.944851823</v>
      </c>
      <c r="AK260">
        <v>-0.117624241</v>
      </c>
      <c r="AL260">
        <v>1.3380472720000001</v>
      </c>
      <c r="AM260">
        <v>3.2388461409999998</v>
      </c>
      <c r="AN260">
        <v>1.6885010899999999</v>
      </c>
      <c r="AO260">
        <v>4.4559817300000004</v>
      </c>
      <c r="AP260">
        <v>-3.3101667080000001</v>
      </c>
      <c r="AQ260">
        <v>4.5368792630000003</v>
      </c>
      <c r="AR260">
        <v>2.2775940189999999</v>
      </c>
      <c r="AS260">
        <v>-4.9276734000000003E-2</v>
      </c>
      <c r="AT260">
        <v>0.56623445800000005</v>
      </c>
      <c r="AU260">
        <v>9.3209064149999996</v>
      </c>
      <c r="AV260">
        <v>1.5226915240000001</v>
      </c>
      <c r="AW260">
        <v>2.667733267</v>
      </c>
    </row>
    <row r="261" spans="1:49" x14ac:dyDescent="0.2">
      <c r="A261" t="s">
        <v>325</v>
      </c>
      <c r="B261" s="73">
        <v>41000</v>
      </c>
      <c r="C261">
        <v>0.73846646900000001</v>
      </c>
      <c r="D261">
        <v>4.7562692870000003</v>
      </c>
      <c r="E261">
        <v>1.6578640490000001</v>
      </c>
      <c r="F261">
        <v>1.0036081379999999</v>
      </c>
      <c r="G261">
        <v>0.27289038700000001</v>
      </c>
      <c r="H261">
        <v>2.442677819</v>
      </c>
      <c r="I261">
        <v>1.2408817190000001</v>
      </c>
      <c r="J261">
        <v>5.5088701469999997</v>
      </c>
      <c r="K261">
        <v>8.1</v>
      </c>
      <c r="L261">
        <v>2.7807877000000002E-2</v>
      </c>
      <c r="M261">
        <v>0.87614774600000001</v>
      </c>
      <c r="N261">
        <v>0.49142101599999999</v>
      </c>
      <c r="O261">
        <v>-0.49766932899999999</v>
      </c>
      <c r="P261">
        <v>-2.5273289939999999</v>
      </c>
      <c r="Q261">
        <v>4.1924716249999996</v>
      </c>
      <c r="R261">
        <v>-0.28161493900000001</v>
      </c>
      <c r="T261">
        <v>-0.46093186000000003</v>
      </c>
      <c r="U261">
        <v>0.66264315900000004</v>
      </c>
      <c r="V261">
        <v>1.841276967</v>
      </c>
      <c r="X261">
        <v>1.2298623930000001</v>
      </c>
      <c r="Y261">
        <v>-8.4325696919999995</v>
      </c>
      <c r="Z261">
        <v>-0.38515168300000002</v>
      </c>
      <c r="AA261">
        <v>4.2765399999999998</v>
      </c>
      <c r="AB261">
        <v>-0.77291832299999996</v>
      </c>
      <c r="AC261">
        <v>2.6251040859999999</v>
      </c>
      <c r="AD261">
        <v>4.4976027719999996</v>
      </c>
      <c r="AE261">
        <v>-2.4918725479999999</v>
      </c>
      <c r="AF261">
        <v>2.8013198369999999</v>
      </c>
      <c r="AG261">
        <v>2.3754352729999999</v>
      </c>
      <c r="AH261">
        <v>0.454128949</v>
      </c>
      <c r="AI261">
        <v>10.600885999000001</v>
      </c>
      <c r="AJ261">
        <v>3.8241463000000002</v>
      </c>
      <c r="AK261">
        <v>-0.89917164400000005</v>
      </c>
      <c r="AL261">
        <v>3.439979648</v>
      </c>
      <c r="AM261">
        <v>2.7545451139999999</v>
      </c>
      <c r="AN261">
        <v>1.893882836</v>
      </c>
      <c r="AO261">
        <v>3.3622311059999999</v>
      </c>
      <c r="AP261">
        <v>-3.19826619</v>
      </c>
      <c r="AQ261">
        <v>4.965895927</v>
      </c>
      <c r="AR261">
        <v>2.1752416050000001</v>
      </c>
      <c r="AS261">
        <v>-1.3009428009999999</v>
      </c>
      <c r="AT261">
        <v>0.40347944600000002</v>
      </c>
      <c r="AU261">
        <v>5.9600093440000004</v>
      </c>
      <c r="AV261">
        <v>2.600249298</v>
      </c>
      <c r="AW261">
        <v>2.2428094729999999</v>
      </c>
    </row>
    <row r="262" spans="1:49" x14ac:dyDescent="0.2">
      <c r="A262" t="s">
        <v>326</v>
      </c>
      <c r="B262" s="73">
        <v>41091</v>
      </c>
      <c r="C262">
        <v>-3.656976775</v>
      </c>
      <c r="D262">
        <v>4.1850442909999996</v>
      </c>
      <c r="E262">
        <v>1.039116245</v>
      </c>
      <c r="F262">
        <v>0.79376285999999996</v>
      </c>
      <c r="G262">
        <v>1.018838621</v>
      </c>
      <c r="H262">
        <v>2.5769820449999998</v>
      </c>
      <c r="I262">
        <v>0.715038167</v>
      </c>
      <c r="J262">
        <v>5.6393636020000004</v>
      </c>
      <c r="K262">
        <v>7.7</v>
      </c>
      <c r="L262">
        <v>-0.69375683600000004</v>
      </c>
      <c r="M262">
        <v>0.98056245200000003</v>
      </c>
      <c r="N262">
        <v>-0.43096579600000001</v>
      </c>
      <c r="O262">
        <v>-0.759066252</v>
      </c>
      <c r="P262">
        <v>-3.157385348</v>
      </c>
      <c r="Q262">
        <v>3.4941592950000002</v>
      </c>
      <c r="R262">
        <v>-0.601883842</v>
      </c>
      <c r="T262">
        <v>-1.342555677</v>
      </c>
      <c r="U262">
        <v>0.47641942399999998</v>
      </c>
      <c r="V262">
        <v>1.66419904</v>
      </c>
      <c r="X262">
        <v>1.06810114</v>
      </c>
      <c r="Y262">
        <v>-8.2586942879999992</v>
      </c>
      <c r="Z262">
        <v>-0.96955150199999995</v>
      </c>
      <c r="AA262">
        <v>4.2212199999999998</v>
      </c>
      <c r="AB262">
        <v>-0.157231132</v>
      </c>
      <c r="AC262">
        <v>1.303316363</v>
      </c>
      <c r="AD262">
        <v>3.3949005890000001</v>
      </c>
      <c r="AE262">
        <v>-3.2554238999999998</v>
      </c>
      <c r="AF262">
        <v>2.7613398139999998</v>
      </c>
      <c r="AG262">
        <v>2.4520288529999998</v>
      </c>
      <c r="AH262">
        <v>1.426478551</v>
      </c>
      <c r="AI262">
        <v>6.2822041290000001</v>
      </c>
      <c r="AJ262">
        <v>4.1795494130000002</v>
      </c>
      <c r="AK262">
        <v>-0.75916764000000003</v>
      </c>
      <c r="AL262">
        <v>4.114329873</v>
      </c>
      <c r="AM262">
        <v>2.582078171</v>
      </c>
      <c r="AN262">
        <v>1.653393146</v>
      </c>
      <c r="AO262">
        <v>1.750169943</v>
      </c>
      <c r="AP262">
        <v>-4.0917441290000003</v>
      </c>
      <c r="AQ262">
        <v>4.3829636450000002</v>
      </c>
      <c r="AR262">
        <v>1.6388697619999999</v>
      </c>
      <c r="AS262">
        <v>-2.5503831739999998</v>
      </c>
      <c r="AT262">
        <v>0.20435517</v>
      </c>
      <c r="AU262">
        <v>4.9079508409999999</v>
      </c>
      <c r="AV262">
        <v>2.3738163499999998</v>
      </c>
      <c r="AW262">
        <v>2.5224753670000002</v>
      </c>
    </row>
    <row r="263" spans="1:49" x14ac:dyDescent="0.2">
      <c r="A263" t="s">
        <v>327</v>
      </c>
      <c r="B263" s="73">
        <v>41183</v>
      </c>
      <c r="C263">
        <v>-1.3847748710000001</v>
      </c>
      <c r="D263">
        <v>3.408900166</v>
      </c>
      <c r="E263">
        <v>0.17168935499999999</v>
      </c>
      <c r="F263">
        <v>0.75026148500000001</v>
      </c>
      <c r="G263">
        <v>2.9964918599999999</v>
      </c>
      <c r="H263">
        <v>1.318874171</v>
      </c>
      <c r="I263">
        <v>1.8044319150000001</v>
      </c>
      <c r="J263">
        <v>5.9210058119999998</v>
      </c>
      <c r="K263">
        <v>7.5</v>
      </c>
      <c r="L263">
        <v>-0.91740148200000005</v>
      </c>
      <c r="M263">
        <v>0.37782384800000002</v>
      </c>
      <c r="N263">
        <v>0.91764258600000004</v>
      </c>
      <c r="O263">
        <v>-0.99714143799999999</v>
      </c>
      <c r="P263">
        <v>-3.022491654</v>
      </c>
      <c r="Q263">
        <v>2.3025970020000002</v>
      </c>
      <c r="R263">
        <v>-0.88045551600000005</v>
      </c>
      <c r="T263">
        <v>-1.8428314779999999</v>
      </c>
      <c r="U263">
        <v>0.30311521400000002</v>
      </c>
      <c r="V263">
        <v>1.2983523889999999</v>
      </c>
      <c r="X263">
        <v>1.980047042</v>
      </c>
      <c r="Y263">
        <v>-7.71767117</v>
      </c>
      <c r="Z263">
        <v>-0.89015694099999998</v>
      </c>
      <c r="AA263">
        <v>6.0950300000000004</v>
      </c>
      <c r="AB263">
        <v>-0.29775483000000003</v>
      </c>
      <c r="AC263">
        <v>0.15176810099999999</v>
      </c>
      <c r="AD263">
        <v>2.1347086370000001</v>
      </c>
      <c r="AE263">
        <v>-3.2510351709999998</v>
      </c>
      <c r="AF263">
        <v>-5.5893056000000003E-2</v>
      </c>
      <c r="AG263">
        <v>2.3760541210000001</v>
      </c>
      <c r="AH263">
        <v>1.2570812060000001</v>
      </c>
      <c r="AI263">
        <v>6.0608035950000003</v>
      </c>
      <c r="AJ263">
        <v>2.773115014</v>
      </c>
      <c r="AK263">
        <v>-1.185036124</v>
      </c>
      <c r="AL263">
        <v>0.97806738800000004</v>
      </c>
      <c r="AM263">
        <v>1.7915450740000001</v>
      </c>
      <c r="AN263">
        <v>1.2352093689999999</v>
      </c>
      <c r="AO263">
        <v>0.89615872500000004</v>
      </c>
      <c r="AP263">
        <v>-4.4286947659999996</v>
      </c>
      <c r="AQ263">
        <v>3.7274807239999999</v>
      </c>
      <c r="AR263">
        <v>1.261533794</v>
      </c>
      <c r="AS263">
        <v>-2.1636057040000001</v>
      </c>
      <c r="AT263">
        <v>-1.2231418439999999</v>
      </c>
      <c r="AU263">
        <v>3.9943142659999999</v>
      </c>
      <c r="AV263">
        <v>2.592622977</v>
      </c>
      <c r="AW263">
        <v>2.5151112150000001</v>
      </c>
    </row>
    <row r="264" spans="1:49" x14ac:dyDescent="0.2">
      <c r="A264" t="s">
        <v>328</v>
      </c>
      <c r="B264" s="73">
        <v>41275</v>
      </c>
      <c r="C264">
        <v>0.20491076899999999</v>
      </c>
      <c r="D264">
        <v>2.8010220530000001</v>
      </c>
      <c r="E264">
        <v>0.185821668</v>
      </c>
      <c r="F264">
        <v>0.41114297700000002</v>
      </c>
      <c r="G264">
        <v>2.1317146650000001</v>
      </c>
      <c r="H264">
        <v>0.73508072999999996</v>
      </c>
      <c r="I264">
        <v>1.591048019</v>
      </c>
      <c r="J264">
        <v>4.6543398119999999</v>
      </c>
      <c r="K264">
        <v>8.1</v>
      </c>
      <c r="L264">
        <v>-1.2339184750000001</v>
      </c>
      <c r="M264">
        <v>0.243074925</v>
      </c>
      <c r="N264">
        <v>-6.2150336E-2</v>
      </c>
      <c r="O264">
        <v>-1.005327436</v>
      </c>
      <c r="P264">
        <v>-3.1338623060000002</v>
      </c>
      <c r="Q264">
        <v>3.2452006889999998</v>
      </c>
      <c r="R264">
        <v>-0.92149265400000002</v>
      </c>
      <c r="T264">
        <v>-1.9460079990000001</v>
      </c>
      <c r="U264">
        <v>5.3675344E-2</v>
      </c>
      <c r="V264">
        <v>0.74065463499999995</v>
      </c>
      <c r="X264">
        <v>1.599090407</v>
      </c>
      <c r="Y264">
        <v>-4.2989717199999999</v>
      </c>
      <c r="Z264">
        <v>-2.2057551580000001</v>
      </c>
      <c r="AA264">
        <v>5.6335699999999997</v>
      </c>
      <c r="AB264">
        <v>0.64258192300000005</v>
      </c>
      <c r="AC264">
        <v>0.25914760199999998</v>
      </c>
      <c r="AD264">
        <v>1.9888973169999999</v>
      </c>
      <c r="AE264">
        <v>-3.0594593840000002</v>
      </c>
      <c r="AF264">
        <v>1.4318225E-2</v>
      </c>
      <c r="AG264">
        <v>2.4065722859999998</v>
      </c>
      <c r="AH264">
        <v>3.3974236420000001</v>
      </c>
      <c r="AI264">
        <v>6.4483134150000003</v>
      </c>
      <c r="AJ264">
        <v>2.974516784</v>
      </c>
      <c r="AK264">
        <v>-1.2815194320000001</v>
      </c>
      <c r="AL264">
        <v>1.7509523730000001</v>
      </c>
      <c r="AM264">
        <v>2.766512745</v>
      </c>
      <c r="AN264">
        <v>0.84268738300000001</v>
      </c>
      <c r="AO264">
        <v>-0.26726871699999999</v>
      </c>
      <c r="AP264">
        <v>-4.5276429540000001</v>
      </c>
      <c r="AQ264">
        <v>2.5587927939999999</v>
      </c>
      <c r="AR264">
        <v>0.37543844799999998</v>
      </c>
      <c r="AS264">
        <v>-4.1459669510000001</v>
      </c>
      <c r="AT264">
        <v>-0.53400244500000005</v>
      </c>
      <c r="AU264">
        <v>4.2462833499999997</v>
      </c>
      <c r="AV264">
        <v>1.5660643460000001</v>
      </c>
      <c r="AW264">
        <v>2.3042006800000001</v>
      </c>
    </row>
    <row r="265" spans="1:49" x14ac:dyDescent="0.2">
      <c r="A265" t="s">
        <v>329</v>
      </c>
      <c r="B265" s="73">
        <v>41365</v>
      </c>
      <c r="C265">
        <v>1.2726257320000001</v>
      </c>
      <c r="D265">
        <v>2.268491375</v>
      </c>
      <c r="E265">
        <v>-0.85111293899999996</v>
      </c>
      <c r="F265">
        <v>-7.9050592000000003E-2</v>
      </c>
      <c r="G265">
        <v>3.9344169720000002</v>
      </c>
      <c r="H265">
        <v>1.573583484</v>
      </c>
      <c r="I265">
        <v>0.98512092299999998</v>
      </c>
      <c r="J265">
        <v>4.0812861209999998</v>
      </c>
      <c r="K265">
        <v>7.9</v>
      </c>
      <c r="L265">
        <v>-1.359149167</v>
      </c>
      <c r="M265">
        <v>-0.43561151799999998</v>
      </c>
      <c r="N265">
        <v>0.57118820299999995</v>
      </c>
      <c r="O265">
        <v>-1.1713781539999999</v>
      </c>
      <c r="P265">
        <v>-2.530045721</v>
      </c>
      <c r="Q265">
        <v>3.127681162</v>
      </c>
      <c r="R265">
        <v>-0.98248184800000005</v>
      </c>
      <c r="T265">
        <v>-2.3599642940000001</v>
      </c>
      <c r="U265">
        <v>-4.6264736000000001E-2</v>
      </c>
      <c r="V265">
        <v>0.72335499599999997</v>
      </c>
      <c r="X265">
        <v>1.378622952</v>
      </c>
      <c r="Y265">
        <v>-4.7902712149999997</v>
      </c>
      <c r="Z265">
        <v>-0.236235947</v>
      </c>
      <c r="AA265">
        <v>5.8606699999999998</v>
      </c>
      <c r="AB265">
        <v>-0.67977431399999999</v>
      </c>
      <c r="AC265">
        <v>4.3647503429999999</v>
      </c>
      <c r="AD265">
        <v>2.930666649</v>
      </c>
      <c r="AE265">
        <v>-2.909571423</v>
      </c>
      <c r="AF265">
        <v>1.6860821000000002E-2</v>
      </c>
      <c r="AG265">
        <v>2.4039883020000001</v>
      </c>
      <c r="AH265">
        <v>2.858322056</v>
      </c>
      <c r="AI265">
        <v>1.593016319</v>
      </c>
      <c r="AJ265">
        <v>2.56733031</v>
      </c>
      <c r="AK265">
        <v>-0.75497942799999995</v>
      </c>
      <c r="AL265">
        <v>-0.25977813799999999</v>
      </c>
      <c r="AM265">
        <v>1.815481747</v>
      </c>
      <c r="AN265">
        <v>0.94399218399999996</v>
      </c>
      <c r="AO265">
        <v>-0.27228295000000002</v>
      </c>
      <c r="AP265">
        <v>-3.6042074770000001</v>
      </c>
      <c r="AQ265">
        <v>1.7210856299999999</v>
      </c>
      <c r="AR265">
        <v>0.174491959</v>
      </c>
      <c r="AS265">
        <v>-3.357509979</v>
      </c>
      <c r="AT265">
        <v>0.67318787800000002</v>
      </c>
      <c r="AU265">
        <v>8.2638838620000001</v>
      </c>
      <c r="AV265">
        <v>1.6163010950000001</v>
      </c>
      <c r="AW265">
        <v>2.5169958920000002</v>
      </c>
    </row>
    <row r="266" spans="1:49" x14ac:dyDescent="0.2">
      <c r="A266" t="s">
        <v>330</v>
      </c>
      <c r="B266" s="73">
        <v>41456</v>
      </c>
      <c r="C266">
        <v>5.4726987950000003</v>
      </c>
      <c r="D266">
        <v>1.945166191</v>
      </c>
      <c r="E266">
        <v>-0.35045585400000001</v>
      </c>
      <c r="F266">
        <v>0.50532846399999998</v>
      </c>
      <c r="G266">
        <v>3.9050817279999999</v>
      </c>
      <c r="H266">
        <v>1.8309374890000001</v>
      </c>
      <c r="I266">
        <v>1.954612134</v>
      </c>
      <c r="J266">
        <v>4.1053094249999997</v>
      </c>
      <c r="K266">
        <v>7.6</v>
      </c>
      <c r="L266">
        <v>-0.54368924799999996</v>
      </c>
      <c r="M266">
        <v>0.439963565</v>
      </c>
      <c r="N266">
        <v>0.57021508499999995</v>
      </c>
      <c r="O266">
        <v>-0.37737780300000001</v>
      </c>
      <c r="P266">
        <v>-1.670138916</v>
      </c>
      <c r="Q266">
        <v>1.6171099710000001</v>
      </c>
      <c r="R266">
        <v>-0.22191206999999999</v>
      </c>
      <c r="T266">
        <v>-0.86085371099999997</v>
      </c>
      <c r="U266">
        <v>0.76958866999999997</v>
      </c>
      <c r="V266">
        <v>1.100168045</v>
      </c>
      <c r="X266">
        <v>2.1049183180000002</v>
      </c>
      <c r="Y266">
        <v>-3.0580739330000002</v>
      </c>
      <c r="Z266">
        <v>1.382790024</v>
      </c>
      <c r="AA266">
        <v>6.1179699999999997</v>
      </c>
      <c r="AB266">
        <v>0.16892162499999999</v>
      </c>
      <c r="AC266">
        <v>4.549940909</v>
      </c>
      <c r="AD266">
        <v>5.0920047300000002</v>
      </c>
      <c r="AE266">
        <v>-2.1681353900000002</v>
      </c>
      <c r="AF266">
        <v>1.8346768899999999</v>
      </c>
      <c r="AG266">
        <v>3.014827768</v>
      </c>
      <c r="AH266">
        <v>4.8662667669999999</v>
      </c>
      <c r="AI266">
        <v>2.0959685540000002</v>
      </c>
      <c r="AJ266">
        <v>1.108979052</v>
      </c>
      <c r="AK266">
        <v>-0.98590584699999995</v>
      </c>
      <c r="AL266">
        <v>0.224397702</v>
      </c>
      <c r="AM266">
        <v>2.66525174</v>
      </c>
      <c r="AN266">
        <v>1.345424978</v>
      </c>
      <c r="AO266">
        <v>1.049027586</v>
      </c>
      <c r="AP266">
        <v>-1.546055897</v>
      </c>
      <c r="AQ266">
        <v>1.6739036089999999</v>
      </c>
      <c r="AR266">
        <v>0.33421222699999997</v>
      </c>
      <c r="AS266">
        <v>-1.3093053290000001</v>
      </c>
      <c r="AT266">
        <v>0.44837133299999998</v>
      </c>
      <c r="AU266">
        <v>9.5497674400000001</v>
      </c>
      <c r="AV266">
        <v>1.29617049</v>
      </c>
      <c r="AW266">
        <v>2.4078499149999999</v>
      </c>
    </row>
    <row r="267" spans="1:49" x14ac:dyDescent="0.2">
      <c r="A267" t="s">
        <v>331</v>
      </c>
      <c r="B267" s="73">
        <v>41548</v>
      </c>
      <c r="C267">
        <v>2.8720321489999998</v>
      </c>
      <c r="D267">
        <v>2.1416943470000001</v>
      </c>
      <c r="E267">
        <v>0.30801869599999998</v>
      </c>
      <c r="F267">
        <v>0.57198187199999995</v>
      </c>
      <c r="G267">
        <v>2.453886625</v>
      </c>
      <c r="H267">
        <v>2.5211811590000002</v>
      </c>
      <c r="I267">
        <v>2.015057197</v>
      </c>
      <c r="J267">
        <v>4.3509967539999996</v>
      </c>
      <c r="K267">
        <v>7.9</v>
      </c>
      <c r="L267">
        <v>0.113273973</v>
      </c>
      <c r="M267">
        <v>0.72942525499999999</v>
      </c>
      <c r="N267">
        <v>1.1122699899999999</v>
      </c>
      <c r="O267">
        <v>5.0290370000000001E-2</v>
      </c>
      <c r="P267">
        <v>-1.2204827840000001</v>
      </c>
      <c r="Q267">
        <v>0.86018032899999997</v>
      </c>
      <c r="R267">
        <v>0.228544357</v>
      </c>
      <c r="T267">
        <v>-0.130193592</v>
      </c>
      <c r="U267">
        <v>0.58684404700000004</v>
      </c>
      <c r="V267">
        <v>1.6657713789999999</v>
      </c>
      <c r="X267">
        <v>1.64357186</v>
      </c>
      <c r="Y267">
        <v>-1.6650004540000001</v>
      </c>
      <c r="Z267">
        <v>2.6089509639999999</v>
      </c>
      <c r="AA267">
        <v>5.9169</v>
      </c>
      <c r="AB267">
        <v>4.0108934449999998</v>
      </c>
      <c r="AC267">
        <v>3.6283827460000002</v>
      </c>
      <c r="AD267">
        <v>5.3007976140000004</v>
      </c>
      <c r="AE267">
        <v>-1.431975073</v>
      </c>
      <c r="AF267">
        <v>3.2000144220000002</v>
      </c>
      <c r="AG267">
        <v>3.4735116160000001</v>
      </c>
      <c r="AH267">
        <v>3.8399569320000002</v>
      </c>
      <c r="AI267">
        <v>2.150257657</v>
      </c>
      <c r="AJ267">
        <v>1.486211546</v>
      </c>
      <c r="AK267">
        <v>3.9970727999999997E-2</v>
      </c>
      <c r="AL267">
        <v>2.696098976</v>
      </c>
      <c r="AM267">
        <v>2.9958159800000002</v>
      </c>
      <c r="AN267">
        <v>1.889605808</v>
      </c>
      <c r="AO267">
        <v>1.3696719159999999</v>
      </c>
      <c r="AP267">
        <v>-0.56010572800000002</v>
      </c>
      <c r="AQ267">
        <v>1.192806365</v>
      </c>
      <c r="AR267">
        <v>0.70465878000000004</v>
      </c>
      <c r="AS267">
        <v>-1.4934073510000001</v>
      </c>
      <c r="AT267">
        <v>1.029613425</v>
      </c>
      <c r="AU267">
        <v>9.2280902559999998</v>
      </c>
      <c r="AV267">
        <v>1.9198446199999999</v>
      </c>
      <c r="AW267">
        <v>2.4771044930000001</v>
      </c>
    </row>
    <row r="268" spans="1:49" x14ac:dyDescent="0.2">
      <c r="A268" t="s">
        <v>332</v>
      </c>
      <c r="B268" s="73">
        <v>41640</v>
      </c>
      <c r="C268">
        <v>0.14257863500000001</v>
      </c>
      <c r="D268">
        <v>2.4637470860000001</v>
      </c>
      <c r="E268">
        <v>0.75030374</v>
      </c>
      <c r="F268">
        <v>0.83789398000000004</v>
      </c>
      <c r="G268">
        <v>2.5924941389999998</v>
      </c>
      <c r="H268">
        <v>3.3844473329999998</v>
      </c>
      <c r="I268">
        <v>2.451530242</v>
      </c>
      <c r="J268">
        <v>3.8145387880000001</v>
      </c>
      <c r="K268">
        <v>7.7</v>
      </c>
      <c r="L268">
        <v>1.630396629</v>
      </c>
      <c r="M268">
        <v>1.4836484919999999</v>
      </c>
      <c r="N268">
        <v>1.479632236</v>
      </c>
      <c r="O268">
        <v>0.74553434600000001</v>
      </c>
      <c r="P268">
        <v>-0.29549400799999997</v>
      </c>
      <c r="Q268">
        <v>-7.7656895000000004E-2</v>
      </c>
      <c r="R268">
        <v>0.96025988200000001</v>
      </c>
      <c r="T268">
        <v>-0.23226391199999999</v>
      </c>
      <c r="U268">
        <v>1.1486783869999999</v>
      </c>
      <c r="V268">
        <v>2.2147335680000002</v>
      </c>
      <c r="X268">
        <v>2.4310061599999999</v>
      </c>
      <c r="Y268">
        <v>-0.11904274199999999</v>
      </c>
      <c r="Z268">
        <v>3.6497670000000002</v>
      </c>
      <c r="AA268">
        <v>6.9785599999999999</v>
      </c>
      <c r="AB268">
        <v>2.8559160430000001</v>
      </c>
      <c r="AC268">
        <v>5.6458683900000004</v>
      </c>
      <c r="AD268">
        <v>5.4018433530000003</v>
      </c>
      <c r="AE268">
        <v>-0.904802781</v>
      </c>
      <c r="AF268">
        <v>3.1567167309999999</v>
      </c>
      <c r="AG268">
        <v>3.7551838229999999</v>
      </c>
      <c r="AH268">
        <v>1.161429179</v>
      </c>
      <c r="AI268">
        <v>2.5216807769999998</v>
      </c>
      <c r="AJ268">
        <v>1.1834892960000001</v>
      </c>
      <c r="AK268">
        <v>1.38497114</v>
      </c>
      <c r="AL268">
        <v>1.6829727139999999</v>
      </c>
      <c r="AM268">
        <v>1.68187194</v>
      </c>
      <c r="AN268">
        <v>2.3437609500000001</v>
      </c>
      <c r="AO268">
        <v>2.1752517290000002</v>
      </c>
      <c r="AP268">
        <v>2.1430560930000002</v>
      </c>
      <c r="AQ268">
        <v>1.708512002</v>
      </c>
      <c r="AR268">
        <v>1.405061538</v>
      </c>
      <c r="AS268">
        <v>2.452959071</v>
      </c>
      <c r="AT268">
        <v>2.473479948</v>
      </c>
      <c r="AU268">
        <v>7.7132791860000003</v>
      </c>
      <c r="AV268">
        <v>2.5320497780000002</v>
      </c>
      <c r="AW268">
        <v>2.5397362000000001</v>
      </c>
    </row>
    <row r="269" spans="1:49" x14ac:dyDescent="0.2">
      <c r="A269" t="s">
        <v>333</v>
      </c>
      <c r="B269" s="73">
        <v>41730</v>
      </c>
      <c r="C269">
        <v>-1.332298309</v>
      </c>
      <c r="D269">
        <v>2.8031284670000001</v>
      </c>
      <c r="E269">
        <v>0.73387331300000003</v>
      </c>
      <c r="F269">
        <v>1.55021681</v>
      </c>
      <c r="G269">
        <v>3.051685666</v>
      </c>
      <c r="H269">
        <v>2.6328056470000001</v>
      </c>
      <c r="I269">
        <v>2.6599796119999999</v>
      </c>
      <c r="J269">
        <v>2.767334145</v>
      </c>
      <c r="K269">
        <v>7.5</v>
      </c>
      <c r="L269">
        <v>1.3960077559999999</v>
      </c>
      <c r="M269">
        <v>2.913075283</v>
      </c>
      <c r="N269">
        <v>1.1662242860000001</v>
      </c>
      <c r="O269">
        <v>1.5331185380000001</v>
      </c>
      <c r="P269">
        <v>0.39174025600000001</v>
      </c>
      <c r="Q269">
        <v>1.0782584850000001</v>
      </c>
      <c r="R269">
        <v>1.6398766469999999</v>
      </c>
      <c r="T269">
        <v>-0.146658286</v>
      </c>
      <c r="U269">
        <v>1.2332897549999999</v>
      </c>
      <c r="V269">
        <v>1.7572893549999999</v>
      </c>
      <c r="X269">
        <v>2.913931109</v>
      </c>
      <c r="Y269">
        <v>0.80868815500000002</v>
      </c>
      <c r="Z269">
        <v>4.2639117259999999</v>
      </c>
      <c r="AA269">
        <v>6.5155399999999997</v>
      </c>
      <c r="AB269">
        <v>8.2625363150000002</v>
      </c>
      <c r="AC269">
        <v>1.9246878839999999</v>
      </c>
      <c r="AD269">
        <v>5.0889426660000003</v>
      </c>
      <c r="AE269">
        <v>0.18633502499999999</v>
      </c>
      <c r="AF269">
        <v>2.5843606939999999</v>
      </c>
      <c r="AG269">
        <v>3.8246887090000001</v>
      </c>
      <c r="AH269">
        <v>3.2459571999999999</v>
      </c>
      <c r="AI269">
        <v>2.1341291330000001</v>
      </c>
      <c r="AJ269">
        <v>1.6306722300000001</v>
      </c>
      <c r="AK269">
        <v>0.96269611600000005</v>
      </c>
      <c r="AL269">
        <v>2.0588563290000002</v>
      </c>
      <c r="AM269">
        <v>3.5265637359999999</v>
      </c>
      <c r="AN269">
        <v>2.1161355350000002</v>
      </c>
      <c r="AO269">
        <v>3.1652629010000002</v>
      </c>
      <c r="AP269">
        <v>1.066874721</v>
      </c>
      <c r="AQ269">
        <v>0.95320027200000002</v>
      </c>
      <c r="AR269">
        <v>1.9931670690000001</v>
      </c>
      <c r="AS269">
        <v>2.3480348339999999</v>
      </c>
      <c r="AT269">
        <v>1.892895378</v>
      </c>
      <c r="AU269">
        <v>7.6831303159999997</v>
      </c>
      <c r="AV269">
        <v>1.294055859</v>
      </c>
      <c r="AW269">
        <v>1.6097810450000001</v>
      </c>
    </row>
    <row r="270" spans="1:49" x14ac:dyDescent="0.2">
      <c r="A270" t="s">
        <v>334</v>
      </c>
      <c r="B270" s="73">
        <v>41821</v>
      </c>
      <c r="C270">
        <v>-2.4287613100000001</v>
      </c>
      <c r="D270">
        <v>2.8377042100000001</v>
      </c>
      <c r="E270">
        <v>1.309870657</v>
      </c>
      <c r="F270">
        <v>1.228594186</v>
      </c>
      <c r="G270">
        <v>-0.19897062600000001</v>
      </c>
      <c r="H270">
        <v>2.972572204</v>
      </c>
      <c r="I270">
        <v>2.4244327600000002</v>
      </c>
      <c r="J270">
        <v>1.7011766880000001</v>
      </c>
      <c r="K270">
        <v>7.6</v>
      </c>
      <c r="L270">
        <v>2.049605777</v>
      </c>
      <c r="M270">
        <v>1.82472532</v>
      </c>
      <c r="N270">
        <v>1.017899621</v>
      </c>
      <c r="O270">
        <v>1.219726128</v>
      </c>
      <c r="P270">
        <v>0.94522170500000002</v>
      </c>
      <c r="Q270">
        <v>1.7518063939999999</v>
      </c>
      <c r="R270">
        <v>1.4063873360000001</v>
      </c>
      <c r="T270">
        <v>-0.44364394699999998</v>
      </c>
      <c r="U270">
        <v>0.69426587799999995</v>
      </c>
      <c r="V270">
        <v>1.7903939470000001</v>
      </c>
      <c r="X270">
        <v>3.0662949209999999</v>
      </c>
      <c r="Y270">
        <v>0.36341145499999999</v>
      </c>
      <c r="Z270">
        <v>4.5910779310000001</v>
      </c>
      <c r="AA270">
        <v>7.4460300000000004</v>
      </c>
      <c r="AB270">
        <v>9.5748818670000002</v>
      </c>
      <c r="AC270">
        <v>0.361291152</v>
      </c>
      <c r="AD270">
        <v>3.979461804</v>
      </c>
      <c r="AE270">
        <v>0.13478317200000001</v>
      </c>
      <c r="AF270">
        <v>-0.184173064</v>
      </c>
      <c r="AG270">
        <v>3.5002730689999999</v>
      </c>
      <c r="AH270">
        <v>-7.5729853999999999E-2</v>
      </c>
      <c r="AI270">
        <v>2.763382746</v>
      </c>
      <c r="AJ270">
        <v>3.4883219990000001</v>
      </c>
      <c r="AK270">
        <v>1.737896984</v>
      </c>
      <c r="AL270">
        <v>2.075706131</v>
      </c>
      <c r="AM270">
        <v>2.8541997879999998</v>
      </c>
      <c r="AN270">
        <v>2.058592193</v>
      </c>
      <c r="AO270">
        <v>3.2273293860000001</v>
      </c>
      <c r="AP270">
        <v>0.63991803300000005</v>
      </c>
      <c r="AQ270">
        <v>1.0951664050000001</v>
      </c>
      <c r="AR270">
        <v>2.442384578</v>
      </c>
      <c r="AS270">
        <v>2.9039529850000001</v>
      </c>
      <c r="AT270">
        <v>2.8249726380000002</v>
      </c>
      <c r="AU270">
        <v>2.9147265529999999</v>
      </c>
      <c r="AV270">
        <v>2.451999168</v>
      </c>
      <c r="AW270">
        <v>1.274154405</v>
      </c>
    </row>
    <row r="271" spans="1:49" x14ac:dyDescent="0.2">
      <c r="A271" t="s">
        <v>335</v>
      </c>
      <c r="B271" s="73">
        <v>41913</v>
      </c>
      <c r="C271">
        <v>-3.8537876550000001</v>
      </c>
      <c r="D271">
        <v>2.5214883879999999</v>
      </c>
      <c r="E271">
        <v>0.74585568999999996</v>
      </c>
      <c r="F271">
        <v>1.6128872169999999</v>
      </c>
      <c r="G271">
        <v>-0.54706555800000001</v>
      </c>
      <c r="H271">
        <v>3.1197336029999998</v>
      </c>
      <c r="I271">
        <v>2.2078249190000001</v>
      </c>
      <c r="J271">
        <v>0.74861322399999997</v>
      </c>
      <c r="K271">
        <v>7.2</v>
      </c>
      <c r="L271">
        <v>2.7950652379999998</v>
      </c>
      <c r="M271">
        <v>1.783270004</v>
      </c>
      <c r="N271">
        <v>2.0623688850000002</v>
      </c>
      <c r="O271">
        <v>1.357782882</v>
      </c>
      <c r="P271">
        <v>1.74793584</v>
      </c>
      <c r="Q271">
        <v>3.372775592</v>
      </c>
      <c r="R271">
        <v>1.571980757</v>
      </c>
      <c r="T271">
        <v>-0.406204538</v>
      </c>
      <c r="U271">
        <v>1.1829789150000001</v>
      </c>
      <c r="V271">
        <v>1.8731891629999999</v>
      </c>
      <c r="X271">
        <v>2.9742316550000001</v>
      </c>
      <c r="Y271">
        <v>1.452147732</v>
      </c>
      <c r="Z271">
        <v>3.9939663680000002</v>
      </c>
      <c r="AA271">
        <v>7.6836399999999996</v>
      </c>
      <c r="AB271">
        <v>7.7315300799999997</v>
      </c>
      <c r="AC271">
        <v>4.1586789599999996</v>
      </c>
      <c r="AD271">
        <v>3.7560288609999999</v>
      </c>
      <c r="AE271">
        <v>7.2208589999999996E-3</v>
      </c>
      <c r="AF271">
        <v>-1.0446221229999999</v>
      </c>
      <c r="AG271">
        <v>2.9304339860000002</v>
      </c>
      <c r="AH271">
        <v>1.929968047</v>
      </c>
      <c r="AI271">
        <v>1.8064705459999999</v>
      </c>
      <c r="AJ271">
        <v>2.907879442</v>
      </c>
      <c r="AK271">
        <v>1.3807327039999999</v>
      </c>
      <c r="AL271">
        <v>1.509161811</v>
      </c>
      <c r="AM271">
        <v>3.5688439220000001</v>
      </c>
      <c r="AN271">
        <v>2.118844497</v>
      </c>
      <c r="AO271">
        <v>3.3094861569999998</v>
      </c>
      <c r="AP271">
        <v>0.87572742400000003</v>
      </c>
      <c r="AQ271">
        <v>0.73273804300000001</v>
      </c>
      <c r="AR271">
        <v>2.9562741809999999</v>
      </c>
      <c r="AS271">
        <v>3.512931069</v>
      </c>
      <c r="AT271">
        <v>3.1027563919999999</v>
      </c>
      <c r="AU271">
        <v>3.921101733</v>
      </c>
      <c r="AV271">
        <v>2.831456926</v>
      </c>
      <c r="AW271">
        <v>1.280322755</v>
      </c>
    </row>
    <row r="272" spans="1:49" x14ac:dyDescent="0.2">
      <c r="A272" t="s">
        <v>336</v>
      </c>
      <c r="B272" s="73">
        <v>42005</v>
      </c>
      <c r="C272">
        <v>-2.4204306779999998</v>
      </c>
      <c r="D272">
        <v>2.0751342500000001</v>
      </c>
      <c r="E272">
        <v>0.48242552799999999</v>
      </c>
      <c r="F272">
        <v>1.9213437520000001</v>
      </c>
      <c r="G272">
        <v>-0.160899657</v>
      </c>
      <c r="H272">
        <v>2.7538071400000002</v>
      </c>
      <c r="I272">
        <v>2.4030410820000001</v>
      </c>
      <c r="J272">
        <v>1.692374764</v>
      </c>
      <c r="K272">
        <v>7.3</v>
      </c>
      <c r="L272">
        <v>2.79273164</v>
      </c>
      <c r="M272">
        <v>2.3021057460000001</v>
      </c>
      <c r="N272">
        <v>2.2228855059999999</v>
      </c>
      <c r="O272">
        <v>1.5007917129999999</v>
      </c>
      <c r="P272">
        <v>2.450614801</v>
      </c>
      <c r="Q272">
        <v>4.9733409020000003</v>
      </c>
      <c r="R272">
        <v>1.712592822</v>
      </c>
      <c r="T272">
        <v>-0.46560926699999999</v>
      </c>
      <c r="U272">
        <v>0.79163803099999996</v>
      </c>
      <c r="V272">
        <v>1.8396879450000001</v>
      </c>
      <c r="X272">
        <v>3.009588264</v>
      </c>
      <c r="Y272">
        <v>-0.28579284900000002</v>
      </c>
      <c r="Z272">
        <v>3.6783404370000001</v>
      </c>
      <c r="AA272">
        <v>6.9806999999999997</v>
      </c>
      <c r="AB272">
        <v>8.2884422200000003</v>
      </c>
      <c r="AC272">
        <v>0.35760029999999998</v>
      </c>
      <c r="AD272">
        <v>4.5484561039999996</v>
      </c>
      <c r="AE272">
        <v>-4.0131745000000003E-2</v>
      </c>
      <c r="AF272">
        <v>-0.45765708199999999</v>
      </c>
      <c r="AG272">
        <v>2.5745954090000001</v>
      </c>
      <c r="AH272">
        <v>5.428534097</v>
      </c>
      <c r="AI272">
        <v>1.463680978</v>
      </c>
      <c r="AJ272">
        <v>3.398766803</v>
      </c>
      <c r="AK272">
        <v>1.643506055</v>
      </c>
      <c r="AL272">
        <v>2.932518752</v>
      </c>
      <c r="AM272">
        <v>4.9955707</v>
      </c>
      <c r="AN272">
        <v>2.1864481589999998</v>
      </c>
      <c r="AO272">
        <v>3.7111213959999998</v>
      </c>
      <c r="AP272">
        <v>0.590349244</v>
      </c>
      <c r="AQ272">
        <v>-8.1162163999999995E-2</v>
      </c>
      <c r="AR272">
        <v>3.494232378</v>
      </c>
      <c r="AS272">
        <v>1.686754184</v>
      </c>
      <c r="AT272">
        <v>3.1844922489999998</v>
      </c>
      <c r="AU272">
        <v>5.117751062</v>
      </c>
      <c r="AV272">
        <v>2.5637596660000002</v>
      </c>
      <c r="AW272">
        <v>1.4922992829999999</v>
      </c>
    </row>
    <row r="273" spans="1:49" x14ac:dyDescent="0.2">
      <c r="A273" t="s">
        <v>337</v>
      </c>
      <c r="B273" s="73">
        <v>42095</v>
      </c>
      <c r="C273">
        <v>0.53495114799999999</v>
      </c>
      <c r="D273">
        <v>2.2261516139999999</v>
      </c>
      <c r="E273">
        <v>1.014167815</v>
      </c>
      <c r="F273">
        <v>2.0127212659999998</v>
      </c>
      <c r="G273">
        <v>-1.7077484590000001</v>
      </c>
      <c r="H273">
        <v>2.0224016960000002</v>
      </c>
      <c r="I273">
        <v>1.5912922709999999</v>
      </c>
      <c r="J273">
        <v>1.8074971630000001</v>
      </c>
      <c r="K273">
        <v>7.1</v>
      </c>
      <c r="L273">
        <v>5.2815465980000003</v>
      </c>
      <c r="M273">
        <v>0.81967864000000001</v>
      </c>
      <c r="N273">
        <v>2.6627859950000001</v>
      </c>
      <c r="O273">
        <v>1.7545174160000001</v>
      </c>
      <c r="P273">
        <v>3.2469654530000001</v>
      </c>
      <c r="Q273">
        <v>1.8353176710000001</v>
      </c>
      <c r="R273">
        <v>2.0225454389999999</v>
      </c>
      <c r="T273">
        <v>-0.47114027400000003</v>
      </c>
      <c r="U273">
        <v>1.1932577390000001</v>
      </c>
      <c r="V273">
        <v>2.3515616420000001</v>
      </c>
      <c r="X273">
        <v>2.7156340120000002</v>
      </c>
      <c r="Y273">
        <v>0.30167519199999998</v>
      </c>
      <c r="Z273">
        <v>4.5691008569999996</v>
      </c>
      <c r="AA273">
        <v>7.5362299999999998</v>
      </c>
      <c r="AB273">
        <v>29.489152714999999</v>
      </c>
      <c r="AC273">
        <v>1.5184081629999999</v>
      </c>
      <c r="AD273">
        <v>3.4541563279999998</v>
      </c>
      <c r="AE273">
        <v>6.6099496999999993E-2</v>
      </c>
      <c r="AF273">
        <v>0.26265274199999999</v>
      </c>
      <c r="AG273">
        <v>2.4802682890000001</v>
      </c>
      <c r="AH273">
        <v>2.5225164750000002</v>
      </c>
      <c r="AI273">
        <v>3.0413652610000002</v>
      </c>
      <c r="AJ273">
        <v>3.2517875460000001</v>
      </c>
      <c r="AK273">
        <v>2.3459811699999999</v>
      </c>
      <c r="AL273">
        <v>2.1363028220000002</v>
      </c>
      <c r="AM273">
        <v>3.776186536</v>
      </c>
      <c r="AN273">
        <v>2.652726988</v>
      </c>
      <c r="AO273">
        <v>4.1059923600000001</v>
      </c>
      <c r="AP273">
        <v>1.892981477</v>
      </c>
      <c r="AQ273">
        <v>-1.0901795750000001</v>
      </c>
      <c r="AR273">
        <v>4.8411232289999999</v>
      </c>
      <c r="AS273">
        <v>2.0928001329999999</v>
      </c>
      <c r="AT273">
        <v>3.76455334</v>
      </c>
      <c r="AU273">
        <v>4.0856609300000004</v>
      </c>
      <c r="AV273">
        <v>3.7612027729999999</v>
      </c>
      <c r="AW273">
        <v>2.3666304870000001</v>
      </c>
    </row>
    <row r="274" spans="1:49" x14ac:dyDescent="0.2">
      <c r="A274" t="s">
        <v>338</v>
      </c>
      <c r="B274" s="73">
        <v>42186</v>
      </c>
      <c r="C274">
        <v>3.5382041119999998</v>
      </c>
      <c r="D274">
        <v>1.8718780399999999</v>
      </c>
      <c r="E274">
        <v>0.51805755600000003</v>
      </c>
      <c r="F274">
        <v>2.4263823590000002</v>
      </c>
      <c r="G274">
        <v>-2.7932108790000001</v>
      </c>
      <c r="H274">
        <v>0.82387143900000004</v>
      </c>
      <c r="I274">
        <v>1.6410962410000001</v>
      </c>
      <c r="J274">
        <v>2.6888122229999998</v>
      </c>
      <c r="K274">
        <v>7.1</v>
      </c>
      <c r="L274">
        <v>5.7457399980000003</v>
      </c>
      <c r="M274">
        <v>1.532410198</v>
      </c>
      <c r="N274">
        <v>3.2177876630000002</v>
      </c>
      <c r="O274">
        <v>1.974236426</v>
      </c>
      <c r="P274">
        <v>3.8732762529999998</v>
      </c>
      <c r="Q274">
        <v>3.42185637</v>
      </c>
      <c r="R274">
        <v>2.2139569250000002</v>
      </c>
      <c r="T274">
        <v>0.87981565799999994</v>
      </c>
      <c r="U274">
        <v>1.0814699940000001</v>
      </c>
      <c r="V274">
        <v>2.3331086179999998</v>
      </c>
      <c r="X274">
        <v>2.646630585</v>
      </c>
      <c r="Y274">
        <v>0.51102211600000003</v>
      </c>
      <c r="Z274">
        <v>3.3119218890000002</v>
      </c>
      <c r="AA274">
        <v>7.3807799999999997</v>
      </c>
      <c r="AB274">
        <v>21.585499784</v>
      </c>
      <c r="AC274">
        <v>7.7831962539999999</v>
      </c>
      <c r="AD274">
        <v>2.5700407059999999</v>
      </c>
      <c r="AE274">
        <v>0.494675431</v>
      </c>
      <c r="AF274">
        <v>2.261118792</v>
      </c>
      <c r="AG274">
        <v>2.0432410700000001</v>
      </c>
      <c r="AH274">
        <v>4.6245495600000002</v>
      </c>
      <c r="AI274">
        <v>3.9944546820000002</v>
      </c>
      <c r="AJ274">
        <v>3.1495501730000002</v>
      </c>
      <c r="AK274">
        <v>2.0647271759999999</v>
      </c>
      <c r="AL274">
        <v>1.9244281130000001</v>
      </c>
      <c r="AM274">
        <v>3.985122166</v>
      </c>
      <c r="AN274">
        <v>2.720629926</v>
      </c>
      <c r="AO274">
        <v>3.7417825840000001</v>
      </c>
      <c r="AP274">
        <v>1.857357964</v>
      </c>
      <c r="AQ274">
        <v>-2.2235911339999999</v>
      </c>
      <c r="AR274">
        <v>5.3428344159999996</v>
      </c>
      <c r="AS274">
        <v>1.9074037429999999</v>
      </c>
      <c r="AT274">
        <v>3.9540595700000001</v>
      </c>
      <c r="AU274">
        <v>7.4143840340000002</v>
      </c>
      <c r="AV274">
        <v>3.039854675</v>
      </c>
      <c r="AW274">
        <v>1.1033660569999999</v>
      </c>
    </row>
    <row r="275" spans="1:49" x14ac:dyDescent="0.2">
      <c r="A275" t="s">
        <v>339</v>
      </c>
      <c r="B275" s="73">
        <v>42278</v>
      </c>
      <c r="C275">
        <v>4.284966603</v>
      </c>
      <c r="D275">
        <v>2.4471172860000001</v>
      </c>
      <c r="E275">
        <v>1.1876586010000001</v>
      </c>
      <c r="F275">
        <v>1.918418379</v>
      </c>
      <c r="G275">
        <v>-4.2191157940000004</v>
      </c>
      <c r="H275">
        <v>0.21933249699999999</v>
      </c>
      <c r="I275">
        <v>1.7152463040000001</v>
      </c>
      <c r="J275">
        <v>2.379221265</v>
      </c>
      <c r="K275">
        <v>7</v>
      </c>
      <c r="L275">
        <v>5.757359353</v>
      </c>
      <c r="M275">
        <v>1.4937711119999999</v>
      </c>
      <c r="N275">
        <v>1.824728012</v>
      </c>
      <c r="O275">
        <v>1.9701992189999999</v>
      </c>
      <c r="P275">
        <v>4.0485580949999997</v>
      </c>
      <c r="Q275">
        <v>2.8139948239999999</v>
      </c>
      <c r="R275">
        <v>2.2322976649999999</v>
      </c>
      <c r="T275">
        <v>0.48184543000000002</v>
      </c>
      <c r="U275">
        <v>0.91654982600000001</v>
      </c>
      <c r="V275">
        <v>1.865529446</v>
      </c>
      <c r="X275">
        <v>2.5039726959999999</v>
      </c>
      <c r="Y275">
        <v>-2.5010827870000001</v>
      </c>
      <c r="Z275">
        <v>3.131315786</v>
      </c>
      <c r="AA275">
        <v>7.4023099999999999</v>
      </c>
      <c r="AB275">
        <v>24.757834425999999</v>
      </c>
      <c r="AC275">
        <v>3.2637285720000002</v>
      </c>
      <c r="AD275">
        <v>1.7324461799999999</v>
      </c>
      <c r="AE275">
        <v>0.63254534399999995</v>
      </c>
      <c r="AF275">
        <v>2.2498089960000001</v>
      </c>
      <c r="AG275">
        <v>3.2325957650000001</v>
      </c>
      <c r="AH275">
        <v>2.0064710589999999</v>
      </c>
      <c r="AI275">
        <v>4.2967260920000001</v>
      </c>
      <c r="AJ275">
        <v>4.1438465600000001</v>
      </c>
      <c r="AK275">
        <v>2.159549803</v>
      </c>
      <c r="AL275">
        <v>2.6870977300000001</v>
      </c>
      <c r="AM275">
        <v>3.7944458050000001</v>
      </c>
      <c r="AN275">
        <v>2.4726171400000001</v>
      </c>
      <c r="AO275">
        <v>4.185842203</v>
      </c>
      <c r="AP275">
        <v>1.876774457</v>
      </c>
      <c r="AQ275">
        <v>-1.72172671</v>
      </c>
      <c r="AR275">
        <v>5.5376145350000003</v>
      </c>
      <c r="AS275">
        <v>1.943360387</v>
      </c>
      <c r="AT275">
        <v>4.6388961049999997</v>
      </c>
      <c r="AU275">
        <v>6.306599319</v>
      </c>
      <c r="AV275">
        <v>2.1826685110000001</v>
      </c>
      <c r="AW275">
        <v>1.0730239100000001</v>
      </c>
    </row>
    <row r="276" spans="1:49" x14ac:dyDescent="0.2">
      <c r="A276" t="s">
        <v>340</v>
      </c>
      <c r="B276" s="73">
        <v>42370</v>
      </c>
      <c r="C276">
        <v>2.5921270789999999</v>
      </c>
      <c r="D276">
        <v>2.685460339</v>
      </c>
      <c r="E276">
        <v>1.146707887</v>
      </c>
      <c r="F276">
        <v>1.811273819</v>
      </c>
      <c r="G276">
        <v>-5.4425511689999997</v>
      </c>
      <c r="H276">
        <v>-0.39486916599999999</v>
      </c>
      <c r="I276">
        <v>1.590770491</v>
      </c>
      <c r="J276">
        <v>2.161889414</v>
      </c>
      <c r="K276">
        <v>6.9</v>
      </c>
      <c r="L276">
        <v>5.0987886949999996</v>
      </c>
      <c r="M276">
        <v>1.1100328779999999</v>
      </c>
      <c r="N276">
        <v>1.6868750180000001</v>
      </c>
      <c r="O276">
        <v>2.0157259920000001</v>
      </c>
      <c r="P276">
        <v>4.1627441640000002</v>
      </c>
      <c r="Q276">
        <v>1.109257613</v>
      </c>
      <c r="R276">
        <v>2.281702407</v>
      </c>
      <c r="T276">
        <v>1.2873659390000001</v>
      </c>
      <c r="U276">
        <v>0.97941305599999995</v>
      </c>
      <c r="V276">
        <v>1.6209695120000001</v>
      </c>
      <c r="X276">
        <v>2.6256587499999999</v>
      </c>
      <c r="Y276">
        <v>0.302981736</v>
      </c>
      <c r="Z276">
        <v>3.610517164</v>
      </c>
      <c r="AA276">
        <v>7.92964</v>
      </c>
      <c r="AB276">
        <v>25.767292037000001</v>
      </c>
      <c r="AC276">
        <v>5.1961674149999997</v>
      </c>
      <c r="AD276">
        <v>1.039977889</v>
      </c>
      <c r="AE276">
        <v>1.4367180070000001</v>
      </c>
      <c r="AF276">
        <v>1.6273850459999999</v>
      </c>
      <c r="AG276">
        <v>3.470945248</v>
      </c>
      <c r="AH276">
        <v>8.9501813999999999E-2</v>
      </c>
      <c r="AI276">
        <v>3.5684088040000002</v>
      </c>
      <c r="AJ276">
        <v>2.7073185739999999</v>
      </c>
      <c r="AK276">
        <v>1.2679556869999999</v>
      </c>
      <c r="AL276">
        <v>0.556183286</v>
      </c>
      <c r="AM276">
        <v>3.193576856</v>
      </c>
      <c r="AN276">
        <v>2.2240538230000002</v>
      </c>
      <c r="AO276">
        <v>4.7950581510000001</v>
      </c>
      <c r="AP276">
        <v>1.5435730759999999</v>
      </c>
      <c r="AQ276">
        <v>-1.7438928440000001</v>
      </c>
      <c r="AR276">
        <v>5.1367248840000004</v>
      </c>
      <c r="AS276">
        <v>1.970926639</v>
      </c>
      <c r="AT276">
        <v>4.6299735289999999</v>
      </c>
      <c r="AU276">
        <v>6.1170653310000001</v>
      </c>
      <c r="AV276">
        <v>1.874684059</v>
      </c>
      <c r="AW276">
        <v>0.75669968200000004</v>
      </c>
    </row>
    <row r="277" spans="1:49" x14ac:dyDescent="0.2">
      <c r="A277" t="s">
        <v>341</v>
      </c>
      <c r="B277" s="73">
        <v>42461</v>
      </c>
      <c r="C277">
        <v>0.20369295500000001</v>
      </c>
      <c r="D277">
        <v>2.6351621060000001</v>
      </c>
      <c r="E277">
        <v>1.975558806</v>
      </c>
      <c r="F277">
        <v>1.3427295400000001</v>
      </c>
      <c r="G277">
        <v>-6.3317370840000002</v>
      </c>
      <c r="H277">
        <v>0.70485855600000002</v>
      </c>
      <c r="I277">
        <v>2.1987612670000001</v>
      </c>
      <c r="J277">
        <v>2.574687033</v>
      </c>
      <c r="K277">
        <v>6.9</v>
      </c>
      <c r="L277">
        <v>3.3935594359999999</v>
      </c>
      <c r="M277">
        <v>2.4768189889999999</v>
      </c>
      <c r="N277">
        <v>2.1589061780000001</v>
      </c>
      <c r="O277">
        <v>1.9148209410000001</v>
      </c>
      <c r="P277">
        <v>3.6787924009999999</v>
      </c>
      <c r="Q277">
        <v>4.2064582220000002</v>
      </c>
      <c r="R277">
        <v>2.0594951880000001</v>
      </c>
      <c r="T277">
        <v>3.3404243089999999</v>
      </c>
      <c r="U277">
        <v>1.129946629</v>
      </c>
      <c r="V277">
        <v>1.582574463</v>
      </c>
      <c r="X277">
        <v>2.4185704760000002</v>
      </c>
      <c r="Y277">
        <v>-1.14012845</v>
      </c>
      <c r="Z277">
        <v>1.3547053609999999</v>
      </c>
      <c r="AA277">
        <v>9.2224599999999999</v>
      </c>
      <c r="AB277">
        <v>-1.1033345379999999</v>
      </c>
      <c r="AC277">
        <v>3.9123796209999999</v>
      </c>
      <c r="AD277">
        <v>1.948492468</v>
      </c>
      <c r="AE277">
        <v>1.4448893279999999</v>
      </c>
      <c r="AF277">
        <v>0.81327932700000005</v>
      </c>
      <c r="AG277">
        <v>2.926494945</v>
      </c>
      <c r="AH277">
        <v>3.8310104379999999</v>
      </c>
      <c r="AI277">
        <v>3.9988210510000002</v>
      </c>
      <c r="AJ277">
        <v>2.7307634780000001</v>
      </c>
      <c r="AK277">
        <v>1.5949483250000001</v>
      </c>
      <c r="AL277">
        <v>0.94976356900000003</v>
      </c>
      <c r="AM277">
        <v>4.0587609569999996</v>
      </c>
      <c r="AN277">
        <v>1.9480965130000001</v>
      </c>
      <c r="AO277">
        <v>3.023989131</v>
      </c>
      <c r="AP277">
        <v>1.3639343829999999</v>
      </c>
      <c r="AQ277">
        <v>-0.54547591600000001</v>
      </c>
      <c r="AR277">
        <v>3.1250641219999999</v>
      </c>
      <c r="AS277">
        <v>2.5155418140000001</v>
      </c>
      <c r="AT277">
        <v>3.0642046399999998</v>
      </c>
      <c r="AU277">
        <v>4.5244235330000002</v>
      </c>
      <c r="AV277">
        <v>1.648190603</v>
      </c>
      <c r="AW277">
        <v>0.27304739</v>
      </c>
    </row>
    <row r="278" spans="1:49" x14ac:dyDescent="0.2">
      <c r="A278" t="s">
        <v>342</v>
      </c>
      <c r="B278" s="73">
        <v>42552</v>
      </c>
      <c r="C278">
        <v>-3.621577893</v>
      </c>
      <c r="D278">
        <v>3.1941576340000002</v>
      </c>
      <c r="E278">
        <v>1.6350630960000001</v>
      </c>
      <c r="F278">
        <v>1.219500485</v>
      </c>
      <c r="G278">
        <v>-3.2843557300000001</v>
      </c>
      <c r="H278">
        <v>0.48316809100000002</v>
      </c>
      <c r="I278">
        <v>1.9955451129999999</v>
      </c>
      <c r="J278">
        <v>1.076573231</v>
      </c>
      <c r="K278">
        <v>6.8</v>
      </c>
      <c r="L278">
        <v>2.255475396</v>
      </c>
      <c r="M278">
        <v>2.178643906</v>
      </c>
      <c r="N278">
        <v>3.0586654449999999</v>
      </c>
      <c r="O278">
        <v>1.7208782460000001</v>
      </c>
      <c r="P278">
        <v>3.0085783629999998</v>
      </c>
      <c r="Q278">
        <v>2.0006145929999999</v>
      </c>
      <c r="R278">
        <v>1.9075811389999999</v>
      </c>
      <c r="T278">
        <v>1.9500500249999999</v>
      </c>
      <c r="U278">
        <v>0.95796744899999997</v>
      </c>
      <c r="V278">
        <v>1.3259441590000001</v>
      </c>
      <c r="X278">
        <v>2.2547717399999998</v>
      </c>
      <c r="Y278">
        <v>-1.3975220719999999</v>
      </c>
      <c r="Z278">
        <v>2.6217781169999999</v>
      </c>
      <c r="AA278">
        <v>8.8364399999999996</v>
      </c>
      <c r="AB278">
        <v>2.7401863880000001</v>
      </c>
      <c r="AC278">
        <v>4.6434669299999998</v>
      </c>
      <c r="AD278">
        <v>4.2506073730000002</v>
      </c>
      <c r="AE278">
        <v>1.2522623879999999</v>
      </c>
      <c r="AF278">
        <v>0.52528469</v>
      </c>
      <c r="AG278">
        <v>3.6712156039999999</v>
      </c>
      <c r="AH278">
        <v>4.5911739840000001</v>
      </c>
      <c r="AI278">
        <v>1.4473186229999999</v>
      </c>
      <c r="AJ278">
        <v>1.9882907139999999</v>
      </c>
      <c r="AK278">
        <v>1.5204331630000001</v>
      </c>
      <c r="AL278">
        <v>0.38570639699999998</v>
      </c>
      <c r="AM278">
        <v>4.2845693730000001</v>
      </c>
      <c r="AN278">
        <v>1.7616532309999999</v>
      </c>
      <c r="AO278">
        <v>3.5574286860000002</v>
      </c>
      <c r="AP278">
        <v>1.3658777129999999</v>
      </c>
      <c r="AQ278">
        <v>0.17908624300000001</v>
      </c>
      <c r="AR278">
        <v>2.1075061659999998</v>
      </c>
      <c r="AS278">
        <v>3.1400647579999998</v>
      </c>
      <c r="AT278">
        <v>2.1406203339999998</v>
      </c>
      <c r="AU278">
        <v>4.4287952639999997</v>
      </c>
      <c r="AV278">
        <v>1.36762965</v>
      </c>
      <c r="AW278">
        <v>1.224121386</v>
      </c>
    </row>
    <row r="279" spans="1:49" x14ac:dyDescent="0.2">
      <c r="A279" t="s">
        <v>343</v>
      </c>
      <c r="B279" s="73">
        <v>42644</v>
      </c>
      <c r="C279">
        <v>-3.2767366290000002</v>
      </c>
      <c r="D279">
        <v>2.264110396</v>
      </c>
      <c r="E279">
        <v>1.601013724</v>
      </c>
      <c r="F279">
        <v>1.2037569480000001</v>
      </c>
      <c r="G279">
        <v>-2.4351160219999999</v>
      </c>
      <c r="H279">
        <v>1.1615540019999999</v>
      </c>
      <c r="I279">
        <v>1.914750427</v>
      </c>
      <c r="J279">
        <v>1.7944355089999999</v>
      </c>
      <c r="K279">
        <v>6.8</v>
      </c>
      <c r="L279">
        <v>1.9596201049999999</v>
      </c>
      <c r="M279">
        <v>2.0181250249999998</v>
      </c>
      <c r="N279">
        <v>3.6204224250000001</v>
      </c>
      <c r="O279">
        <v>1.7306136729999999</v>
      </c>
      <c r="P279">
        <v>2.9851407970000001</v>
      </c>
      <c r="Q279">
        <v>2.3753491850000001</v>
      </c>
      <c r="R279">
        <v>1.82138051</v>
      </c>
      <c r="T279">
        <v>3.1113124910000001</v>
      </c>
      <c r="U279">
        <v>0.81027239399999995</v>
      </c>
      <c r="V279">
        <v>1.491571894</v>
      </c>
      <c r="X279">
        <v>2.1612003440000001</v>
      </c>
      <c r="Y279">
        <v>0.90178134799999998</v>
      </c>
      <c r="Z279">
        <v>2.3787846899999998</v>
      </c>
      <c r="AA279">
        <v>9.3121100000000006</v>
      </c>
      <c r="AB279">
        <v>-1.1672379209999999</v>
      </c>
      <c r="AC279">
        <v>7.3382498160000003</v>
      </c>
      <c r="AD279">
        <v>5.4385296539999999</v>
      </c>
      <c r="AE279">
        <v>1.582185824</v>
      </c>
      <c r="AF279">
        <v>0.60520722100000002</v>
      </c>
      <c r="AG279">
        <v>2.6305051480000001</v>
      </c>
      <c r="AH279">
        <v>5.8501936419999998</v>
      </c>
      <c r="AI279">
        <v>0.90662880800000001</v>
      </c>
      <c r="AJ279">
        <v>1.736917992</v>
      </c>
      <c r="AK279">
        <v>2.30395343</v>
      </c>
      <c r="AL279">
        <v>-1.0816578640000001</v>
      </c>
      <c r="AM279">
        <v>4.137334761</v>
      </c>
      <c r="AN279">
        <v>1.620110691</v>
      </c>
      <c r="AO279">
        <v>2.5241190200000001</v>
      </c>
      <c r="AP279">
        <v>2.4394637970000002</v>
      </c>
      <c r="AQ279">
        <v>8.6290206999999994E-2</v>
      </c>
      <c r="AR279">
        <v>1.3195128789999999</v>
      </c>
      <c r="AS279">
        <v>3.3856594100000001</v>
      </c>
      <c r="AT279">
        <v>1.0398091380000001</v>
      </c>
      <c r="AU279">
        <v>3.2153910000000001E-2</v>
      </c>
      <c r="AV279">
        <v>1.648263356</v>
      </c>
      <c r="AW279">
        <v>0.75795112499999995</v>
      </c>
    </row>
    <row r="280" spans="1:49" x14ac:dyDescent="0.2">
      <c r="A280" t="s">
        <v>344</v>
      </c>
      <c r="B280" s="73">
        <v>42736</v>
      </c>
      <c r="C280">
        <v>-1.568911653</v>
      </c>
      <c r="D280">
        <v>2.7215731910000001</v>
      </c>
      <c r="E280">
        <v>2.520485522</v>
      </c>
      <c r="F280">
        <v>1.300882844</v>
      </c>
      <c r="G280">
        <v>-1.8407878150000001</v>
      </c>
      <c r="H280">
        <v>1.6534435869999999</v>
      </c>
      <c r="I280">
        <v>1.842540997</v>
      </c>
      <c r="J280">
        <v>1.046002221</v>
      </c>
      <c r="K280">
        <v>6.9</v>
      </c>
      <c r="L280">
        <v>2.1706344980000001</v>
      </c>
      <c r="M280">
        <v>1.9002158899999999</v>
      </c>
      <c r="N280">
        <v>4.1349655670000001</v>
      </c>
      <c r="O280">
        <v>2.020998128</v>
      </c>
      <c r="P280">
        <v>2.4705723079999999</v>
      </c>
      <c r="Q280">
        <v>3.7943242389999998</v>
      </c>
      <c r="R280">
        <v>2.1512656080000001</v>
      </c>
      <c r="T280">
        <v>2.8517788419999999</v>
      </c>
      <c r="U280">
        <v>1.2038598380000001</v>
      </c>
      <c r="V280">
        <v>1.7428548150000001</v>
      </c>
      <c r="X280">
        <v>2.2215100579999998</v>
      </c>
      <c r="Y280">
        <v>-0.22892836899999999</v>
      </c>
      <c r="Z280">
        <v>2.1910082380000002</v>
      </c>
      <c r="AA280">
        <v>8.5953999999999997</v>
      </c>
      <c r="AB280">
        <v>8.8371325120000002</v>
      </c>
      <c r="AC280">
        <v>9.1656729810000002</v>
      </c>
      <c r="AD280">
        <v>5.7111136120000001</v>
      </c>
      <c r="AE280">
        <v>1.3377390339999999</v>
      </c>
      <c r="AF280">
        <v>0.93134287999999998</v>
      </c>
      <c r="AG280">
        <v>2.5721908230000001</v>
      </c>
      <c r="AH280">
        <v>5.6793614870000004</v>
      </c>
      <c r="AI280">
        <v>2.2622753379999998</v>
      </c>
      <c r="AJ280">
        <v>3.1309463360000001</v>
      </c>
      <c r="AK280">
        <v>3.144898161</v>
      </c>
      <c r="AL280">
        <v>1.1312105160000001</v>
      </c>
      <c r="AM280">
        <v>3.4202299219999999</v>
      </c>
      <c r="AN280">
        <v>2.1335767419999998</v>
      </c>
      <c r="AO280">
        <v>3.5880533689999998</v>
      </c>
      <c r="AP280">
        <v>2.9010111080000001</v>
      </c>
      <c r="AQ280">
        <v>1.1729231419999999</v>
      </c>
      <c r="AR280">
        <v>1.2099402880000001</v>
      </c>
      <c r="AS280">
        <v>4.03742439</v>
      </c>
      <c r="AT280">
        <v>1.1988176370000001</v>
      </c>
      <c r="AU280">
        <v>4.3261893249999996</v>
      </c>
      <c r="AV280">
        <v>2.0041770460000001</v>
      </c>
      <c r="AW280">
        <v>0.40827237799999999</v>
      </c>
    </row>
    <row r="281" spans="1:49" x14ac:dyDescent="0.2">
      <c r="A281" t="s">
        <v>345</v>
      </c>
      <c r="B281" s="73">
        <v>42826</v>
      </c>
      <c r="C281">
        <v>0.25851429100000001</v>
      </c>
      <c r="D281">
        <v>2.0902159139999998</v>
      </c>
      <c r="E281">
        <v>1.9416599029999999</v>
      </c>
      <c r="F281">
        <v>1.902990414</v>
      </c>
      <c r="G281">
        <v>0.85981892800000004</v>
      </c>
      <c r="H281">
        <v>2.1977790920000002</v>
      </c>
      <c r="I281">
        <v>1.5855437750000001</v>
      </c>
      <c r="J281">
        <v>-0.41409695200000002</v>
      </c>
      <c r="K281">
        <v>7</v>
      </c>
      <c r="L281">
        <v>3.570373762</v>
      </c>
      <c r="M281">
        <v>2.306102514</v>
      </c>
      <c r="N281">
        <v>3.6226212389999999</v>
      </c>
      <c r="O281">
        <v>2.179691992</v>
      </c>
      <c r="P281">
        <v>2.5887791710000001</v>
      </c>
      <c r="Q281">
        <v>4.1506119989999997</v>
      </c>
      <c r="R281">
        <v>2.390253365</v>
      </c>
      <c r="T281">
        <v>2.600051927</v>
      </c>
      <c r="U281">
        <v>1.38721472</v>
      </c>
      <c r="V281">
        <v>1.811177893</v>
      </c>
      <c r="X281">
        <v>2.4333881470000001</v>
      </c>
      <c r="Y281">
        <v>0.37108906600000002</v>
      </c>
      <c r="Z281">
        <v>4.2199645940000003</v>
      </c>
      <c r="AA281">
        <v>6.3787599999999998</v>
      </c>
      <c r="AB281">
        <v>7.3206347879999996</v>
      </c>
      <c r="AC281">
        <v>8.0602982529999991</v>
      </c>
      <c r="AD281">
        <v>4.8862587929999997</v>
      </c>
      <c r="AE281">
        <v>1.617353901</v>
      </c>
      <c r="AF281">
        <v>1.0086610359999999</v>
      </c>
      <c r="AG281">
        <v>3.2421475380000002</v>
      </c>
      <c r="AH281">
        <v>1.0703425900000001</v>
      </c>
      <c r="AI281">
        <v>1.9655662140000001</v>
      </c>
      <c r="AJ281">
        <v>3.0146939740000001</v>
      </c>
      <c r="AK281">
        <v>2.7328280440000001</v>
      </c>
      <c r="AL281">
        <v>2.0007017939999998</v>
      </c>
      <c r="AM281">
        <v>3.2759337579999999</v>
      </c>
      <c r="AN281">
        <v>2.233357034</v>
      </c>
      <c r="AO281">
        <v>4.8754581359999998</v>
      </c>
      <c r="AP281">
        <v>3.6220976340000002</v>
      </c>
      <c r="AQ281">
        <v>1.1846646649999999</v>
      </c>
      <c r="AR281">
        <v>2.0903893099999999</v>
      </c>
      <c r="AS281">
        <v>4.8229657799999996</v>
      </c>
      <c r="AT281">
        <v>1.7320871339999999</v>
      </c>
      <c r="AU281">
        <v>5.3733098119999996</v>
      </c>
      <c r="AV281">
        <v>1.8852788700000001</v>
      </c>
      <c r="AW281">
        <v>0.64192753000000002</v>
      </c>
    </row>
    <row r="282" spans="1:49" x14ac:dyDescent="0.2">
      <c r="A282" t="s">
        <v>346</v>
      </c>
      <c r="B282" s="73">
        <v>42917</v>
      </c>
      <c r="C282">
        <v>2.9478524300000002</v>
      </c>
      <c r="D282">
        <v>2.1123373559999998</v>
      </c>
      <c r="E282">
        <v>2.6626178870000001</v>
      </c>
      <c r="F282">
        <v>1.5909155589999999</v>
      </c>
      <c r="G282">
        <v>1.0388969809999999</v>
      </c>
      <c r="H282">
        <v>3.75347556</v>
      </c>
      <c r="I282">
        <v>1.3646030330000001</v>
      </c>
      <c r="J282">
        <v>0.91196729700000001</v>
      </c>
      <c r="K282">
        <v>7</v>
      </c>
      <c r="L282">
        <v>6.1313612270000002</v>
      </c>
      <c r="M282">
        <v>2.6793629550000002</v>
      </c>
      <c r="N282">
        <v>3.3825010080000002</v>
      </c>
      <c r="O282">
        <v>2.7424113370000001</v>
      </c>
      <c r="P282">
        <v>3.2572936229999998</v>
      </c>
      <c r="Q282">
        <v>6.3259820170000003</v>
      </c>
      <c r="R282">
        <v>2.9302004780000002</v>
      </c>
      <c r="T282">
        <v>3.7477317339999998</v>
      </c>
      <c r="U282">
        <v>2.3870799229999999</v>
      </c>
      <c r="V282">
        <v>2.1920901370000001</v>
      </c>
      <c r="X282">
        <v>2.1618790720000001</v>
      </c>
      <c r="Y282">
        <v>1.3175387700000001</v>
      </c>
      <c r="Z282">
        <v>4.0276976070000003</v>
      </c>
      <c r="AA282">
        <v>6.6571100000000003</v>
      </c>
      <c r="AB282">
        <v>9.0311837950000005</v>
      </c>
      <c r="AC282">
        <v>4.5755985529999998</v>
      </c>
      <c r="AD282">
        <v>3.977461693</v>
      </c>
      <c r="AE282">
        <v>1.814360382</v>
      </c>
      <c r="AF282">
        <v>1.5505428969999999</v>
      </c>
      <c r="AG282">
        <v>2.757337588</v>
      </c>
      <c r="AH282">
        <v>1.073161598</v>
      </c>
      <c r="AI282">
        <v>3.823822813</v>
      </c>
      <c r="AJ282">
        <v>2.9250624470000002</v>
      </c>
      <c r="AK282">
        <v>3.3926725879999999</v>
      </c>
      <c r="AL282">
        <v>3.0160792380000001</v>
      </c>
      <c r="AM282">
        <v>3.4053268860000001</v>
      </c>
      <c r="AN282">
        <v>2.6006498979999999</v>
      </c>
      <c r="AO282">
        <v>4.4225528150000004</v>
      </c>
      <c r="AP282">
        <v>3.8345971639999998</v>
      </c>
      <c r="AQ282">
        <v>1.828467195</v>
      </c>
      <c r="AR282">
        <v>2.7923194809999998</v>
      </c>
      <c r="AS282">
        <v>4.754507426</v>
      </c>
      <c r="AT282">
        <v>2.9436015759999998</v>
      </c>
      <c r="AU282">
        <v>6.2557580340000003</v>
      </c>
      <c r="AV282">
        <v>2.1467165829999999</v>
      </c>
      <c r="AW282">
        <v>1.0934649860000001</v>
      </c>
    </row>
    <row r="283" spans="1:49" x14ac:dyDescent="0.2">
      <c r="A283" t="s">
        <v>347</v>
      </c>
      <c r="B283" s="73">
        <v>43009</v>
      </c>
      <c r="C283">
        <v>3.822856646</v>
      </c>
      <c r="D283">
        <v>2.9700613699999998</v>
      </c>
      <c r="E283">
        <v>2.6326983269999999</v>
      </c>
      <c r="F283">
        <v>1.3475889240000001</v>
      </c>
      <c r="G283">
        <v>1.9891394259999999</v>
      </c>
      <c r="H283">
        <v>3.12771636</v>
      </c>
      <c r="I283">
        <v>1.4588950979999999</v>
      </c>
      <c r="J283">
        <v>2.2609342780000001</v>
      </c>
      <c r="K283">
        <v>6.9</v>
      </c>
      <c r="L283">
        <v>5.8793927559999997</v>
      </c>
      <c r="M283">
        <v>3.2277027129999998</v>
      </c>
      <c r="N283">
        <v>2.1368106280000001</v>
      </c>
      <c r="O283">
        <v>2.9945428860000001</v>
      </c>
      <c r="P283">
        <v>2.9402268669999998</v>
      </c>
      <c r="Q283">
        <v>5.5310431619999996</v>
      </c>
      <c r="R283">
        <v>3.2065909910000001</v>
      </c>
      <c r="T283">
        <v>3.0155998240000002</v>
      </c>
      <c r="U283">
        <v>2.8362200500000001</v>
      </c>
      <c r="V283">
        <v>2.3850071939999999</v>
      </c>
      <c r="X283">
        <v>2.1446338370000002</v>
      </c>
      <c r="Y283">
        <v>2.0613423000000002</v>
      </c>
      <c r="Z283">
        <v>4.4476872180000004</v>
      </c>
      <c r="AA283">
        <v>5.9996700000000001</v>
      </c>
      <c r="AB283">
        <v>13.570784836</v>
      </c>
      <c r="AC283">
        <v>2.3681202579999998</v>
      </c>
      <c r="AD283">
        <v>4.2468950699999999</v>
      </c>
      <c r="AE283">
        <v>1.6271757689999999</v>
      </c>
      <c r="AF283">
        <v>2.1352003220000002</v>
      </c>
      <c r="AG283">
        <v>3.7676756810000001</v>
      </c>
      <c r="AH283">
        <v>1.6112045180000001</v>
      </c>
      <c r="AI283">
        <v>3.94529972</v>
      </c>
      <c r="AJ283">
        <v>1.6185220170000001</v>
      </c>
      <c r="AK283">
        <v>2.9939201870000001</v>
      </c>
      <c r="AL283">
        <v>4.0414662039999998</v>
      </c>
      <c r="AM283">
        <v>3.4202940179999999</v>
      </c>
      <c r="AN283">
        <v>2.9411607040000001</v>
      </c>
      <c r="AO283">
        <v>5.3335905170000002</v>
      </c>
      <c r="AP283">
        <v>3.3428961410000002</v>
      </c>
      <c r="AQ283">
        <v>2.4172248299999999</v>
      </c>
      <c r="AR283">
        <v>3.242785676</v>
      </c>
      <c r="AS283">
        <v>4.6724149930000003</v>
      </c>
      <c r="AT283">
        <v>3.6240339619999999</v>
      </c>
      <c r="AU283">
        <v>11.051091386</v>
      </c>
      <c r="AV283">
        <v>2.2665646380000002</v>
      </c>
      <c r="AW283">
        <v>1.2917122889999999</v>
      </c>
    </row>
    <row r="284" spans="1:49" x14ac:dyDescent="0.2">
      <c r="A284" t="s">
        <v>348</v>
      </c>
      <c r="B284" s="73">
        <v>43101</v>
      </c>
      <c r="C284">
        <v>4.2698886810000003</v>
      </c>
      <c r="D284">
        <v>2.3342200950000001</v>
      </c>
      <c r="E284">
        <v>2.3253060630000002</v>
      </c>
      <c r="F284">
        <v>1.638432983</v>
      </c>
      <c r="G284">
        <v>2.6106537240000001</v>
      </c>
      <c r="H284">
        <v>3.0831140669999999</v>
      </c>
      <c r="I284">
        <v>2.2078227020000001</v>
      </c>
      <c r="J284">
        <v>2.8562538580000001</v>
      </c>
      <c r="K284">
        <v>6.8</v>
      </c>
      <c r="L284">
        <v>5.8948496209999997</v>
      </c>
      <c r="M284">
        <v>3.7344002230000002</v>
      </c>
      <c r="N284">
        <v>2.171760752</v>
      </c>
      <c r="O284">
        <v>3.1048629779999999</v>
      </c>
      <c r="P284">
        <v>3.1051708809999998</v>
      </c>
      <c r="Q284">
        <v>5.7887722339999996</v>
      </c>
      <c r="R284">
        <v>3.2396133759999999</v>
      </c>
      <c r="T284">
        <v>3.4097546730000001</v>
      </c>
      <c r="U284">
        <v>3.153068218</v>
      </c>
      <c r="V284">
        <v>2.6751726850000002</v>
      </c>
      <c r="X284">
        <v>1.803513159</v>
      </c>
      <c r="Y284">
        <v>0.48153518499999998</v>
      </c>
      <c r="Z284">
        <v>5.0484879999999999</v>
      </c>
      <c r="AA284">
        <v>6.5320499999999999</v>
      </c>
      <c r="AB284">
        <v>6.9663064610000003</v>
      </c>
      <c r="AC284">
        <v>2.1646903819999999</v>
      </c>
      <c r="AD284">
        <v>4.589956344</v>
      </c>
      <c r="AE284">
        <v>1.8804384789999999</v>
      </c>
      <c r="AF284">
        <v>2.1316675159999998</v>
      </c>
      <c r="AG284">
        <v>2.8724935880000002</v>
      </c>
      <c r="AH284">
        <v>1.4927044979999999</v>
      </c>
      <c r="AI284">
        <v>3.4163334710000002</v>
      </c>
      <c r="AJ284">
        <v>1.8144254470000001</v>
      </c>
      <c r="AK284">
        <v>2.9370418329999999</v>
      </c>
      <c r="AL284">
        <v>2.0814679049999998</v>
      </c>
      <c r="AM284">
        <v>3.8981855360000002</v>
      </c>
      <c r="AN284">
        <v>2.9262827929999999</v>
      </c>
      <c r="AO284">
        <v>4.7928370679999999</v>
      </c>
      <c r="AP284">
        <v>3.2338227869999998</v>
      </c>
      <c r="AQ284">
        <v>1.6004158959999999</v>
      </c>
      <c r="AR284">
        <v>3.7841754910000001</v>
      </c>
      <c r="AS284">
        <v>6.2160542740000002</v>
      </c>
      <c r="AT284">
        <v>2.9189116020000001</v>
      </c>
      <c r="AU284">
        <v>7.2337548180000004</v>
      </c>
      <c r="AV284">
        <v>2.7178855820000001</v>
      </c>
      <c r="AW284">
        <v>1.603878997</v>
      </c>
    </row>
    <row r="285" spans="1:49" x14ac:dyDescent="0.2">
      <c r="A285" t="s">
        <v>349</v>
      </c>
      <c r="B285" s="73">
        <v>43191</v>
      </c>
      <c r="C285">
        <v>3.0300874169999998</v>
      </c>
      <c r="D285">
        <v>2.9722940040000001</v>
      </c>
      <c r="E285">
        <v>2.7196723299999999</v>
      </c>
      <c r="F285">
        <v>1.382570439</v>
      </c>
      <c r="G285">
        <v>2.0243724670000001</v>
      </c>
      <c r="H285">
        <v>2.8672536530000001</v>
      </c>
      <c r="I285">
        <v>3.126877967</v>
      </c>
      <c r="J285">
        <v>4.9155945240000003</v>
      </c>
      <c r="K285">
        <v>6.9</v>
      </c>
      <c r="L285">
        <v>4.8044975550000002</v>
      </c>
      <c r="M285">
        <v>2.0421842520000002</v>
      </c>
      <c r="N285">
        <v>2.0272795459999999</v>
      </c>
      <c r="O285">
        <v>2.4500315549999998</v>
      </c>
      <c r="P285">
        <v>2.679684843</v>
      </c>
      <c r="Q285">
        <v>4.8439508990000002</v>
      </c>
      <c r="R285">
        <v>2.638182252</v>
      </c>
      <c r="T285">
        <v>2.593811004</v>
      </c>
      <c r="U285">
        <v>2.3443626659999999</v>
      </c>
      <c r="V285">
        <v>2.4018249530000002</v>
      </c>
      <c r="X285">
        <v>1.3856480920000001</v>
      </c>
      <c r="Y285">
        <v>2.1431929260000002</v>
      </c>
      <c r="Z285">
        <v>5.421755288</v>
      </c>
      <c r="AA285">
        <v>7.9676499999999999</v>
      </c>
      <c r="AB285">
        <v>12.839838404</v>
      </c>
      <c r="AC285">
        <v>7.0056174139999996</v>
      </c>
      <c r="AD285">
        <v>5.6433009609999996</v>
      </c>
      <c r="AE285">
        <v>1.3065245569999999</v>
      </c>
      <c r="AF285">
        <v>1.433536889</v>
      </c>
      <c r="AG285">
        <v>3.0620915960000001</v>
      </c>
      <c r="AH285">
        <v>3.4470822339999998</v>
      </c>
      <c r="AI285">
        <v>3.329100929</v>
      </c>
      <c r="AJ285">
        <v>2.4526519379999998</v>
      </c>
      <c r="AK285">
        <v>2.8157852760000002</v>
      </c>
      <c r="AL285">
        <v>1.8634494020000001</v>
      </c>
      <c r="AM285">
        <v>3.5662470320000002</v>
      </c>
      <c r="AN285">
        <v>2.8538204380000001</v>
      </c>
      <c r="AO285">
        <v>5.124233985</v>
      </c>
      <c r="AP285">
        <v>2.7813323579999998</v>
      </c>
      <c r="AQ285">
        <v>2.770876817</v>
      </c>
      <c r="AR285">
        <v>3.7083061530000001</v>
      </c>
      <c r="AS285">
        <v>4.5710983179999998</v>
      </c>
      <c r="AT285">
        <v>2.7320450639999998</v>
      </c>
      <c r="AU285">
        <v>7.3634451470000002</v>
      </c>
      <c r="AV285">
        <v>3.0153118829999999</v>
      </c>
      <c r="AW285">
        <v>1.570386415</v>
      </c>
    </row>
    <row r="286" spans="1:49" x14ac:dyDescent="0.2">
      <c r="A286" t="s">
        <v>350</v>
      </c>
      <c r="B286" s="73">
        <v>43282</v>
      </c>
      <c r="C286">
        <v>-2.7322102789999998</v>
      </c>
      <c r="D286">
        <v>3.205152467</v>
      </c>
      <c r="E286">
        <v>2.52149125</v>
      </c>
      <c r="F286">
        <v>1.601486628</v>
      </c>
      <c r="G286">
        <v>1.4450366640000001</v>
      </c>
      <c r="H286">
        <v>2.6249711279999999</v>
      </c>
      <c r="I286">
        <v>3.7729382889999998</v>
      </c>
      <c r="J286">
        <v>4.8290953219999997</v>
      </c>
      <c r="K286">
        <v>6.9</v>
      </c>
      <c r="L286">
        <v>2.6817571459999998</v>
      </c>
      <c r="M286">
        <v>1.816096978</v>
      </c>
      <c r="N286">
        <v>1.4065674850000001</v>
      </c>
      <c r="O286">
        <v>2.134648248</v>
      </c>
      <c r="P286">
        <v>2.1843443640000002</v>
      </c>
      <c r="Q286">
        <v>3.6879594249999998</v>
      </c>
      <c r="R286">
        <v>2.3451971939999998</v>
      </c>
      <c r="T286">
        <v>1.2600392650000001</v>
      </c>
      <c r="U286">
        <v>1.880804484</v>
      </c>
      <c r="V286">
        <v>2.4551772459999999</v>
      </c>
      <c r="X286">
        <v>1.6240757889999999</v>
      </c>
      <c r="Y286">
        <v>1.6799924829999999</v>
      </c>
      <c r="Z286">
        <v>5.1994255379999998</v>
      </c>
      <c r="AA286">
        <v>7.1873199999999997</v>
      </c>
      <c r="AB286">
        <v>12.502919683</v>
      </c>
      <c r="AC286">
        <v>5.2994663409999996</v>
      </c>
      <c r="AD286">
        <v>4.4440611759999999</v>
      </c>
      <c r="AE286">
        <v>0.90731631700000004</v>
      </c>
      <c r="AF286">
        <v>1.3734497320000001</v>
      </c>
      <c r="AG286">
        <v>3.0235219390000001</v>
      </c>
      <c r="AH286">
        <v>1.599440829</v>
      </c>
      <c r="AI286">
        <v>3.8362606459999999</v>
      </c>
      <c r="AJ286">
        <v>2.128813981</v>
      </c>
      <c r="AK286">
        <v>2.5578644650000002</v>
      </c>
      <c r="AL286">
        <v>1.1948469509999999</v>
      </c>
      <c r="AM286">
        <v>3.6266933849999998</v>
      </c>
      <c r="AN286">
        <v>2.7603890830000002</v>
      </c>
      <c r="AO286">
        <v>5.5709770340000002</v>
      </c>
      <c r="AP286">
        <v>3.0618326900000001</v>
      </c>
      <c r="AQ286">
        <v>2.6356292149999998</v>
      </c>
      <c r="AR286">
        <v>3.9169365799999998</v>
      </c>
      <c r="AS286">
        <v>4.6009778890000002</v>
      </c>
      <c r="AT286">
        <v>2.5237913999999999</v>
      </c>
      <c r="AU286">
        <v>5.5035136979999999</v>
      </c>
      <c r="AV286">
        <v>3.2961522830000001</v>
      </c>
      <c r="AW286">
        <v>0.88400945399999997</v>
      </c>
    </row>
    <row r="287" spans="1:49" x14ac:dyDescent="0.2">
      <c r="A287" t="s">
        <v>351</v>
      </c>
      <c r="B287" s="73">
        <v>43374</v>
      </c>
      <c r="C287">
        <v>-4.1440371479999998</v>
      </c>
      <c r="D287">
        <v>2.63075145</v>
      </c>
      <c r="E287">
        <v>2.1296774470000002</v>
      </c>
      <c r="F287">
        <v>2.0585129740000001</v>
      </c>
      <c r="G287">
        <v>2.0253589289999998</v>
      </c>
      <c r="H287">
        <v>2.8991055860000001</v>
      </c>
      <c r="I287">
        <v>2.8842266090000002</v>
      </c>
      <c r="J287">
        <v>2.606696721</v>
      </c>
      <c r="K287">
        <v>6.7</v>
      </c>
      <c r="L287">
        <v>2.7294056680000001</v>
      </c>
      <c r="M287">
        <v>0.50217442300000004</v>
      </c>
      <c r="N287">
        <v>2.392719949</v>
      </c>
      <c r="O287">
        <v>1.484471477</v>
      </c>
      <c r="P287">
        <v>2.123714933</v>
      </c>
      <c r="Q287">
        <v>4.0191259519999996</v>
      </c>
      <c r="R287">
        <v>1.7431141349999999</v>
      </c>
      <c r="T287">
        <v>0.65940315999999999</v>
      </c>
      <c r="U287">
        <v>1.631788408</v>
      </c>
      <c r="V287">
        <v>1.973240659</v>
      </c>
      <c r="X287">
        <v>1.8299276040000001</v>
      </c>
      <c r="Y287">
        <v>0.38422110399999998</v>
      </c>
      <c r="Z287">
        <v>5.6708195620000001</v>
      </c>
      <c r="AA287">
        <v>6.9183000000000003</v>
      </c>
      <c r="AB287">
        <v>7.9937736299999997</v>
      </c>
      <c r="AC287">
        <v>4.6016573200000002</v>
      </c>
      <c r="AD287">
        <v>3.7625963570000001</v>
      </c>
      <c r="AE287">
        <v>0.59714778700000004</v>
      </c>
      <c r="AF287">
        <v>-0.16496644599999999</v>
      </c>
      <c r="AG287">
        <v>2.2176325270000001</v>
      </c>
      <c r="AH287">
        <v>1.4765715269999999</v>
      </c>
      <c r="AI287">
        <v>4.6789429560000002</v>
      </c>
      <c r="AJ287">
        <v>2.9262190010000002</v>
      </c>
      <c r="AK287">
        <v>2.109475019</v>
      </c>
      <c r="AL287">
        <v>1.139360105</v>
      </c>
      <c r="AM287">
        <v>3.0773159739999998</v>
      </c>
      <c r="AN287">
        <v>2.2306441860000001</v>
      </c>
      <c r="AO287">
        <v>5.846150443</v>
      </c>
      <c r="AP287">
        <v>2.8885880319999999</v>
      </c>
      <c r="AQ287">
        <v>2.1890012080000001</v>
      </c>
      <c r="AR287">
        <v>4.0917749780000001</v>
      </c>
      <c r="AS287">
        <v>4.9675102459999998</v>
      </c>
      <c r="AT287">
        <v>0.81741701</v>
      </c>
      <c r="AU287">
        <v>2.2750231799999998</v>
      </c>
      <c r="AV287">
        <v>3.0528859119999998</v>
      </c>
      <c r="AW287">
        <v>1.8027347499999999</v>
      </c>
    </row>
    <row r="288" spans="1:49" x14ac:dyDescent="0.2">
      <c r="A288" t="s">
        <v>352</v>
      </c>
      <c r="B288" s="73">
        <v>43466</v>
      </c>
      <c r="C288">
        <v>-6.4624225810000002</v>
      </c>
      <c r="D288">
        <v>2.306890197</v>
      </c>
      <c r="E288">
        <v>2.4350708449999998</v>
      </c>
      <c r="F288">
        <v>2.22939088</v>
      </c>
      <c r="G288">
        <v>1.2220567520000001</v>
      </c>
      <c r="H288">
        <v>2.717788724</v>
      </c>
      <c r="I288">
        <v>1.993577852</v>
      </c>
      <c r="J288">
        <v>2.7686231330000002</v>
      </c>
      <c r="K288">
        <v>6.5</v>
      </c>
      <c r="L288">
        <v>2.558305925</v>
      </c>
      <c r="M288">
        <v>8.4593111999999998E-2</v>
      </c>
      <c r="N288">
        <v>2.1329458849999998</v>
      </c>
      <c r="O288">
        <v>1.2069460919999999</v>
      </c>
      <c r="P288">
        <v>2.1738904570000002</v>
      </c>
      <c r="Q288">
        <v>3.9663530279999999</v>
      </c>
      <c r="R288">
        <v>1.5046271739999999</v>
      </c>
      <c r="T288">
        <v>8.2962648999999999E-2</v>
      </c>
      <c r="U288">
        <v>1.515601574</v>
      </c>
      <c r="V288">
        <v>1.5113338030000001</v>
      </c>
      <c r="X288">
        <v>1.761540578</v>
      </c>
      <c r="Y288">
        <v>1.9020132830000001</v>
      </c>
      <c r="Z288">
        <v>5.29456989</v>
      </c>
      <c r="AA288">
        <v>6.5923400000000001</v>
      </c>
      <c r="AB288">
        <v>3.9197430529999999</v>
      </c>
      <c r="AC288">
        <v>2.7903948609999998</v>
      </c>
      <c r="AD288">
        <v>3.0533708580000001</v>
      </c>
      <c r="AE288">
        <v>0.40200277499999998</v>
      </c>
      <c r="AF288">
        <v>-0.33306957100000001</v>
      </c>
      <c r="AG288">
        <v>3.3324700969999999</v>
      </c>
      <c r="AH288">
        <v>1.6170953100000001</v>
      </c>
      <c r="AI288">
        <v>4.9321462440000001</v>
      </c>
      <c r="AJ288">
        <v>1.225663417</v>
      </c>
      <c r="AK288">
        <v>1.8071992530000001</v>
      </c>
      <c r="AL288">
        <v>1.7531536780000001</v>
      </c>
      <c r="AM288">
        <v>3.513846113</v>
      </c>
      <c r="AN288">
        <v>1.646493024</v>
      </c>
      <c r="AO288">
        <v>4.9377182209999999</v>
      </c>
      <c r="AP288">
        <v>2.6677071969999999</v>
      </c>
      <c r="AQ288">
        <v>2.8459098599999999</v>
      </c>
      <c r="AR288">
        <v>3.463890401</v>
      </c>
      <c r="AS288">
        <v>4.0157650929999997</v>
      </c>
      <c r="AT288">
        <v>2.0640233779999999</v>
      </c>
      <c r="AU288">
        <v>-2.61596129</v>
      </c>
      <c r="AV288">
        <v>2.3206170949999998</v>
      </c>
      <c r="AW288">
        <v>1.692026805</v>
      </c>
    </row>
    <row r="289" spans="1:49" x14ac:dyDescent="0.2">
      <c r="A289" t="s">
        <v>353</v>
      </c>
      <c r="B289" s="73">
        <v>43556</v>
      </c>
      <c r="C289">
        <v>-6.0072999429999996</v>
      </c>
      <c r="D289">
        <v>1.8555476310000001</v>
      </c>
      <c r="E289">
        <v>2.4107645880000002</v>
      </c>
      <c r="F289">
        <v>2.0866610649999999</v>
      </c>
      <c r="G289">
        <v>1.17939083</v>
      </c>
      <c r="H289">
        <v>1.918859114</v>
      </c>
      <c r="I289">
        <v>1.193403985</v>
      </c>
      <c r="J289">
        <v>1.420709971</v>
      </c>
      <c r="K289">
        <v>6.3</v>
      </c>
      <c r="L289">
        <v>2.967140332</v>
      </c>
      <c r="M289">
        <v>1.578883507</v>
      </c>
      <c r="N289">
        <v>2.3140262800000002</v>
      </c>
      <c r="O289">
        <v>1.868389997</v>
      </c>
      <c r="P289">
        <v>2.401358009</v>
      </c>
      <c r="Q289">
        <v>4.5600434669999999</v>
      </c>
      <c r="R289">
        <v>2.1563413200000001</v>
      </c>
      <c r="T289">
        <v>0.62897514099999996</v>
      </c>
      <c r="U289">
        <v>2.1345996349999998</v>
      </c>
      <c r="V289">
        <v>1.6799907590000001</v>
      </c>
      <c r="X289">
        <v>2.1729566610000002</v>
      </c>
      <c r="Y289">
        <v>1.394444623</v>
      </c>
      <c r="Z289">
        <v>5.2190367750000002</v>
      </c>
      <c r="AA289">
        <v>5.4862200000000003</v>
      </c>
      <c r="AB289">
        <v>5.2387535160000001</v>
      </c>
      <c r="AC289">
        <v>3.9397183660000001</v>
      </c>
      <c r="AD289">
        <v>3.3173171529999999</v>
      </c>
      <c r="AE289">
        <v>0.46069120699999999</v>
      </c>
      <c r="AF289">
        <v>-5.761898E-2</v>
      </c>
      <c r="AG289">
        <v>1.955154074</v>
      </c>
      <c r="AH289">
        <v>2.6593446080000001</v>
      </c>
      <c r="AI289">
        <v>4.4828405199999999</v>
      </c>
      <c r="AJ289">
        <v>0.21636750299999999</v>
      </c>
      <c r="AK289">
        <v>2.0221611500000001</v>
      </c>
      <c r="AL289">
        <v>0.71306742499999998</v>
      </c>
      <c r="AM289">
        <v>3.2004137940000001</v>
      </c>
      <c r="AN289">
        <v>1.6902921710000001</v>
      </c>
      <c r="AO289">
        <v>5.5463438600000003</v>
      </c>
      <c r="AP289">
        <v>2.824818654</v>
      </c>
      <c r="AQ289">
        <v>1.4313071719999999</v>
      </c>
      <c r="AR289">
        <v>3.603219894</v>
      </c>
      <c r="AS289">
        <v>4.3539414159999996</v>
      </c>
      <c r="AT289">
        <v>2.3525675029999999</v>
      </c>
      <c r="AU289">
        <v>-2.3334229209999999</v>
      </c>
      <c r="AV289">
        <v>2.1530015140000001</v>
      </c>
      <c r="AW289">
        <v>0.25890409599999997</v>
      </c>
    </row>
    <row r="290" spans="1:49" x14ac:dyDescent="0.2">
      <c r="A290" t="s">
        <v>354</v>
      </c>
      <c r="B290" s="73">
        <v>43647</v>
      </c>
      <c r="C290">
        <v>-0.86099997800000005</v>
      </c>
      <c r="D290">
        <v>1.6718926039999999</v>
      </c>
      <c r="E290">
        <v>1.5154066960000001</v>
      </c>
      <c r="F290">
        <v>2.0743913310000002</v>
      </c>
      <c r="G290">
        <v>1.596902051</v>
      </c>
      <c r="H290">
        <v>2.1268048070000001</v>
      </c>
      <c r="I290">
        <v>0.65844172000000001</v>
      </c>
      <c r="J290">
        <v>1.7654385079999999</v>
      </c>
      <c r="K290">
        <v>6</v>
      </c>
      <c r="L290">
        <v>3.0195256069999998</v>
      </c>
      <c r="M290">
        <v>0.51867434899999998</v>
      </c>
      <c r="N290">
        <v>2.3986288720000002</v>
      </c>
      <c r="O290">
        <v>1.557373178</v>
      </c>
      <c r="P290">
        <v>2.1767540780000001</v>
      </c>
      <c r="Q290">
        <v>4.1391874770000001</v>
      </c>
      <c r="R290">
        <v>1.820472222</v>
      </c>
      <c r="T290">
        <v>1.477016356</v>
      </c>
      <c r="U290">
        <v>2.3253329969999998</v>
      </c>
      <c r="V290">
        <v>1.5592980409999999</v>
      </c>
      <c r="X290">
        <v>1.752346376</v>
      </c>
      <c r="Y290">
        <v>2.0203362939999998</v>
      </c>
      <c r="Z290">
        <v>4.6208480889999999</v>
      </c>
      <c r="AA290">
        <v>5.2645200000000001</v>
      </c>
      <c r="AB290">
        <v>4.5608757259999999</v>
      </c>
      <c r="AC290">
        <v>1.5595753809999999</v>
      </c>
      <c r="AD290">
        <v>3.4020185289999998</v>
      </c>
      <c r="AE290">
        <v>0.63787265599999998</v>
      </c>
      <c r="AF290">
        <v>4.7251063000000003E-2</v>
      </c>
      <c r="AG290">
        <v>2.3729841270000001</v>
      </c>
      <c r="AH290">
        <v>4.8085304539999996</v>
      </c>
      <c r="AI290">
        <v>3.0320543610000001</v>
      </c>
      <c r="AJ290">
        <v>-0.136328739</v>
      </c>
      <c r="AK290">
        <v>1.810296957</v>
      </c>
      <c r="AL290">
        <v>0.57263013299999999</v>
      </c>
      <c r="AM290">
        <v>2.61618284</v>
      </c>
      <c r="AN290">
        <v>1.6372199780000001</v>
      </c>
      <c r="AO290">
        <v>4.9040559420000003</v>
      </c>
      <c r="AP290">
        <v>2.6055713659999999</v>
      </c>
      <c r="AQ290">
        <v>3.1498777059999998</v>
      </c>
      <c r="AR290">
        <v>2.7907883189999998</v>
      </c>
      <c r="AS290">
        <v>2.7752554329999999</v>
      </c>
      <c r="AT290">
        <v>1.7518975000000001</v>
      </c>
      <c r="AU290">
        <v>-0.51483434100000003</v>
      </c>
      <c r="AV290">
        <v>2.1114788359999999</v>
      </c>
      <c r="AW290">
        <v>0.88356024200000005</v>
      </c>
    </row>
    <row r="291" spans="1:49" x14ac:dyDescent="0.2">
      <c r="A291" t="s">
        <v>355</v>
      </c>
      <c r="B291" s="73">
        <v>43739</v>
      </c>
      <c r="C291">
        <v>-0.36717946099999998</v>
      </c>
      <c r="D291">
        <v>2.069036884</v>
      </c>
      <c r="E291">
        <v>1.665338703</v>
      </c>
      <c r="F291">
        <v>2.3795572319999998</v>
      </c>
      <c r="G291">
        <v>0.69759932199999997</v>
      </c>
      <c r="H291">
        <v>1.7581388549999999</v>
      </c>
      <c r="I291">
        <v>1.4311818670000001</v>
      </c>
      <c r="J291">
        <v>2.736598699</v>
      </c>
      <c r="K291">
        <v>5.9</v>
      </c>
      <c r="L291">
        <v>2.9550639950000002</v>
      </c>
      <c r="M291">
        <v>1.359957007</v>
      </c>
      <c r="N291">
        <v>2.0915228940000001</v>
      </c>
      <c r="O291">
        <v>1.7475186140000001</v>
      </c>
      <c r="P291">
        <v>2.0358717460000002</v>
      </c>
      <c r="Q291">
        <v>4.2070767990000002</v>
      </c>
      <c r="R291">
        <v>1.9743305950000001</v>
      </c>
      <c r="T291">
        <v>1.592682841</v>
      </c>
      <c r="U291">
        <v>1.994906769</v>
      </c>
      <c r="V291">
        <v>1.794061978</v>
      </c>
      <c r="X291">
        <v>1.5776679410000001</v>
      </c>
      <c r="Y291">
        <v>2.2728421839999999</v>
      </c>
      <c r="Z291">
        <v>4.3948108880000003</v>
      </c>
      <c r="AA291">
        <v>4.7420600000000004</v>
      </c>
      <c r="AB291">
        <v>5.3960046090000002</v>
      </c>
      <c r="AC291">
        <v>0.97821943300000003</v>
      </c>
      <c r="AD291">
        <v>3.616733048</v>
      </c>
      <c r="AE291">
        <v>0.648966975</v>
      </c>
      <c r="AF291">
        <v>0.73296206600000002</v>
      </c>
      <c r="AG291">
        <v>2.0850006209999998</v>
      </c>
      <c r="AH291">
        <v>3.1423346670000001</v>
      </c>
      <c r="AI291">
        <v>1.4277427709999999</v>
      </c>
      <c r="AJ291">
        <v>-1.4643523E-2</v>
      </c>
      <c r="AK291">
        <v>1.8889308039999999</v>
      </c>
      <c r="AL291">
        <v>0.16550361299999999</v>
      </c>
      <c r="AM291">
        <v>3.2245333619999998</v>
      </c>
      <c r="AN291">
        <v>1.8783268559999999</v>
      </c>
      <c r="AO291">
        <v>4.5636647720000001</v>
      </c>
      <c r="AP291">
        <v>2.5409247979999998</v>
      </c>
      <c r="AQ291">
        <v>1.894762912</v>
      </c>
      <c r="AR291">
        <v>2.0351921910000002</v>
      </c>
      <c r="AS291">
        <v>2.897479916</v>
      </c>
      <c r="AT291">
        <v>2.612703325</v>
      </c>
      <c r="AU291">
        <v>1.1442792260000001</v>
      </c>
      <c r="AV291">
        <v>2.3183259980000002</v>
      </c>
      <c r="AW291">
        <v>-0.22965200699999999</v>
      </c>
    </row>
    <row r="292" spans="1:49" x14ac:dyDescent="0.2">
      <c r="A292" t="s">
        <v>356</v>
      </c>
      <c r="B292" s="73">
        <v>43831</v>
      </c>
      <c r="C292">
        <v>-0.64780648399999996</v>
      </c>
      <c r="D292">
        <v>2.3284276479999999</v>
      </c>
      <c r="E292">
        <v>0.29139930200000003</v>
      </c>
      <c r="F292">
        <v>2.0583594779999999</v>
      </c>
      <c r="G292">
        <v>1.400804092</v>
      </c>
      <c r="H292">
        <v>1.717385462</v>
      </c>
      <c r="I292">
        <v>1.6861324369999999</v>
      </c>
      <c r="J292">
        <v>-2.3808233579999998</v>
      </c>
      <c r="K292">
        <v>5.8</v>
      </c>
      <c r="L292">
        <v>2.8846397640000001</v>
      </c>
      <c r="M292">
        <v>0.89453405200000002</v>
      </c>
      <c r="N292">
        <v>1.6606373329999999</v>
      </c>
      <c r="O292">
        <v>1.1533989920000001</v>
      </c>
      <c r="P292">
        <v>1.7334300490000001</v>
      </c>
      <c r="Q292">
        <v>3.1762967089999998</v>
      </c>
      <c r="R292">
        <v>1.388864428</v>
      </c>
      <c r="T292">
        <v>1.1816786889999999</v>
      </c>
      <c r="U292">
        <v>0.91192093799999996</v>
      </c>
      <c r="V292">
        <v>1.3909282670000001</v>
      </c>
      <c r="X292">
        <v>1.1927699620000001</v>
      </c>
      <c r="Y292">
        <v>1.429794703</v>
      </c>
      <c r="Z292">
        <v>3.9954412129999999</v>
      </c>
      <c r="AA292">
        <v>3.5724800000000001</v>
      </c>
      <c r="AB292">
        <v>5.2800290250000002</v>
      </c>
      <c r="AC292">
        <v>3.271694407</v>
      </c>
      <c r="AD292">
        <v>4.0008492579999997</v>
      </c>
      <c r="AE292">
        <v>-0.114848464</v>
      </c>
      <c r="AF292">
        <v>-1.692733636</v>
      </c>
      <c r="AG292">
        <v>2.557298587</v>
      </c>
      <c r="AH292">
        <v>2.5617160330000002</v>
      </c>
      <c r="AI292">
        <v>0.84769701099999994</v>
      </c>
      <c r="AJ292">
        <v>-0.80265828900000002</v>
      </c>
      <c r="AK292">
        <v>1.9101793060000001</v>
      </c>
      <c r="AL292">
        <v>1.505194098</v>
      </c>
      <c r="AM292">
        <v>2.316258822</v>
      </c>
      <c r="AN292">
        <v>1.686405656</v>
      </c>
      <c r="AO292">
        <v>4.0349637530000004</v>
      </c>
      <c r="AP292">
        <v>2.7606841809999998</v>
      </c>
      <c r="AQ292">
        <v>0.76465798799999996</v>
      </c>
      <c r="AR292">
        <v>2.0179981950000001</v>
      </c>
      <c r="AS292">
        <v>2.952396899</v>
      </c>
      <c r="AT292">
        <v>1.3834936200000001</v>
      </c>
      <c r="AU292">
        <v>5.6839073600000001</v>
      </c>
      <c r="AV292">
        <v>2.5694235349999999</v>
      </c>
      <c r="AW292">
        <v>-0.44925669400000001</v>
      </c>
    </row>
    <row r="293" spans="1:49" x14ac:dyDescent="0.2">
      <c r="A293" t="s">
        <v>357</v>
      </c>
      <c r="B293" s="73">
        <v>43922</v>
      </c>
      <c r="C293">
        <v>-4.7973049879999996</v>
      </c>
      <c r="D293">
        <v>1.6038129910000001</v>
      </c>
      <c r="E293">
        <v>-3.0350128129999998</v>
      </c>
      <c r="F293">
        <v>-1.399151646</v>
      </c>
      <c r="G293">
        <v>-1.3891829419999999</v>
      </c>
      <c r="H293">
        <v>-0.567093183</v>
      </c>
      <c r="I293">
        <v>-0.165913384</v>
      </c>
      <c r="J293">
        <v>-0.113376133</v>
      </c>
      <c r="K293">
        <v>-6.8</v>
      </c>
      <c r="L293">
        <v>-1.462598866</v>
      </c>
      <c r="M293">
        <v>-1.919182065</v>
      </c>
      <c r="N293">
        <v>0.221352097</v>
      </c>
      <c r="O293">
        <v>-3.0542314570000002</v>
      </c>
      <c r="P293">
        <v>-4.3265407890000001</v>
      </c>
      <c r="Q293">
        <v>0.31862204999999999</v>
      </c>
      <c r="R293">
        <v>-2.4961606129999998</v>
      </c>
      <c r="T293">
        <v>7.0032915000000001E-2</v>
      </c>
      <c r="U293">
        <v>-5.423366004</v>
      </c>
      <c r="V293">
        <v>-1.103725608</v>
      </c>
      <c r="X293">
        <v>-2.104502761</v>
      </c>
      <c r="Y293">
        <v>-1.0319819429999999</v>
      </c>
      <c r="Z293">
        <v>1.7506738829999999</v>
      </c>
      <c r="AA293">
        <v>2.6487599999999998</v>
      </c>
      <c r="AB293">
        <v>6.7979673869999999</v>
      </c>
      <c r="AC293">
        <v>-3.3744086379999998</v>
      </c>
      <c r="AD293">
        <v>1.276653933</v>
      </c>
      <c r="AE293">
        <v>-5.8669276300000002</v>
      </c>
      <c r="AF293">
        <v>-1.7803698139999999</v>
      </c>
      <c r="AG293">
        <v>1.4661467210000001</v>
      </c>
      <c r="AH293">
        <v>3.4027177999999998E-2</v>
      </c>
      <c r="AI293">
        <v>-1.336698672</v>
      </c>
      <c r="AJ293">
        <v>-1.6856879339999999</v>
      </c>
      <c r="AK293">
        <v>-0.37328283000000001</v>
      </c>
      <c r="AL293">
        <v>0.463272933</v>
      </c>
      <c r="AM293">
        <v>0.62261742200000003</v>
      </c>
      <c r="AN293">
        <v>-0.67411611100000002</v>
      </c>
      <c r="AO293">
        <v>2.2216601890000001</v>
      </c>
      <c r="AP293">
        <v>-2.6340061010000002</v>
      </c>
      <c r="AQ293">
        <v>0.60514174399999998</v>
      </c>
      <c r="AR293">
        <v>-2.8128229330000001</v>
      </c>
      <c r="AS293">
        <v>-2.3563657920000001</v>
      </c>
      <c r="AT293">
        <v>2.6420368E-2</v>
      </c>
      <c r="AU293">
        <v>4.2929284550000002</v>
      </c>
      <c r="AV293">
        <v>0.63078516399999995</v>
      </c>
      <c r="AW293">
        <v>0.66933736300000002</v>
      </c>
    </row>
    <row r="294" spans="1:49" x14ac:dyDescent="0.2">
      <c r="A294" t="s">
        <v>358</v>
      </c>
      <c r="B294" s="73">
        <v>44013</v>
      </c>
      <c r="C294">
        <v>-19.717883762</v>
      </c>
      <c r="D294">
        <v>-5.954186848</v>
      </c>
      <c r="E294">
        <v>-13.660914143999999</v>
      </c>
      <c r="F294">
        <v>-13.262200612000001</v>
      </c>
      <c r="G294">
        <v>-10.64085773</v>
      </c>
      <c r="H294">
        <v>-12.414749165</v>
      </c>
      <c r="I294">
        <v>-6.6813179160000002</v>
      </c>
      <c r="J294">
        <v>-13.667061181999999</v>
      </c>
      <c r="K294">
        <v>3.2</v>
      </c>
      <c r="L294">
        <v>-10.942126828999999</v>
      </c>
      <c r="M294">
        <v>-11.286579908</v>
      </c>
      <c r="N294">
        <v>-6.6165150280000002</v>
      </c>
      <c r="O294">
        <v>-14.538802132000001</v>
      </c>
      <c r="P294">
        <v>-21.501874910000002</v>
      </c>
      <c r="Q294">
        <v>-6.0442317169999997</v>
      </c>
      <c r="R294">
        <v>-13.724992265999999</v>
      </c>
      <c r="T294">
        <v>-7.0795845350000004</v>
      </c>
      <c r="U294">
        <v>-18.609605720000001</v>
      </c>
      <c r="V294">
        <v>-11.841180481</v>
      </c>
      <c r="X294">
        <v>-21.249193732999998</v>
      </c>
      <c r="Y294">
        <v>-15.684314666000001</v>
      </c>
      <c r="Z294">
        <v>-13.262319901</v>
      </c>
      <c r="AA294">
        <v>-24.1861</v>
      </c>
      <c r="AB294">
        <v>1.0125173649999999</v>
      </c>
      <c r="AC294">
        <v>-10.452892330999999</v>
      </c>
      <c r="AD294">
        <v>-8.3100707679999992</v>
      </c>
      <c r="AE294">
        <v>-18.130104282000001</v>
      </c>
      <c r="AF294">
        <v>-10.075101245000001</v>
      </c>
      <c r="AG294">
        <v>-2.7480632460000001</v>
      </c>
      <c r="AH294">
        <v>-7.7348241089999998</v>
      </c>
      <c r="AI294">
        <v>-8.4776081940000001</v>
      </c>
      <c r="AJ294">
        <v>-18.901418013000001</v>
      </c>
      <c r="AK294">
        <v>-9.0970243909999997</v>
      </c>
      <c r="AL294">
        <v>-4.3718339479999999</v>
      </c>
      <c r="AM294">
        <v>-10.205358252</v>
      </c>
      <c r="AN294">
        <v>-11.576798398999999</v>
      </c>
      <c r="AO294">
        <v>-7.8260079080000002</v>
      </c>
      <c r="AP294">
        <v>-17.945345508999999</v>
      </c>
      <c r="AQ294">
        <v>-6.0322870870000003</v>
      </c>
      <c r="AR294">
        <v>-10.142446709</v>
      </c>
      <c r="AS294">
        <v>-11.321084624999999</v>
      </c>
      <c r="AT294">
        <v>-8.2894206639999997</v>
      </c>
      <c r="AU294">
        <v>-9.1025785149999994</v>
      </c>
      <c r="AV294">
        <v>-9.0837374240000006</v>
      </c>
      <c r="AW294">
        <v>-17.245082083</v>
      </c>
    </row>
    <row r="295" spans="1:49" x14ac:dyDescent="0.2">
      <c r="A295" t="s">
        <v>359</v>
      </c>
      <c r="B295" s="73">
        <v>44105</v>
      </c>
      <c r="C295">
        <v>-10.298534308000001</v>
      </c>
      <c r="D295">
        <v>-3.516455117</v>
      </c>
      <c r="E295">
        <v>-4.5233138049999999</v>
      </c>
      <c r="F295">
        <v>-3.6155999319999998</v>
      </c>
      <c r="G295">
        <v>-3.6860193620000001</v>
      </c>
      <c r="H295">
        <v>-4.8569047669999996</v>
      </c>
      <c r="I295">
        <v>-1.3240015549999999</v>
      </c>
      <c r="J295">
        <v>-9.7611695340000004</v>
      </c>
      <c r="K295">
        <v>4.9000000000000004</v>
      </c>
      <c r="L295">
        <v>-5.4469678869999996</v>
      </c>
      <c r="M295">
        <v>-3.6600779540000001</v>
      </c>
      <c r="N295">
        <v>-1.323282469</v>
      </c>
      <c r="O295">
        <v>-4.0509567850000003</v>
      </c>
      <c r="P295">
        <v>-8.6615832249999993</v>
      </c>
      <c r="Q295">
        <v>-3.2961793730000002</v>
      </c>
      <c r="R295">
        <v>-3.9189056359999999</v>
      </c>
      <c r="T295">
        <v>-2.6018492769999999</v>
      </c>
      <c r="U295">
        <v>-3.5950590600000001</v>
      </c>
      <c r="V295">
        <v>-3.9687146329999998</v>
      </c>
      <c r="X295">
        <v>-7.8337419209999997</v>
      </c>
      <c r="Y295">
        <v>-11.001424706</v>
      </c>
      <c r="Z295">
        <v>-4.5047437800000001</v>
      </c>
      <c r="AA295">
        <v>-6.7870799999999996</v>
      </c>
      <c r="AB295">
        <v>11.039220588999999</v>
      </c>
      <c r="AC295">
        <v>-6.8015484979999998</v>
      </c>
      <c r="AD295">
        <v>-1.3667730259999999</v>
      </c>
      <c r="AE295">
        <v>-5.4206525479999996</v>
      </c>
      <c r="AF295">
        <v>-5.371766536</v>
      </c>
      <c r="AG295">
        <v>-0.97709461500000006</v>
      </c>
      <c r="AH295">
        <v>-2.3238806000000001E-2</v>
      </c>
      <c r="AI295">
        <v>-2.8232056399999998</v>
      </c>
      <c r="AJ295">
        <v>-8.3869799650000001</v>
      </c>
      <c r="AK295">
        <v>-2.6290247980000001</v>
      </c>
      <c r="AL295">
        <v>-0.27844755399999999</v>
      </c>
      <c r="AM295">
        <v>1.202931593</v>
      </c>
      <c r="AN295">
        <v>-3.7004547749999999</v>
      </c>
      <c r="AO295">
        <v>-1.9264516730000001</v>
      </c>
      <c r="AP295">
        <v>-6.3388432520000002</v>
      </c>
      <c r="AQ295">
        <v>-2.467576233</v>
      </c>
      <c r="AR295">
        <v>-2.2165958149999998</v>
      </c>
      <c r="AS295">
        <v>-2.0238759420000001</v>
      </c>
      <c r="AT295">
        <v>-2.083357613</v>
      </c>
      <c r="AU295">
        <v>5.7515175770000004</v>
      </c>
      <c r="AV295">
        <v>-2.8875059890000001</v>
      </c>
      <c r="AW295">
        <v>-5.7301219379999999</v>
      </c>
    </row>
    <row r="296" spans="1:49" x14ac:dyDescent="0.2">
      <c r="A296" t="s">
        <v>360</v>
      </c>
      <c r="B296" s="73">
        <v>44197</v>
      </c>
      <c r="C296">
        <v>-4.652705707</v>
      </c>
      <c r="D296">
        <v>-0.75049505000000005</v>
      </c>
      <c r="E296">
        <v>-6.1467086530000001</v>
      </c>
      <c r="F296">
        <v>-4.3739782500000004</v>
      </c>
      <c r="G296">
        <v>-1.0144741399999999</v>
      </c>
      <c r="H296">
        <v>-3.0624428049999999</v>
      </c>
      <c r="I296">
        <v>-1.8376316079999999</v>
      </c>
      <c r="J296">
        <v>-0.15024478799999999</v>
      </c>
      <c r="K296">
        <v>6.5</v>
      </c>
      <c r="L296">
        <v>-5.3454798539999997</v>
      </c>
      <c r="M296">
        <v>-2.8716205910000001</v>
      </c>
      <c r="N296">
        <v>-0.52476622900000003</v>
      </c>
      <c r="O296">
        <v>-4.3798291479999998</v>
      </c>
      <c r="P296">
        <v>-8.8016765729999999</v>
      </c>
      <c r="Q296">
        <v>-1.261629538</v>
      </c>
      <c r="R296">
        <v>-4.1235573700000003</v>
      </c>
      <c r="T296">
        <v>-1.565305304</v>
      </c>
      <c r="U296">
        <v>-4.2984426229999997</v>
      </c>
      <c r="V296">
        <v>-2.9253951310000001</v>
      </c>
      <c r="X296">
        <v>-6.407082527</v>
      </c>
      <c r="Y296">
        <v>-7.3485555089999997</v>
      </c>
      <c r="Z296">
        <v>-3.4413490750000002</v>
      </c>
      <c r="AA296">
        <v>0.77761999999999998</v>
      </c>
      <c r="AB296">
        <v>4.5862383209999997</v>
      </c>
      <c r="AC296">
        <v>-5.4272109899999998</v>
      </c>
      <c r="AD296">
        <v>1.636922E-2</v>
      </c>
      <c r="AE296">
        <v>-6.56563359</v>
      </c>
      <c r="AF296">
        <v>-0.81478097699999996</v>
      </c>
      <c r="AG296">
        <v>-1.1200573890000001</v>
      </c>
      <c r="AH296">
        <v>0.69155024399999998</v>
      </c>
      <c r="AI296">
        <v>-1.7942804910000001</v>
      </c>
      <c r="AJ296">
        <v>-4.5269930450000002</v>
      </c>
      <c r="AK296">
        <v>-3.1173772369999999</v>
      </c>
      <c r="AL296">
        <v>-1.0754983</v>
      </c>
      <c r="AM296">
        <v>0.49542040999999998</v>
      </c>
      <c r="AN296">
        <v>-2.704219991</v>
      </c>
      <c r="AO296">
        <v>-2.5360638170000001</v>
      </c>
      <c r="AP296">
        <v>-6.8493098520000002</v>
      </c>
      <c r="AQ296">
        <v>-1.2994789870000001</v>
      </c>
      <c r="AR296">
        <v>-2.2785422670000002</v>
      </c>
      <c r="AS296">
        <v>-3.542925082</v>
      </c>
      <c r="AT296">
        <v>-2.0129765449999999</v>
      </c>
      <c r="AU296">
        <v>5.5823967640000003</v>
      </c>
      <c r="AV296">
        <v>-2.2629152430000001</v>
      </c>
      <c r="AW296">
        <v>-3.3887495639999998</v>
      </c>
    </row>
    <row r="297" spans="1:49" x14ac:dyDescent="0.2">
      <c r="A297" t="s">
        <v>361</v>
      </c>
      <c r="B297" s="73">
        <v>44287</v>
      </c>
      <c r="C297">
        <v>2.5378217580000002</v>
      </c>
      <c r="D297">
        <v>1.354075433</v>
      </c>
      <c r="E297">
        <v>-4.090416383</v>
      </c>
      <c r="F297">
        <v>-4.7697669999999998E-2</v>
      </c>
      <c r="G297">
        <v>2.6464095699999999</v>
      </c>
      <c r="H297">
        <v>0.26846018799999999</v>
      </c>
      <c r="I297">
        <v>-0.45687183100000001</v>
      </c>
      <c r="J297">
        <v>1.4261248209999999</v>
      </c>
      <c r="K297">
        <v>18.3</v>
      </c>
      <c r="L297">
        <v>-2.4561492999999999</v>
      </c>
      <c r="M297">
        <v>-2.9751800660000001</v>
      </c>
      <c r="N297">
        <v>-0.18760487300000001</v>
      </c>
      <c r="O297">
        <v>-1.1482595760000001</v>
      </c>
      <c r="P297">
        <v>-4.2140480010000001</v>
      </c>
      <c r="Q297">
        <v>3.3316211600000001</v>
      </c>
      <c r="R297">
        <v>-1.099913498</v>
      </c>
      <c r="T297">
        <v>-0.91678913799999995</v>
      </c>
      <c r="U297">
        <v>1.538842211</v>
      </c>
      <c r="V297">
        <v>-0.58969558099999997</v>
      </c>
      <c r="X297">
        <v>-5.0861042699999999</v>
      </c>
      <c r="Y297">
        <v>-1.9040602760000001</v>
      </c>
      <c r="Z297">
        <v>-1.5159002800000001</v>
      </c>
      <c r="AA297">
        <v>0.95128000000000001</v>
      </c>
      <c r="AB297">
        <v>10.999706198</v>
      </c>
      <c r="AC297">
        <v>-3.7894938210000002</v>
      </c>
      <c r="AD297">
        <v>0.71188072599999996</v>
      </c>
      <c r="AE297">
        <v>-0.62213880600000004</v>
      </c>
      <c r="AF297">
        <v>-1.8326048319999999</v>
      </c>
      <c r="AG297">
        <v>1.8861570860000001</v>
      </c>
      <c r="AH297">
        <v>5.5561837479999996</v>
      </c>
      <c r="AI297">
        <v>-0.238901637</v>
      </c>
      <c r="AJ297">
        <v>-2.7719857139999999</v>
      </c>
      <c r="AK297">
        <v>-2.2636515400000001</v>
      </c>
      <c r="AL297">
        <v>3.0130131000000001E-2</v>
      </c>
      <c r="AM297">
        <v>3.2772033829999998</v>
      </c>
      <c r="AN297">
        <v>-0.301464972</v>
      </c>
      <c r="AO297">
        <v>-1.0877008429999999</v>
      </c>
      <c r="AP297">
        <v>-5.7238613200000001</v>
      </c>
      <c r="AQ297">
        <v>-0.43206129399999998</v>
      </c>
      <c r="AR297">
        <v>0.28040604099999999</v>
      </c>
      <c r="AS297">
        <v>2.7084391380000001</v>
      </c>
      <c r="AT297">
        <v>6.9550050000000002E-3</v>
      </c>
      <c r="AU297">
        <v>7.6659254880000001</v>
      </c>
      <c r="AV297">
        <v>0.54697680299999996</v>
      </c>
      <c r="AW297">
        <v>-2.6277563220000002</v>
      </c>
    </row>
    <row r="298" spans="1:49" x14ac:dyDescent="0.2">
      <c r="A298" t="s">
        <v>362</v>
      </c>
      <c r="B298" s="73">
        <v>44378</v>
      </c>
      <c r="C298">
        <v>19.669173822000001</v>
      </c>
      <c r="D298">
        <v>9.5053631470000006</v>
      </c>
      <c r="E298">
        <v>12.785575396</v>
      </c>
      <c r="F298">
        <v>15.073029451</v>
      </c>
      <c r="G298">
        <v>12.222418805</v>
      </c>
      <c r="H298">
        <v>11.814578424</v>
      </c>
      <c r="I298">
        <v>7.9718178259999997</v>
      </c>
      <c r="J298">
        <v>17.506159256</v>
      </c>
      <c r="K298">
        <v>7.9</v>
      </c>
      <c r="L298">
        <v>8.4781037260000005</v>
      </c>
      <c r="M298">
        <v>9.9799969239999999</v>
      </c>
      <c r="N298">
        <v>8.8417622789999992</v>
      </c>
      <c r="O298">
        <v>14.379616910999999</v>
      </c>
      <c r="P298">
        <v>17.548571404</v>
      </c>
      <c r="Q298">
        <v>12.450378519999999</v>
      </c>
      <c r="R298">
        <v>13.82914422</v>
      </c>
      <c r="T298">
        <v>8.0152529070000007</v>
      </c>
      <c r="U298">
        <v>18.823665454</v>
      </c>
      <c r="V298">
        <v>12.89936741</v>
      </c>
      <c r="X298">
        <v>24.232106554000001</v>
      </c>
      <c r="Y298">
        <v>16.613562816000002</v>
      </c>
      <c r="Z298">
        <v>17.340538711000001</v>
      </c>
      <c r="AA298">
        <v>19.502140000000001</v>
      </c>
      <c r="AB298">
        <v>20.831565515000001</v>
      </c>
      <c r="AC298">
        <v>8.632021129</v>
      </c>
      <c r="AD298">
        <v>14.453790472</v>
      </c>
      <c r="AE298">
        <v>17.103324776000001</v>
      </c>
      <c r="AF298">
        <v>7.2815123269999997</v>
      </c>
      <c r="AG298">
        <v>6.0115519959999997</v>
      </c>
      <c r="AH298">
        <v>12.577390713</v>
      </c>
      <c r="AI298">
        <v>10.326292826</v>
      </c>
      <c r="AJ298">
        <v>19.618506912000001</v>
      </c>
      <c r="AK298">
        <v>10.679032597000001</v>
      </c>
      <c r="AL298">
        <v>5.9161670739999996</v>
      </c>
      <c r="AM298">
        <v>17.887959782999999</v>
      </c>
      <c r="AN298">
        <v>13.211771694999999</v>
      </c>
      <c r="AO298">
        <v>10.914667086</v>
      </c>
      <c r="AP298">
        <v>16.128373848999999</v>
      </c>
      <c r="AQ298">
        <v>7.5695837170000004</v>
      </c>
      <c r="AR298">
        <v>10.129999864</v>
      </c>
      <c r="AS298">
        <v>15.701891573999999</v>
      </c>
      <c r="AT298">
        <v>9.5912871249999991</v>
      </c>
      <c r="AU298">
        <v>22.472627478</v>
      </c>
      <c r="AV298">
        <v>12.226677108000001</v>
      </c>
      <c r="AW298">
        <v>19.121183447</v>
      </c>
    </row>
    <row r="299" spans="1:49" x14ac:dyDescent="0.2">
      <c r="A299" t="s">
        <v>363</v>
      </c>
      <c r="B299" s="73">
        <v>44470</v>
      </c>
      <c r="C299">
        <v>11.295659723</v>
      </c>
      <c r="D299">
        <v>3.852921421</v>
      </c>
      <c r="E299">
        <v>5.5708727849999997</v>
      </c>
      <c r="F299">
        <v>4.9472062939999999</v>
      </c>
      <c r="G299">
        <v>4.0353474040000004</v>
      </c>
      <c r="H299">
        <v>3.967072967</v>
      </c>
      <c r="I299">
        <v>3.2519090980000001</v>
      </c>
      <c r="J299">
        <v>17.344137938999999</v>
      </c>
      <c r="K299">
        <v>4.9000000000000004</v>
      </c>
      <c r="L299">
        <v>3.1381185440000001</v>
      </c>
      <c r="M299">
        <v>2.5680665970000001</v>
      </c>
      <c r="N299">
        <v>3.5706649800000001</v>
      </c>
      <c r="O299">
        <v>3.8541611900000001</v>
      </c>
      <c r="P299">
        <v>2.6674136160000002</v>
      </c>
      <c r="Q299">
        <v>9.158946426</v>
      </c>
      <c r="R299">
        <v>4.0585561270000001</v>
      </c>
      <c r="T299">
        <v>3.9365441919999999</v>
      </c>
      <c r="U299">
        <v>3.2735819770000001</v>
      </c>
      <c r="V299">
        <v>4.1174579229999999</v>
      </c>
      <c r="X299">
        <v>6.7856135320000002</v>
      </c>
      <c r="Y299">
        <v>13.437990600999999</v>
      </c>
      <c r="Z299">
        <v>6.075593638</v>
      </c>
      <c r="AA299">
        <v>8.54739</v>
      </c>
      <c r="AB299">
        <v>11.423769153</v>
      </c>
      <c r="AC299">
        <v>3.6664533929999998</v>
      </c>
      <c r="AD299">
        <v>5.8952100310000004</v>
      </c>
      <c r="AE299">
        <v>3.9479320750000002</v>
      </c>
      <c r="AF299">
        <v>1.145873854</v>
      </c>
      <c r="AG299">
        <v>4.0182523730000002</v>
      </c>
      <c r="AH299">
        <v>5.336431771</v>
      </c>
      <c r="AI299">
        <v>5.0560554040000003</v>
      </c>
      <c r="AJ299">
        <v>4.6842028879999997</v>
      </c>
      <c r="AK299">
        <v>4.9586655220000004</v>
      </c>
      <c r="AL299">
        <v>5.2033205750000002</v>
      </c>
      <c r="AM299">
        <v>-0.26529296000000002</v>
      </c>
      <c r="AN299">
        <v>4.5999999999999996</v>
      </c>
      <c r="AO299">
        <v>5.4936641829999999</v>
      </c>
      <c r="AP299">
        <v>4.1901470840000004</v>
      </c>
      <c r="AQ299">
        <v>3.830445643</v>
      </c>
      <c r="AR299">
        <v>1.3413502850000001</v>
      </c>
      <c r="AS299">
        <v>4.7738772559999996</v>
      </c>
      <c r="AT299">
        <v>4.5478421630000003</v>
      </c>
      <c r="AU299">
        <v>8.0673436850000009</v>
      </c>
      <c r="AV299">
        <v>4.946555569</v>
      </c>
      <c r="AW299">
        <v>3.0328187190000002</v>
      </c>
    </row>
    <row r="300" spans="1:49" x14ac:dyDescent="0.2">
      <c r="A300" t="s">
        <v>364</v>
      </c>
      <c r="B300" s="73">
        <v>44562</v>
      </c>
      <c r="E300">
        <v>5.3750358140000003</v>
      </c>
      <c r="F300">
        <v>5.6248780529999998</v>
      </c>
      <c r="H300">
        <v>3.3643720070000001</v>
      </c>
      <c r="K300">
        <v>4</v>
      </c>
      <c r="L300">
        <v>3.3851317939999999</v>
      </c>
      <c r="M300">
        <v>1.375282927</v>
      </c>
      <c r="O300">
        <v>4.6070402640000001</v>
      </c>
      <c r="P300">
        <v>5.233834699</v>
      </c>
      <c r="R300">
        <v>4.7503148140000002</v>
      </c>
      <c r="T300">
        <v>3.768305856</v>
      </c>
      <c r="U300">
        <v>5.4201401960000002</v>
      </c>
      <c r="V300">
        <v>4.4797422459999998</v>
      </c>
      <c r="X300">
        <v>6.4601759870000004</v>
      </c>
      <c r="AE300">
        <v>6.3964973929999998</v>
      </c>
      <c r="AF300">
        <v>0.68547249499999996</v>
      </c>
      <c r="AG300">
        <v>3.9939059370000001</v>
      </c>
      <c r="AI300">
        <v>3.4811134830000001</v>
      </c>
      <c r="AJ300">
        <v>2.7472122040000002</v>
      </c>
      <c r="AP300">
        <v>5.7706354820000003</v>
      </c>
      <c r="AR300">
        <v>1.1354021839999999</v>
      </c>
      <c r="AT300">
        <v>5.8714568859999998</v>
      </c>
      <c r="AV300">
        <v>5.5317363620000002</v>
      </c>
    </row>
    <row r="301" spans="1:49" x14ac:dyDescent="0.2">
      <c r="A301" t="s">
        <v>365</v>
      </c>
      <c r="B301" s="73">
        <v>44652</v>
      </c>
    </row>
    <row r="302" spans="1:49" x14ac:dyDescent="0.2">
      <c r="A302" t="s">
        <v>366</v>
      </c>
      <c r="B302" s="73">
        <v>44743</v>
      </c>
    </row>
    <row r="303" spans="1:49" x14ac:dyDescent="0.2">
      <c r="A303" t="s">
        <v>367</v>
      </c>
      <c r="B303" s="73">
        <v>44835</v>
      </c>
    </row>
    <row r="304" spans="1:49" x14ac:dyDescent="0.2">
      <c r="A304" t="s">
        <v>368</v>
      </c>
      <c r="B304" s="73">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L182"/>
  <sheetViews>
    <sheetView topLeftCell="A178" workbookViewId="0">
      <selection activeCell="L191" sqref="L191"/>
    </sheetView>
  </sheetViews>
  <sheetFormatPr baseColWidth="10" defaultRowHeight="15" x14ac:dyDescent="0.2"/>
  <sheetData>
    <row r="1" spans="1:12" ht="23" customHeight="1" thickBot="1" x14ac:dyDescent="0.25">
      <c r="A1" t="s">
        <v>371</v>
      </c>
      <c r="B1" t="s">
        <v>372</v>
      </c>
      <c r="C1" t="s">
        <v>373</v>
      </c>
      <c r="D1" t="s">
        <v>374</v>
      </c>
      <c r="E1" t="s">
        <v>375</v>
      </c>
      <c r="F1" t="s">
        <v>376</v>
      </c>
      <c r="G1" t="s">
        <v>377</v>
      </c>
      <c r="H1" t="s">
        <v>378</v>
      </c>
      <c r="I1" t="s">
        <v>379</v>
      </c>
      <c r="J1" t="s">
        <v>380</v>
      </c>
      <c r="K1" t="s">
        <v>381</v>
      </c>
      <c r="L1" t="s">
        <v>382</v>
      </c>
    </row>
    <row r="2" spans="1:12" x14ac:dyDescent="0.2">
      <c r="A2" t="s">
        <v>383</v>
      </c>
      <c r="B2">
        <v>20</v>
      </c>
      <c r="C2">
        <v>-1.9300000000000001E-2</v>
      </c>
      <c r="E2">
        <v>0.15</v>
      </c>
      <c r="F2">
        <v>1.5599999999999999E-2</v>
      </c>
      <c r="G2">
        <v>0.112</v>
      </c>
      <c r="H2">
        <v>-3.4000000000000002E-2</v>
      </c>
      <c r="I2">
        <v>7.8E-2</v>
      </c>
      <c r="J2">
        <v>-21.2</v>
      </c>
      <c r="K2">
        <v>78.400000000000006</v>
      </c>
      <c r="L2">
        <v>33.200000000000003</v>
      </c>
    </row>
    <row r="3" spans="1:12" x14ac:dyDescent="0.2">
      <c r="A3" t="s">
        <v>384</v>
      </c>
      <c r="B3">
        <v>15</v>
      </c>
      <c r="C3">
        <v>0.17899999999999999</v>
      </c>
      <c r="D3">
        <v>2.1100000000000001E-2</v>
      </c>
      <c r="E3">
        <v>5.0000000000000001E-3</v>
      </c>
      <c r="F3">
        <v>3.1E-2</v>
      </c>
      <c r="G3">
        <v>0.11600000000000001</v>
      </c>
      <c r="H3">
        <v>-6.9000000000000006E-2</v>
      </c>
      <c r="I3">
        <v>0.77900000000000003</v>
      </c>
      <c r="J3">
        <v>-8.9</v>
      </c>
      <c r="K3">
        <v>107.3</v>
      </c>
      <c r="L3">
        <v>2.85</v>
      </c>
    </row>
    <row r="4" spans="1:12" x14ac:dyDescent="0.2">
      <c r="A4" t="s">
        <v>385</v>
      </c>
      <c r="B4">
        <v>145</v>
      </c>
      <c r="C4">
        <v>6.4000000000000001E-2</v>
      </c>
      <c r="D4">
        <v>8.0000000000000002E-3</v>
      </c>
      <c r="E4">
        <v>0.03</v>
      </c>
      <c r="F4">
        <v>4.1200000000000001E-2</v>
      </c>
      <c r="G4">
        <v>0.114</v>
      </c>
      <c r="H4">
        <v>-0.115</v>
      </c>
      <c r="I4">
        <v>0.57200000000000006</v>
      </c>
      <c r="J4">
        <v>-10.8</v>
      </c>
      <c r="K4">
        <v>134.37</v>
      </c>
      <c r="L4">
        <v>44.23</v>
      </c>
    </row>
    <row r="5" spans="1:12" x14ac:dyDescent="0.2">
      <c r="A5" t="s">
        <v>386</v>
      </c>
      <c r="B5">
        <v>62</v>
      </c>
      <c r="C5">
        <v>1.2E-2</v>
      </c>
      <c r="D5">
        <v>-2.4E-2</v>
      </c>
      <c r="E5">
        <v>0.2</v>
      </c>
      <c r="F5">
        <v>0.26979999999999998</v>
      </c>
      <c r="G5">
        <v>0.34100000000000003</v>
      </c>
      <c r="H5">
        <v>-2.5000000000000001E-2</v>
      </c>
      <c r="I5">
        <v>1.2</v>
      </c>
      <c r="J5">
        <v>1.5</v>
      </c>
      <c r="K5">
        <v>456.04</v>
      </c>
      <c r="L5">
        <v>33</v>
      </c>
    </row>
    <row r="6" spans="1:12" x14ac:dyDescent="0.2">
      <c r="A6" t="s">
        <v>387</v>
      </c>
      <c r="B6">
        <v>383</v>
      </c>
      <c r="C6">
        <v>0.11899999999999999</v>
      </c>
      <c r="D6">
        <v>4.0800000000000003E-2</v>
      </c>
      <c r="E6">
        <v>0.38</v>
      </c>
      <c r="F6">
        <v>0.51200000000000001</v>
      </c>
      <c r="G6">
        <v>8.199999999999999E-2</v>
      </c>
      <c r="H6">
        <v>-8.5000000000000006E-2</v>
      </c>
      <c r="I6">
        <v>1.02</v>
      </c>
      <c r="J6">
        <v>1</v>
      </c>
      <c r="K6">
        <v>96.12</v>
      </c>
      <c r="L6">
        <v>45.38</v>
      </c>
    </row>
    <row r="7" spans="1:12" x14ac:dyDescent="0.2">
      <c r="A7" t="s">
        <v>388</v>
      </c>
      <c r="B7">
        <v>13</v>
      </c>
      <c r="C7">
        <v>2.7E-2</v>
      </c>
      <c r="E7">
        <v>7.7499999999999999E-2</v>
      </c>
      <c r="F7">
        <v>9.6000000000000002E-2</v>
      </c>
      <c r="G7">
        <v>0.15</v>
      </c>
      <c r="H7">
        <v>-5.4000000000000013E-2</v>
      </c>
      <c r="I7">
        <v>0.62790000000000001</v>
      </c>
      <c r="J7">
        <v>-4</v>
      </c>
      <c r="K7">
        <v>495.16</v>
      </c>
      <c r="L7">
        <v>2.96</v>
      </c>
    </row>
    <row r="8" spans="1:12" x14ac:dyDescent="0.2">
      <c r="A8" t="s">
        <v>389</v>
      </c>
      <c r="B8">
        <v>1331</v>
      </c>
      <c r="C8">
        <v>3.9E-2</v>
      </c>
      <c r="D8">
        <v>-1.9E-2</v>
      </c>
      <c r="E8">
        <v>1E-3</v>
      </c>
      <c r="F8">
        <v>0.03</v>
      </c>
      <c r="G8">
        <v>4.5999999999999999E-2</v>
      </c>
      <c r="H8">
        <v>-4.2999999999999997E-2</v>
      </c>
      <c r="I8">
        <v>0.248</v>
      </c>
      <c r="J8">
        <v>2.5</v>
      </c>
      <c r="K8">
        <v>0.68</v>
      </c>
      <c r="L8">
        <v>25.68</v>
      </c>
    </row>
    <row r="9" spans="1:12" x14ac:dyDescent="0.2">
      <c r="A9" t="s">
        <v>390</v>
      </c>
      <c r="B9">
        <v>431</v>
      </c>
      <c r="C9">
        <v>5.7000000000000002E-2</v>
      </c>
      <c r="D9">
        <v>3.7999999999999999E-2</v>
      </c>
      <c r="E9">
        <v>0</v>
      </c>
      <c r="F9">
        <v>4.2999999999999997E-2</v>
      </c>
      <c r="G9">
        <v>7.0000000000000007E-2</v>
      </c>
      <c r="H9">
        <v>-8.900000000000001E-2</v>
      </c>
      <c r="I9">
        <v>0.83900000000000008</v>
      </c>
      <c r="J9">
        <v>2.5</v>
      </c>
      <c r="K9">
        <v>1.1100000000000001</v>
      </c>
      <c r="L9">
        <v>8.9</v>
      </c>
    </row>
    <row r="10" spans="1:12" x14ac:dyDescent="0.2">
      <c r="A10" t="s">
        <v>391</v>
      </c>
      <c r="B10">
        <v>43</v>
      </c>
      <c r="C10">
        <v>4.8000000000000001E-2</v>
      </c>
      <c r="E10">
        <v>7.2499999999999995E-2</v>
      </c>
      <c r="F10">
        <v>6.2E-2</v>
      </c>
      <c r="G10">
        <v>6.2699999999999992E-2</v>
      </c>
      <c r="H10">
        <v>-2.4E-2</v>
      </c>
      <c r="I10">
        <v>0.20100000000000001</v>
      </c>
      <c r="J10">
        <v>-0.5</v>
      </c>
      <c r="K10">
        <v>1.7</v>
      </c>
      <c r="L10">
        <v>10.07</v>
      </c>
    </row>
    <row r="11" spans="1:12" x14ac:dyDescent="0.2">
      <c r="A11" t="s">
        <v>392</v>
      </c>
      <c r="B11">
        <v>11</v>
      </c>
      <c r="C11">
        <v>-0.14799999999999999</v>
      </c>
      <c r="E11">
        <v>0.04</v>
      </c>
      <c r="F11">
        <v>2.7E-2</v>
      </c>
      <c r="G11">
        <v>0.25600000000000001</v>
      </c>
      <c r="H11">
        <v>-6.4000000000000001E-2</v>
      </c>
      <c r="I11">
        <v>0.83799999999999997</v>
      </c>
      <c r="J11">
        <v>-17.600000000000001</v>
      </c>
      <c r="K11">
        <v>1</v>
      </c>
      <c r="L11">
        <v>0.39</v>
      </c>
    </row>
    <row r="12" spans="1:12" x14ac:dyDescent="0.2">
      <c r="A12" t="s">
        <v>393</v>
      </c>
      <c r="B12">
        <v>38</v>
      </c>
      <c r="C12">
        <v>5.7200000000000001E-2</v>
      </c>
      <c r="D12">
        <v>3.5099999999999999E-2</v>
      </c>
      <c r="E12">
        <v>0.01</v>
      </c>
      <c r="F12">
        <v>6.9999999999999993E-3</v>
      </c>
      <c r="G12">
        <v>4.9000000000000002E-2</v>
      </c>
      <c r="H12">
        <v>-0.13100000000000001</v>
      </c>
      <c r="I12">
        <v>1.2829999999999999</v>
      </c>
      <c r="J12">
        <v>-2.1</v>
      </c>
      <c r="K12">
        <v>0.38</v>
      </c>
      <c r="L12">
        <v>1.7</v>
      </c>
    </row>
    <row r="13" spans="1:12" x14ac:dyDescent="0.2">
      <c r="A13" t="s">
        <v>394</v>
      </c>
      <c r="B13">
        <v>324</v>
      </c>
      <c r="C13">
        <v>5.4699999999999999E-2</v>
      </c>
      <c r="D13">
        <v>5.4699999999999999E-2</v>
      </c>
      <c r="E13">
        <v>4.7500000000000001E-2</v>
      </c>
      <c r="F13">
        <v>5.7000000000000002E-2</v>
      </c>
      <c r="G13">
        <v>5.2999999999999999E-2</v>
      </c>
      <c r="H13">
        <v>-5.3499999999999999E-2</v>
      </c>
      <c r="I13">
        <v>0.317</v>
      </c>
      <c r="J13">
        <v>-1.5</v>
      </c>
      <c r="K13">
        <v>84.8</v>
      </c>
      <c r="L13">
        <v>165</v>
      </c>
    </row>
    <row r="14" spans="1:12" x14ac:dyDescent="0.2">
      <c r="A14" t="s">
        <v>395</v>
      </c>
      <c r="B14">
        <v>60</v>
      </c>
      <c r="C14">
        <v>5.8099999999999999E-2</v>
      </c>
      <c r="E14">
        <v>9.2499999999999999E-2</v>
      </c>
      <c r="F14">
        <v>0.10299999999999999</v>
      </c>
      <c r="G14">
        <v>2E-3</v>
      </c>
      <c r="H14">
        <v>-2.5999999999999999E-2</v>
      </c>
      <c r="I14">
        <v>0.373</v>
      </c>
      <c r="J14">
        <v>-0.4</v>
      </c>
      <c r="K14">
        <v>2.57</v>
      </c>
      <c r="L14">
        <v>9.35</v>
      </c>
    </row>
    <row r="15" spans="1:12" x14ac:dyDescent="0.2">
      <c r="A15" t="s">
        <v>396</v>
      </c>
      <c r="B15">
        <v>515</v>
      </c>
      <c r="C15">
        <v>4.9000000000000002E-2</v>
      </c>
      <c r="D15">
        <v>0.02</v>
      </c>
      <c r="E15">
        <v>0</v>
      </c>
      <c r="F15">
        <v>5.6399999999999999E-2</v>
      </c>
      <c r="G15">
        <v>6.3E-2</v>
      </c>
      <c r="H15">
        <v>-9.4E-2</v>
      </c>
      <c r="I15">
        <v>1.141</v>
      </c>
      <c r="J15">
        <v>-0.2</v>
      </c>
      <c r="K15">
        <v>1.1100000000000001</v>
      </c>
      <c r="L15">
        <v>11.52</v>
      </c>
    </row>
    <row r="16" spans="1:12" x14ac:dyDescent="0.2">
      <c r="A16" t="s">
        <v>397</v>
      </c>
      <c r="B16">
        <v>16</v>
      </c>
      <c r="C16">
        <v>8.199999999999999E-2</v>
      </c>
      <c r="E16">
        <v>0.04</v>
      </c>
      <c r="F16">
        <v>2.5000000000000001E-2</v>
      </c>
      <c r="G16">
        <v>2.5000000000000001E-2</v>
      </c>
      <c r="H16">
        <v>-3.7000000000000012E-2</v>
      </c>
      <c r="I16">
        <v>0.46100000000000002</v>
      </c>
      <c r="J16">
        <v>-5.5</v>
      </c>
      <c r="K16">
        <v>588.96</v>
      </c>
      <c r="L16">
        <v>12.11</v>
      </c>
    </row>
    <row r="17" spans="1:12" x14ac:dyDescent="0.2">
      <c r="A17" t="s">
        <v>398</v>
      </c>
      <c r="B17">
        <v>2</v>
      </c>
      <c r="C17">
        <v>-0.1008</v>
      </c>
      <c r="E17">
        <v>7.1399999999999991E-2</v>
      </c>
      <c r="F17">
        <v>4.9699999999999987E-2</v>
      </c>
      <c r="G17">
        <v>0.05</v>
      </c>
      <c r="H17">
        <v>-6.2E-2</v>
      </c>
      <c r="I17">
        <v>1.2074</v>
      </c>
      <c r="J17">
        <v>-11.4</v>
      </c>
      <c r="K17">
        <v>71.010000000000005</v>
      </c>
      <c r="L17">
        <v>0.77</v>
      </c>
    </row>
    <row r="18" spans="1:12" x14ac:dyDescent="0.2">
      <c r="A18" t="s">
        <v>399</v>
      </c>
      <c r="B18">
        <v>37</v>
      </c>
      <c r="C18">
        <v>0.21909999999999999</v>
      </c>
      <c r="D18">
        <v>-6.2E-2</v>
      </c>
      <c r="E18">
        <v>3.85E-2</v>
      </c>
      <c r="F18">
        <v>9.5999999999999992E-3</v>
      </c>
      <c r="G18">
        <v>5.5999999999999987E-2</v>
      </c>
      <c r="H18">
        <v>-9.6999999999999989E-2</v>
      </c>
      <c r="I18">
        <v>0.67299999999999993</v>
      </c>
      <c r="J18">
        <v>-0.5</v>
      </c>
      <c r="K18">
        <v>6.83</v>
      </c>
      <c r="L18">
        <v>11.68</v>
      </c>
    </row>
    <row r="19" spans="1:12" x14ac:dyDescent="0.2">
      <c r="A19" t="s">
        <v>400</v>
      </c>
      <c r="B19">
        <v>20</v>
      </c>
      <c r="C19">
        <v>0.11600000000000001</v>
      </c>
      <c r="D19">
        <v>1.9E-2</v>
      </c>
      <c r="E19">
        <v>3.44E-2</v>
      </c>
      <c r="F19">
        <v>4.2999999999999997E-2</v>
      </c>
      <c r="G19">
        <v>0.31730000000000003</v>
      </c>
      <c r="H19">
        <v>-5.2999999999999999E-2</v>
      </c>
      <c r="I19">
        <v>0.246</v>
      </c>
      <c r="J19">
        <v>-3.1</v>
      </c>
      <c r="K19">
        <v>1.77</v>
      </c>
      <c r="L19">
        <v>3.28</v>
      </c>
    </row>
    <row r="20" spans="1:12" x14ac:dyDescent="0.2">
      <c r="A20" t="s">
        <v>401</v>
      </c>
      <c r="B20">
        <v>16</v>
      </c>
      <c r="C20">
        <v>8.4000000000000005E-2</v>
      </c>
      <c r="D20">
        <v>3.4000000000000002E-2</v>
      </c>
      <c r="E20">
        <v>3.7499999999999999E-2</v>
      </c>
      <c r="F20">
        <v>8.5999999999999993E-2</v>
      </c>
      <c r="G20">
        <v>0.23300000000000001</v>
      </c>
      <c r="H20">
        <v>-5.5999999999999987E-2</v>
      </c>
      <c r="I20">
        <v>0.182</v>
      </c>
      <c r="J20">
        <v>-11.2</v>
      </c>
      <c r="K20">
        <v>11.03</v>
      </c>
      <c r="L20">
        <v>2.37</v>
      </c>
    </row>
    <row r="21" spans="1:12" x14ac:dyDescent="0.2">
      <c r="A21" t="s">
        <v>402</v>
      </c>
      <c r="B21">
        <v>1445</v>
      </c>
      <c r="C21">
        <v>0.04</v>
      </c>
      <c r="D21">
        <v>-1E-3</v>
      </c>
      <c r="E21">
        <v>9.2499999999999999E-2</v>
      </c>
      <c r="F21">
        <v>0.1074</v>
      </c>
      <c r="G21">
        <v>0.126</v>
      </c>
      <c r="H21">
        <v>-0.13400000000000001</v>
      </c>
      <c r="I21">
        <v>0.88829999999999998</v>
      </c>
      <c r="J21">
        <v>-0.72</v>
      </c>
      <c r="K21">
        <v>5.69</v>
      </c>
      <c r="L21">
        <v>211.82</v>
      </c>
    </row>
    <row r="22" spans="1:12" x14ac:dyDescent="0.2">
      <c r="A22" t="s">
        <v>403</v>
      </c>
      <c r="B22">
        <v>12</v>
      </c>
      <c r="C22">
        <v>-2.1000000000000001E-2</v>
      </c>
      <c r="E22">
        <v>5.5E-2</v>
      </c>
      <c r="F22">
        <v>2.1999999999999999E-2</v>
      </c>
      <c r="G22">
        <v>8.4000000000000005E-2</v>
      </c>
      <c r="H22">
        <v>-2.7E-2</v>
      </c>
      <c r="I22">
        <v>3.2000000000000001E-2</v>
      </c>
      <c r="J22">
        <v>1</v>
      </c>
      <c r="K22">
        <v>1.35</v>
      </c>
      <c r="L22">
        <v>0.45</v>
      </c>
    </row>
    <row r="23" spans="1:12" x14ac:dyDescent="0.2">
      <c r="A23" t="s">
        <v>404</v>
      </c>
      <c r="B23">
        <v>69</v>
      </c>
      <c r="C23">
        <v>4.6199999999999998E-2</v>
      </c>
      <c r="D23">
        <v>6.0000000000000001E-3</v>
      </c>
      <c r="E23">
        <v>0</v>
      </c>
      <c r="F23">
        <v>7.2999999999999995E-2</v>
      </c>
      <c r="G23">
        <v>4.7E-2</v>
      </c>
      <c r="H23">
        <v>-3.4000000000000002E-2</v>
      </c>
      <c r="I23">
        <v>0.24199999999999999</v>
      </c>
      <c r="J23">
        <v>-0.7</v>
      </c>
      <c r="K23">
        <v>1.66</v>
      </c>
      <c r="L23">
        <v>6.95</v>
      </c>
    </row>
    <row r="24" spans="1:12" x14ac:dyDescent="0.2">
      <c r="A24" t="s">
        <v>405</v>
      </c>
      <c r="B24">
        <v>17</v>
      </c>
      <c r="C24">
        <v>0.22500000000000001</v>
      </c>
      <c r="E24">
        <v>0.04</v>
      </c>
      <c r="F24">
        <v>3.9E-2</v>
      </c>
      <c r="G24">
        <v>0.05</v>
      </c>
      <c r="H24">
        <v>-5.4000000000000013E-2</v>
      </c>
      <c r="I24">
        <v>0.25</v>
      </c>
      <c r="J24">
        <v>1.2</v>
      </c>
      <c r="K24">
        <v>588.96</v>
      </c>
      <c r="L24">
        <v>21.51</v>
      </c>
    </row>
    <row r="25" spans="1:12" x14ac:dyDescent="0.2">
      <c r="A25" t="s">
        <v>406</v>
      </c>
      <c r="B25">
        <v>3</v>
      </c>
      <c r="C25">
        <v>-3.0000000000000001E-3</v>
      </c>
      <c r="E25">
        <v>7.0599999999999996E-2</v>
      </c>
      <c r="F25">
        <v>9.8699999999999996E-2</v>
      </c>
      <c r="G25">
        <v>8.0000000000000002E-3</v>
      </c>
      <c r="H25">
        <v>-8.8000000000000009E-2</v>
      </c>
      <c r="I25">
        <v>0.159</v>
      </c>
      <c r="J25">
        <v>-19.100000000000001</v>
      </c>
      <c r="K25">
        <v>1877.75</v>
      </c>
      <c r="L25">
        <v>11.89</v>
      </c>
    </row>
    <row r="26" spans="1:12" x14ac:dyDescent="0.2">
      <c r="A26" t="s">
        <v>407</v>
      </c>
      <c r="B26">
        <v>25</v>
      </c>
      <c r="C26">
        <v>-3.1E-2</v>
      </c>
      <c r="E26">
        <v>8.8999999999999999E-3</v>
      </c>
      <c r="F26">
        <v>2.9600000000000001E-2</v>
      </c>
      <c r="G26">
        <v>3.0999999999999999E-3</v>
      </c>
      <c r="H26">
        <v>-2.5999999999999999E-2</v>
      </c>
      <c r="I26">
        <v>0.315</v>
      </c>
      <c r="J26">
        <v>-11.9</v>
      </c>
      <c r="K26">
        <v>4061</v>
      </c>
      <c r="L26">
        <v>16.71</v>
      </c>
    </row>
    <row r="27" spans="1:12" x14ac:dyDescent="0.2">
      <c r="A27" t="s">
        <v>408</v>
      </c>
      <c r="B27">
        <v>40</v>
      </c>
      <c r="C27">
        <v>8.0000000000000002E-3</v>
      </c>
      <c r="D27">
        <v>2.7E-2</v>
      </c>
      <c r="E27">
        <v>3.2500000000000001E-2</v>
      </c>
      <c r="F27">
        <v>2.3900000000000001E-2</v>
      </c>
      <c r="G27">
        <v>3.5999999999999997E-2</v>
      </c>
      <c r="H27">
        <v>-4.9000000000000002E-2</v>
      </c>
      <c r="I27">
        <v>0.43200000000000011</v>
      </c>
      <c r="J27">
        <v>-5.2</v>
      </c>
      <c r="K27">
        <v>551.32000000000005</v>
      </c>
      <c r="L27">
        <v>26.54</v>
      </c>
    </row>
    <row r="28" spans="1:12" x14ac:dyDescent="0.2">
      <c r="A28" t="s">
        <v>409</v>
      </c>
      <c r="B28">
        <v>1644</v>
      </c>
      <c r="C28">
        <v>0.04</v>
      </c>
      <c r="D28">
        <v>1.2999999999999999E-2</v>
      </c>
      <c r="E28">
        <v>2.5000000000000001E-3</v>
      </c>
      <c r="F28">
        <v>4.7E-2</v>
      </c>
      <c r="G28">
        <v>0.06</v>
      </c>
      <c r="H28">
        <v>-0.14899999999999999</v>
      </c>
      <c r="I28">
        <v>1.1779999999999999</v>
      </c>
      <c r="J28">
        <v>-1.9</v>
      </c>
      <c r="K28">
        <v>1.33</v>
      </c>
      <c r="L28">
        <v>38.01</v>
      </c>
    </row>
    <row r="29" spans="1:12" x14ac:dyDescent="0.2">
      <c r="A29" t="s">
        <v>410</v>
      </c>
      <c r="B29">
        <v>2</v>
      </c>
      <c r="C29">
        <v>0.308</v>
      </c>
      <c r="D29">
        <v>-3.3000000000000002E-2</v>
      </c>
      <c r="E29">
        <v>2.5000000000000001E-3</v>
      </c>
      <c r="F29">
        <v>4.8000000000000001E-2</v>
      </c>
      <c r="G29">
        <v>0.14499999999999999</v>
      </c>
      <c r="H29">
        <v>-8.900000000000001E-2</v>
      </c>
      <c r="I29">
        <v>1.5580000000000001</v>
      </c>
      <c r="J29">
        <v>-15.6</v>
      </c>
      <c r="K29">
        <v>99.94</v>
      </c>
      <c r="L29">
        <v>0.56000000000000005</v>
      </c>
    </row>
    <row r="30" spans="1:12" x14ac:dyDescent="0.2">
      <c r="A30" t="s">
        <v>411</v>
      </c>
      <c r="B30">
        <v>6</v>
      </c>
      <c r="C30">
        <v>-6.7000000000000004E-2</v>
      </c>
      <c r="F30">
        <v>-0.01</v>
      </c>
      <c r="G30">
        <v>5.1999999999999998E-2</v>
      </c>
      <c r="H30">
        <v>-2.1999999999999999E-2</v>
      </c>
      <c r="I30">
        <v>5.2999999999999999E-2</v>
      </c>
      <c r="J30">
        <v>-21.2</v>
      </c>
      <c r="K30">
        <v>0.82</v>
      </c>
      <c r="L30">
        <v>7.0000000000000007E-2</v>
      </c>
    </row>
    <row r="31" spans="1:12" x14ac:dyDescent="0.2">
      <c r="A31" t="s">
        <v>412</v>
      </c>
      <c r="B31">
        <v>2</v>
      </c>
      <c r="C31">
        <v>0</v>
      </c>
      <c r="E31">
        <v>3.2500000000000001E-2</v>
      </c>
      <c r="F31">
        <v>4.7800000000000002E-2</v>
      </c>
      <c r="G31">
        <v>4.2999999999999997E-2</v>
      </c>
      <c r="H31">
        <v>-0.03</v>
      </c>
      <c r="I31">
        <v>0.44900000000000001</v>
      </c>
      <c r="J31">
        <v>-5.7</v>
      </c>
      <c r="K31">
        <v>551.32000000000005</v>
      </c>
      <c r="L31">
        <v>4.83</v>
      </c>
    </row>
    <row r="32" spans="1:12" x14ac:dyDescent="0.2">
      <c r="A32" t="s">
        <v>413</v>
      </c>
      <c r="B32">
        <v>10</v>
      </c>
      <c r="C32">
        <v>-9.0000000000000011E-3</v>
      </c>
      <c r="E32">
        <v>3.2500000000000001E-2</v>
      </c>
      <c r="F32">
        <v>-9.0000000000000011E-3</v>
      </c>
      <c r="G32">
        <v>2.3E-2</v>
      </c>
      <c r="H32">
        <v>-8.0000000000000002E-3</v>
      </c>
      <c r="I32">
        <v>0.43</v>
      </c>
      <c r="J32">
        <v>-13.3</v>
      </c>
      <c r="K32">
        <v>551.32000000000005</v>
      </c>
      <c r="L32">
        <v>16.420000000000002</v>
      </c>
    </row>
    <row r="33" spans="1:12" x14ac:dyDescent="0.2">
      <c r="A33" t="s">
        <v>414</v>
      </c>
      <c r="B33">
        <v>253</v>
      </c>
      <c r="C33">
        <v>0.17199999999999999</v>
      </c>
      <c r="D33">
        <v>4.9000000000000002E-2</v>
      </c>
      <c r="E33">
        <v>0.04</v>
      </c>
      <c r="F33">
        <v>6.7000000000000004E-2</v>
      </c>
      <c r="G33">
        <v>8.1000000000000003E-2</v>
      </c>
      <c r="H33">
        <v>-7.0999999999999994E-2</v>
      </c>
      <c r="I33">
        <v>0.33</v>
      </c>
      <c r="J33">
        <v>1.4</v>
      </c>
      <c r="K33">
        <v>749.27</v>
      </c>
      <c r="L33">
        <v>19.46</v>
      </c>
    </row>
    <row r="34" spans="1:12" x14ac:dyDescent="0.2">
      <c r="A34" t="s">
        <v>415</v>
      </c>
      <c r="B34">
        <v>14723</v>
      </c>
      <c r="C34">
        <v>4.9000000000000002E-2</v>
      </c>
      <c r="D34">
        <v>2E-3</v>
      </c>
      <c r="E34">
        <v>3.7999999999999999E-2</v>
      </c>
      <c r="F34">
        <v>2.3E-2</v>
      </c>
      <c r="G34">
        <v>0.05</v>
      </c>
      <c r="H34">
        <v>-3.7000000000000012E-2</v>
      </c>
      <c r="I34">
        <v>0.66799999999999993</v>
      </c>
      <c r="J34">
        <v>1.9</v>
      </c>
      <c r="K34">
        <v>6.37</v>
      </c>
      <c r="L34">
        <v>1443.5</v>
      </c>
    </row>
    <row r="35" spans="1:12" x14ac:dyDescent="0.2">
      <c r="A35" t="s">
        <v>416</v>
      </c>
      <c r="B35">
        <v>271</v>
      </c>
      <c r="C35">
        <v>0.13200000000000001</v>
      </c>
      <c r="D35">
        <v>5.7000000000000002E-2</v>
      </c>
      <c r="E35">
        <v>0.03</v>
      </c>
      <c r="F35">
        <v>5.2600000000000001E-2</v>
      </c>
      <c r="G35">
        <v>0.11799999999999999</v>
      </c>
      <c r="H35">
        <v>-7.8E-2</v>
      </c>
      <c r="I35">
        <v>0.628</v>
      </c>
      <c r="J35">
        <v>-3.4</v>
      </c>
      <c r="K35">
        <v>3354</v>
      </c>
      <c r="L35">
        <v>50.88</v>
      </c>
    </row>
    <row r="36" spans="1:12" x14ac:dyDescent="0.2">
      <c r="A36" t="s">
        <v>417</v>
      </c>
      <c r="B36">
        <v>1</v>
      </c>
      <c r="C36">
        <v>2E-3</v>
      </c>
      <c r="E36">
        <v>9.3999999999999986E-3</v>
      </c>
      <c r="F36">
        <v>-2.46E-2</v>
      </c>
      <c r="G36">
        <v>8.4000000000000005E-2</v>
      </c>
      <c r="H36">
        <v>-4.2000000000000003E-2</v>
      </c>
      <c r="I36">
        <v>0.26800000000000002</v>
      </c>
      <c r="J36">
        <v>-3.3</v>
      </c>
      <c r="K36">
        <v>417.02</v>
      </c>
      <c r="L36">
        <v>0.87</v>
      </c>
    </row>
    <row r="37" spans="1:12" x14ac:dyDescent="0.2">
      <c r="A37" t="s">
        <v>418</v>
      </c>
      <c r="B37">
        <v>50</v>
      </c>
      <c r="C37">
        <v>-2.4E-2</v>
      </c>
      <c r="E37">
        <v>8.5000000000000006E-2</v>
      </c>
      <c r="F37">
        <v>4.9200000000000001E-2</v>
      </c>
      <c r="G37">
        <v>0.46100000000000002</v>
      </c>
      <c r="H37">
        <v>-1.2E-2</v>
      </c>
      <c r="I37">
        <v>0.152</v>
      </c>
      <c r="J37">
        <v>-5.4</v>
      </c>
      <c r="K37">
        <v>1666.65</v>
      </c>
      <c r="L37">
        <v>89.39</v>
      </c>
    </row>
    <row r="38" spans="1:12" x14ac:dyDescent="0.2">
      <c r="A38" t="s">
        <v>419</v>
      </c>
      <c r="B38">
        <v>62</v>
      </c>
      <c r="C38">
        <v>7.9000000000000001E-2</v>
      </c>
      <c r="D38">
        <v>5.0000000000000001E-3</v>
      </c>
      <c r="E38">
        <v>7.4999999999999997E-3</v>
      </c>
      <c r="F38">
        <v>3.3500000000000002E-2</v>
      </c>
      <c r="G38">
        <v>0.153</v>
      </c>
      <c r="H38">
        <v>-7.400000000000001E-2</v>
      </c>
      <c r="I38">
        <v>0.79260000000000008</v>
      </c>
      <c r="J38">
        <v>-2.4</v>
      </c>
      <c r="K38">
        <v>566.57000000000005</v>
      </c>
      <c r="L38">
        <v>5.16</v>
      </c>
    </row>
    <row r="39" spans="1:12" x14ac:dyDescent="0.2">
      <c r="A39" t="s">
        <v>420</v>
      </c>
      <c r="B39">
        <v>56</v>
      </c>
      <c r="C39">
        <v>0.158</v>
      </c>
      <c r="D39">
        <v>-2E-3</v>
      </c>
      <c r="E39">
        <v>2.5000000000000001E-2</v>
      </c>
      <c r="F39">
        <v>4.8000000000000001E-2</v>
      </c>
      <c r="G39">
        <v>7.400000000000001E-2</v>
      </c>
      <c r="H39">
        <v>-7.400000000000001E-2</v>
      </c>
      <c r="I39">
        <v>0.88700000000000001</v>
      </c>
      <c r="J39">
        <v>-0.3</v>
      </c>
      <c r="K39">
        <v>6.68</v>
      </c>
      <c r="L39">
        <v>4.0599999999999996</v>
      </c>
    </row>
    <row r="40" spans="1:12" x14ac:dyDescent="0.2">
      <c r="A40" t="s">
        <v>421</v>
      </c>
      <c r="B40">
        <v>103</v>
      </c>
      <c r="C40">
        <v>-0.11</v>
      </c>
      <c r="E40">
        <v>2.2499999999999999E-2</v>
      </c>
      <c r="F40">
        <v>4.2000000000000003E-2</v>
      </c>
      <c r="G40">
        <v>3.8699999999999998E-2</v>
      </c>
      <c r="H40">
        <v>-0.17699999999999999</v>
      </c>
      <c r="I40">
        <v>0.184</v>
      </c>
      <c r="J40">
        <v>0.2</v>
      </c>
      <c r="K40">
        <v>1</v>
      </c>
      <c r="L40">
        <v>11.28</v>
      </c>
    </row>
    <row r="41" spans="1:12" x14ac:dyDescent="0.2">
      <c r="A41" t="s">
        <v>422</v>
      </c>
      <c r="B41">
        <v>24</v>
      </c>
      <c r="C41">
        <v>5.5999999999999987E-2</v>
      </c>
      <c r="D41">
        <v>1.4999999999999999E-2</v>
      </c>
      <c r="E41">
        <v>0</v>
      </c>
      <c r="F41">
        <v>4.3400000000000001E-2</v>
      </c>
      <c r="G41">
        <v>6.6000000000000003E-2</v>
      </c>
      <c r="H41">
        <v>-5.7000000000000002E-2</v>
      </c>
      <c r="I41">
        <v>1.1819999999999999</v>
      </c>
      <c r="J41">
        <v>-11.9</v>
      </c>
      <c r="K41">
        <v>1.1100000000000001</v>
      </c>
      <c r="L41">
        <v>0.89</v>
      </c>
    </row>
    <row r="42" spans="1:12" x14ac:dyDescent="0.2">
      <c r="A42" t="s">
        <v>423</v>
      </c>
      <c r="B42">
        <v>245</v>
      </c>
      <c r="C42">
        <v>3.1E-2</v>
      </c>
      <c r="D42">
        <v>1.4999999999999999E-2</v>
      </c>
      <c r="E42">
        <v>3.7499999999999999E-2</v>
      </c>
      <c r="F42">
        <v>0.06</v>
      </c>
      <c r="G42">
        <v>3.3000000000000002E-2</v>
      </c>
      <c r="H42">
        <v>-6.2E-2</v>
      </c>
      <c r="I42">
        <v>0.38100000000000001</v>
      </c>
      <c r="J42">
        <v>3.6</v>
      </c>
      <c r="K42">
        <v>21.77</v>
      </c>
      <c r="L42">
        <v>10.7</v>
      </c>
    </row>
    <row r="43" spans="1:12" x14ac:dyDescent="0.2">
      <c r="A43" t="s">
        <v>424</v>
      </c>
      <c r="B43">
        <v>356</v>
      </c>
      <c r="C43">
        <v>3.5999999999999997E-2</v>
      </c>
      <c r="D43">
        <v>9.0000000000000011E-3</v>
      </c>
      <c r="E43">
        <v>-6.0000000000000001E-3</v>
      </c>
      <c r="F43">
        <v>3.4000000000000002E-2</v>
      </c>
      <c r="G43">
        <v>3.1E-2</v>
      </c>
      <c r="H43">
        <v>-2E-3</v>
      </c>
      <c r="I43">
        <v>0.42199999999999999</v>
      </c>
      <c r="J43">
        <v>7.8</v>
      </c>
      <c r="K43">
        <v>6.31</v>
      </c>
      <c r="L43">
        <v>5.82</v>
      </c>
    </row>
    <row r="44" spans="1:12" x14ac:dyDescent="0.2">
      <c r="A44" t="s">
        <v>425</v>
      </c>
      <c r="B44">
        <v>3</v>
      </c>
      <c r="C44">
        <v>1.4E-2</v>
      </c>
      <c r="E44">
        <v>0.112</v>
      </c>
      <c r="F44">
        <v>2.5499999999999998E-2</v>
      </c>
      <c r="G44">
        <v>0.11600000000000001</v>
      </c>
      <c r="H44">
        <v>-0.04</v>
      </c>
      <c r="I44">
        <v>0.42199999999999999</v>
      </c>
      <c r="J44">
        <v>2.9</v>
      </c>
      <c r="K44">
        <v>177.5</v>
      </c>
      <c r="L44">
        <v>0.98</v>
      </c>
    </row>
    <row r="45" spans="1:12" x14ac:dyDescent="0.2">
      <c r="A45" t="s">
        <v>426</v>
      </c>
      <c r="B45">
        <v>79</v>
      </c>
      <c r="C45">
        <v>0.254</v>
      </c>
      <c r="D45">
        <v>2.5000000000000001E-2</v>
      </c>
      <c r="E45">
        <v>0.03</v>
      </c>
      <c r="F45">
        <v>8.2299999999999998E-2</v>
      </c>
      <c r="G45">
        <v>7.5999999999999998E-2</v>
      </c>
      <c r="H45">
        <v>-7.9100000000000004E-2</v>
      </c>
      <c r="I45">
        <v>0.69099999999999995</v>
      </c>
      <c r="J45">
        <v>-2</v>
      </c>
      <c r="K45">
        <v>52.98</v>
      </c>
      <c r="L45">
        <v>10.45</v>
      </c>
    </row>
    <row r="46" spans="1:12" x14ac:dyDescent="0.2">
      <c r="A46" t="s">
        <v>427</v>
      </c>
      <c r="B46">
        <v>2</v>
      </c>
      <c r="C46">
        <v>-6.8000000000000005E-2</v>
      </c>
      <c r="F46">
        <v>5.2999999999999999E-2</v>
      </c>
      <c r="G46">
        <v>5.0599999999999999E-2</v>
      </c>
      <c r="H46">
        <v>-4.8000000000000001E-2</v>
      </c>
      <c r="J46">
        <v>-18</v>
      </c>
      <c r="L46">
        <v>1.32</v>
      </c>
    </row>
    <row r="47" spans="1:12" x14ac:dyDescent="0.2">
      <c r="A47" t="s">
        <v>428</v>
      </c>
      <c r="B47">
        <v>99</v>
      </c>
      <c r="C47">
        <v>8.4000000000000005E-2</v>
      </c>
      <c r="D47">
        <v>2.1000000000000001E-2</v>
      </c>
      <c r="E47">
        <v>9.3299999999999994E-2</v>
      </c>
      <c r="F47">
        <v>1.84E-2</v>
      </c>
      <c r="G47">
        <v>6.6000000000000003E-2</v>
      </c>
      <c r="H47">
        <v>-8.900000000000001E-2</v>
      </c>
      <c r="I47">
        <v>0.68900000000000006</v>
      </c>
      <c r="J47">
        <v>2.6</v>
      </c>
      <c r="K47">
        <v>98.56</v>
      </c>
      <c r="L47">
        <v>17.559999999999999</v>
      </c>
    </row>
    <row r="48" spans="1:12" x14ac:dyDescent="0.2">
      <c r="A48" t="s">
        <v>429</v>
      </c>
      <c r="B48">
        <v>363</v>
      </c>
      <c r="C48">
        <v>7.2000000000000008E-2</v>
      </c>
      <c r="D48">
        <v>2.9000000000000001E-2</v>
      </c>
      <c r="E48">
        <v>8.2500000000000004E-2</v>
      </c>
      <c r="F48">
        <v>5.5999999999999987E-2</v>
      </c>
      <c r="G48">
        <v>7.4999999999999997E-2</v>
      </c>
      <c r="H48">
        <v>-0.09</v>
      </c>
      <c r="I48">
        <v>0.88</v>
      </c>
      <c r="J48">
        <v>-4.5999999999999996</v>
      </c>
      <c r="K48">
        <v>15.64</v>
      </c>
      <c r="L48">
        <v>100.5</v>
      </c>
    </row>
    <row r="49" spans="1:12" x14ac:dyDescent="0.2">
      <c r="A49" t="s">
        <v>430</v>
      </c>
      <c r="B49">
        <v>25</v>
      </c>
      <c r="C49">
        <v>0.24099999999999999</v>
      </c>
      <c r="D49">
        <v>-2.3E-2</v>
      </c>
      <c r="E49">
        <v>4.0099999999999997E-2</v>
      </c>
      <c r="F49">
        <v>6.2E-2</v>
      </c>
      <c r="G49">
        <v>6.9000000000000006E-2</v>
      </c>
      <c r="H49">
        <v>-9.1999999999999998E-2</v>
      </c>
      <c r="I49">
        <v>0.90170000000000006</v>
      </c>
      <c r="J49">
        <v>0.5</v>
      </c>
      <c r="K49">
        <v>98.56</v>
      </c>
      <c r="L49">
        <v>6.49</v>
      </c>
    </row>
    <row r="50" spans="1:12" x14ac:dyDescent="0.2">
      <c r="A50" t="s">
        <v>431</v>
      </c>
      <c r="B50">
        <v>10</v>
      </c>
      <c r="C50">
        <v>-5.8000000000000003E-2</v>
      </c>
      <c r="E50">
        <v>3.2500000000000001E-2</v>
      </c>
      <c r="F50">
        <v>0.03</v>
      </c>
      <c r="G50">
        <v>9.1999999999999998E-2</v>
      </c>
      <c r="H50">
        <v>-2.8000000000000001E-2</v>
      </c>
      <c r="I50">
        <v>0.51100000000000001</v>
      </c>
      <c r="J50">
        <v>-8.4</v>
      </c>
      <c r="K50">
        <v>551.32000000000005</v>
      </c>
      <c r="L50">
        <v>1.4</v>
      </c>
    </row>
    <row r="51" spans="1:12" x14ac:dyDescent="0.2">
      <c r="A51" t="s">
        <v>432</v>
      </c>
      <c r="B51">
        <v>7</v>
      </c>
      <c r="C51">
        <v>-6.0000000000000001E-3</v>
      </c>
      <c r="F51">
        <v>4.7E-2</v>
      </c>
      <c r="G51">
        <v>7.400000000000001E-2</v>
      </c>
      <c r="H51">
        <v>-5.1999999999999998E-2</v>
      </c>
      <c r="I51">
        <v>0.64</v>
      </c>
      <c r="J51">
        <v>10.1</v>
      </c>
      <c r="K51">
        <v>15</v>
      </c>
      <c r="L51">
        <v>3.21</v>
      </c>
    </row>
    <row r="52" spans="1:12" x14ac:dyDescent="0.2">
      <c r="A52" t="s">
        <v>433</v>
      </c>
      <c r="B52">
        <v>31</v>
      </c>
      <c r="C52">
        <v>8.5999999999999993E-2</v>
      </c>
      <c r="D52">
        <v>6.9999999999999993E-3</v>
      </c>
      <c r="E52">
        <v>0</v>
      </c>
      <c r="F52">
        <v>8.8000000000000009E-2</v>
      </c>
      <c r="G52">
        <v>5.7000000000000002E-2</v>
      </c>
      <c r="H52">
        <v>-4.9000000000000002E-2</v>
      </c>
      <c r="I52">
        <v>0.182</v>
      </c>
      <c r="J52">
        <v>-0.6</v>
      </c>
      <c r="K52">
        <v>1.1100000000000001</v>
      </c>
      <c r="L52">
        <v>1.33</v>
      </c>
    </row>
    <row r="53" spans="1:12" x14ac:dyDescent="0.2">
      <c r="A53" t="s">
        <v>434</v>
      </c>
      <c r="B53">
        <v>108</v>
      </c>
      <c r="C53">
        <v>6.0999999999999999E-2</v>
      </c>
      <c r="E53">
        <v>7.0000000000000007E-2</v>
      </c>
      <c r="F53">
        <v>0.33</v>
      </c>
      <c r="G53">
        <v>0.191</v>
      </c>
      <c r="H53">
        <v>-0.04</v>
      </c>
      <c r="I53">
        <v>0.59</v>
      </c>
      <c r="J53">
        <v>-4.4000000000000004</v>
      </c>
      <c r="K53">
        <v>31.69</v>
      </c>
      <c r="L53">
        <v>115</v>
      </c>
    </row>
    <row r="54" spans="1:12" x14ac:dyDescent="0.2">
      <c r="A54" t="s">
        <v>435</v>
      </c>
      <c r="B54">
        <v>13011</v>
      </c>
      <c r="C54">
        <v>3.9E-2</v>
      </c>
      <c r="D54">
        <v>2.1999999999999999E-2</v>
      </c>
      <c r="E54">
        <v>0</v>
      </c>
      <c r="F54">
        <v>4.9000000000000002E-2</v>
      </c>
      <c r="G54">
        <v>7.2999999999999995E-2</v>
      </c>
      <c r="H54">
        <v>-7.2000000000000008E-2</v>
      </c>
      <c r="I54">
        <v>0.98</v>
      </c>
      <c r="J54">
        <v>3</v>
      </c>
      <c r="K54">
        <v>1.1100000000000001</v>
      </c>
      <c r="L54">
        <v>342.41</v>
      </c>
    </row>
    <row r="55" spans="1:12" x14ac:dyDescent="0.2">
      <c r="A55" t="s">
        <v>436</v>
      </c>
      <c r="B55">
        <v>4</v>
      </c>
      <c r="C55">
        <v>-0.19</v>
      </c>
      <c r="E55">
        <v>2.5000000000000001E-3</v>
      </c>
      <c r="F55">
        <v>8.0000000000000002E-3</v>
      </c>
      <c r="G55">
        <v>4.8000000000000001E-2</v>
      </c>
      <c r="H55">
        <v>-0.06</v>
      </c>
      <c r="I55">
        <v>0.65200000000000002</v>
      </c>
      <c r="J55">
        <v>-13.8</v>
      </c>
      <c r="K55">
        <v>2.17</v>
      </c>
      <c r="L55">
        <v>0.89</v>
      </c>
    </row>
    <row r="56" spans="1:12" x14ac:dyDescent="0.2">
      <c r="A56" t="s">
        <v>437</v>
      </c>
      <c r="B56">
        <v>270</v>
      </c>
      <c r="C56">
        <v>4.2000000000000003E-2</v>
      </c>
      <c r="D56">
        <v>8.0000000000000002E-3</v>
      </c>
      <c r="E56">
        <v>0</v>
      </c>
      <c r="F56">
        <v>3.7000000000000012E-2</v>
      </c>
      <c r="G56">
        <v>0.06</v>
      </c>
      <c r="H56">
        <v>-5.4000000000000013E-2</v>
      </c>
      <c r="I56">
        <v>0.69200000000000006</v>
      </c>
      <c r="J56">
        <v>0.3</v>
      </c>
      <c r="K56">
        <v>1.1100000000000001</v>
      </c>
      <c r="L56">
        <v>5.53</v>
      </c>
    </row>
    <row r="57" spans="1:12" x14ac:dyDescent="0.2">
      <c r="A57" t="s">
        <v>438</v>
      </c>
      <c r="B57">
        <v>2630</v>
      </c>
      <c r="C57">
        <v>3.3000000000000002E-2</v>
      </c>
      <c r="D57">
        <v>0.03</v>
      </c>
      <c r="E57">
        <v>0</v>
      </c>
      <c r="F57">
        <v>2.8000000000000001E-2</v>
      </c>
      <c r="G57">
        <v>8.1000000000000003E-2</v>
      </c>
      <c r="H57">
        <v>-9.1999999999999998E-2</v>
      </c>
      <c r="I57">
        <v>1.157</v>
      </c>
      <c r="J57">
        <v>-1.9</v>
      </c>
      <c r="K57">
        <v>1.1100000000000001</v>
      </c>
      <c r="L57">
        <v>67.290000000000006</v>
      </c>
    </row>
    <row r="58" spans="1:12" x14ac:dyDescent="0.2">
      <c r="A58" t="s">
        <v>439</v>
      </c>
      <c r="B58">
        <v>16</v>
      </c>
      <c r="C58">
        <v>-1.7999999999999999E-2</v>
      </c>
      <c r="E58">
        <v>3.2500000000000001E-2</v>
      </c>
      <c r="F58">
        <v>9.0000000000000011E-3</v>
      </c>
      <c r="G58">
        <v>0.20499999999999999</v>
      </c>
      <c r="H58">
        <v>-0.05</v>
      </c>
      <c r="I58">
        <v>0.72499999999999998</v>
      </c>
      <c r="J58">
        <v>-9.5</v>
      </c>
      <c r="K58">
        <v>551.32000000000005</v>
      </c>
      <c r="L58">
        <v>2.2200000000000002</v>
      </c>
    </row>
    <row r="59" spans="1:12" x14ac:dyDescent="0.2">
      <c r="A59" t="s">
        <v>440</v>
      </c>
      <c r="B59">
        <v>2</v>
      </c>
      <c r="C59">
        <v>-2E-3</v>
      </c>
      <c r="E59">
        <v>0.1</v>
      </c>
      <c r="F59">
        <v>7.3399999999999993E-2</v>
      </c>
      <c r="G59">
        <v>9.6000000000000002E-2</v>
      </c>
      <c r="H59">
        <v>-3.7000000000000012E-2</v>
      </c>
      <c r="I59">
        <v>0.83099999999999996</v>
      </c>
      <c r="J59">
        <v>-8.6</v>
      </c>
      <c r="K59">
        <v>51.35</v>
      </c>
      <c r="L59">
        <v>2.2799999999999998</v>
      </c>
    </row>
    <row r="60" spans="1:12" x14ac:dyDescent="0.2">
      <c r="A60" t="s">
        <v>441</v>
      </c>
      <c r="B60">
        <v>16</v>
      </c>
      <c r="C60">
        <v>9.0999999999999998E-2</v>
      </c>
      <c r="E60">
        <v>0.105</v>
      </c>
      <c r="F60">
        <v>0.125</v>
      </c>
      <c r="G60">
        <v>0.185</v>
      </c>
      <c r="H60">
        <v>-9.3000000000000013E-2</v>
      </c>
      <c r="I60">
        <v>0.57100000000000006</v>
      </c>
      <c r="J60">
        <v>-12.3</v>
      </c>
      <c r="K60">
        <v>2.89</v>
      </c>
      <c r="L60">
        <v>3.73</v>
      </c>
    </row>
    <row r="61" spans="1:12" ht="16" customHeight="1" thickBot="1" x14ac:dyDescent="0.25">
      <c r="A61" t="s">
        <v>442</v>
      </c>
      <c r="B61">
        <v>3846</v>
      </c>
      <c r="C61">
        <v>2.5000000000000001E-2</v>
      </c>
      <c r="D61">
        <v>1.7000000000000001E-2</v>
      </c>
      <c r="E61">
        <v>0</v>
      </c>
      <c r="F61">
        <v>5.1999999999999998E-2</v>
      </c>
      <c r="G61">
        <v>5.2999999999999999E-2</v>
      </c>
      <c r="H61">
        <v>-4.2000000000000003E-2</v>
      </c>
      <c r="I61">
        <v>0.69799999999999995</v>
      </c>
      <c r="J61">
        <v>7</v>
      </c>
      <c r="K61">
        <v>1.1100000000000001</v>
      </c>
      <c r="L61">
        <v>83.17</v>
      </c>
    </row>
    <row r="62" spans="1:12" x14ac:dyDescent="0.2">
      <c r="A62" t="s">
        <v>443</v>
      </c>
      <c r="B62">
        <v>72</v>
      </c>
      <c r="C62">
        <v>6.6000000000000003E-2</v>
      </c>
      <c r="D62">
        <v>1.6E-2</v>
      </c>
      <c r="E62">
        <v>0.14499999999999999</v>
      </c>
      <c r="F62">
        <v>0.122</v>
      </c>
      <c r="G62">
        <v>4.4999999999999998E-2</v>
      </c>
      <c r="H62">
        <v>-0.13800000000000001</v>
      </c>
      <c r="I62">
        <v>0.78</v>
      </c>
      <c r="J62">
        <v>-2.5</v>
      </c>
      <c r="K62">
        <v>5.88</v>
      </c>
      <c r="L62">
        <v>30.96</v>
      </c>
    </row>
    <row r="63" spans="1:12" ht="16" customHeight="1" thickBot="1" x14ac:dyDescent="0.25">
      <c r="A63" t="s">
        <v>444</v>
      </c>
      <c r="B63">
        <v>189</v>
      </c>
      <c r="C63">
        <v>0.13400000000000001</v>
      </c>
      <c r="D63">
        <v>2.7E-2</v>
      </c>
      <c r="E63">
        <v>0</v>
      </c>
      <c r="F63">
        <v>4.8000000000000001E-2</v>
      </c>
      <c r="G63">
        <v>0.13300000000000001</v>
      </c>
      <c r="H63">
        <v>-9.6999999999999989E-2</v>
      </c>
      <c r="I63">
        <v>2.056</v>
      </c>
      <c r="J63">
        <v>-6.7</v>
      </c>
      <c r="K63">
        <v>1.1100000000000001</v>
      </c>
      <c r="L63">
        <v>10.72</v>
      </c>
    </row>
    <row r="64" spans="1:12" x14ac:dyDescent="0.2">
      <c r="A64" t="s">
        <v>445</v>
      </c>
      <c r="B64">
        <v>78</v>
      </c>
      <c r="C64">
        <v>0.15060000000000001</v>
      </c>
      <c r="E64">
        <v>1.7500000000000002E-2</v>
      </c>
      <c r="F64">
        <v>2.8899999999999999E-2</v>
      </c>
      <c r="G64">
        <v>0.02</v>
      </c>
      <c r="H64">
        <v>-4.9000000000000002E-2</v>
      </c>
      <c r="I64">
        <v>0.31259999999999999</v>
      </c>
      <c r="J64">
        <v>5.5</v>
      </c>
      <c r="K64">
        <v>7.7</v>
      </c>
      <c r="L64">
        <v>17.920000000000002</v>
      </c>
    </row>
    <row r="65" spans="1:12" ht="16" customHeight="1" thickBot="1" x14ac:dyDescent="0.25">
      <c r="A65" t="s">
        <v>446</v>
      </c>
      <c r="B65">
        <v>16</v>
      </c>
      <c r="C65">
        <v>7.0000000000000007E-2</v>
      </c>
      <c r="E65">
        <v>0.115</v>
      </c>
      <c r="F65">
        <v>0.127</v>
      </c>
      <c r="G65">
        <v>4.3999999999999997E-2</v>
      </c>
      <c r="H65">
        <v>-3.1E-2</v>
      </c>
      <c r="I65">
        <v>0.4</v>
      </c>
      <c r="J65">
        <v>-13.3</v>
      </c>
      <c r="K65">
        <v>9537</v>
      </c>
      <c r="L65">
        <v>12.56</v>
      </c>
    </row>
    <row r="66" spans="1:12" ht="16" customHeight="1" thickBot="1" x14ac:dyDescent="0.25">
      <c r="A66" t="s">
        <v>447</v>
      </c>
      <c r="B66">
        <v>1</v>
      </c>
      <c r="C66">
        <v>6.8000000000000005E-2</v>
      </c>
      <c r="E66">
        <v>0.04</v>
      </c>
      <c r="F66">
        <v>4.2999999999999997E-2</v>
      </c>
      <c r="G66">
        <v>3.2000000000000001E-2</v>
      </c>
      <c r="H66">
        <v>-7.8E-2</v>
      </c>
      <c r="I66">
        <v>0.36499999999999999</v>
      </c>
      <c r="J66">
        <v>-8.6</v>
      </c>
      <c r="L66">
        <v>1.96</v>
      </c>
    </row>
    <row r="67" spans="1:12" x14ac:dyDescent="0.2">
      <c r="A67" t="s">
        <v>448</v>
      </c>
      <c r="B67">
        <v>5</v>
      </c>
      <c r="C67">
        <v>0.48699999999999999</v>
      </c>
      <c r="E67">
        <v>0.05</v>
      </c>
      <c r="F67">
        <v>5.9900000000000002E-2</v>
      </c>
      <c r="G67">
        <v>0.158</v>
      </c>
      <c r="H67">
        <v>-5.2999999999999999E-2</v>
      </c>
      <c r="I67">
        <v>0.37</v>
      </c>
      <c r="J67">
        <v>-32.79</v>
      </c>
      <c r="K67">
        <v>209.34</v>
      </c>
      <c r="L67">
        <v>0.79</v>
      </c>
    </row>
    <row r="68" spans="1:12" x14ac:dyDescent="0.2">
      <c r="A68" t="s">
        <v>449</v>
      </c>
      <c r="B68">
        <v>13</v>
      </c>
      <c r="C68">
        <v>-3.3000000000000002E-2</v>
      </c>
      <c r="E68">
        <v>0.17</v>
      </c>
      <c r="F68">
        <v>0.1091</v>
      </c>
      <c r="G68">
        <v>0.14499999999999999</v>
      </c>
      <c r="H68">
        <v>-5.8999999999999997E-2</v>
      </c>
      <c r="I68">
        <v>0.54400000000000004</v>
      </c>
      <c r="J68">
        <v>5.5</v>
      </c>
      <c r="K68">
        <v>88.71</v>
      </c>
      <c r="L68">
        <v>11.4</v>
      </c>
    </row>
    <row r="69" spans="1:12" x14ac:dyDescent="0.2">
      <c r="A69" t="s">
        <v>450</v>
      </c>
      <c r="B69">
        <v>24</v>
      </c>
      <c r="C69">
        <v>0.255</v>
      </c>
      <c r="D69">
        <v>2.9000000000000001E-2</v>
      </c>
      <c r="E69">
        <v>0.03</v>
      </c>
      <c r="F69">
        <v>4.9500000000000002E-2</v>
      </c>
      <c r="G69">
        <v>0.109</v>
      </c>
      <c r="H69">
        <v>-6.9000000000000006E-2</v>
      </c>
      <c r="I69">
        <v>0.54859999999999998</v>
      </c>
      <c r="J69">
        <v>4</v>
      </c>
      <c r="K69">
        <v>24.6</v>
      </c>
      <c r="L69">
        <v>9.3000000000000007</v>
      </c>
    </row>
    <row r="70" spans="1:12" ht="16" customHeight="1" thickBot="1" x14ac:dyDescent="0.25">
      <c r="A70" t="s">
        <v>451</v>
      </c>
      <c r="B70">
        <v>347</v>
      </c>
      <c r="C70">
        <v>5.4000000000000013E-2</v>
      </c>
      <c r="D70">
        <v>1E-3</v>
      </c>
      <c r="E70">
        <v>8.6E-3</v>
      </c>
      <c r="F70">
        <v>1.7999999999999999E-2</v>
      </c>
      <c r="G70">
        <v>4.0999999999999988E-2</v>
      </c>
      <c r="H70">
        <v>-0.12</v>
      </c>
      <c r="I70">
        <v>0.38400000000000001</v>
      </c>
      <c r="J70">
        <v>6.6</v>
      </c>
      <c r="K70">
        <v>7.83</v>
      </c>
      <c r="L70">
        <v>7.47</v>
      </c>
    </row>
    <row r="71" spans="1:12" x14ac:dyDescent="0.2">
      <c r="A71" t="s">
        <v>452</v>
      </c>
      <c r="B71">
        <v>155</v>
      </c>
      <c r="C71">
        <v>6.0999999999999999E-2</v>
      </c>
      <c r="D71">
        <v>6.9999999999999993E-3</v>
      </c>
      <c r="E71">
        <v>2.4E-2</v>
      </c>
      <c r="F71">
        <v>7.400000000000001E-2</v>
      </c>
      <c r="G71">
        <v>3.7999999999999999E-2</v>
      </c>
      <c r="H71">
        <v>-8.1000000000000003E-2</v>
      </c>
      <c r="I71">
        <v>0.80400000000000005</v>
      </c>
      <c r="J71">
        <v>0</v>
      </c>
      <c r="K71">
        <v>302.98</v>
      </c>
      <c r="L71">
        <v>9.77</v>
      </c>
    </row>
    <row r="72" spans="1:12" ht="16" customHeight="1" thickBot="1" x14ac:dyDescent="0.25">
      <c r="A72" t="s">
        <v>453</v>
      </c>
      <c r="B72">
        <v>22</v>
      </c>
      <c r="C72">
        <v>0.06</v>
      </c>
      <c r="D72">
        <v>-2.3E-2</v>
      </c>
      <c r="E72">
        <v>0.02</v>
      </c>
      <c r="F72">
        <v>5.0999999999999997E-2</v>
      </c>
      <c r="G72">
        <v>4.2000000000000003E-2</v>
      </c>
      <c r="H72">
        <v>-7.2999999999999995E-2</v>
      </c>
      <c r="I72">
        <v>0.79900000000000004</v>
      </c>
      <c r="J72">
        <v>1</v>
      </c>
      <c r="K72">
        <v>124.24</v>
      </c>
      <c r="L72">
        <v>0.36</v>
      </c>
    </row>
    <row r="73" spans="1:12" ht="16" customHeight="1" thickBot="1" x14ac:dyDescent="0.25">
      <c r="A73" t="s">
        <v>454</v>
      </c>
      <c r="B73">
        <v>2623</v>
      </c>
      <c r="C73">
        <v>8.4000000000000005E-2</v>
      </c>
      <c r="D73">
        <v>0.127</v>
      </c>
      <c r="E73">
        <v>0.04</v>
      </c>
      <c r="F73">
        <v>4.9099999999999998E-2</v>
      </c>
      <c r="G73">
        <v>6.9000000000000006E-2</v>
      </c>
      <c r="H73">
        <v>-9.4E-2</v>
      </c>
      <c r="I73">
        <v>0.73950000000000005</v>
      </c>
      <c r="J73">
        <v>0.9</v>
      </c>
      <c r="K73">
        <v>71.010000000000005</v>
      </c>
      <c r="L73">
        <v>1347.12</v>
      </c>
    </row>
    <row r="74" spans="1:12" x14ac:dyDescent="0.2">
      <c r="A74" t="s">
        <v>455</v>
      </c>
      <c r="B74">
        <v>1058</v>
      </c>
      <c r="C74">
        <v>3.5099999999999999E-2</v>
      </c>
      <c r="D74">
        <v>1.55E-2</v>
      </c>
      <c r="E74">
        <v>3.5000000000000003E-2</v>
      </c>
      <c r="F74">
        <v>1.7500000000000002E-2</v>
      </c>
      <c r="G74">
        <v>6.4899999999999999E-2</v>
      </c>
      <c r="H74">
        <v>-6.5000000000000002E-2</v>
      </c>
      <c r="I74">
        <v>0.38500000000000001</v>
      </c>
      <c r="J74">
        <v>-0.44</v>
      </c>
      <c r="K74">
        <v>14462</v>
      </c>
      <c r="L74">
        <v>270.2</v>
      </c>
    </row>
    <row r="75" spans="1:12" x14ac:dyDescent="0.2">
      <c r="A75" t="s">
        <v>456</v>
      </c>
      <c r="B75">
        <v>192</v>
      </c>
      <c r="C75">
        <v>-6.7000000000000004E-2</v>
      </c>
      <c r="E75">
        <v>0.18</v>
      </c>
      <c r="F75">
        <v>0.35699999999999998</v>
      </c>
      <c r="G75">
        <v>9.6000000000000002E-2</v>
      </c>
      <c r="H75">
        <v>-9.5000000000000001E-2</v>
      </c>
      <c r="I75">
        <v>0.45400000000000001</v>
      </c>
      <c r="J75">
        <v>-0.5</v>
      </c>
      <c r="K75">
        <v>42000</v>
      </c>
      <c r="L75">
        <v>84</v>
      </c>
    </row>
    <row r="76" spans="1:12" x14ac:dyDescent="0.2">
      <c r="A76" t="s">
        <v>457</v>
      </c>
      <c r="B76">
        <v>167</v>
      </c>
      <c r="C76">
        <v>-0.109</v>
      </c>
      <c r="E76">
        <v>0.04</v>
      </c>
      <c r="F76">
        <v>6.8000000000000005E-2</v>
      </c>
      <c r="G76">
        <v>0.13739999999999999</v>
      </c>
      <c r="H76">
        <v>-0.17499999999999999</v>
      </c>
      <c r="I76">
        <v>0.68299999999999994</v>
      </c>
      <c r="J76">
        <v>-12.6</v>
      </c>
      <c r="K76">
        <v>1193.81</v>
      </c>
      <c r="L76">
        <v>40.200000000000003</v>
      </c>
    </row>
    <row r="77" spans="1:12" ht="16" customHeight="1" thickBot="1" x14ac:dyDescent="0.25">
      <c r="A77" t="s">
        <v>458</v>
      </c>
      <c r="B77">
        <v>426</v>
      </c>
      <c r="C77">
        <v>0.114</v>
      </c>
      <c r="D77">
        <v>9.0000000000000011E-3</v>
      </c>
      <c r="E77">
        <v>0</v>
      </c>
      <c r="F77">
        <v>5.2999999999999999E-2</v>
      </c>
      <c r="G77">
        <v>5.1999999999999998E-2</v>
      </c>
      <c r="H77">
        <v>-0.05</v>
      </c>
      <c r="I77">
        <v>0.59499999999999997</v>
      </c>
      <c r="J77">
        <v>4.5999999999999996</v>
      </c>
      <c r="K77">
        <v>1.1100000000000001</v>
      </c>
      <c r="L77">
        <v>4.96</v>
      </c>
    </row>
    <row r="78" spans="1:12" x14ac:dyDescent="0.2">
      <c r="A78" t="s">
        <v>459</v>
      </c>
      <c r="B78">
        <v>402</v>
      </c>
      <c r="C78">
        <v>5.8999999999999997E-2</v>
      </c>
      <c r="D78">
        <v>6.0000000000000001E-3</v>
      </c>
      <c r="E78">
        <v>1E-3</v>
      </c>
      <c r="F78">
        <v>2.4E-2</v>
      </c>
      <c r="G78">
        <v>0.05</v>
      </c>
      <c r="H78">
        <v>-0.11700000000000001</v>
      </c>
      <c r="I78">
        <v>0.71099999999999997</v>
      </c>
      <c r="J78">
        <v>4.9000000000000004</v>
      </c>
      <c r="K78">
        <v>3.28</v>
      </c>
      <c r="L78">
        <v>9.2899999999999991</v>
      </c>
    </row>
    <row r="79" spans="1:12" x14ac:dyDescent="0.2">
      <c r="A79" t="s">
        <v>460</v>
      </c>
      <c r="B79">
        <v>1886</v>
      </c>
      <c r="C79">
        <v>3.9E-2</v>
      </c>
      <c r="D79">
        <v>2.5999999999999999E-2</v>
      </c>
      <c r="E79">
        <v>0</v>
      </c>
      <c r="F79">
        <v>3.7000000000000012E-2</v>
      </c>
      <c r="G79">
        <v>9.4E-2</v>
      </c>
      <c r="H79">
        <v>-9.5000000000000001E-2</v>
      </c>
      <c r="I79">
        <v>1.5580000000000001</v>
      </c>
      <c r="J79">
        <v>3.6</v>
      </c>
      <c r="K79">
        <v>1.1100000000000001</v>
      </c>
      <c r="L79">
        <v>59.64</v>
      </c>
    </row>
    <row r="80" spans="1:12" ht="16" customHeight="1" thickBot="1" x14ac:dyDescent="0.25">
      <c r="A80" t="s">
        <v>461</v>
      </c>
      <c r="B80">
        <v>61</v>
      </c>
      <c r="C80">
        <v>8.1000000000000003E-2</v>
      </c>
      <c r="E80">
        <v>0.04</v>
      </c>
      <c r="F80">
        <v>4.4999999999999998E-2</v>
      </c>
      <c r="G80">
        <v>3.5000000000000003E-2</v>
      </c>
      <c r="H80">
        <v>-5.5E-2</v>
      </c>
      <c r="I80">
        <v>0.3</v>
      </c>
      <c r="J80">
        <v>-3.7</v>
      </c>
      <c r="K80">
        <v>588.96</v>
      </c>
      <c r="L80">
        <v>26.37</v>
      </c>
    </row>
    <row r="81" spans="1:12" ht="16" customHeight="1" thickBot="1" x14ac:dyDescent="0.25">
      <c r="A81" t="s">
        <v>462</v>
      </c>
      <c r="B81">
        <v>14</v>
      </c>
      <c r="C81">
        <v>0.14199999999999999</v>
      </c>
      <c r="D81">
        <v>2.4E-2</v>
      </c>
      <c r="E81">
        <v>2.5000000000000001E-2</v>
      </c>
      <c r="F81">
        <v>8.5000000000000006E-2</v>
      </c>
      <c r="G81">
        <v>8.5000000000000006E-2</v>
      </c>
      <c r="H81">
        <v>-3.9E-2</v>
      </c>
      <c r="I81">
        <v>1.101</v>
      </c>
      <c r="J81">
        <v>0.2</v>
      </c>
      <c r="K81">
        <v>133.91</v>
      </c>
      <c r="L81">
        <v>2.96</v>
      </c>
    </row>
    <row r="82" spans="1:12" ht="16" customHeight="1" thickBot="1" x14ac:dyDescent="0.25">
      <c r="A82" t="s">
        <v>463</v>
      </c>
      <c r="B82">
        <v>4975</v>
      </c>
      <c r="C82">
        <v>1.4E-2</v>
      </c>
      <c r="D82">
        <v>-9.0000000000000011E-3</v>
      </c>
      <c r="E82">
        <v>-1E-3</v>
      </c>
      <c r="F82">
        <v>1E-3</v>
      </c>
      <c r="G82">
        <v>2.7E-2</v>
      </c>
      <c r="H82">
        <v>-0.126</v>
      </c>
      <c r="I82">
        <v>2.6619999999999999</v>
      </c>
      <c r="J82">
        <v>3.2</v>
      </c>
      <c r="K82">
        <v>108.19</v>
      </c>
      <c r="L82">
        <v>125.67</v>
      </c>
    </row>
    <row r="83" spans="1:12" x14ac:dyDescent="0.2">
      <c r="A83" t="s">
        <v>464</v>
      </c>
      <c r="B83">
        <v>44</v>
      </c>
      <c r="C83">
        <v>3.2000000000000001E-2</v>
      </c>
      <c r="E83">
        <v>2.5000000000000001E-2</v>
      </c>
      <c r="F83">
        <v>1.7000000000000001E-2</v>
      </c>
      <c r="G83">
        <v>0.23200000000000001</v>
      </c>
      <c r="H83">
        <v>-7.0000000000000007E-2</v>
      </c>
      <c r="I83">
        <v>0.92400000000000004</v>
      </c>
      <c r="J83">
        <v>-8</v>
      </c>
      <c r="K83">
        <v>0.71</v>
      </c>
      <c r="L83">
        <v>10.86</v>
      </c>
    </row>
    <row r="84" spans="1:12" x14ac:dyDescent="0.2">
      <c r="A84" t="s">
        <v>465</v>
      </c>
      <c r="B84">
        <v>170</v>
      </c>
      <c r="C84">
        <v>3.5000000000000003E-2</v>
      </c>
      <c r="D84">
        <v>1.26E-2</v>
      </c>
      <c r="E84">
        <v>9.7500000000000003E-2</v>
      </c>
      <c r="F84">
        <v>8.6999999999999994E-2</v>
      </c>
      <c r="G84">
        <v>4.9000000000000002E-2</v>
      </c>
      <c r="H84">
        <v>-0.04</v>
      </c>
      <c r="I84">
        <v>0.23400000000000001</v>
      </c>
      <c r="J84">
        <v>-3.7</v>
      </c>
      <c r="K84">
        <v>427.38</v>
      </c>
      <c r="L84">
        <v>18.88</v>
      </c>
    </row>
    <row r="85" spans="1:12" x14ac:dyDescent="0.2">
      <c r="A85" t="s">
        <v>466</v>
      </c>
      <c r="B85">
        <v>99</v>
      </c>
      <c r="C85">
        <v>0.10100000000000001</v>
      </c>
      <c r="D85">
        <v>2.01E-2</v>
      </c>
      <c r="E85">
        <v>7.0000000000000007E-2</v>
      </c>
      <c r="F85">
        <v>5.8000000000000003E-2</v>
      </c>
      <c r="G85">
        <v>6.6000000000000003E-2</v>
      </c>
      <c r="H85">
        <v>-7.8E-2</v>
      </c>
      <c r="I85">
        <v>0.65599999999999992</v>
      </c>
      <c r="J85">
        <v>-4.8</v>
      </c>
      <c r="K85">
        <v>107.9</v>
      </c>
      <c r="L85">
        <v>53.7</v>
      </c>
    </row>
    <row r="86" spans="1:12" x14ac:dyDescent="0.2">
      <c r="A86" t="s">
        <v>467</v>
      </c>
      <c r="B86">
        <v>8</v>
      </c>
      <c r="C86">
        <v>0.1628</v>
      </c>
      <c r="F86">
        <v>6.9000000000000006E-2</v>
      </c>
      <c r="G86">
        <v>0.25800000000000001</v>
      </c>
      <c r="H86">
        <v>-9.9000000000000005E-2</v>
      </c>
      <c r="I86">
        <v>0.218</v>
      </c>
      <c r="J86">
        <v>-7.2</v>
      </c>
      <c r="K86">
        <v>462.8</v>
      </c>
      <c r="L86">
        <v>1.78</v>
      </c>
    </row>
    <row r="87" spans="1:12" x14ac:dyDescent="0.2">
      <c r="A87" t="s">
        <v>468</v>
      </c>
      <c r="B87">
        <v>136</v>
      </c>
      <c r="C87">
        <v>-0.112</v>
      </c>
      <c r="D87">
        <v>4.7E-2</v>
      </c>
      <c r="E87">
        <v>1.4999999999999999E-2</v>
      </c>
      <c r="F87">
        <v>3.3599999999999998E-2</v>
      </c>
      <c r="G87">
        <v>2.3E-2</v>
      </c>
      <c r="H87">
        <v>-9.4E-2</v>
      </c>
      <c r="I87">
        <v>0.115</v>
      </c>
      <c r="J87">
        <v>0.8</v>
      </c>
      <c r="K87">
        <v>0.3</v>
      </c>
      <c r="L87">
        <v>4.2699999999999996</v>
      </c>
    </row>
    <row r="88" spans="1:12" x14ac:dyDescent="0.2">
      <c r="A88" t="s">
        <v>469</v>
      </c>
      <c r="B88">
        <v>8</v>
      </c>
      <c r="C88">
        <v>1E-3</v>
      </c>
      <c r="E88">
        <v>0.08</v>
      </c>
      <c r="F88">
        <v>0.123</v>
      </c>
      <c r="G88">
        <v>3.1E-2</v>
      </c>
      <c r="H88">
        <v>8.0000000000000002E-3</v>
      </c>
      <c r="I88">
        <v>0.68099999999999994</v>
      </c>
      <c r="J88">
        <v>4.3</v>
      </c>
      <c r="K88">
        <v>69.989999999999995</v>
      </c>
      <c r="L88">
        <v>6.64</v>
      </c>
    </row>
    <row r="89" spans="1:12" ht="16" customHeight="1" thickBot="1" x14ac:dyDescent="0.25">
      <c r="A89" t="s">
        <v>470</v>
      </c>
      <c r="B89">
        <v>19</v>
      </c>
      <c r="C89">
        <v>4.0000000000000001E-3</v>
      </c>
      <c r="E89">
        <v>0.03</v>
      </c>
      <c r="F89">
        <v>4.7199999999999999E-2</v>
      </c>
      <c r="G89">
        <v>0.01</v>
      </c>
      <c r="H89">
        <v>-5.2200000000000003E-2</v>
      </c>
      <c r="I89">
        <v>0.55659999999999998</v>
      </c>
      <c r="J89">
        <v>-0.6</v>
      </c>
      <c r="K89">
        <v>9485</v>
      </c>
      <c r="L89">
        <v>7.3</v>
      </c>
    </row>
    <row r="90" spans="1:12" x14ac:dyDescent="0.2">
      <c r="A90" t="s">
        <v>471</v>
      </c>
      <c r="B90">
        <v>34</v>
      </c>
      <c r="C90">
        <v>5.0999999999999997E-2</v>
      </c>
      <c r="D90">
        <v>6.0000000000000001E-3</v>
      </c>
      <c r="E90">
        <v>0</v>
      </c>
      <c r="F90">
        <v>7.4999999999999997E-2</v>
      </c>
      <c r="G90">
        <v>7.2000000000000008E-2</v>
      </c>
      <c r="H90">
        <v>-4.4999999999999998E-2</v>
      </c>
      <c r="I90">
        <v>0.435</v>
      </c>
      <c r="J90">
        <v>3</v>
      </c>
      <c r="K90">
        <v>1.1100000000000001</v>
      </c>
      <c r="L90">
        <v>1.91</v>
      </c>
    </row>
    <row r="91" spans="1:12" x14ac:dyDescent="0.2">
      <c r="A91" t="s">
        <v>472</v>
      </c>
      <c r="B91">
        <v>33</v>
      </c>
      <c r="C91">
        <v>-0.20300000000000001</v>
      </c>
      <c r="E91">
        <v>0.1</v>
      </c>
      <c r="F91">
        <v>2.0106999999999999</v>
      </c>
      <c r="G91">
        <v>6.6000000000000003E-2</v>
      </c>
      <c r="H91">
        <v>-0.16500000000000001</v>
      </c>
      <c r="I91">
        <v>1.7170000000000001</v>
      </c>
      <c r="J91">
        <v>-22.2</v>
      </c>
      <c r="K91">
        <v>1512</v>
      </c>
      <c r="L91">
        <v>6.8</v>
      </c>
    </row>
    <row r="92" spans="1:12" ht="16" customHeight="1" thickBot="1" x14ac:dyDescent="0.25">
      <c r="A92" t="s">
        <v>473</v>
      </c>
      <c r="B92">
        <v>2</v>
      </c>
      <c r="C92">
        <v>0.127</v>
      </c>
      <c r="D92">
        <v>1.6400000000000001E-2</v>
      </c>
      <c r="E92">
        <v>3.5000000000000003E-2</v>
      </c>
      <c r="F92">
        <v>5.4000000000000013E-2</v>
      </c>
      <c r="G92">
        <v>0.247</v>
      </c>
      <c r="H92">
        <v>-2.8000000000000001E-2</v>
      </c>
      <c r="I92">
        <v>0.69599999999999995</v>
      </c>
      <c r="J92">
        <v>-2.1</v>
      </c>
      <c r="K92">
        <v>14.36</v>
      </c>
      <c r="L92">
        <v>2.14</v>
      </c>
    </row>
    <row r="93" spans="1:12" ht="16" customHeight="1" thickBot="1" x14ac:dyDescent="0.25">
      <c r="A93" t="s">
        <v>474</v>
      </c>
      <c r="B93">
        <v>3</v>
      </c>
      <c r="C93">
        <v>-0.03</v>
      </c>
      <c r="E93">
        <v>0.2</v>
      </c>
      <c r="F93">
        <v>7.0000000000000007E-2</v>
      </c>
      <c r="G93">
        <v>2.7E-2</v>
      </c>
      <c r="H93">
        <v>-0.03</v>
      </c>
      <c r="I93">
        <v>0.52100000000000002</v>
      </c>
      <c r="J93">
        <v>-17.8</v>
      </c>
      <c r="K93">
        <v>186.3</v>
      </c>
      <c r="L93">
        <v>5.57</v>
      </c>
    </row>
    <row r="94" spans="1:12" x14ac:dyDescent="0.2">
      <c r="A94" t="s">
        <v>475</v>
      </c>
      <c r="B94">
        <v>25</v>
      </c>
      <c r="C94">
        <v>-0.60299999999999998</v>
      </c>
      <c r="E94">
        <v>0.03</v>
      </c>
      <c r="F94">
        <v>2.0799999999999999E-2</v>
      </c>
      <c r="G94">
        <v>0.18629999999999999</v>
      </c>
      <c r="H94">
        <v>-1.03</v>
      </c>
      <c r="I94">
        <v>1.55</v>
      </c>
      <c r="J94">
        <v>9.3000000000000007</v>
      </c>
      <c r="K94">
        <v>1.39</v>
      </c>
      <c r="L94">
        <v>6.87</v>
      </c>
    </row>
    <row r="95" spans="1:12" ht="16" customHeight="1" thickBot="1" x14ac:dyDescent="0.25">
      <c r="A95" t="s">
        <v>476</v>
      </c>
      <c r="B95">
        <v>7</v>
      </c>
      <c r="C95">
        <v>-6.9999999999999993E-3</v>
      </c>
      <c r="F95">
        <v>9.0000000000000011E-3</v>
      </c>
      <c r="G95">
        <v>1.9E-2</v>
      </c>
      <c r="K95">
        <v>0.92</v>
      </c>
      <c r="L95">
        <v>0.04</v>
      </c>
    </row>
    <row r="96" spans="1:12" x14ac:dyDescent="0.2">
      <c r="A96" t="s">
        <v>477</v>
      </c>
      <c r="B96">
        <v>56</v>
      </c>
      <c r="C96">
        <v>4.7E-2</v>
      </c>
      <c r="D96">
        <v>-2.9999999999999997E-4</v>
      </c>
      <c r="E96">
        <v>0</v>
      </c>
      <c r="F96">
        <v>9.1999999999999998E-2</v>
      </c>
      <c r="G96">
        <v>0.109</v>
      </c>
      <c r="H96">
        <v>-7.400000000000001E-2</v>
      </c>
      <c r="I96">
        <v>0.47299999999999998</v>
      </c>
      <c r="J96">
        <v>8.3000000000000007</v>
      </c>
      <c r="K96">
        <v>1.1100000000000001</v>
      </c>
      <c r="L96">
        <v>2.79</v>
      </c>
    </row>
    <row r="97" spans="1:12" x14ac:dyDescent="0.2">
      <c r="A97" t="s">
        <v>478</v>
      </c>
      <c r="B97">
        <v>73</v>
      </c>
      <c r="C97">
        <v>5.2999999999999999E-2</v>
      </c>
      <c r="D97">
        <v>9.0000000000000011E-3</v>
      </c>
      <c r="E97">
        <v>0</v>
      </c>
      <c r="F97">
        <v>4.4999999999999998E-2</v>
      </c>
      <c r="G97">
        <v>5.2999999999999999E-2</v>
      </c>
      <c r="H97">
        <v>-4.0999999999999988E-2</v>
      </c>
      <c r="I97">
        <v>0.249</v>
      </c>
      <c r="J97">
        <v>4.3</v>
      </c>
      <c r="K97">
        <v>1.1100000000000001</v>
      </c>
      <c r="L97">
        <v>0.63</v>
      </c>
    </row>
    <row r="98" spans="1:12" x14ac:dyDescent="0.2">
      <c r="A98" t="s">
        <v>479</v>
      </c>
      <c r="B98">
        <v>55</v>
      </c>
      <c r="C98">
        <v>0.32900000000000001</v>
      </c>
      <c r="E98">
        <v>5.0000000000000001E-3</v>
      </c>
      <c r="F98">
        <v>1.21E-2</v>
      </c>
      <c r="G98">
        <v>2.8000000000000001E-2</v>
      </c>
      <c r="J98">
        <v>33.6</v>
      </c>
      <c r="K98">
        <v>8.0299999999999994</v>
      </c>
      <c r="L98">
        <v>0.68</v>
      </c>
    </row>
    <row r="99" spans="1:12" x14ac:dyDescent="0.2">
      <c r="A99" t="s">
        <v>480</v>
      </c>
      <c r="B99">
        <v>12</v>
      </c>
      <c r="C99">
        <v>0.03</v>
      </c>
      <c r="D99">
        <v>3.9E-2</v>
      </c>
      <c r="E99">
        <v>1.2500000000000001E-2</v>
      </c>
      <c r="F99">
        <v>4.8000000000000001E-2</v>
      </c>
      <c r="G99">
        <v>0.157</v>
      </c>
      <c r="H99">
        <v>-8.1000000000000003E-2</v>
      </c>
      <c r="I99">
        <v>0.51200000000000001</v>
      </c>
      <c r="J99">
        <v>-3.5</v>
      </c>
      <c r="K99">
        <v>51.93</v>
      </c>
      <c r="L99">
        <v>2.08</v>
      </c>
    </row>
    <row r="100" spans="1:12" x14ac:dyDescent="0.2">
      <c r="A100" t="s">
        <v>481</v>
      </c>
      <c r="B100">
        <v>14</v>
      </c>
      <c r="C100">
        <v>-0.04</v>
      </c>
      <c r="E100">
        <v>9.5000000000000001E-2</v>
      </c>
      <c r="F100">
        <v>6.2899999999999998E-2</v>
      </c>
      <c r="G100">
        <v>1.9E-2</v>
      </c>
      <c r="H100">
        <v>-6.3E-2</v>
      </c>
      <c r="I100">
        <v>0.44800000000000001</v>
      </c>
      <c r="J100">
        <v>-3.5</v>
      </c>
      <c r="K100">
        <v>3680.5</v>
      </c>
      <c r="L100">
        <v>27.69</v>
      </c>
    </row>
    <row r="101" spans="1:12" ht="16" customHeight="1" thickBot="1" x14ac:dyDescent="0.25">
      <c r="A101" t="s">
        <v>482</v>
      </c>
      <c r="B101">
        <v>12</v>
      </c>
      <c r="C101">
        <v>9.0000000000000011E-3</v>
      </c>
      <c r="E101">
        <v>0.12</v>
      </c>
      <c r="F101">
        <v>0.111</v>
      </c>
      <c r="G101">
        <v>0.06</v>
      </c>
      <c r="H101">
        <v>-5.7000000000000002E-2</v>
      </c>
      <c r="I101">
        <v>0.50700000000000001</v>
      </c>
      <c r="J101">
        <v>-12.7</v>
      </c>
      <c r="K101">
        <v>734.11</v>
      </c>
      <c r="L101">
        <v>19.13</v>
      </c>
    </row>
    <row r="102" spans="1:12" x14ac:dyDescent="0.2">
      <c r="A102" t="s">
        <v>483</v>
      </c>
      <c r="B102">
        <v>337</v>
      </c>
      <c r="C102">
        <v>-4.4999999999999998E-2</v>
      </c>
      <c r="D102">
        <v>-3.5999999999999997E-2</v>
      </c>
      <c r="E102">
        <v>1.7500000000000002E-2</v>
      </c>
      <c r="F102">
        <v>3.3000000000000002E-2</v>
      </c>
      <c r="G102">
        <v>4.2999999999999997E-2</v>
      </c>
      <c r="H102">
        <v>-3.2000000000000001E-2</v>
      </c>
      <c r="I102">
        <v>0.60699999999999998</v>
      </c>
      <c r="J102">
        <v>1</v>
      </c>
      <c r="K102">
        <v>4.1900000000000004</v>
      </c>
      <c r="L102">
        <v>32.729999999999997</v>
      </c>
    </row>
    <row r="103" spans="1:12" ht="16" customHeight="1" thickBot="1" x14ac:dyDescent="0.25">
      <c r="A103" t="s">
        <v>484</v>
      </c>
      <c r="B103">
        <v>4</v>
      </c>
      <c r="C103">
        <v>-8.5999999999999993E-2</v>
      </c>
      <c r="E103">
        <v>7.0000000000000007E-2</v>
      </c>
      <c r="F103">
        <v>-2E-3</v>
      </c>
      <c r="G103">
        <v>6.4000000000000001E-2</v>
      </c>
      <c r="H103">
        <v>-0.27500000000000002</v>
      </c>
      <c r="I103">
        <v>0.52600000000000002</v>
      </c>
      <c r="J103">
        <v>-29.2</v>
      </c>
      <c r="K103">
        <v>15.46</v>
      </c>
      <c r="L103">
        <v>0.56000000000000005</v>
      </c>
    </row>
    <row r="104" spans="1:12" x14ac:dyDescent="0.2">
      <c r="A104" t="s">
        <v>485</v>
      </c>
      <c r="B104">
        <v>17</v>
      </c>
      <c r="C104">
        <v>6.3E-2</v>
      </c>
      <c r="E104">
        <v>0.04</v>
      </c>
      <c r="F104">
        <v>2.9000000000000001E-2</v>
      </c>
      <c r="G104">
        <v>7.4999999999999997E-2</v>
      </c>
      <c r="H104">
        <v>-6.0999999999999999E-2</v>
      </c>
      <c r="J104">
        <v>-1.7</v>
      </c>
      <c r="K104">
        <v>588.96</v>
      </c>
      <c r="L104">
        <v>20.25</v>
      </c>
    </row>
    <row r="105" spans="1:12" x14ac:dyDescent="0.2">
      <c r="A105" t="s">
        <v>486</v>
      </c>
      <c r="B105">
        <v>15</v>
      </c>
      <c r="C105">
        <v>9.6999999999999989E-2</v>
      </c>
      <c r="D105">
        <v>-5.0000000000000001E-3</v>
      </c>
      <c r="E105">
        <v>0</v>
      </c>
      <c r="F105">
        <v>2.4E-2</v>
      </c>
      <c r="G105">
        <v>3.5999999999999997E-2</v>
      </c>
      <c r="H105">
        <v>-0.10100000000000001</v>
      </c>
      <c r="I105">
        <v>0.54299999999999993</v>
      </c>
      <c r="J105">
        <v>-4</v>
      </c>
      <c r="K105">
        <v>1.1100000000000001</v>
      </c>
      <c r="L105">
        <v>0.51</v>
      </c>
    </row>
    <row r="106" spans="1:12" x14ac:dyDescent="0.2">
      <c r="A106" t="s">
        <v>487</v>
      </c>
      <c r="B106">
        <v>8</v>
      </c>
      <c r="C106">
        <v>-3.5999999999999997E-2</v>
      </c>
      <c r="E106">
        <v>0.05</v>
      </c>
      <c r="F106">
        <v>4.7E-2</v>
      </c>
      <c r="G106">
        <v>0.107</v>
      </c>
      <c r="H106">
        <v>2.1999999999999999E-2</v>
      </c>
      <c r="I106">
        <v>0.53100000000000003</v>
      </c>
      <c r="J106">
        <v>-7</v>
      </c>
      <c r="K106">
        <v>357.3</v>
      </c>
      <c r="L106">
        <v>4.6500000000000004</v>
      </c>
    </row>
    <row r="107" spans="1:12" x14ac:dyDescent="0.2">
      <c r="A107" t="s">
        <v>488</v>
      </c>
      <c r="B107">
        <v>11</v>
      </c>
      <c r="C107">
        <v>0.188</v>
      </c>
      <c r="D107">
        <v>-0.09</v>
      </c>
      <c r="E107">
        <v>1.8499999999999999E-2</v>
      </c>
      <c r="F107">
        <v>6.4000000000000001E-2</v>
      </c>
      <c r="G107">
        <v>0.105</v>
      </c>
      <c r="H107">
        <v>-0.13600000000000001</v>
      </c>
      <c r="I107">
        <v>0.7340000000000001</v>
      </c>
      <c r="J107">
        <v>-10.1</v>
      </c>
      <c r="K107">
        <v>42.9</v>
      </c>
      <c r="L107">
        <v>1.27</v>
      </c>
    </row>
    <row r="108" spans="1:12" ht="16" customHeight="1" thickBot="1" x14ac:dyDescent="0.25">
      <c r="A108" t="s">
        <v>489</v>
      </c>
      <c r="B108">
        <v>1076</v>
      </c>
      <c r="C108">
        <v>4.4999999999999998E-2</v>
      </c>
      <c r="D108">
        <v>-4.0000000000000001E-3</v>
      </c>
      <c r="E108">
        <v>5.5E-2</v>
      </c>
      <c r="F108">
        <v>7.3700000000000002E-2</v>
      </c>
      <c r="G108">
        <v>3.9E-2</v>
      </c>
      <c r="H108">
        <v>-4.5999999999999999E-2</v>
      </c>
      <c r="I108">
        <v>0.52100000000000002</v>
      </c>
      <c r="J108">
        <v>2.4</v>
      </c>
      <c r="K108">
        <v>19.36</v>
      </c>
      <c r="L108">
        <v>126.01</v>
      </c>
    </row>
    <row r="109" spans="1:12" x14ac:dyDescent="0.2">
      <c r="A109" t="s">
        <v>490</v>
      </c>
      <c r="B109">
        <v>12</v>
      </c>
      <c r="C109">
        <v>8.3000000000000004E-2</v>
      </c>
      <c r="D109">
        <v>-3.3000000000000002E-2</v>
      </c>
      <c r="E109">
        <v>6.5000000000000002E-2</v>
      </c>
      <c r="F109">
        <v>0.1244</v>
      </c>
      <c r="G109">
        <v>2.5000000000000001E-2</v>
      </c>
      <c r="H109">
        <v>-0.08</v>
      </c>
      <c r="I109">
        <v>0.32900000000000001</v>
      </c>
      <c r="J109">
        <v>-6.7</v>
      </c>
      <c r="K109">
        <v>17.97</v>
      </c>
      <c r="L109">
        <v>2.61</v>
      </c>
    </row>
    <row r="110" spans="1:12" ht="16" customHeight="1" thickBot="1" x14ac:dyDescent="0.25">
      <c r="A110" t="s">
        <v>491</v>
      </c>
      <c r="B110">
        <v>8</v>
      </c>
      <c r="C110">
        <v>7.4999999999999997E-2</v>
      </c>
      <c r="K110">
        <v>1.1100000000000001</v>
      </c>
      <c r="L110">
        <v>0.04</v>
      </c>
    </row>
    <row r="111" spans="1:12" x14ac:dyDescent="0.2">
      <c r="A111" t="s">
        <v>492</v>
      </c>
      <c r="B111">
        <v>13</v>
      </c>
      <c r="C111">
        <v>3.5999999999999997E-2</v>
      </c>
      <c r="D111">
        <v>6.0999999999999999E-2</v>
      </c>
      <c r="E111">
        <v>0.06</v>
      </c>
      <c r="F111">
        <v>0.105</v>
      </c>
      <c r="G111">
        <v>8.4000000000000005E-2</v>
      </c>
      <c r="H111">
        <v>-0.115</v>
      </c>
      <c r="I111">
        <v>0.66</v>
      </c>
      <c r="J111">
        <v>-12.3</v>
      </c>
      <c r="K111">
        <v>2728</v>
      </c>
      <c r="L111">
        <v>3.27</v>
      </c>
    </row>
    <row r="112" spans="1:12" x14ac:dyDescent="0.2">
      <c r="A112" t="s">
        <v>493</v>
      </c>
      <c r="B112">
        <v>5</v>
      </c>
      <c r="C112">
        <v>0.25800000000000001</v>
      </c>
      <c r="F112">
        <v>4.3999999999999997E-2</v>
      </c>
      <c r="G112">
        <v>0.23810000000000001</v>
      </c>
      <c r="H112">
        <v>-0.10100000000000001</v>
      </c>
      <c r="I112">
        <v>1.0327999999999999</v>
      </c>
      <c r="J112">
        <v>-25.9</v>
      </c>
      <c r="K112">
        <v>1.1100000000000001</v>
      </c>
      <c r="L112">
        <v>0.62</v>
      </c>
    </row>
    <row r="113" spans="1:12" ht="16" customHeight="1" thickBot="1" x14ac:dyDescent="0.25">
      <c r="A113" t="s">
        <v>494</v>
      </c>
      <c r="B113">
        <v>113</v>
      </c>
      <c r="C113">
        <v>0.152</v>
      </c>
      <c r="D113">
        <v>1.0999999999999999E-2</v>
      </c>
      <c r="E113">
        <v>1.4999999999999999E-2</v>
      </c>
      <c r="F113">
        <v>2.5999999999999999E-2</v>
      </c>
      <c r="G113">
        <v>0.11799999999999999</v>
      </c>
      <c r="H113">
        <v>-7.5999999999999998E-2</v>
      </c>
      <c r="I113">
        <v>0.76400000000000001</v>
      </c>
      <c r="J113">
        <v>-1.5</v>
      </c>
      <c r="K113">
        <v>8.9600000000000009</v>
      </c>
      <c r="L113">
        <v>35.950000000000003</v>
      </c>
    </row>
    <row r="114" spans="1:12" ht="16" customHeight="1" thickBot="1" x14ac:dyDescent="0.25">
      <c r="A114" t="s">
        <v>495</v>
      </c>
      <c r="B114">
        <v>14</v>
      </c>
      <c r="C114">
        <v>3.3599999999999998E-2</v>
      </c>
      <c r="D114">
        <v>0.02</v>
      </c>
      <c r="E114">
        <v>0.13250000000000001</v>
      </c>
      <c r="F114">
        <v>6.7699999999999996E-2</v>
      </c>
      <c r="G114">
        <v>0.25040000000000001</v>
      </c>
      <c r="H114">
        <v>-0.11700000000000001</v>
      </c>
      <c r="I114">
        <v>1.22</v>
      </c>
      <c r="J114">
        <v>-30.8</v>
      </c>
      <c r="K114">
        <v>63</v>
      </c>
      <c r="L114">
        <v>30.83</v>
      </c>
    </row>
    <row r="115" spans="1:12" x14ac:dyDescent="0.2">
      <c r="A115" t="s">
        <v>496</v>
      </c>
      <c r="B115">
        <v>76</v>
      </c>
      <c r="C115">
        <v>-0.1</v>
      </c>
      <c r="E115">
        <v>7.0000000000000007E-2</v>
      </c>
      <c r="F115">
        <v>6.5099999999999991E-2</v>
      </c>
      <c r="G115">
        <v>1.7899999999999999E-2</v>
      </c>
      <c r="H115">
        <v>-5.5999999999999987E-2</v>
      </c>
      <c r="I115">
        <v>0.42399999999999999</v>
      </c>
      <c r="J115">
        <v>-4</v>
      </c>
      <c r="K115">
        <v>1500</v>
      </c>
      <c r="L115">
        <v>54.53</v>
      </c>
    </row>
    <row r="116" spans="1:12" ht="16" customHeight="1" thickBot="1" x14ac:dyDescent="0.25">
      <c r="A116" t="s">
        <v>497</v>
      </c>
      <c r="B116">
        <v>11</v>
      </c>
      <c r="C116">
        <v>2.4E-2</v>
      </c>
      <c r="D116">
        <v>-1.3899999999999999E-2</v>
      </c>
      <c r="E116">
        <v>3.7499999999999999E-2</v>
      </c>
      <c r="F116">
        <v>4.0999999999999988E-2</v>
      </c>
      <c r="G116">
        <v>0.33400000000000002</v>
      </c>
      <c r="H116">
        <v>-9.5000000000000001E-2</v>
      </c>
      <c r="I116">
        <v>0.69599999999999995</v>
      </c>
      <c r="J116">
        <v>1.9</v>
      </c>
      <c r="K116">
        <v>14.72</v>
      </c>
      <c r="L116">
        <v>2.5</v>
      </c>
    </row>
    <row r="117" spans="1:12" ht="16" customHeight="1" thickBot="1" x14ac:dyDescent="0.25">
      <c r="A117" t="s">
        <v>498</v>
      </c>
      <c r="B117">
        <v>34</v>
      </c>
      <c r="C117">
        <v>0.04</v>
      </c>
      <c r="E117">
        <v>0.05</v>
      </c>
      <c r="F117">
        <v>5.3199999999999997E-2</v>
      </c>
      <c r="G117">
        <v>4.4400000000000002E-2</v>
      </c>
      <c r="H117">
        <v>-5.4000000000000013E-2</v>
      </c>
      <c r="I117">
        <v>0.377</v>
      </c>
      <c r="J117">
        <v>-0.9</v>
      </c>
      <c r="K117">
        <v>113.59</v>
      </c>
      <c r="L117">
        <v>29.13</v>
      </c>
    </row>
    <row r="118" spans="1:12" ht="16" customHeight="1" thickBot="1" x14ac:dyDescent="0.25">
      <c r="A118" t="s">
        <v>499</v>
      </c>
      <c r="B118">
        <v>914</v>
      </c>
      <c r="C118">
        <v>0.05</v>
      </c>
      <c r="D118">
        <v>1.9E-2</v>
      </c>
      <c r="E118">
        <v>0</v>
      </c>
      <c r="F118">
        <v>5.1999999999999998E-2</v>
      </c>
      <c r="G118">
        <v>2.7E-2</v>
      </c>
      <c r="H118">
        <v>-4.2999999999999997E-2</v>
      </c>
      <c r="I118">
        <v>0.54500000000000004</v>
      </c>
      <c r="J118">
        <v>7.8</v>
      </c>
      <c r="K118">
        <v>1.1100000000000001</v>
      </c>
      <c r="L118">
        <v>17.41</v>
      </c>
    </row>
    <row r="119" spans="1:12" ht="16" customHeight="1" thickBot="1" x14ac:dyDescent="0.25">
      <c r="A119" t="s">
        <v>500</v>
      </c>
      <c r="B119">
        <v>10</v>
      </c>
      <c r="C119">
        <v>-1.2E-2</v>
      </c>
      <c r="E119">
        <v>2.5000000000000001E-3</v>
      </c>
      <c r="F119">
        <v>6.3E-3</v>
      </c>
      <c r="G119">
        <v>0.16500000000000001</v>
      </c>
      <c r="K119">
        <v>107</v>
      </c>
      <c r="L119">
        <v>0.27</v>
      </c>
    </row>
    <row r="120" spans="1:12" ht="16" customHeight="1" thickBot="1" x14ac:dyDescent="0.25">
      <c r="A120" t="s">
        <v>501</v>
      </c>
      <c r="B120">
        <v>211</v>
      </c>
      <c r="C120">
        <v>-3.0000000000000001E-3</v>
      </c>
      <c r="D120">
        <v>-3.7000000000000012E-2</v>
      </c>
      <c r="E120">
        <v>7.4999999999999997E-3</v>
      </c>
      <c r="F120">
        <v>4.9000000000000002E-2</v>
      </c>
      <c r="G120">
        <v>3.4000000000000002E-2</v>
      </c>
      <c r="H120">
        <v>-1.2999999999999999E-2</v>
      </c>
      <c r="I120">
        <v>0.30099999999999999</v>
      </c>
      <c r="J120">
        <v>-2.7</v>
      </c>
      <c r="K120">
        <v>0.63</v>
      </c>
      <c r="L120">
        <v>5.1100000000000003</v>
      </c>
    </row>
    <row r="121" spans="1:12" ht="16" customHeight="1" thickBot="1" x14ac:dyDescent="0.25">
      <c r="A121" t="s">
        <v>502</v>
      </c>
      <c r="B121">
        <v>13</v>
      </c>
      <c r="C121">
        <v>0.16700000000000001</v>
      </c>
      <c r="E121">
        <v>8.6199999999999999E-2</v>
      </c>
      <c r="F121">
        <v>6.4100000000000004E-2</v>
      </c>
      <c r="G121">
        <v>4.9000000000000002E-2</v>
      </c>
      <c r="H121">
        <v>-0.01</v>
      </c>
      <c r="I121">
        <v>0.64800000000000002</v>
      </c>
      <c r="J121">
        <v>7.6</v>
      </c>
      <c r="K121">
        <v>33.47</v>
      </c>
      <c r="L121">
        <v>6.67</v>
      </c>
    </row>
    <row r="122" spans="1:12" ht="16" customHeight="1" thickBot="1" x14ac:dyDescent="0.25">
      <c r="A122" t="s">
        <v>503</v>
      </c>
      <c r="B122">
        <v>14</v>
      </c>
      <c r="C122">
        <v>6.9000000000000006E-2</v>
      </c>
      <c r="E122">
        <v>0.04</v>
      </c>
      <c r="F122">
        <v>3.61E-2</v>
      </c>
      <c r="G122">
        <v>6.9999999999999993E-3</v>
      </c>
      <c r="H122">
        <v>-5.7000000000000002E-2</v>
      </c>
      <c r="I122">
        <v>0.39800000000000002</v>
      </c>
      <c r="J122">
        <v>-12</v>
      </c>
      <c r="K122">
        <v>588.96</v>
      </c>
      <c r="L122">
        <v>24.2</v>
      </c>
    </row>
    <row r="123" spans="1:12" x14ac:dyDescent="0.2">
      <c r="A123" t="s">
        <v>504</v>
      </c>
      <c r="B123">
        <v>432</v>
      </c>
      <c r="C123">
        <v>0.04</v>
      </c>
      <c r="D123">
        <v>0.111</v>
      </c>
      <c r="E123">
        <v>0.115</v>
      </c>
      <c r="F123">
        <v>0.154</v>
      </c>
      <c r="G123">
        <v>0.33300000000000002</v>
      </c>
      <c r="H123">
        <v>-3.7999999999999999E-2</v>
      </c>
      <c r="I123">
        <v>0.34979999999999989</v>
      </c>
      <c r="J123">
        <v>-4.2</v>
      </c>
      <c r="K123">
        <v>411</v>
      </c>
      <c r="L123">
        <v>206.14</v>
      </c>
    </row>
    <row r="124" spans="1:12" ht="16" customHeight="1" thickBot="1" x14ac:dyDescent="0.25">
      <c r="A124" t="s">
        <v>505</v>
      </c>
      <c r="B124">
        <v>363</v>
      </c>
      <c r="C124">
        <v>5.0999999999999997E-2</v>
      </c>
      <c r="D124">
        <v>3.7999999999999999E-2</v>
      </c>
      <c r="E124">
        <v>5.0000000000000001E-3</v>
      </c>
      <c r="F124">
        <v>5.0999999999999997E-2</v>
      </c>
      <c r="G124">
        <v>4.2000000000000003E-2</v>
      </c>
      <c r="H124">
        <v>-3.4000000000000002E-2</v>
      </c>
      <c r="I124">
        <v>0.46</v>
      </c>
      <c r="J124">
        <v>2</v>
      </c>
      <c r="K124">
        <v>8.93</v>
      </c>
      <c r="L124">
        <v>5.37</v>
      </c>
    </row>
    <row r="125" spans="1:12" ht="16" customHeight="1" thickBot="1" x14ac:dyDescent="0.25">
      <c r="A125" t="s">
        <v>506</v>
      </c>
      <c r="B125">
        <v>76</v>
      </c>
      <c r="C125">
        <v>-6.3E-2</v>
      </c>
      <c r="E125">
        <v>5.0000000000000001E-3</v>
      </c>
      <c r="F125">
        <v>3.56E-2</v>
      </c>
      <c r="G125">
        <v>0.05</v>
      </c>
      <c r="H125">
        <v>-7.0000000000000007E-2</v>
      </c>
      <c r="I125">
        <v>0.55899999999999994</v>
      </c>
      <c r="J125">
        <v>-5.2</v>
      </c>
      <c r="K125">
        <v>0.38</v>
      </c>
      <c r="L125">
        <v>4.5</v>
      </c>
    </row>
    <row r="126" spans="1:12" ht="16" customHeight="1" thickBot="1" x14ac:dyDescent="0.25">
      <c r="A126" t="s">
        <v>507</v>
      </c>
      <c r="B126">
        <v>264</v>
      </c>
      <c r="C126">
        <v>3.9399999999999998E-2</v>
      </c>
      <c r="D126">
        <v>5.79E-2</v>
      </c>
      <c r="E126">
        <v>9.7500000000000003E-2</v>
      </c>
      <c r="F126">
        <v>0.115</v>
      </c>
      <c r="G126">
        <v>4.3999999999999997E-2</v>
      </c>
      <c r="H126">
        <v>-8.1000000000000003E-2</v>
      </c>
      <c r="I126">
        <v>0.87</v>
      </c>
      <c r="J126">
        <v>-0.6</v>
      </c>
      <c r="K126">
        <v>159</v>
      </c>
      <c r="L126">
        <v>221</v>
      </c>
    </row>
    <row r="127" spans="1:12" x14ac:dyDescent="0.2">
      <c r="A127" t="s">
        <v>508</v>
      </c>
      <c r="B127">
        <v>16</v>
      </c>
      <c r="C127">
        <v>0.19</v>
      </c>
      <c r="F127">
        <v>1.38E-2</v>
      </c>
      <c r="G127">
        <v>0.27</v>
      </c>
      <c r="H127">
        <v>-5.0000000000000001E-3</v>
      </c>
      <c r="I127">
        <v>0.16400000000000001</v>
      </c>
      <c r="J127">
        <v>-6.9</v>
      </c>
      <c r="L127">
        <v>5.0999999999999996</v>
      </c>
    </row>
    <row r="128" spans="1:12" ht="16" customHeight="1" thickBot="1" x14ac:dyDescent="0.25">
      <c r="A128" t="s">
        <v>509</v>
      </c>
      <c r="B128">
        <v>53</v>
      </c>
      <c r="C128">
        <v>0.255</v>
      </c>
      <c r="E128">
        <v>1.3599999999999999E-2</v>
      </c>
      <c r="F128">
        <v>3.3599999999999998E-2</v>
      </c>
      <c r="G128">
        <v>0.185</v>
      </c>
      <c r="H128">
        <v>-9.2300000000000007E-2</v>
      </c>
      <c r="I128">
        <v>0.69819999999999993</v>
      </c>
      <c r="J128">
        <v>2.2999999999999998</v>
      </c>
      <c r="K128">
        <v>1</v>
      </c>
      <c r="L128">
        <v>4.3</v>
      </c>
    </row>
    <row r="129" spans="1:12" x14ac:dyDescent="0.2">
      <c r="A129" t="s">
        <v>510</v>
      </c>
      <c r="B129">
        <v>24</v>
      </c>
      <c r="C129">
        <v>-3.7999999999999999E-2</v>
      </c>
      <c r="E129">
        <v>0.03</v>
      </c>
      <c r="F129">
        <v>3.3099999999999997E-2</v>
      </c>
      <c r="G129">
        <v>2.7E-2</v>
      </c>
      <c r="H129">
        <v>-8.1000000000000003E-2</v>
      </c>
      <c r="I129">
        <v>0.48899999999999999</v>
      </c>
      <c r="J129">
        <v>16.899999999999999</v>
      </c>
      <c r="K129">
        <v>3.41</v>
      </c>
      <c r="L129">
        <v>8.9499999999999993</v>
      </c>
    </row>
    <row r="130" spans="1:12" x14ac:dyDescent="0.2">
      <c r="A130" t="s">
        <v>511</v>
      </c>
      <c r="B130">
        <v>35</v>
      </c>
      <c r="C130">
        <v>6.9000000000000006E-2</v>
      </c>
      <c r="D130">
        <v>0</v>
      </c>
      <c r="E130">
        <v>5.2499999999999998E-2</v>
      </c>
      <c r="F130">
        <v>7.400000000000001E-2</v>
      </c>
      <c r="G130">
        <v>8.5999999999999993E-2</v>
      </c>
      <c r="H130">
        <v>-7.2999999999999995E-2</v>
      </c>
      <c r="I130">
        <v>0.33900000000000002</v>
      </c>
      <c r="J130">
        <v>2.2000000000000002</v>
      </c>
      <c r="K130">
        <v>6838.31</v>
      </c>
      <c r="L130">
        <v>7.25</v>
      </c>
    </row>
    <row r="131" spans="1:12" ht="16" customHeight="1" thickBot="1" x14ac:dyDescent="0.25">
      <c r="A131" t="s">
        <v>512</v>
      </c>
      <c r="B131">
        <v>202</v>
      </c>
      <c r="C131">
        <v>0.114</v>
      </c>
      <c r="D131">
        <v>2.8000000000000001E-2</v>
      </c>
      <c r="E131">
        <v>2.5000000000000001E-2</v>
      </c>
      <c r="F131">
        <v>5.6599999999999998E-2</v>
      </c>
      <c r="G131">
        <v>9.0999999999999998E-2</v>
      </c>
      <c r="H131">
        <v>-8.900000000000001E-2</v>
      </c>
      <c r="I131">
        <v>0.35399999999999998</v>
      </c>
      <c r="J131">
        <v>0.7</v>
      </c>
      <c r="K131">
        <v>3.96</v>
      </c>
      <c r="L131">
        <v>32.630000000000003</v>
      </c>
    </row>
    <row r="132" spans="1:12" x14ac:dyDescent="0.2">
      <c r="A132" t="s">
        <v>513</v>
      </c>
      <c r="B132">
        <v>361</v>
      </c>
      <c r="C132">
        <v>7.0999999999999994E-2</v>
      </c>
      <c r="D132">
        <v>3.7999999999999999E-2</v>
      </c>
      <c r="E132">
        <v>0.02</v>
      </c>
      <c r="F132">
        <v>4.2000000000000003E-2</v>
      </c>
      <c r="G132">
        <v>7.400000000000001E-2</v>
      </c>
      <c r="H132">
        <v>-7.4999999999999997E-2</v>
      </c>
      <c r="I132">
        <v>0.53500000000000003</v>
      </c>
      <c r="J132">
        <v>3.6</v>
      </c>
      <c r="K132">
        <v>50.07</v>
      </c>
      <c r="L132">
        <v>109.6</v>
      </c>
    </row>
    <row r="133" spans="1:12" x14ac:dyDescent="0.2">
      <c r="A133" t="s">
        <v>514</v>
      </c>
      <c r="B133">
        <v>594</v>
      </c>
      <c r="C133">
        <v>5.2999999999999999E-2</v>
      </c>
      <c r="D133">
        <v>2.3E-2</v>
      </c>
      <c r="E133">
        <v>1.7500000000000002E-2</v>
      </c>
      <c r="F133">
        <v>7.8E-2</v>
      </c>
      <c r="G133">
        <v>5.5E-2</v>
      </c>
      <c r="H133">
        <v>-7.0000000000000007E-2</v>
      </c>
      <c r="I133">
        <v>0.57499999999999996</v>
      </c>
      <c r="J133">
        <v>3.6</v>
      </c>
      <c r="K133">
        <v>3.89</v>
      </c>
      <c r="L133">
        <v>37.96</v>
      </c>
    </row>
    <row r="134" spans="1:12" x14ac:dyDescent="0.2">
      <c r="A134" t="s">
        <v>515</v>
      </c>
      <c r="B134">
        <v>231</v>
      </c>
      <c r="C134">
        <v>4.2000000000000003E-2</v>
      </c>
      <c r="D134">
        <v>2.9000000000000001E-2</v>
      </c>
      <c r="E134">
        <v>0</v>
      </c>
      <c r="F134">
        <v>2.5999999999999999E-2</v>
      </c>
      <c r="G134">
        <v>6.0999999999999999E-2</v>
      </c>
      <c r="H134">
        <v>-5.7000000000000002E-2</v>
      </c>
      <c r="I134">
        <v>1.3360000000000001</v>
      </c>
      <c r="J134">
        <v>-1.2</v>
      </c>
      <c r="K134">
        <v>1.1100000000000001</v>
      </c>
      <c r="L134">
        <v>10.3</v>
      </c>
    </row>
    <row r="135" spans="1:12" x14ac:dyDescent="0.2">
      <c r="A135" t="s">
        <v>516</v>
      </c>
      <c r="B135">
        <v>103</v>
      </c>
      <c r="C135">
        <v>-3.2000000000000001E-2</v>
      </c>
      <c r="F135">
        <v>3.5000000000000003E-2</v>
      </c>
      <c r="G135">
        <v>7.2000000000000008E-2</v>
      </c>
      <c r="K135">
        <v>98.56</v>
      </c>
      <c r="L135">
        <v>3.19</v>
      </c>
    </row>
    <row r="136" spans="1:12" ht="16" customHeight="1" thickBot="1" x14ac:dyDescent="0.25">
      <c r="A136" t="s">
        <v>517</v>
      </c>
      <c r="B136">
        <v>146</v>
      </c>
      <c r="C136">
        <v>0.04</v>
      </c>
      <c r="D136">
        <v>-3.0000000000000001E-3</v>
      </c>
      <c r="E136">
        <v>2.5000000000000001E-2</v>
      </c>
      <c r="F136">
        <v>6.0900000000000003E-2</v>
      </c>
      <c r="G136">
        <v>1E-3</v>
      </c>
      <c r="H136">
        <v>-2.1000000000000001E-2</v>
      </c>
      <c r="I136">
        <v>0.71799999999999997</v>
      </c>
      <c r="J136">
        <v>-2.5</v>
      </c>
      <c r="K136">
        <v>3.7</v>
      </c>
      <c r="L136">
        <v>2.88</v>
      </c>
    </row>
    <row r="137" spans="1:12" x14ac:dyDescent="0.2">
      <c r="A137" t="s">
        <v>518</v>
      </c>
      <c r="B137">
        <v>11</v>
      </c>
      <c r="C137">
        <v>-7.9000000000000001E-2</v>
      </c>
      <c r="E137">
        <v>3.2500000000000001E-2</v>
      </c>
      <c r="F137">
        <v>1.0999999999999999E-2</v>
      </c>
      <c r="G137">
        <v>0.10299999999999999</v>
      </c>
      <c r="H137">
        <v>-0.02</v>
      </c>
      <c r="I137">
        <v>1.0167999999999999</v>
      </c>
      <c r="J137">
        <v>8.1999999999999993</v>
      </c>
      <c r="K137">
        <v>551.32000000000005</v>
      </c>
      <c r="L137">
        <v>5.52</v>
      </c>
    </row>
    <row r="138" spans="1:12" ht="16" customHeight="1" thickBot="1" x14ac:dyDescent="0.25">
      <c r="A138" t="s">
        <v>519</v>
      </c>
      <c r="B138">
        <v>249</v>
      </c>
      <c r="C138">
        <v>7.400000000000001E-2</v>
      </c>
      <c r="D138">
        <v>4.0000000000000001E-3</v>
      </c>
      <c r="E138">
        <v>1.7500000000000002E-2</v>
      </c>
      <c r="F138">
        <v>7.8E-2</v>
      </c>
      <c r="G138">
        <v>5.2999999999999999E-2</v>
      </c>
      <c r="H138">
        <v>-9.1999999999999998E-2</v>
      </c>
      <c r="I138">
        <v>0.47299999999999998</v>
      </c>
      <c r="J138">
        <v>-5.0999999999999996</v>
      </c>
      <c r="K138">
        <v>4.18</v>
      </c>
      <c r="L138">
        <v>19.329999999999998</v>
      </c>
    </row>
    <row r="139" spans="1:12" ht="16" customHeight="1" thickBot="1" x14ac:dyDescent="0.25">
      <c r="A139" t="s">
        <v>520</v>
      </c>
      <c r="B139">
        <v>1484</v>
      </c>
      <c r="C139">
        <v>4.2999999999999997E-2</v>
      </c>
      <c r="D139">
        <v>-8.0000000000000002E-3</v>
      </c>
      <c r="E139">
        <v>8.5000000000000006E-2</v>
      </c>
      <c r="F139">
        <v>8.4000000000000005E-2</v>
      </c>
      <c r="G139">
        <v>4.2999999999999997E-2</v>
      </c>
      <c r="H139">
        <v>-3.7999999999999999E-2</v>
      </c>
      <c r="I139">
        <v>0.17799999999999999</v>
      </c>
      <c r="J139">
        <v>2.4</v>
      </c>
      <c r="K139">
        <v>64.349999999999994</v>
      </c>
      <c r="L139">
        <v>146.19999999999999</v>
      </c>
    </row>
    <row r="140" spans="1:12" x14ac:dyDescent="0.2">
      <c r="A140" t="s">
        <v>521</v>
      </c>
      <c r="B140">
        <v>10</v>
      </c>
      <c r="C140">
        <v>0.10100000000000001</v>
      </c>
      <c r="D140">
        <v>1.2E-2</v>
      </c>
      <c r="E140">
        <v>4.4999999999999998E-2</v>
      </c>
      <c r="F140">
        <v>-3.4000000000000002E-2</v>
      </c>
      <c r="G140">
        <v>0.23499999999999999</v>
      </c>
      <c r="H140">
        <v>-8.3000000000000004E-2</v>
      </c>
      <c r="I140">
        <v>0.61</v>
      </c>
      <c r="J140">
        <v>-10</v>
      </c>
      <c r="K140">
        <v>934.59</v>
      </c>
      <c r="L140">
        <v>12.66</v>
      </c>
    </row>
    <row r="141" spans="1:12" x14ac:dyDescent="0.2">
      <c r="A141" t="s">
        <v>522</v>
      </c>
      <c r="B141">
        <v>0</v>
      </c>
      <c r="C141">
        <v>-6.4000000000000001E-2</v>
      </c>
      <c r="E141">
        <v>0.09</v>
      </c>
      <c r="F141">
        <v>8.4000000000000005E-2</v>
      </c>
      <c r="G141">
        <v>0.13900000000000001</v>
      </c>
      <c r="H141">
        <v>-0.05</v>
      </c>
      <c r="I141">
        <v>1.03</v>
      </c>
      <c r="J141">
        <v>-9.3000000000000007</v>
      </c>
      <c r="K141">
        <v>20.8</v>
      </c>
      <c r="L141">
        <v>0.21</v>
      </c>
    </row>
    <row r="142" spans="1:12" x14ac:dyDescent="0.2">
      <c r="A142" t="s">
        <v>523</v>
      </c>
      <c r="B142">
        <v>700</v>
      </c>
      <c r="C142">
        <v>7.0000000000000007E-2</v>
      </c>
      <c r="D142">
        <v>5.7000000000000002E-2</v>
      </c>
      <c r="E142">
        <v>0.01</v>
      </c>
      <c r="F142">
        <v>1.0999999999999999E-2</v>
      </c>
      <c r="G142">
        <v>6.6000000000000003E-2</v>
      </c>
      <c r="H142">
        <v>-0.112</v>
      </c>
      <c r="I142">
        <v>0.32500000000000001</v>
      </c>
      <c r="J142">
        <v>-2.8</v>
      </c>
      <c r="K142">
        <v>3.75</v>
      </c>
      <c r="L142">
        <v>35</v>
      </c>
    </row>
    <row r="143" spans="1:12" x14ac:dyDescent="0.2">
      <c r="A143" t="s">
        <v>524</v>
      </c>
      <c r="B143">
        <v>25</v>
      </c>
      <c r="C143">
        <v>0.109</v>
      </c>
      <c r="D143">
        <v>9.0000000000000011E-3</v>
      </c>
      <c r="E143">
        <v>0.04</v>
      </c>
      <c r="F143">
        <v>0.03</v>
      </c>
      <c r="G143">
        <v>0.22600000000000001</v>
      </c>
      <c r="H143">
        <v>-0.06</v>
      </c>
      <c r="I143">
        <v>0.47699999999999998</v>
      </c>
      <c r="J143">
        <v>-10.3</v>
      </c>
      <c r="K143">
        <v>588.96</v>
      </c>
      <c r="L143">
        <v>16.7</v>
      </c>
    </row>
    <row r="144" spans="1:12" x14ac:dyDescent="0.2">
      <c r="A144" t="s">
        <v>525</v>
      </c>
      <c r="B144">
        <v>53</v>
      </c>
      <c r="C144">
        <v>7.6999999999999999E-2</v>
      </c>
      <c r="D144">
        <v>1.6E-2</v>
      </c>
      <c r="E144">
        <v>0.01</v>
      </c>
      <c r="F144">
        <v>7.4999999999999997E-2</v>
      </c>
      <c r="G144">
        <v>0.105</v>
      </c>
      <c r="H144">
        <v>-8.4000000000000005E-2</v>
      </c>
      <c r="I144">
        <v>0.57399999999999995</v>
      </c>
      <c r="J144">
        <v>-4.3</v>
      </c>
      <c r="K144">
        <v>105.49</v>
      </c>
      <c r="L144">
        <v>6.93</v>
      </c>
    </row>
    <row r="145" spans="1:12" ht="16" customHeight="1" thickBot="1" x14ac:dyDescent="0.25">
      <c r="A145" t="s">
        <v>526</v>
      </c>
      <c r="B145">
        <v>1</v>
      </c>
      <c r="C145">
        <v>0.14299999999999999</v>
      </c>
      <c r="E145">
        <v>0.02</v>
      </c>
      <c r="F145">
        <v>9.3699999999999992E-2</v>
      </c>
      <c r="G145">
        <v>0.04</v>
      </c>
      <c r="H145">
        <v>-0.191</v>
      </c>
      <c r="I145">
        <v>0.94</v>
      </c>
      <c r="J145">
        <v>-27.4</v>
      </c>
      <c r="K145">
        <v>13.7</v>
      </c>
      <c r="L145">
        <v>0.1</v>
      </c>
    </row>
    <row r="146" spans="1:12" ht="16" customHeight="1" thickBot="1" x14ac:dyDescent="0.25">
      <c r="A146" t="s">
        <v>527</v>
      </c>
      <c r="B146">
        <v>4</v>
      </c>
      <c r="C146">
        <v>-2.7E-2</v>
      </c>
      <c r="E146">
        <v>0.14000000000000001</v>
      </c>
      <c r="F146">
        <v>0.14549999999999999</v>
      </c>
      <c r="G146">
        <v>4.5999999999999999E-2</v>
      </c>
      <c r="H146">
        <v>-5.7000000000000002E-2</v>
      </c>
      <c r="I146">
        <v>0.71900000000000008</v>
      </c>
      <c r="J146">
        <v>-15.6</v>
      </c>
      <c r="K146">
        <v>9800</v>
      </c>
      <c r="L146">
        <v>7.98</v>
      </c>
    </row>
    <row r="147" spans="1:12" ht="16" customHeight="1" thickBot="1" x14ac:dyDescent="0.25">
      <c r="A147" t="s">
        <v>528</v>
      </c>
      <c r="B147">
        <v>340</v>
      </c>
      <c r="C147">
        <v>7.0999999999999994E-2</v>
      </c>
      <c r="D147">
        <v>1.2999999999999999E-2</v>
      </c>
      <c r="E147">
        <v>2.2000000000000001E-3</v>
      </c>
      <c r="F147">
        <v>3.2000000000000001E-2</v>
      </c>
      <c r="G147">
        <v>2.5999999999999999E-2</v>
      </c>
      <c r="H147">
        <v>-0.13900000000000001</v>
      </c>
      <c r="I147">
        <v>1.31</v>
      </c>
      <c r="J147">
        <v>17.600000000000001</v>
      </c>
      <c r="K147">
        <v>1.37</v>
      </c>
      <c r="L147">
        <v>5.7</v>
      </c>
    </row>
    <row r="148" spans="1:12" ht="16" customHeight="1" thickBot="1" x14ac:dyDescent="0.25">
      <c r="A148" t="s">
        <v>529</v>
      </c>
      <c r="B148">
        <v>105</v>
      </c>
      <c r="C148">
        <v>1.2999999999999999E-2</v>
      </c>
      <c r="D148">
        <v>4.0000000000000001E-3</v>
      </c>
      <c r="E148">
        <v>0</v>
      </c>
      <c r="F148">
        <v>5.5999999999999987E-2</v>
      </c>
      <c r="G148">
        <v>6.6000000000000003E-2</v>
      </c>
      <c r="H148">
        <v>-6.2E-2</v>
      </c>
      <c r="I148">
        <v>0.60599999999999998</v>
      </c>
      <c r="J148">
        <v>-0.4</v>
      </c>
      <c r="K148">
        <v>1.1100000000000001</v>
      </c>
      <c r="L148">
        <v>5.46</v>
      </c>
    </row>
    <row r="149" spans="1:12" x14ac:dyDescent="0.2">
      <c r="A149" t="s">
        <v>530</v>
      </c>
      <c r="B149">
        <v>54</v>
      </c>
      <c r="C149">
        <v>0.05</v>
      </c>
      <c r="D149">
        <v>1.2999999999999999E-2</v>
      </c>
      <c r="E149">
        <v>0</v>
      </c>
      <c r="F149">
        <v>4.5999999999999999E-2</v>
      </c>
      <c r="G149">
        <v>6.8000000000000005E-2</v>
      </c>
      <c r="H149">
        <v>-8.4000000000000005E-2</v>
      </c>
      <c r="I149">
        <v>0.80799999999999994</v>
      </c>
      <c r="J149">
        <v>7.1</v>
      </c>
      <c r="K149">
        <v>1.1100000000000001</v>
      </c>
      <c r="L149">
        <v>2.1</v>
      </c>
    </row>
    <row r="150" spans="1:12" ht="16" customHeight="1" thickBot="1" x14ac:dyDescent="0.25">
      <c r="A150" t="s">
        <v>531</v>
      </c>
      <c r="B150">
        <v>5</v>
      </c>
      <c r="C150">
        <v>-1.4999999999999999E-2</v>
      </c>
      <c r="F150">
        <v>5.0299999999999997E-2</v>
      </c>
      <c r="K150">
        <v>578.5</v>
      </c>
      <c r="L150">
        <v>15.89</v>
      </c>
    </row>
    <row r="151" spans="1:12" ht="16" customHeight="1" thickBot="1" x14ac:dyDescent="0.25">
      <c r="A151" t="s">
        <v>532</v>
      </c>
      <c r="B151">
        <v>302</v>
      </c>
      <c r="C151">
        <v>2.9000000000000001E-2</v>
      </c>
      <c r="D151">
        <v>-1.4999999999999999E-2</v>
      </c>
      <c r="E151">
        <v>3.7499999999999999E-2</v>
      </c>
      <c r="F151">
        <v>5.5E-2</v>
      </c>
      <c r="G151">
        <v>0.34899999999999998</v>
      </c>
      <c r="H151">
        <v>-0.1</v>
      </c>
      <c r="I151">
        <v>0.80299999999999994</v>
      </c>
      <c r="J151">
        <v>2.2000000000000002</v>
      </c>
      <c r="K151">
        <v>14.73</v>
      </c>
      <c r="L151">
        <v>59.3</v>
      </c>
    </row>
    <row r="152" spans="1:12" ht="16" customHeight="1" thickBot="1" x14ac:dyDescent="0.25">
      <c r="A152" t="s">
        <v>533</v>
      </c>
      <c r="B152">
        <v>1631</v>
      </c>
      <c r="C152">
        <v>0.04</v>
      </c>
      <c r="D152">
        <v>3.0000000000000001E-3</v>
      </c>
      <c r="E152">
        <v>0.01</v>
      </c>
      <c r="F152">
        <v>3.7000000000000012E-2</v>
      </c>
      <c r="G152">
        <v>3.1E-2</v>
      </c>
      <c r="H152">
        <v>-6.0999999999999999E-2</v>
      </c>
      <c r="I152">
        <v>0.42599999999999999</v>
      </c>
      <c r="J152">
        <v>3.5</v>
      </c>
      <c r="K152">
        <v>1145.8499999999999</v>
      </c>
      <c r="L152">
        <v>51.78</v>
      </c>
    </row>
    <row r="153" spans="1:12" ht="16" customHeight="1" thickBot="1" x14ac:dyDescent="0.25">
      <c r="A153" t="s">
        <v>534</v>
      </c>
      <c r="B153">
        <v>1</v>
      </c>
      <c r="C153">
        <v>-3.5999999999999997E-2</v>
      </c>
      <c r="E153">
        <v>0.15</v>
      </c>
      <c r="F153">
        <v>5.8099999999999999E-2</v>
      </c>
      <c r="G153">
        <v>0.127</v>
      </c>
      <c r="K153">
        <v>175.31</v>
      </c>
      <c r="L153">
        <v>11.19</v>
      </c>
    </row>
    <row r="154" spans="1:12" ht="16" customHeight="1" thickBot="1" x14ac:dyDescent="0.25">
      <c r="A154" t="s">
        <v>535</v>
      </c>
      <c r="B154">
        <v>1281</v>
      </c>
      <c r="C154">
        <v>2.7E-2</v>
      </c>
      <c r="D154">
        <v>0.02</v>
      </c>
      <c r="E154">
        <v>0</v>
      </c>
      <c r="F154">
        <v>5.5E-2</v>
      </c>
      <c r="G154">
        <v>0.1457</v>
      </c>
      <c r="H154">
        <v>-0.11</v>
      </c>
      <c r="I154">
        <v>1.2</v>
      </c>
      <c r="J154">
        <v>0.7</v>
      </c>
      <c r="K154">
        <v>1.1100000000000001</v>
      </c>
      <c r="L154">
        <v>47.33</v>
      </c>
    </row>
    <row r="155" spans="1:12" ht="16" customHeight="1" thickBot="1" x14ac:dyDescent="0.25">
      <c r="A155" t="s">
        <v>536</v>
      </c>
      <c r="B155">
        <v>81</v>
      </c>
      <c r="C155">
        <v>-1.4999999999999999E-2</v>
      </c>
      <c r="D155">
        <v>1.4E-2</v>
      </c>
      <c r="E155">
        <v>0.05</v>
      </c>
      <c r="F155">
        <v>9.9000000000000005E-2</v>
      </c>
      <c r="G155">
        <v>5.0999999999999997E-2</v>
      </c>
      <c r="H155">
        <v>-0.111</v>
      </c>
      <c r="I155">
        <v>1.01</v>
      </c>
      <c r="J155">
        <v>-1.3</v>
      </c>
      <c r="K155">
        <v>199</v>
      </c>
      <c r="L155">
        <v>21.92</v>
      </c>
    </row>
    <row r="156" spans="1:12" ht="16" customHeight="1" thickBot="1" x14ac:dyDescent="0.25">
      <c r="A156" t="s">
        <v>537</v>
      </c>
      <c r="B156">
        <v>26</v>
      </c>
      <c r="C156">
        <v>-8.4000000000000005E-2</v>
      </c>
      <c r="E156">
        <v>0.17100000000000001</v>
      </c>
      <c r="F156">
        <v>3.3959999999999999</v>
      </c>
      <c r="G156">
        <v>0.17699999999999999</v>
      </c>
      <c r="H156">
        <v>-0.124</v>
      </c>
      <c r="I156">
        <v>2.5939999999999999</v>
      </c>
      <c r="J156">
        <v>-12.6</v>
      </c>
      <c r="K156">
        <v>45.11</v>
      </c>
      <c r="L156">
        <v>43.85</v>
      </c>
    </row>
    <row r="157" spans="1:12" ht="16" customHeight="1" thickBot="1" x14ac:dyDescent="0.25">
      <c r="A157" t="s">
        <v>538</v>
      </c>
      <c r="B157">
        <v>4</v>
      </c>
      <c r="C157">
        <v>-0.13400000000000001</v>
      </c>
      <c r="E157">
        <v>0.1</v>
      </c>
      <c r="F157">
        <v>0.69499999999999995</v>
      </c>
      <c r="G157">
        <v>0.112</v>
      </c>
      <c r="H157">
        <v>-0.129</v>
      </c>
      <c r="I157">
        <v>1.1140000000000001</v>
      </c>
      <c r="J157">
        <v>11.4</v>
      </c>
      <c r="K157">
        <v>7.46</v>
      </c>
      <c r="L157">
        <v>0.59</v>
      </c>
    </row>
    <row r="158" spans="1:12" ht="16" customHeight="1" thickBot="1" x14ac:dyDescent="0.25">
      <c r="A158" t="s">
        <v>539</v>
      </c>
      <c r="B158">
        <v>4</v>
      </c>
      <c r="C158">
        <v>-2.4E-2</v>
      </c>
      <c r="E158">
        <v>3.7499999999999999E-2</v>
      </c>
      <c r="F158">
        <v>3.3000000000000002E-2</v>
      </c>
      <c r="G158">
        <v>0.23400000000000001</v>
      </c>
      <c r="H158">
        <v>-4.5999999999999999E-2</v>
      </c>
      <c r="I158">
        <v>0.15490000000000001</v>
      </c>
      <c r="J158">
        <v>7</v>
      </c>
      <c r="K158">
        <v>14.36</v>
      </c>
      <c r="L158">
        <v>1.1599999999999999</v>
      </c>
    </row>
    <row r="159" spans="1:12" ht="16" customHeight="1" thickBot="1" x14ac:dyDescent="0.25">
      <c r="A159" t="s">
        <v>540</v>
      </c>
      <c r="B159">
        <v>541</v>
      </c>
      <c r="C159">
        <v>4.7E-2</v>
      </c>
      <c r="D159">
        <v>0.02</v>
      </c>
      <c r="E159">
        <v>0</v>
      </c>
      <c r="F159">
        <v>3.3000000000000002E-2</v>
      </c>
      <c r="G159">
        <v>7.4999999999999997E-2</v>
      </c>
      <c r="H159">
        <v>-3.1E-2</v>
      </c>
      <c r="I159">
        <v>0.39900000000000002</v>
      </c>
      <c r="J159">
        <v>5.2</v>
      </c>
      <c r="K159">
        <v>8.65</v>
      </c>
      <c r="L159">
        <v>10.33</v>
      </c>
    </row>
    <row r="160" spans="1:12" ht="16" customHeight="1" thickBot="1" x14ac:dyDescent="0.25">
      <c r="A160" t="s">
        <v>541</v>
      </c>
      <c r="B160">
        <v>752</v>
      </c>
      <c r="C160">
        <v>4.0999999999999988E-2</v>
      </c>
      <c r="D160">
        <v>1.7000000000000001E-2</v>
      </c>
      <c r="E160">
        <v>-7.4999999999999997E-3</v>
      </c>
      <c r="F160">
        <v>1.4999999999999999E-2</v>
      </c>
      <c r="G160">
        <v>2.5000000000000001E-2</v>
      </c>
      <c r="H160">
        <v>-2.5999999999999999E-2</v>
      </c>
      <c r="I160">
        <v>0.42899999999999999</v>
      </c>
      <c r="J160">
        <v>3.8</v>
      </c>
      <c r="K160">
        <v>0.92</v>
      </c>
      <c r="L160">
        <v>8.61</v>
      </c>
    </row>
    <row r="161" spans="1:12" ht="16" customHeight="1" thickBot="1" x14ac:dyDescent="0.25">
      <c r="A161" t="s">
        <v>542</v>
      </c>
      <c r="B161">
        <v>65</v>
      </c>
      <c r="C161">
        <v>4.8000000000000001E-2</v>
      </c>
      <c r="F161">
        <v>1.3946000000000001</v>
      </c>
      <c r="G161">
        <v>0.09</v>
      </c>
      <c r="H161">
        <v>-0.114</v>
      </c>
      <c r="I161">
        <v>0.30009999999999998</v>
      </c>
      <c r="J161">
        <v>-0.62</v>
      </c>
      <c r="K161">
        <v>436.5</v>
      </c>
      <c r="L161">
        <v>17.5</v>
      </c>
    </row>
    <row r="162" spans="1:12" ht="16" customHeight="1" thickBot="1" x14ac:dyDescent="0.25">
      <c r="A162" t="s">
        <v>543</v>
      </c>
      <c r="B162">
        <v>669</v>
      </c>
      <c r="C162">
        <v>3.7000000000000012E-2</v>
      </c>
      <c r="D162">
        <v>2.7000000000000001E-3</v>
      </c>
      <c r="E162">
        <v>1.1299999999999999E-2</v>
      </c>
      <c r="F162">
        <v>2.8400000000000002E-2</v>
      </c>
      <c r="G162">
        <v>3.7100000000000001E-2</v>
      </c>
      <c r="H162">
        <v>-4.4999999999999998E-2</v>
      </c>
      <c r="I162">
        <v>0.28199999999999997</v>
      </c>
      <c r="J162">
        <v>9.5</v>
      </c>
      <c r="K162">
        <v>28.02</v>
      </c>
      <c r="L162">
        <v>23.55</v>
      </c>
    </row>
    <row r="163" spans="1:12" ht="16" customHeight="1" thickBot="1" x14ac:dyDescent="0.25">
      <c r="A163" t="s">
        <v>544</v>
      </c>
      <c r="B163">
        <v>8</v>
      </c>
      <c r="C163">
        <v>8.6999999999999994E-2</v>
      </c>
      <c r="E163">
        <v>0.13250000000000001</v>
      </c>
      <c r="F163">
        <v>8.6999999999999994E-2</v>
      </c>
      <c r="G163">
        <v>7.4999999999999997E-2</v>
      </c>
      <c r="H163">
        <v>-5.0000000000000001E-3</v>
      </c>
      <c r="I163">
        <v>0.47770000000000001</v>
      </c>
      <c r="J163">
        <v>0</v>
      </c>
      <c r="K163">
        <v>9.68</v>
      </c>
      <c r="L163">
        <v>9.3000000000000007</v>
      </c>
    </row>
    <row r="164" spans="1:12" ht="16" customHeight="1" thickBot="1" x14ac:dyDescent="0.25">
      <c r="A164" t="s">
        <v>545</v>
      </c>
      <c r="B164">
        <v>62</v>
      </c>
      <c r="C164">
        <v>4.2999999999999997E-2</v>
      </c>
      <c r="D164">
        <v>1.4999999999999999E-2</v>
      </c>
      <c r="E164">
        <v>0.05</v>
      </c>
      <c r="F164">
        <v>4.0999999999999988E-2</v>
      </c>
      <c r="G164">
        <v>9.5000000000000001E-2</v>
      </c>
      <c r="H164">
        <v>-2.5999999999999999E-2</v>
      </c>
      <c r="I164">
        <v>0.37799999999999989</v>
      </c>
      <c r="J164">
        <v>-1.5</v>
      </c>
      <c r="K164">
        <v>2314</v>
      </c>
      <c r="L164">
        <v>59.73</v>
      </c>
    </row>
    <row r="165" spans="1:12" ht="16" customHeight="1" thickBot="1" x14ac:dyDescent="0.25">
      <c r="A165" t="s">
        <v>546</v>
      </c>
      <c r="B165">
        <v>502</v>
      </c>
      <c r="C165">
        <v>-3.0000000000000001E-3</v>
      </c>
      <c r="D165">
        <v>-1.0999999999999999E-2</v>
      </c>
      <c r="E165">
        <v>5.0000000000000001E-3</v>
      </c>
      <c r="F165">
        <v>2.7099999999999999E-2</v>
      </c>
      <c r="G165">
        <v>2.2499999999999999E-2</v>
      </c>
      <c r="H165">
        <v>-6.0999999999999999E-2</v>
      </c>
      <c r="I165">
        <v>0.505</v>
      </c>
      <c r="J165">
        <v>4.2</v>
      </c>
      <c r="K165">
        <v>32.64</v>
      </c>
      <c r="L165">
        <v>66.650000000000006</v>
      </c>
    </row>
    <row r="166" spans="1:12" ht="16" customHeight="1" thickBot="1" x14ac:dyDescent="0.25">
      <c r="A166" t="s">
        <v>547</v>
      </c>
      <c r="B166">
        <v>8</v>
      </c>
      <c r="C166">
        <v>7.8E-2</v>
      </c>
      <c r="E166">
        <v>0.04</v>
      </c>
      <c r="F166">
        <v>5.8999999999999997E-2</v>
      </c>
      <c r="G166">
        <v>4.0999999999999988E-2</v>
      </c>
      <c r="H166">
        <v>-4.7E-2</v>
      </c>
      <c r="I166">
        <v>0.29499999999999998</v>
      </c>
      <c r="J166">
        <v>-3.2</v>
      </c>
      <c r="K166">
        <v>588.96</v>
      </c>
      <c r="L166">
        <v>8.2799999999999994</v>
      </c>
    </row>
    <row r="167" spans="1:12" ht="16" customHeight="1" thickBot="1" x14ac:dyDescent="0.25">
      <c r="A167" t="s">
        <v>548</v>
      </c>
      <c r="B167">
        <v>22</v>
      </c>
      <c r="C167">
        <v>-7.6999999999999999E-2</v>
      </c>
      <c r="D167">
        <v>5.0999999999999997E-2</v>
      </c>
      <c r="E167">
        <v>3.5000000000000003E-2</v>
      </c>
      <c r="F167">
        <v>2.1999999999999999E-2</v>
      </c>
      <c r="G167">
        <v>5.0999999999999997E-2</v>
      </c>
      <c r="H167">
        <v>-0.112</v>
      </c>
      <c r="I167">
        <v>0.82700000000000007</v>
      </c>
      <c r="J167">
        <v>2.2999999999999998</v>
      </c>
      <c r="K167">
        <v>6.74</v>
      </c>
      <c r="L167">
        <v>1.37</v>
      </c>
    </row>
    <row r="168" spans="1:12" ht="16" customHeight="1" thickBot="1" x14ac:dyDescent="0.25">
      <c r="A168" t="s">
        <v>549</v>
      </c>
      <c r="B168">
        <v>39</v>
      </c>
      <c r="C168">
        <v>3.0000000000000001E-3</v>
      </c>
      <c r="D168">
        <v>6.9999999999999993E-3</v>
      </c>
      <c r="E168">
        <v>6.25E-2</v>
      </c>
      <c r="F168">
        <v>6.4000000000000001E-2</v>
      </c>
      <c r="G168">
        <v>0.17799999999999999</v>
      </c>
      <c r="H168">
        <v>-0.114</v>
      </c>
      <c r="I168">
        <v>0.87599999999999989</v>
      </c>
      <c r="J168">
        <v>-6.9</v>
      </c>
      <c r="K168">
        <v>2.8</v>
      </c>
      <c r="L168">
        <v>11.81</v>
      </c>
    </row>
    <row r="169" spans="1:12" ht="16" customHeight="1" thickBot="1" x14ac:dyDescent="0.25">
      <c r="A169" t="s">
        <v>550</v>
      </c>
      <c r="B169">
        <v>720</v>
      </c>
      <c r="C169">
        <v>7.400000000000001E-2</v>
      </c>
      <c r="D169">
        <v>2.7E-2</v>
      </c>
      <c r="E169">
        <v>0.14000000000000001</v>
      </c>
      <c r="F169">
        <v>0.21310000000000001</v>
      </c>
      <c r="G169">
        <v>0.112</v>
      </c>
      <c r="H169">
        <v>-3.4000000000000002E-2</v>
      </c>
      <c r="I169">
        <v>0.39500000000000002</v>
      </c>
      <c r="J169">
        <v>-5.0999999999999996</v>
      </c>
      <c r="K169">
        <v>8.6199999999999992</v>
      </c>
      <c r="L169">
        <v>83.61</v>
      </c>
    </row>
    <row r="170" spans="1:12" ht="16" customHeight="1" thickBot="1" x14ac:dyDescent="0.25">
      <c r="A170" t="s">
        <v>551</v>
      </c>
      <c r="B170">
        <v>45</v>
      </c>
      <c r="C170">
        <v>5.8999999999999997E-2</v>
      </c>
      <c r="F170">
        <v>0.1</v>
      </c>
      <c r="G170">
        <v>4.3799999999999999E-2</v>
      </c>
      <c r="H170">
        <v>1E-3</v>
      </c>
      <c r="I170">
        <v>0.309</v>
      </c>
      <c r="J170">
        <v>0.5</v>
      </c>
      <c r="K170">
        <v>3.5</v>
      </c>
      <c r="L170">
        <v>6</v>
      </c>
    </row>
    <row r="171" spans="1:12" ht="16" customHeight="1" thickBot="1" x14ac:dyDescent="0.25">
      <c r="A171" t="s">
        <v>552</v>
      </c>
      <c r="B171">
        <v>37</v>
      </c>
      <c r="C171">
        <v>0.13700000000000001</v>
      </c>
      <c r="D171">
        <v>-2E-3</v>
      </c>
      <c r="E171">
        <v>6.5000000000000002E-2</v>
      </c>
      <c r="F171">
        <v>2.5999999999999999E-2</v>
      </c>
      <c r="G171">
        <v>2.4400000000000002E-2</v>
      </c>
      <c r="H171">
        <v>-6.6000000000000003E-2</v>
      </c>
      <c r="I171">
        <v>0.498</v>
      </c>
      <c r="J171">
        <v>-9.8000000000000007</v>
      </c>
      <c r="K171">
        <v>3665</v>
      </c>
      <c r="L171">
        <v>45.74</v>
      </c>
    </row>
    <row r="172" spans="1:12" ht="16" customHeight="1" thickBot="1" x14ac:dyDescent="0.25">
      <c r="A172" t="s">
        <v>553</v>
      </c>
      <c r="B172">
        <v>156</v>
      </c>
      <c r="C172">
        <v>2.7E-2</v>
      </c>
      <c r="D172">
        <v>1.4999999999999999E-2</v>
      </c>
      <c r="E172">
        <v>0.09</v>
      </c>
      <c r="F172">
        <v>0.10299999999999999</v>
      </c>
      <c r="G172">
        <v>9.3000000000000013E-2</v>
      </c>
      <c r="H172">
        <v>-6.0999999999999999E-2</v>
      </c>
      <c r="I172">
        <v>0.60799999999999998</v>
      </c>
      <c r="J172">
        <v>4.3</v>
      </c>
      <c r="K172">
        <v>27.25</v>
      </c>
      <c r="L172">
        <v>44.13</v>
      </c>
    </row>
    <row r="173" spans="1:12" ht="16" customHeight="1" thickBot="1" x14ac:dyDescent="0.25">
      <c r="A173" t="s">
        <v>554</v>
      </c>
      <c r="B173">
        <v>421</v>
      </c>
      <c r="C173">
        <v>-6.0999999999999999E-2</v>
      </c>
      <c r="D173">
        <v>0.02</v>
      </c>
      <c r="E173">
        <v>1.4999999999999999E-2</v>
      </c>
      <c r="F173">
        <v>1.2E-2</v>
      </c>
      <c r="G173">
        <v>0.05</v>
      </c>
      <c r="H173">
        <v>-8.0000000000000002E-3</v>
      </c>
      <c r="I173">
        <v>0.36899999999999999</v>
      </c>
      <c r="J173">
        <v>5.9</v>
      </c>
      <c r="K173">
        <v>3.67</v>
      </c>
      <c r="L173">
        <v>9.9</v>
      </c>
    </row>
    <row r="174" spans="1:12" ht="16" customHeight="1" thickBot="1" x14ac:dyDescent="0.25">
      <c r="A174" t="s">
        <v>555</v>
      </c>
      <c r="B174">
        <v>2708</v>
      </c>
      <c r="C174">
        <v>6.8000000000000005E-2</v>
      </c>
      <c r="D174">
        <v>1.0999999999999999E-2</v>
      </c>
      <c r="E174">
        <v>2.5000000000000001E-3</v>
      </c>
      <c r="F174">
        <v>5.0999999999999997E-2</v>
      </c>
      <c r="G174">
        <v>4.2000000000000003E-2</v>
      </c>
      <c r="H174">
        <v>-0.14899999999999999</v>
      </c>
      <c r="I174">
        <v>0.94900000000000007</v>
      </c>
      <c r="J174">
        <v>-3.5</v>
      </c>
      <c r="K174">
        <v>1.25</v>
      </c>
      <c r="L174">
        <v>67.2</v>
      </c>
    </row>
    <row r="175" spans="1:12" ht="16" customHeight="1" thickBot="1" x14ac:dyDescent="0.25">
      <c r="A175" t="s">
        <v>556</v>
      </c>
      <c r="B175">
        <v>20937</v>
      </c>
      <c r="C175">
        <v>4.9000000000000002E-2</v>
      </c>
      <c r="D175">
        <v>2.3E-2</v>
      </c>
      <c r="E175">
        <v>2.5000000000000001E-3</v>
      </c>
      <c r="F175">
        <v>6.8000000000000005E-2</v>
      </c>
      <c r="G175">
        <v>4.2000000000000003E-2</v>
      </c>
      <c r="H175">
        <v>-0.14899999999999999</v>
      </c>
      <c r="I175">
        <v>1.2809999999999999</v>
      </c>
      <c r="J175">
        <v>-3.1</v>
      </c>
      <c r="K175">
        <v>98.56</v>
      </c>
      <c r="L175">
        <v>329.48</v>
      </c>
    </row>
    <row r="176" spans="1:12" ht="16" customHeight="1" thickBot="1" x14ac:dyDescent="0.25">
      <c r="A176" t="s">
        <v>557</v>
      </c>
      <c r="B176">
        <v>54</v>
      </c>
      <c r="C176">
        <v>0.113</v>
      </c>
      <c r="D176">
        <v>7.8E-2</v>
      </c>
      <c r="E176">
        <v>5.2499999999999998E-2</v>
      </c>
      <c r="F176">
        <v>8.0700000000000008E-2</v>
      </c>
      <c r="G176">
        <v>0.08</v>
      </c>
      <c r="H176">
        <v>-5.0999999999999997E-2</v>
      </c>
      <c r="I176">
        <v>0.73</v>
      </c>
      <c r="J176">
        <v>-0.6</v>
      </c>
      <c r="K176">
        <v>37.81</v>
      </c>
      <c r="L176">
        <v>3.53</v>
      </c>
    </row>
    <row r="177" spans="1:12" ht="16" customHeight="1" thickBot="1" x14ac:dyDescent="0.25">
      <c r="A177" t="s">
        <v>558</v>
      </c>
      <c r="B177">
        <v>58</v>
      </c>
      <c r="C177">
        <v>6.2E-2</v>
      </c>
      <c r="E177">
        <v>0.14000000000000001</v>
      </c>
      <c r="F177">
        <v>0.10299999999999999</v>
      </c>
      <c r="G177">
        <v>9.8000000000000004E-2</v>
      </c>
      <c r="H177">
        <v>-4.3999999999999997E-2</v>
      </c>
      <c r="I177">
        <v>0.40400000000000003</v>
      </c>
      <c r="J177">
        <v>-5.4</v>
      </c>
      <c r="K177">
        <v>9527.2999999999993</v>
      </c>
      <c r="L177">
        <v>34.549999999999997</v>
      </c>
    </row>
    <row r="178" spans="1:12" ht="16" customHeight="1" thickBot="1" x14ac:dyDescent="0.25">
      <c r="A178" t="s">
        <v>559</v>
      </c>
      <c r="B178">
        <v>482</v>
      </c>
      <c r="C178">
        <v>-0.26800000000000002</v>
      </c>
      <c r="D178">
        <v>-0.23699999999999999</v>
      </c>
      <c r="E178">
        <v>0.56859999999999999</v>
      </c>
      <c r="F178">
        <v>11.975</v>
      </c>
      <c r="G178">
        <v>6.4000000000000001E-2</v>
      </c>
      <c r="H178">
        <v>-0.29899999999999999</v>
      </c>
      <c r="I178">
        <v>3.5</v>
      </c>
      <c r="J178">
        <v>-3.5</v>
      </c>
      <c r="K178">
        <v>971748.8</v>
      </c>
      <c r="L178">
        <v>32.6</v>
      </c>
    </row>
    <row r="179" spans="1:12" x14ac:dyDescent="0.2">
      <c r="A179" t="s">
        <v>560</v>
      </c>
      <c r="B179">
        <v>271</v>
      </c>
      <c r="C179">
        <v>-6.1699999999999998E-2</v>
      </c>
      <c r="D179">
        <v>6.88E-2</v>
      </c>
      <c r="E179">
        <v>0.04</v>
      </c>
      <c r="F179">
        <v>2.1000000000000001E-2</v>
      </c>
      <c r="G179">
        <v>3.7199999999999997E-2</v>
      </c>
      <c r="H179">
        <v>-5.8000000000000003E-2</v>
      </c>
      <c r="I179">
        <v>0.46700000000000003</v>
      </c>
      <c r="J179">
        <v>5</v>
      </c>
      <c r="K179">
        <v>23170</v>
      </c>
      <c r="L179">
        <v>97.58</v>
      </c>
    </row>
    <row r="180" spans="1:12" ht="16" customHeight="1" thickBot="1" x14ac:dyDescent="0.25">
      <c r="A180" t="s">
        <v>561</v>
      </c>
      <c r="B180">
        <v>23</v>
      </c>
      <c r="C180">
        <v>-5.0000000000000001E-3</v>
      </c>
      <c r="E180">
        <v>0.27</v>
      </c>
      <c r="F180">
        <v>7.7000000000000002E-3</v>
      </c>
      <c r="G180">
        <v>0.13420000000000001</v>
      </c>
      <c r="H180">
        <v>-4.3999999999999997E-2</v>
      </c>
      <c r="I180">
        <v>0.81700000000000006</v>
      </c>
      <c r="J180">
        <v>-0.01</v>
      </c>
      <c r="K180">
        <v>246.5</v>
      </c>
      <c r="L180">
        <v>29.82</v>
      </c>
    </row>
    <row r="181" spans="1:12" ht="16" customHeight="1" thickBot="1" x14ac:dyDescent="0.25">
      <c r="A181" t="s">
        <v>562</v>
      </c>
      <c r="B181">
        <v>19</v>
      </c>
      <c r="C181">
        <v>6.9999999999999993E-3</v>
      </c>
      <c r="E181">
        <v>0.09</v>
      </c>
      <c r="F181">
        <v>0.193</v>
      </c>
      <c r="G181">
        <v>0.122</v>
      </c>
      <c r="H181">
        <v>-0.11</v>
      </c>
      <c r="I181">
        <v>0.96</v>
      </c>
      <c r="J181">
        <v>12.2</v>
      </c>
      <c r="K181">
        <v>22.64</v>
      </c>
      <c r="L181">
        <v>17.88</v>
      </c>
    </row>
    <row r="182" spans="1:12" x14ac:dyDescent="0.2">
      <c r="A182" t="s">
        <v>563</v>
      </c>
      <c r="B182">
        <v>17</v>
      </c>
      <c r="C182">
        <v>-4.0999999999999988E-2</v>
      </c>
      <c r="E182">
        <v>0.6</v>
      </c>
      <c r="F182">
        <v>0.58399999999999996</v>
      </c>
      <c r="G182">
        <v>5.7000000000000002E-2</v>
      </c>
      <c r="H182">
        <v>-1.4999999999999999E-2</v>
      </c>
      <c r="I182">
        <v>0.77200000000000002</v>
      </c>
      <c r="J182">
        <v>-1.9</v>
      </c>
      <c r="K182">
        <v>16.36</v>
      </c>
      <c r="L182">
        <v>14.86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x14ac:dyDescent="0.2"/>
  <cols>
    <col min="1" max="1" width="9.1640625" style="72" customWidth="1"/>
    <col min="2" max="2" width="13" style="68" bestFit="1" customWidth="1"/>
    <col min="3" max="26" width="9" style="68" bestFit="1" customWidth="1"/>
    <col min="27" max="27" width="9" style="68" customWidth="1"/>
    <col min="28" max="28" width="6.1640625" style="68" customWidth="1"/>
    <col min="29" max="29" width="8" style="72" bestFit="1" customWidth="1"/>
    <col min="30" max="30" width="16.33203125" style="72" bestFit="1" customWidth="1"/>
    <col min="31" max="31" width="8" style="72" bestFit="1" customWidth="1"/>
    <col min="32" max="32" width="5.33203125" style="72" bestFit="1" customWidth="1"/>
    <col min="33" max="33" width="37" style="72" bestFit="1" customWidth="1"/>
    <col min="34" max="34" width="41" style="72" bestFit="1" customWidth="1"/>
    <col min="35" max="72" width="9.1640625" style="72"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7" t="s">
        <v>564</v>
      </c>
    </row>
    <row r="2" spans="2:34" s="72" customFormat="1" x14ac:dyDescent="0.2">
      <c r="AD2" s="72" t="s">
        <v>565</v>
      </c>
      <c r="AE2" s="64" t="s">
        <v>363</v>
      </c>
      <c r="AH2" s="67" t="s">
        <v>566</v>
      </c>
    </row>
    <row r="3" spans="2: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B3" s="72"/>
      <c r="AD3" s="11" t="s">
        <v>575</v>
      </c>
      <c r="AE3" s="65" t="s">
        <v>363</v>
      </c>
    </row>
    <row r="4" spans="2:34" ht="16" customHeight="1" thickBot="1" x14ac:dyDescent="0.25">
      <c r="B4" s="4" t="s">
        <v>576</v>
      </c>
      <c r="C4" s="13">
        <f>MAX(C90:C98)</f>
        <v>12.226677108000001</v>
      </c>
      <c r="D4" s="13">
        <f t="shared" ref="D4:AA4" si="0">MAX(D90:D98)</f>
        <v>18.3</v>
      </c>
      <c r="E4" s="13">
        <f t="shared" si="0"/>
        <v>14.379616910999999</v>
      </c>
      <c r="F4" s="13">
        <f t="shared" si="0"/>
        <v>7.2815123269999997</v>
      </c>
      <c r="G4" s="13">
        <f t="shared" si="0"/>
        <v>9.9799969239999999</v>
      </c>
      <c r="H4" s="13">
        <f t="shared" si="0"/>
        <v>18.823665454</v>
      </c>
      <c r="I4" s="13">
        <f t="shared" si="0"/>
        <v>24.232106554000001</v>
      </c>
      <c r="J4" s="13">
        <f t="shared" si="0"/>
        <v>17.103324776000001</v>
      </c>
      <c r="K4" s="13">
        <f t="shared" si="0"/>
        <v>17.548571404</v>
      </c>
      <c r="L4" s="13">
        <f t="shared" si="0"/>
        <v>9.5912871249999991</v>
      </c>
      <c r="M4" s="13">
        <f t="shared" si="0"/>
        <v>19.618506912000001</v>
      </c>
      <c r="N4" s="13" t="e">
        <f t="shared" si="0"/>
        <v>#N/A</v>
      </c>
      <c r="O4" s="13" t="e">
        <f t="shared" si="0"/>
        <v>#N/A</v>
      </c>
      <c r="P4" s="13">
        <f t="shared" si="0"/>
        <v>11.814578424</v>
      </c>
      <c r="Q4" s="13" t="e">
        <f t="shared" si="0"/>
        <v>#N/A</v>
      </c>
      <c r="R4" s="13" t="e">
        <f t="shared" si="0"/>
        <v>#N/A</v>
      </c>
      <c r="S4" s="13">
        <f t="shared" si="0"/>
        <v>6.0115519959999997</v>
      </c>
      <c r="T4" s="13" t="e">
        <f t="shared" si="0"/>
        <v>#N/A</v>
      </c>
      <c r="U4" s="13" t="e">
        <f t="shared" si="0"/>
        <v>#N/A</v>
      </c>
      <c r="V4" s="13" t="e">
        <f t="shared" si="0"/>
        <v>#N/A</v>
      </c>
      <c r="W4" s="13" t="e">
        <f t="shared" si="0"/>
        <v>#N/A</v>
      </c>
      <c r="X4" s="13">
        <f t="shared" si="0"/>
        <v>8.4781037260000005</v>
      </c>
      <c r="Y4" s="13" t="e">
        <f t="shared" si="0"/>
        <v>#N/A</v>
      </c>
      <c r="Z4" s="13" t="e">
        <f t="shared" si="0"/>
        <v>#N/A</v>
      </c>
      <c r="AA4" s="13" t="e">
        <f t="shared" si="0"/>
        <v>#N/A</v>
      </c>
      <c r="AB4" s="72"/>
      <c r="AD4" s="14" t="s">
        <v>577</v>
      </c>
      <c r="AE4" s="66" t="s">
        <v>360</v>
      </c>
    </row>
    <row r="5" spans="2:34" x14ac:dyDescent="0.2">
      <c r="B5" s="4" t="s">
        <v>578</v>
      </c>
      <c r="C5" s="13">
        <f>MIN(C90:C98)</f>
        <v>-9.0837374240000006</v>
      </c>
      <c r="D5" s="13">
        <f t="shared" ref="D5:AA5" si="1">MIN(D90:D98)</f>
        <v>-6.8</v>
      </c>
      <c r="E5" s="13">
        <f t="shared" si="1"/>
        <v>-14.538802132000001</v>
      </c>
      <c r="F5" s="13">
        <f t="shared" si="1"/>
        <v>-10.075101245000001</v>
      </c>
      <c r="G5" s="13">
        <f t="shared" si="1"/>
        <v>-11.286579908</v>
      </c>
      <c r="H5" s="13">
        <f t="shared" si="1"/>
        <v>-18.609605720000001</v>
      </c>
      <c r="I5" s="13">
        <f t="shared" si="1"/>
        <v>-21.249193732999998</v>
      </c>
      <c r="J5" s="13">
        <f t="shared" si="1"/>
        <v>-18.130104282000001</v>
      </c>
      <c r="K5" s="13">
        <f t="shared" si="1"/>
        <v>-21.501874910000002</v>
      </c>
      <c r="L5" s="13">
        <f t="shared" si="1"/>
        <v>-8.2894206639999997</v>
      </c>
      <c r="M5" s="13">
        <f t="shared" si="1"/>
        <v>-18.901418013000001</v>
      </c>
      <c r="N5" s="13" t="e">
        <f t="shared" si="1"/>
        <v>#N/A</v>
      </c>
      <c r="O5" s="13" t="e">
        <f t="shared" si="1"/>
        <v>#N/A</v>
      </c>
      <c r="P5" s="13">
        <f t="shared" si="1"/>
        <v>-12.414749165</v>
      </c>
      <c r="Q5" s="13" t="e">
        <f t="shared" si="1"/>
        <v>#N/A</v>
      </c>
      <c r="R5" s="13" t="e">
        <f t="shared" si="1"/>
        <v>#N/A</v>
      </c>
      <c r="S5" s="13">
        <f t="shared" si="1"/>
        <v>-2.7480632460000001</v>
      </c>
      <c r="T5" s="13" t="e">
        <f t="shared" si="1"/>
        <v>#N/A</v>
      </c>
      <c r="U5" s="13" t="e">
        <f t="shared" si="1"/>
        <v>#N/A</v>
      </c>
      <c r="V5" s="13" t="e">
        <f t="shared" si="1"/>
        <v>#N/A</v>
      </c>
      <c r="W5" s="13" t="e">
        <f t="shared" si="1"/>
        <v>#N/A</v>
      </c>
      <c r="X5" s="13">
        <f t="shared" si="1"/>
        <v>-10.942126828999999</v>
      </c>
      <c r="Y5" s="13" t="e">
        <f t="shared" si="1"/>
        <v>#N/A</v>
      </c>
      <c r="Z5" s="13" t="e">
        <f t="shared" si="1"/>
        <v>#N/A</v>
      </c>
      <c r="AA5" s="13" t="e">
        <f t="shared" si="1"/>
        <v>#N/A</v>
      </c>
      <c r="AB5" s="72"/>
      <c r="AC5" s="16" t="s">
        <v>579</v>
      </c>
      <c r="AE5" s="17"/>
    </row>
    <row r="6" spans="2:34" x14ac:dyDescent="0.2">
      <c r="B6" s="4" t="s">
        <v>580</v>
      </c>
      <c r="C6" s="13">
        <f>AVERAGE(C90:C98)</f>
        <v>1.3575550983333333</v>
      </c>
      <c r="D6" s="13">
        <f t="shared" ref="D6:AA6" si="2">AVERAGE(D90:D98)</f>
        <v>5.4111111111111114</v>
      </c>
      <c r="E6" s="13">
        <f t="shared" si="2"/>
        <v>-0.35309574900000018</v>
      </c>
      <c r="F6" s="13">
        <f t="shared" si="2"/>
        <v>-1.3838331515555562</v>
      </c>
      <c r="G6" s="13">
        <f t="shared" si="2"/>
        <v>-0.87719556488888917</v>
      </c>
      <c r="H6" s="13">
        <f t="shared" si="2"/>
        <v>-0.21759140344444472</v>
      </c>
      <c r="I6" s="13">
        <f t="shared" si="2"/>
        <v>-0.44555101966666605</v>
      </c>
      <c r="J6" s="13">
        <f t="shared" si="2"/>
        <v>-1.0302834528888889</v>
      </c>
      <c r="K6" s="13">
        <f t="shared" si="2"/>
        <v>-2.2580526366666671</v>
      </c>
      <c r="L6" s="13">
        <f t="shared" si="2"/>
        <v>1.0046333716666664</v>
      </c>
      <c r="M6" s="13">
        <f t="shared" si="2"/>
        <v>-1.1139778839999999</v>
      </c>
      <c r="N6" s="13" t="e">
        <f t="shared" si="2"/>
        <v>#N/A</v>
      </c>
      <c r="O6" s="13" t="e">
        <f t="shared" si="2"/>
        <v>#N/A</v>
      </c>
      <c r="P6" s="13">
        <f t="shared" si="2"/>
        <v>2.563101422222205E-2</v>
      </c>
      <c r="Q6" s="13" t="e">
        <f t="shared" si="2"/>
        <v>#N/A</v>
      </c>
      <c r="R6" s="13" t="e">
        <f t="shared" si="2"/>
        <v>#N/A</v>
      </c>
      <c r="S6" s="13">
        <f t="shared" si="2"/>
        <v>1.6764552722222221</v>
      </c>
      <c r="T6" s="13" t="e">
        <f t="shared" si="2"/>
        <v>#N/A</v>
      </c>
      <c r="U6" s="13" t="e">
        <f t="shared" si="2"/>
        <v>#N/A</v>
      </c>
      <c r="V6" s="13" t="e">
        <f t="shared" si="2"/>
        <v>#N/A</v>
      </c>
      <c r="W6" s="13" t="e">
        <f t="shared" si="2"/>
        <v>#N/A</v>
      </c>
      <c r="X6" s="13">
        <f t="shared" si="2"/>
        <v>-0.86303654533333285</v>
      </c>
      <c r="Y6" s="13" t="e">
        <f t="shared" si="2"/>
        <v>#N/A</v>
      </c>
      <c r="Z6" s="13" t="e">
        <f t="shared" si="2"/>
        <v>#N/A</v>
      </c>
      <c r="AA6" s="13" t="e">
        <f t="shared" si="2"/>
        <v>#N/A</v>
      </c>
      <c r="AB6" s="72"/>
      <c r="AC6" s="18"/>
      <c r="AD6" s="72" t="s">
        <v>581</v>
      </c>
      <c r="AE6" s="17" t="s">
        <v>40</v>
      </c>
      <c r="AG6" s="72" t="str">
        <f>AE6&amp;" Growth yoy% vs "&amp;AE7&amp;" Growth yoy %"</f>
        <v>GBR Growth yoy% vs EA19 Growth yoy %</v>
      </c>
    </row>
    <row r="7" spans="2:34" ht="16" customHeight="1" thickBot="1" x14ac:dyDescent="0.25">
      <c r="B7" s="4" t="s">
        <v>582</v>
      </c>
      <c r="C7" s="13" t="str">
        <f t="shared" ref="C7:AA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e">
        <f t="shared" si="3"/>
        <v>#N/A</v>
      </c>
      <c r="O7" s="13" t="e">
        <f t="shared" si="3"/>
        <v>#N/A</v>
      </c>
      <c r="P7" s="13" t="str">
        <f t="shared" si="3"/>
        <v>above</v>
      </c>
      <c r="Q7" s="13" t="e">
        <f t="shared" si="3"/>
        <v>#N/A</v>
      </c>
      <c r="R7" s="13" t="e">
        <f t="shared" si="3"/>
        <v>#N/A</v>
      </c>
      <c r="S7" s="13" t="str">
        <f t="shared" si="3"/>
        <v>above</v>
      </c>
      <c r="T7" s="13" t="e">
        <f t="shared" si="3"/>
        <v>#N/A</v>
      </c>
      <c r="U7" s="13" t="e">
        <f t="shared" si="3"/>
        <v>#N/A</v>
      </c>
      <c r="V7" s="13" t="e">
        <f t="shared" si="3"/>
        <v>#N/A</v>
      </c>
      <c r="W7" s="13" t="e">
        <f t="shared" si="3"/>
        <v>#N/A</v>
      </c>
      <c r="X7" s="13" t="str">
        <f t="shared" si="3"/>
        <v>above</v>
      </c>
      <c r="Y7" s="13" t="e">
        <f t="shared" si="3"/>
        <v>#N/A</v>
      </c>
      <c r="Z7" s="13" t="e">
        <f t="shared" si="3"/>
        <v>#N/A</v>
      </c>
      <c r="AA7" s="13" t="e">
        <f t="shared" si="3"/>
        <v>#N/A</v>
      </c>
      <c r="AB7" s="72"/>
      <c r="AC7" s="19"/>
      <c r="AD7" s="20" t="s">
        <v>583</v>
      </c>
      <c r="AE7" s="21" t="s">
        <v>33</v>
      </c>
    </row>
    <row r="8" spans="2:34" x14ac:dyDescent="0.2">
      <c r="B8" s="4" t="s">
        <v>584</v>
      </c>
      <c r="C8" s="13">
        <f t="shared" ref="C8:AA8" si="4">VLOOKUP($AE$2,$B:$Y,MATCH(C3,$B$3:$Y$3,),)-VLOOKUP($AE$4,$B:$Y,MATCH(C3,$B$3:$Y$3,),)</f>
        <v>7.2094708120000002</v>
      </c>
      <c r="D8" s="13">
        <f t="shared" si="4"/>
        <v>-1.5999999999999996</v>
      </c>
      <c r="E8" s="13">
        <f t="shared" si="4"/>
        <v>8.2339903379999999</v>
      </c>
      <c r="F8" s="13">
        <f t="shared" si="4"/>
        <v>1.9606548309999998</v>
      </c>
      <c r="G8" s="13">
        <f t="shared" si="4"/>
        <v>5.4396871880000006</v>
      </c>
      <c r="H8" s="13">
        <f t="shared" si="4"/>
        <v>7.5720245999999998</v>
      </c>
      <c r="I8" s="13">
        <f t="shared" si="4"/>
        <v>13.192696058999999</v>
      </c>
      <c r="J8" s="13">
        <f t="shared" si="4"/>
        <v>10.513565665</v>
      </c>
      <c r="K8" s="13">
        <f t="shared" si="4"/>
        <v>11.469090188999999</v>
      </c>
      <c r="L8" s="13">
        <f t="shared" si="4"/>
        <v>6.5608187080000002</v>
      </c>
      <c r="M8" s="13">
        <f t="shared" si="4"/>
        <v>9.2111959329999991</v>
      </c>
      <c r="N8" s="13">
        <f t="shared" si="4"/>
        <v>5.1299246299999997</v>
      </c>
      <c r="O8" s="13">
        <f t="shared" si="4"/>
        <v>7.7697700000000003</v>
      </c>
      <c r="P8" s="13">
        <f t="shared" si="4"/>
        <v>7.0295157719999999</v>
      </c>
      <c r="Q8" s="13">
        <f t="shared" si="4"/>
        <v>4.6034164710000001</v>
      </c>
      <c r="R8" s="13">
        <f t="shared" si="4"/>
        <v>5.0895407060000002</v>
      </c>
      <c r="S8" s="13">
        <f t="shared" si="4"/>
        <v>5.1383097620000004</v>
      </c>
      <c r="T8" s="13">
        <f t="shared" si="4"/>
        <v>5.0498215440000003</v>
      </c>
      <c r="U8" s="13">
        <f t="shared" si="4"/>
        <v>20.78654611</v>
      </c>
      <c r="V8" s="13">
        <f t="shared" si="4"/>
        <v>6.8375308320000006</v>
      </c>
      <c r="W8" s="13">
        <f t="shared" si="4"/>
        <v>2.4849469210000006</v>
      </c>
      <c r="X8" s="13">
        <f t="shared" si="4"/>
        <v>8.4835983979999998</v>
      </c>
      <c r="Y8" s="13">
        <f t="shared" si="4"/>
        <v>8.0297280000000004</v>
      </c>
      <c r="Z8" s="13" t="e">
        <f t="shared" si="4"/>
        <v>#N/A</v>
      </c>
      <c r="AA8" s="13" t="e">
        <f t="shared" si="4"/>
        <v>#N/A</v>
      </c>
      <c r="AB8" s="72"/>
    </row>
    <row r="9" spans="2:34" x14ac:dyDescent="0.2">
      <c r="B9" s="4" t="s">
        <v>585</v>
      </c>
      <c r="C9" s="13">
        <f t="shared" ref="C9:AA9" si="5">VLOOKUP($AE$2,$B:$Y,MATCH(C3,$B$3:$Y$3,),)-VLOOKUP($AE$3,$B:$Y,MATCH(C3,$B$3:$Y$3,),)</f>
        <v>0</v>
      </c>
      <c r="D9" s="13">
        <f t="shared" si="5"/>
        <v>0</v>
      </c>
      <c r="E9" s="13">
        <f t="shared" si="5"/>
        <v>0</v>
      </c>
      <c r="F9" s="13">
        <f t="shared" si="5"/>
        <v>0</v>
      </c>
      <c r="G9" s="13">
        <f t="shared" si="5"/>
        <v>0</v>
      </c>
      <c r="H9" s="13">
        <f t="shared" si="5"/>
        <v>0</v>
      </c>
      <c r="I9" s="13">
        <f t="shared" si="5"/>
        <v>0</v>
      </c>
      <c r="J9" s="13">
        <f t="shared" si="5"/>
        <v>0</v>
      </c>
      <c r="K9" s="13">
        <f t="shared" si="5"/>
        <v>0</v>
      </c>
      <c r="L9" s="13">
        <f t="shared" si="5"/>
        <v>0</v>
      </c>
      <c r="M9" s="13">
        <f t="shared" si="5"/>
        <v>0</v>
      </c>
      <c r="N9" s="13">
        <f t="shared" si="5"/>
        <v>0</v>
      </c>
      <c r="O9" s="13">
        <f t="shared" si="5"/>
        <v>0</v>
      </c>
      <c r="P9" s="13">
        <f t="shared" si="5"/>
        <v>0</v>
      </c>
      <c r="Q9" s="13">
        <f t="shared" si="5"/>
        <v>0</v>
      </c>
      <c r="R9" s="13">
        <f t="shared" si="5"/>
        <v>0</v>
      </c>
      <c r="S9" s="13">
        <f t="shared" si="5"/>
        <v>0</v>
      </c>
      <c r="T9" s="13">
        <f t="shared" si="5"/>
        <v>0</v>
      </c>
      <c r="U9" s="13">
        <f t="shared" si="5"/>
        <v>0</v>
      </c>
      <c r="V9" s="13">
        <f t="shared" si="5"/>
        <v>0</v>
      </c>
      <c r="W9" s="13">
        <f t="shared" si="5"/>
        <v>0</v>
      </c>
      <c r="X9" s="13">
        <f t="shared" si="5"/>
        <v>0</v>
      </c>
      <c r="Y9" s="13">
        <f t="shared" si="5"/>
        <v>0</v>
      </c>
      <c r="Z9" s="13" t="e">
        <f t="shared" si="5"/>
        <v>#N/A</v>
      </c>
      <c r="AA9" s="13" t="e">
        <f t="shared" si="5"/>
        <v>#N/A</v>
      </c>
      <c r="AB9" s="72"/>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2">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2">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2">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2">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2">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2">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2">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2">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2">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2">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2">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2">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2">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2">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2">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2">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2">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2">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2">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2">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2">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2">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2">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2">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2">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2">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2">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2">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2">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2">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2">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2">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2">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2">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2">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2">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2">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2">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2">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2">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2">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2">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2">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2">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2">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2">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2">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2">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2">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2">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2">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2">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2">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2">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2">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2">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2">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2">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2">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2">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2">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1.7545174160000001</v>
      </c>
      <c r="F71" s="25">
        <f>IF(VLOOKUP(B71,'Data yoy'!$A:$AW,MATCH($F$1,'Data yoy'!$A$1:$AW$1,),)=0,#N/A,VLOOKUP(B71,'Data yoy'!$A:$AW,MATCH($F$1,'Data yoy'!$A$1:$AW$1,),))</f>
        <v>0.26265274199999999</v>
      </c>
      <c r="G71" s="25">
        <f>IF(VLOOKUP(B71,'Data yoy'!$A:$AW,MATCH($G$1,'Data yoy'!$A$1:$AW$1,),)=0,#N/A,VLOOKUP(B71,'Data yoy'!$A:$AW,MATCH($G$1,'Data yoy'!$A$1:$AW$1,),))</f>
        <v>0.81967864000000001</v>
      </c>
      <c r="H71" s="25">
        <f>IF(VLOOKUP(B71,'Data yoy'!$A:$AW,MATCH($H$1,'Data yoy'!$A$1:$AW$1,),)=0,#N/A,VLOOKUP(B71,'Data yoy'!$A:$AW,MATCH($H$1,'Data yoy'!$A$1:$AW$1,),))</f>
        <v>1.1932577390000001</v>
      </c>
      <c r="I71" s="25">
        <f>IF(VLOOKUP(B71,'Data yoy'!$A:$AW,MATCH($I$1,'Data yoy'!$A$1:$AW$1,),)=0,#N/A,VLOOKUP(B71,'Data yoy'!$A:$AW,MATCH($I$1,'Data yoy'!$A$1:$AW$1,),))</f>
        <v>2.7156340120000002</v>
      </c>
      <c r="J71" s="25">
        <f>IF(VLOOKUP(B71,'Data yoy'!$A:$AW,MATCH($J$1,'Data yoy'!$A$1:$AW$1,),)=0,#N/A,VLOOKUP(B71,'Data yoy'!$A:$AW,MATCH($J$1,'Data yoy'!$A$1:$AW$1,),))</f>
        <v>6.6099496999999993E-2</v>
      </c>
      <c r="K71" s="25">
        <f>IF(VLOOKUP(B71,'Data yoy'!$A:$AW,MATCH($K$1,'Data yoy'!$A$1:$AW$1,),)=0,#N/A,VLOOKUP(B71,'Data yoy'!$A:$AW,MATCH($K$1,'Data yoy'!$A$1:$AW$1,),))</f>
        <v>3.2469654530000001</v>
      </c>
      <c r="L71" s="25">
        <f>IF(VLOOKUP(B71,'Data yoy'!$A:$AW,MATCH($L$1,'Data yoy'!$A$1:$AW$1,),)=0,#N/A,VLOOKUP(B71,'Data yoy'!$A:$AW,MATCH($L$1,'Data yoy'!$A$1:$AW$1,),))</f>
        <v>3.76455334</v>
      </c>
      <c r="M71" s="25">
        <f>IF(VLOOKUP(B71,'Data yoy'!$A:$AW,MATCH($M$1,'Data yoy'!$A$1:$AW$1,),)=0,#N/A,VLOOKUP(B71,'Data yoy'!$A:$AW,MATCH($M$1,'Data yoy'!$A$1:$AW$1,),))</f>
        <v>3.2517875460000001</v>
      </c>
      <c r="N71" s="25">
        <f>IF(VLOOKUP(B71,'Data yoy'!$A:$AW,MATCH($N$1,'Data yoy'!$A$1:$AW$1,),)=0,#N/A,VLOOKUP(B71,'Data yoy'!$A:$AW,MATCH($N$1,'Data yoy'!$A$1:$AW$1,),))</f>
        <v>-1.0901795750000001</v>
      </c>
      <c r="O71" s="25">
        <f>IF(VLOOKUP(B71,'Data yoy'!$A:$AW,MATCH($O$1,'Data yoy'!$A$1:$AW$1,),)=0,#N/A,VLOOKUP(B71,'Data yoy'!$A:$AW,MATCH($O$1,'Data yoy'!$A$1:$AW$1,),))</f>
        <v>7.5362299999999998</v>
      </c>
      <c r="P71" s="25">
        <f>IF(VLOOKUP(B71,'Data yoy'!$A:$AW,MATCH($P$1,'Data yoy'!$A$1:$AW$1,),)=0,#N/A,VLOOKUP(B71,'Data yoy'!$A:$AW,MATCH($P$1,'Data yoy'!$A$1:$AW$1,),))</f>
        <v>2.0224016960000002</v>
      </c>
      <c r="Q71" s="25">
        <f>IF(VLOOKUP(B71,'Data yoy'!$A:$AW,MATCH($Q$1,'Data yoy'!$A$1:$AW$1,),)=0,#N/A,VLOOKUP(B71,'Data yoy'!$A:$AW,MATCH($Q$1,'Data yoy'!$A$1:$AW$1,),))</f>
        <v>2.2261516139999999</v>
      </c>
      <c r="R71" s="25">
        <f>IF(VLOOKUP(B71,'Data yoy'!$A:$AW,MATCH($R$1,'Data yoy'!$A$1:$AW$1,),)=0,#N/A,VLOOKUP(B71,'Data yoy'!$A:$AW,MATCH($R$1,'Data yoy'!$A$1:$AW$1,),))</f>
        <v>1.5912922709999999</v>
      </c>
      <c r="S71" s="25">
        <f>IF(VLOOKUP(B71,'Data yoy'!$A:$AW,MATCH($S$1,'Data yoy'!$A$1:$AW$1,),)=0,#N/A,VLOOKUP(B71,'Data yoy'!$A:$AW,MATCH($S$1,'Data yoy'!$A$1:$AW$1,),))</f>
        <v>2.4802682890000001</v>
      </c>
      <c r="T71" s="25">
        <f>IF(VLOOKUP(B71,'Data yoy'!$A:$AW,MATCH($T$1,'Data yoy'!$A$1:$AW$1,),)=0,#N/A,VLOOKUP(B71,'Data yoy'!$A:$AW,MATCH($T$1,'Data yoy'!$A$1:$AW$1,),))</f>
        <v>-1.7077484590000001</v>
      </c>
      <c r="U71" s="25">
        <f>IF(VLOOKUP(B71,'Data yoy'!$A:$AW,MATCH($U$1,'Data yoy'!$A$1:$AW$1,),)=0,#N/A,VLOOKUP(B71,'Data yoy'!$A:$AW,MATCH($U$1,'Data yoy'!$A$1:$AW$1,),))</f>
        <v>0.30167519199999998</v>
      </c>
      <c r="V71" s="25">
        <f>IF(VLOOKUP(B71,'Data yoy'!$A:$AW,MATCH($V$1,'Data yoy'!$A$1:$AW$1,),)=0,#N/A,VLOOKUP(B71,'Data yoy'!$A:$AW,MATCH($V$1,'Data yoy'!$A$1:$AW$1,),))</f>
        <v>29.489152714999999</v>
      </c>
      <c r="W71" s="25">
        <f>IF(VLOOKUP(B71,'Data yoy'!$A:$AW,MATCH($W$1,'Data yoy'!$A$1:$AW$1,),)=0,#N/A,VLOOKUP(B71,'Data yoy'!$A:$AW,MATCH($W$1,'Data yoy'!$A$1:$AW$1,),))</f>
        <v>4.0856609300000004</v>
      </c>
      <c r="X71" s="25">
        <f>IF(VLOOKUP(B71,'Data yoy'!$A:$AW,MATCH($X$1,'Data yoy'!$A$1:$AW$1,),)=0,#N/A,VLOOKUP(B71,'Data yoy'!$A:$AW,MATCH($X$1,'Data yoy'!$A$1:$AW$1,),))</f>
        <v>5.2815465980000003</v>
      </c>
      <c r="Y71" s="25">
        <f>IF(VLOOKUP(B71,'Data yoy'!$A:$AW,MATCH($Y$1,'Data yoy'!$A$1:$AW$1,),)=0,#N/A,VLOOKUP(B71,'Data yoy'!$A:$AW,MATCH($Y$1,'Data yoy'!$A$1:$AW$1,),))</f>
        <v>4.1059923600000001</v>
      </c>
      <c r="Z71" s="25">
        <f>IF(VLOOKUP(B71,'Data yoy'!$A:$AW,MATCH($Z$1,'Data yoy'!$A$1:$AW$1,),)=0,#N/A,VLOOKUP(B71,'Data yoy'!$A:$AW,MATCH($Z$1,'Data yoy'!$A$1:$AW$1,),))</f>
        <v>0.53495114799999999</v>
      </c>
      <c r="AA71" s="25">
        <f>IF(VLOOKUP(B71,'Data yoy'!$A:$AW,MATCH($AA$1,'Data yoy'!$A$1:$AW$1,),)=0,#N/A,VLOOKUP(B71,'Data yoy'!$A:$AW,MATCH($AA$1,'Data yoy'!$A$1:$AW$1,),))</f>
        <v>3.776186536</v>
      </c>
      <c r="AB71" s="72"/>
      <c r="AC71" s="26" t="str">
        <f t="shared" si="9"/>
        <v>2015-Q1</v>
      </c>
      <c r="AD71" s="27">
        <f t="shared" si="10"/>
        <v>2.7156340120000002</v>
      </c>
      <c r="AE71" s="27">
        <f t="shared" si="11"/>
        <v>1.7545174160000001</v>
      </c>
      <c r="AF71" s="27">
        <f t="shared" si="12"/>
        <v>0.9611165960000001</v>
      </c>
    </row>
    <row r="72" spans="2:32" x14ac:dyDescent="0.2">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1.974236426</v>
      </c>
      <c r="F72" s="25">
        <f>IF(VLOOKUP(B72,'Data yoy'!$A:$AW,MATCH($F$1,'Data yoy'!$A$1:$AW$1,),)=0,#N/A,VLOOKUP(B72,'Data yoy'!$A:$AW,MATCH($F$1,'Data yoy'!$A$1:$AW$1,),))</f>
        <v>2.261118792</v>
      </c>
      <c r="G72" s="25">
        <f>IF(VLOOKUP(B72,'Data yoy'!$A:$AW,MATCH($G$1,'Data yoy'!$A$1:$AW$1,),)=0,#N/A,VLOOKUP(B72,'Data yoy'!$A:$AW,MATCH($G$1,'Data yoy'!$A$1:$AW$1,),))</f>
        <v>1.532410198</v>
      </c>
      <c r="H72" s="25">
        <f>IF(VLOOKUP(B72,'Data yoy'!$A:$AW,MATCH($H$1,'Data yoy'!$A$1:$AW$1,),)=0,#N/A,VLOOKUP(B72,'Data yoy'!$A:$AW,MATCH($H$1,'Data yoy'!$A$1:$AW$1,),))</f>
        <v>1.0814699940000001</v>
      </c>
      <c r="I72" s="25">
        <f>IF(VLOOKUP(B72,'Data yoy'!$A:$AW,MATCH($I$1,'Data yoy'!$A$1:$AW$1,),)=0,#N/A,VLOOKUP(B72,'Data yoy'!$A:$AW,MATCH($I$1,'Data yoy'!$A$1:$AW$1,),))</f>
        <v>2.646630585</v>
      </c>
      <c r="J72" s="25">
        <f>IF(VLOOKUP(B72,'Data yoy'!$A:$AW,MATCH($J$1,'Data yoy'!$A$1:$AW$1,),)=0,#N/A,VLOOKUP(B72,'Data yoy'!$A:$AW,MATCH($J$1,'Data yoy'!$A$1:$AW$1,),))</f>
        <v>0.494675431</v>
      </c>
      <c r="K72" s="25">
        <f>IF(VLOOKUP(B72,'Data yoy'!$A:$AW,MATCH($K$1,'Data yoy'!$A$1:$AW$1,),)=0,#N/A,VLOOKUP(B72,'Data yoy'!$A:$AW,MATCH($K$1,'Data yoy'!$A$1:$AW$1,),))</f>
        <v>3.8732762529999998</v>
      </c>
      <c r="L72" s="25">
        <f>IF(VLOOKUP(B72,'Data yoy'!$A:$AW,MATCH($L$1,'Data yoy'!$A$1:$AW$1,),)=0,#N/A,VLOOKUP(B72,'Data yoy'!$A:$AW,MATCH($L$1,'Data yoy'!$A$1:$AW$1,),))</f>
        <v>3.9540595700000001</v>
      </c>
      <c r="M72" s="25">
        <f>IF(VLOOKUP(B72,'Data yoy'!$A:$AW,MATCH($M$1,'Data yoy'!$A$1:$AW$1,),)=0,#N/A,VLOOKUP(B72,'Data yoy'!$A:$AW,MATCH($M$1,'Data yoy'!$A$1:$AW$1,),))</f>
        <v>3.1495501730000002</v>
      </c>
      <c r="N72" s="25">
        <f>IF(VLOOKUP(B72,'Data yoy'!$A:$AW,MATCH($N$1,'Data yoy'!$A$1:$AW$1,),)=0,#N/A,VLOOKUP(B72,'Data yoy'!$A:$AW,MATCH($N$1,'Data yoy'!$A$1:$AW$1,),))</f>
        <v>-2.2235911339999999</v>
      </c>
      <c r="O72" s="25">
        <f>IF(VLOOKUP(B72,'Data yoy'!$A:$AW,MATCH($O$1,'Data yoy'!$A$1:$AW$1,),)=0,#N/A,VLOOKUP(B72,'Data yoy'!$A:$AW,MATCH($O$1,'Data yoy'!$A$1:$AW$1,),))</f>
        <v>7.3807799999999997</v>
      </c>
      <c r="P72" s="25">
        <f>IF(VLOOKUP(B72,'Data yoy'!$A:$AW,MATCH($P$1,'Data yoy'!$A$1:$AW$1,),)=0,#N/A,VLOOKUP(B72,'Data yoy'!$A:$AW,MATCH($P$1,'Data yoy'!$A$1:$AW$1,),))</f>
        <v>0.82387143900000004</v>
      </c>
      <c r="Q72" s="25">
        <f>IF(VLOOKUP(B72,'Data yoy'!$A:$AW,MATCH($Q$1,'Data yoy'!$A$1:$AW$1,),)=0,#N/A,VLOOKUP(B72,'Data yoy'!$A:$AW,MATCH($Q$1,'Data yoy'!$A$1:$AW$1,),))</f>
        <v>1.8718780399999999</v>
      </c>
      <c r="R72" s="25">
        <f>IF(VLOOKUP(B72,'Data yoy'!$A:$AW,MATCH($R$1,'Data yoy'!$A$1:$AW$1,),)=0,#N/A,VLOOKUP(B72,'Data yoy'!$A:$AW,MATCH($R$1,'Data yoy'!$A$1:$AW$1,),))</f>
        <v>1.6410962410000001</v>
      </c>
      <c r="S72" s="25">
        <f>IF(VLOOKUP(B72,'Data yoy'!$A:$AW,MATCH($S$1,'Data yoy'!$A$1:$AW$1,),)=0,#N/A,VLOOKUP(B72,'Data yoy'!$A:$AW,MATCH($S$1,'Data yoy'!$A$1:$AW$1,),))</f>
        <v>2.0432410700000001</v>
      </c>
      <c r="T72" s="25">
        <f>IF(VLOOKUP(B72,'Data yoy'!$A:$AW,MATCH($T$1,'Data yoy'!$A$1:$AW$1,),)=0,#N/A,VLOOKUP(B72,'Data yoy'!$A:$AW,MATCH($T$1,'Data yoy'!$A$1:$AW$1,),))</f>
        <v>-2.7932108790000001</v>
      </c>
      <c r="U72" s="25">
        <f>IF(VLOOKUP(B72,'Data yoy'!$A:$AW,MATCH($U$1,'Data yoy'!$A$1:$AW$1,),)=0,#N/A,VLOOKUP(B72,'Data yoy'!$A:$AW,MATCH($U$1,'Data yoy'!$A$1:$AW$1,),))</f>
        <v>0.51102211600000003</v>
      </c>
      <c r="V72" s="25">
        <f>IF(VLOOKUP(B72,'Data yoy'!$A:$AW,MATCH($V$1,'Data yoy'!$A$1:$AW$1,),)=0,#N/A,VLOOKUP(B72,'Data yoy'!$A:$AW,MATCH($V$1,'Data yoy'!$A$1:$AW$1,),))</f>
        <v>21.585499784</v>
      </c>
      <c r="W72" s="25">
        <f>IF(VLOOKUP(B72,'Data yoy'!$A:$AW,MATCH($W$1,'Data yoy'!$A$1:$AW$1,),)=0,#N/A,VLOOKUP(B72,'Data yoy'!$A:$AW,MATCH($W$1,'Data yoy'!$A$1:$AW$1,),))</f>
        <v>7.4143840340000002</v>
      </c>
      <c r="X72" s="25">
        <f>IF(VLOOKUP(B72,'Data yoy'!$A:$AW,MATCH($X$1,'Data yoy'!$A$1:$AW$1,),)=0,#N/A,VLOOKUP(B72,'Data yoy'!$A:$AW,MATCH($X$1,'Data yoy'!$A$1:$AW$1,),))</f>
        <v>5.7457399980000003</v>
      </c>
      <c r="Y72" s="25">
        <f>IF(VLOOKUP(B72,'Data yoy'!$A:$AW,MATCH($Y$1,'Data yoy'!$A$1:$AW$1,),)=0,#N/A,VLOOKUP(B72,'Data yoy'!$A:$AW,MATCH($Y$1,'Data yoy'!$A$1:$AW$1,),))</f>
        <v>3.7417825840000001</v>
      </c>
      <c r="Z72" s="25">
        <f>IF(VLOOKUP(B72,'Data yoy'!$A:$AW,MATCH($Z$1,'Data yoy'!$A$1:$AW$1,),)=0,#N/A,VLOOKUP(B72,'Data yoy'!$A:$AW,MATCH($Z$1,'Data yoy'!$A$1:$AW$1,),))</f>
        <v>3.5382041119999998</v>
      </c>
      <c r="AA72" s="25">
        <f>IF(VLOOKUP(B72,'Data yoy'!$A:$AW,MATCH($AA$1,'Data yoy'!$A$1:$AW$1,),)=0,#N/A,VLOOKUP(B72,'Data yoy'!$A:$AW,MATCH($AA$1,'Data yoy'!$A$1:$AW$1,),))</f>
        <v>3.985122166</v>
      </c>
      <c r="AB72" s="72"/>
      <c r="AC72" s="26" t="str">
        <f t="shared" si="9"/>
        <v>2015-Q2</v>
      </c>
      <c r="AD72" s="27">
        <f t="shared" si="10"/>
        <v>2.646630585</v>
      </c>
      <c r="AE72" s="27">
        <f t="shared" si="11"/>
        <v>1.974236426</v>
      </c>
      <c r="AF72" s="27">
        <f t="shared" si="12"/>
        <v>0.67239415899999999</v>
      </c>
    </row>
    <row r="73" spans="2:32" x14ac:dyDescent="0.2">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1.9701992189999999</v>
      </c>
      <c r="F73" s="25">
        <f>IF(VLOOKUP(B73,'Data yoy'!$A:$AW,MATCH($F$1,'Data yoy'!$A$1:$AW$1,),)=0,#N/A,VLOOKUP(B73,'Data yoy'!$A:$AW,MATCH($F$1,'Data yoy'!$A$1:$AW$1,),))</f>
        <v>2.2498089960000001</v>
      </c>
      <c r="G73" s="25">
        <f>IF(VLOOKUP(B73,'Data yoy'!$A:$AW,MATCH($G$1,'Data yoy'!$A$1:$AW$1,),)=0,#N/A,VLOOKUP(B73,'Data yoy'!$A:$AW,MATCH($G$1,'Data yoy'!$A$1:$AW$1,),))</f>
        <v>1.4937711119999999</v>
      </c>
      <c r="H73" s="25">
        <f>IF(VLOOKUP(B73,'Data yoy'!$A:$AW,MATCH($H$1,'Data yoy'!$A$1:$AW$1,),)=0,#N/A,VLOOKUP(B73,'Data yoy'!$A:$AW,MATCH($H$1,'Data yoy'!$A$1:$AW$1,),))</f>
        <v>0.91654982600000001</v>
      </c>
      <c r="I73" s="25">
        <f>IF(VLOOKUP(B73,'Data yoy'!$A:$AW,MATCH($I$1,'Data yoy'!$A$1:$AW$1,),)=0,#N/A,VLOOKUP(B73,'Data yoy'!$A:$AW,MATCH($I$1,'Data yoy'!$A$1:$AW$1,),))</f>
        <v>2.5039726959999999</v>
      </c>
      <c r="J73" s="25">
        <f>IF(VLOOKUP(B73,'Data yoy'!$A:$AW,MATCH($J$1,'Data yoy'!$A$1:$AW$1,),)=0,#N/A,VLOOKUP(B73,'Data yoy'!$A:$AW,MATCH($J$1,'Data yoy'!$A$1:$AW$1,),))</f>
        <v>0.63254534399999995</v>
      </c>
      <c r="K73" s="25">
        <f>IF(VLOOKUP(B73,'Data yoy'!$A:$AW,MATCH($K$1,'Data yoy'!$A$1:$AW$1,),)=0,#N/A,VLOOKUP(B73,'Data yoy'!$A:$AW,MATCH($K$1,'Data yoy'!$A$1:$AW$1,),))</f>
        <v>4.0485580949999997</v>
      </c>
      <c r="L73" s="25">
        <f>IF(VLOOKUP(B73,'Data yoy'!$A:$AW,MATCH($L$1,'Data yoy'!$A$1:$AW$1,),)=0,#N/A,VLOOKUP(B73,'Data yoy'!$A:$AW,MATCH($L$1,'Data yoy'!$A$1:$AW$1,),))</f>
        <v>4.6388961049999997</v>
      </c>
      <c r="M73" s="25">
        <f>IF(VLOOKUP(B73,'Data yoy'!$A:$AW,MATCH($M$1,'Data yoy'!$A$1:$AW$1,),)=0,#N/A,VLOOKUP(B73,'Data yoy'!$A:$AW,MATCH($M$1,'Data yoy'!$A$1:$AW$1,),))</f>
        <v>4.1438465600000001</v>
      </c>
      <c r="N73" s="25">
        <f>IF(VLOOKUP(B73,'Data yoy'!$A:$AW,MATCH($N$1,'Data yoy'!$A$1:$AW$1,),)=0,#N/A,VLOOKUP(B73,'Data yoy'!$A:$AW,MATCH($N$1,'Data yoy'!$A$1:$AW$1,),))</f>
        <v>-1.72172671</v>
      </c>
      <c r="O73" s="25">
        <f>IF(VLOOKUP(B73,'Data yoy'!$A:$AW,MATCH($O$1,'Data yoy'!$A$1:$AW$1,),)=0,#N/A,VLOOKUP(B73,'Data yoy'!$A:$AW,MATCH($O$1,'Data yoy'!$A$1:$AW$1,),))</f>
        <v>7.4023099999999999</v>
      </c>
      <c r="P73" s="25">
        <f>IF(VLOOKUP(B73,'Data yoy'!$A:$AW,MATCH($P$1,'Data yoy'!$A$1:$AW$1,),)=0,#N/A,VLOOKUP(B73,'Data yoy'!$A:$AW,MATCH($P$1,'Data yoy'!$A$1:$AW$1,),))</f>
        <v>0.21933249699999999</v>
      </c>
      <c r="Q73" s="25">
        <f>IF(VLOOKUP(B73,'Data yoy'!$A:$AW,MATCH($Q$1,'Data yoy'!$A$1:$AW$1,),)=0,#N/A,VLOOKUP(B73,'Data yoy'!$A:$AW,MATCH($Q$1,'Data yoy'!$A$1:$AW$1,),))</f>
        <v>2.4471172860000001</v>
      </c>
      <c r="R73" s="25">
        <f>IF(VLOOKUP(B73,'Data yoy'!$A:$AW,MATCH($R$1,'Data yoy'!$A$1:$AW$1,),)=0,#N/A,VLOOKUP(B73,'Data yoy'!$A:$AW,MATCH($R$1,'Data yoy'!$A$1:$AW$1,),))</f>
        <v>1.7152463040000001</v>
      </c>
      <c r="S73" s="25">
        <f>IF(VLOOKUP(B73,'Data yoy'!$A:$AW,MATCH($S$1,'Data yoy'!$A$1:$AW$1,),)=0,#N/A,VLOOKUP(B73,'Data yoy'!$A:$AW,MATCH($S$1,'Data yoy'!$A$1:$AW$1,),))</f>
        <v>3.2325957650000001</v>
      </c>
      <c r="T73" s="25">
        <f>IF(VLOOKUP(B73,'Data yoy'!$A:$AW,MATCH($T$1,'Data yoy'!$A$1:$AW$1,),)=0,#N/A,VLOOKUP(B73,'Data yoy'!$A:$AW,MATCH($T$1,'Data yoy'!$A$1:$AW$1,),))</f>
        <v>-4.2191157940000004</v>
      </c>
      <c r="U73" s="25">
        <f>IF(VLOOKUP(B73,'Data yoy'!$A:$AW,MATCH($U$1,'Data yoy'!$A$1:$AW$1,),)=0,#N/A,VLOOKUP(B73,'Data yoy'!$A:$AW,MATCH($U$1,'Data yoy'!$A$1:$AW$1,),))</f>
        <v>-2.5010827870000001</v>
      </c>
      <c r="V73" s="25">
        <f>IF(VLOOKUP(B73,'Data yoy'!$A:$AW,MATCH($V$1,'Data yoy'!$A$1:$AW$1,),)=0,#N/A,VLOOKUP(B73,'Data yoy'!$A:$AW,MATCH($V$1,'Data yoy'!$A$1:$AW$1,),))</f>
        <v>24.757834425999999</v>
      </c>
      <c r="W73" s="25">
        <f>IF(VLOOKUP(B73,'Data yoy'!$A:$AW,MATCH($W$1,'Data yoy'!$A$1:$AW$1,),)=0,#N/A,VLOOKUP(B73,'Data yoy'!$A:$AW,MATCH($W$1,'Data yoy'!$A$1:$AW$1,),))</f>
        <v>6.306599319</v>
      </c>
      <c r="X73" s="25">
        <f>IF(VLOOKUP(B73,'Data yoy'!$A:$AW,MATCH($X$1,'Data yoy'!$A$1:$AW$1,),)=0,#N/A,VLOOKUP(B73,'Data yoy'!$A:$AW,MATCH($X$1,'Data yoy'!$A$1:$AW$1,),))</f>
        <v>5.757359353</v>
      </c>
      <c r="Y73" s="25">
        <f>IF(VLOOKUP(B73,'Data yoy'!$A:$AW,MATCH($Y$1,'Data yoy'!$A$1:$AW$1,),)=0,#N/A,VLOOKUP(B73,'Data yoy'!$A:$AW,MATCH($Y$1,'Data yoy'!$A$1:$AW$1,),))</f>
        <v>4.185842203</v>
      </c>
      <c r="Z73" s="25">
        <f>IF(VLOOKUP(B73,'Data yoy'!$A:$AW,MATCH($Z$1,'Data yoy'!$A$1:$AW$1,),)=0,#N/A,VLOOKUP(B73,'Data yoy'!$A:$AW,MATCH($Z$1,'Data yoy'!$A$1:$AW$1,),))</f>
        <v>4.284966603</v>
      </c>
      <c r="AA73" s="25">
        <f>IF(VLOOKUP(B73,'Data yoy'!$A:$AW,MATCH($AA$1,'Data yoy'!$A$1:$AW$1,),)=0,#N/A,VLOOKUP(B73,'Data yoy'!$A:$AW,MATCH($AA$1,'Data yoy'!$A$1:$AW$1,),))</f>
        <v>3.7944458050000001</v>
      </c>
      <c r="AB73" s="72"/>
      <c r="AC73" s="26" t="str">
        <f t="shared" si="9"/>
        <v>2015-Q3</v>
      </c>
      <c r="AD73" s="27">
        <f t="shared" si="10"/>
        <v>2.5039726959999999</v>
      </c>
      <c r="AE73" s="27">
        <f t="shared" si="11"/>
        <v>1.9701992189999999</v>
      </c>
      <c r="AF73" s="27">
        <f t="shared" si="12"/>
        <v>0.533773477</v>
      </c>
    </row>
    <row r="74" spans="2:32" x14ac:dyDescent="0.2">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2.0157259920000001</v>
      </c>
      <c r="F74" s="25">
        <f>IF(VLOOKUP(B74,'Data yoy'!$A:$AW,MATCH($F$1,'Data yoy'!$A$1:$AW$1,),)=0,#N/A,VLOOKUP(B74,'Data yoy'!$A:$AW,MATCH($F$1,'Data yoy'!$A$1:$AW$1,),))</f>
        <v>1.6273850459999999</v>
      </c>
      <c r="G74" s="25">
        <f>IF(VLOOKUP(B74,'Data yoy'!$A:$AW,MATCH($G$1,'Data yoy'!$A$1:$AW$1,),)=0,#N/A,VLOOKUP(B74,'Data yoy'!$A:$AW,MATCH($G$1,'Data yoy'!$A$1:$AW$1,),))</f>
        <v>1.1100328779999999</v>
      </c>
      <c r="H74" s="25">
        <f>IF(VLOOKUP(B74,'Data yoy'!$A:$AW,MATCH($H$1,'Data yoy'!$A$1:$AW$1,),)=0,#N/A,VLOOKUP(B74,'Data yoy'!$A:$AW,MATCH($H$1,'Data yoy'!$A$1:$AW$1,),))</f>
        <v>0.97941305599999995</v>
      </c>
      <c r="I74" s="25">
        <f>IF(VLOOKUP(B74,'Data yoy'!$A:$AW,MATCH($I$1,'Data yoy'!$A$1:$AW$1,),)=0,#N/A,VLOOKUP(B74,'Data yoy'!$A:$AW,MATCH($I$1,'Data yoy'!$A$1:$AW$1,),))</f>
        <v>2.6256587499999999</v>
      </c>
      <c r="J74" s="25">
        <f>IF(VLOOKUP(B74,'Data yoy'!$A:$AW,MATCH($J$1,'Data yoy'!$A$1:$AW$1,),)=0,#N/A,VLOOKUP(B74,'Data yoy'!$A:$AW,MATCH($J$1,'Data yoy'!$A$1:$AW$1,),))</f>
        <v>1.4367180070000001</v>
      </c>
      <c r="K74" s="25">
        <f>IF(VLOOKUP(B74,'Data yoy'!$A:$AW,MATCH($K$1,'Data yoy'!$A$1:$AW$1,),)=0,#N/A,VLOOKUP(B74,'Data yoy'!$A:$AW,MATCH($K$1,'Data yoy'!$A$1:$AW$1,),))</f>
        <v>4.1627441640000002</v>
      </c>
      <c r="L74" s="25">
        <f>IF(VLOOKUP(B74,'Data yoy'!$A:$AW,MATCH($L$1,'Data yoy'!$A$1:$AW$1,),)=0,#N/A,VLOOKUP(B74,'Data yoy'!$A:$AW,MATCH($L$1,'Data yoy'!$A$1:$AW$1,),))</f>
        <v>4.6299735289999999</v>
      </c>
      <c r="M74" s="25">
        <f>IF(VLOOKUP(B74,'Data yoy'!$A:$AW,MATCH($M$1,'Data yoy'!$A$1:$AW$1,),)=0,#N/A,VLOOKUP(B74,'Data yoy'!$A:$AW,MATCH($M$1,'Data yoy'!$A$1:$AW$1,),))</f>
        <v>2.7073185739999999</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2.685460339</v>
      </c>
      <c r="R74" s="25">
        <f>IF(VLOOKUP(B74,'Data yoy'!$A:$AW,MATCH($R$1,'Data yoy'!$A$1:$AW$1,),)=0,#N/A,VLOOKUP(B74,'Data yoy'!$A:$AW,MATCH($R$1,'Data yoy'!$A$1:$AW$1,),))</f>
        <v>1.590770491</v>
      </c>
      <c r="S74" s="25">
        <f>IF(VLOOKUP(B74,'Data yoy'!$A:$AW,MATCH($S$1,'Data yoy'!$A$1:$AW$1,),)=0,#N/A,VLOOKUP(B74,'Data yoy'!$A:$AW,MATCH($S$1,'Data yoy'!$A$1:$AW$1,),))</f>
        <v>3.470945248</v>
      </c>
      <c r="T74" s="25">
        <f>IF(VLOOKUP(B74,'Data yoy'!$A:$AW,MATCH($T$1,'Data yoy'!$A$1:$AW$1,),)=0,#N/A,VLOOKUP(B74,'Data yoy'!$A:$AW,MATCH($T$1,'Data yoy'!$A$1:$AW$1,),))</f>
        <v>-5.4425511689999997</v>
      </c>
      <c r="U74" s="25">
        <f>IF(VLOOKUP(B74,'Data yoy'!$A:$AW,MATCH($U$1,'Data yoy'!$A$1:$AW$1,),)=0,#N/A,VLOOKUP(B74,'Data yoy'!$A:$AW,MATCH($U$1,'Data yoy'!$A$1:$AW$1,),))</f>
        <v>0.302981736</v>
      </c>
      <c r="V74" s="25">
        <f>IF(VLOOKUP(B74,'Data yoy'!$A:$AW,MATCH($V$1,'Data yoy'!$A$1:$AW$1,),)=0,#N/A,VLOOKUP(B74,'Data yoy'!$A:$AW,MATCH($V$1,'Data yoy'!$A$1:$AW$1,),))</f>
        <v>25.767292037000001</v>
      </c>
      <c r="W74" s="25">
        <f>IF(VLOOKUP(B74,'Data yoy'!$A:$AW,MATCH($W$1,'Data yoy'!$A$1:$AW$1,),)=0,#N/A,VLOOKUP(B74,'Data yoy'!$A:$AW,MATCH($W$1,'Data yoy'!$A$1:$AW$1,),))</f>
        <v>6.1170653310000001</v>
      </c>
      <c r="X74" s="25">
        <f>IF(VLOOKUP(B74,'Data yoy'!$A:$AW,MATCH($X$1,'Data yoy'!$A$1:$AW$1,),)=0,#N/A,VLOOKUP(B74,'Data yoy'!$A:$AW,MATCH($X$1,'Data yoy'!$A$1:$AW$1,),))</f>
        <v>5.0987886949999996</v>
      </c>
      <c r="Y74" s="25">
        <f>IF(VLOOKUP(B74,'Data yoy'!$A:$AW,MATCH($Y$1,'Data yoy'!$A$1:$AW$1,),)=0,#N/A,VLOOKUP(B74,'Data yoy'!$A:$AW,MATCH($Y$1,'Data yoy'!$A$1:$AW$1,),))</f>
        <v>4.7950581510000001</v>
      </c>
      <c r="Z74" s="25">
        <f>IF(VLOOKUP(B74,'Data yoy'!$A:$AW,MATCH($Z$1,'Data yoy'!$A$1:$AW$1,),)=0,#N/A,VLOOKUP(B74,'Data yoy'!$A:$AW,MATCH($Z$1,'Data yoy'!$A$1:$AW$1,),))</f>
        <v>2.5921270789999999</v>
      </c>
      <c r="AA74" s="25">
        <f>IF(VLOOKUP(B74,'Data yoy'!$A:$AW,MATCH($AA$1,'Data yoy'!$A$1:$AW$1,),)=0,#N/A,VLOOKUP(B74,'Data yoy'!$A:$AW,MATCH($AA$1,'Data yoy'!$A$1:$AW$1,),))</f>
        <v>3.193576856</v>
      </c>
      <c r="AB74" s="72"/>
      <c r="AC74" s="26" t="str">
        <f t="shared" si="9"/>
        <v>2015-Q4</v>
      </c>
      <c r="AD74" s="27">
        <f t="shared" si="10"/>
        <v>2.6256587499999999</v>
      </c>
      <c r="AE74" s="27">
        <f t="shared" si="11"/>
        <v>2.0157259920000001</v>
      </c>
      <c r="AF74" s="27">
        <f t="shared" si="12"/>
        <v>0.6099327579999998</v>
      </c>
    </row>
    <row r="75" spans="2:32" x14ac:dyDescent="0.2">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1.9148209410000001</v>
      </c>
      <c r="F75" s="25">
        <f>IF(VLOOKUP(B75,'Data yoy'!$A:$AW,MATCH($F$1,'Data yoy'!$A$1:$AW$1,),)=0,#N/A,VLOOKUP(B75,'Data yoy'!$A:$AW,MATCH($F$1,'Data yoy'!$A$1:$AW$1,),))</f>
        <v>0.81327932700000005</v>
      </c>
      <c r="G75" s="25">
        <f>IF(VLOOKUP(B75,'Data yoy'!$A:$AW,MATCH($G$1,'Data yoy'!$A$1:$AW$1,),)=0,#N/A,VLOOKUP(B75,'Data yoy'!$A:$AW,MATCH($G$1,'Data yoy'!$A$1:$AW$1,),))</f>
        <v>2.4768189889999999</v>
      </c>
      <c r="H75" s="25">
        <f>IF(VLOOKUP(B75,'Data yoy'!$A:$AW,MATCH($H$1,'Data yoy'!$A$1:$AW$1,),)=0,#N/A,VLOOKUP(B75,'Data yoy'!$A:$AW,MATCH($H$1,'Data yoy'!$A$1:$AW$1,),))</f>
        <v>1.129946629</v>
      </c>
      <c r="I75" s="25">
        <f>IF(VLOOKUP(B75,'Data yoy'!$A:$AW,MATCH($I$1,'Data yoy'!$A$1:$AW$1,),)=0,#N/A,VLOOKUP(B75,'Data yoy'!$A:$AW,MATCH($I$1,'Data yoy'!$A$1:$AW$1,),))</f>
        <v>2.4185704760000002</v>
      </c>
      <c r="J75" s="25">
        <f>IF(VLOOKUP(B75,'Data yoy'!$A:$AW,MATCH($J$1,'Data yoy'!$A$1:$AW$1,),)=0,#N/A,VLOOKUP(B75,'Data yoy'!$A:$AW,MATCH($J$1,'Data yoy'!$A$1:$AW$1,),))</f>
        <v>1.4448893279999999</v>
      </c>
      <c r="K75" s="25">
        <f>IF(VLOOKUP(B75,'Data yoy'!$A:$AW,MATCH($K$1,'Data yoy'!$A$1:$AW$1,),)=0,#N/A,VLOOKUP(B75,'Data yoy'!$A:$AW,MATCH($K$1,'Data yoy'!$A$1:$AW$1,),))</f>
        <v>3.6787924009999999</v>
      </c>
      <c r="L75" s="25">
        <f>IF(VLOOKUP(B75,'Data yoy'!$A:$AW,MATCH($L$1,'Data yoy'!$A$1:$AW$1,),)=0,#N/A,VLOOKUP(B75,'Data yoy'!$A:$AW,MATCH($L$1,'Data yoy'!$A$1:$AW$1,),))</f>
        <v>3.0642046399999998</v>
      </c>
      <c r="M75" s="25">
        <f>IF(VLOOKUP(B75,'Data yoy'!$A:$AW,MATCH($M$1,'Data yoy'!$A$1:$AW$1,),)=0,#N/A,VLOOKUP(B75,'Data yoy'!$A:$AW,MATCH($M$1,'Data yoy'!$A$1:$AW$1,),))</f>
        <v>2.7307634780000001</v>
      </c>
      <c r="N75" s="25">
        <f>IF(VLOOKUP(B75,'Data yoy'!$A:$AW,MATCH($N$1,'Data yoy'!$A$1:$AW$1,),)=0,#N/A,VLOOKUP(B75,'Data yoy'!$A:$AW,MATCH($N$1,'Data yoy'!$A$1:$AW$1,),))</f>
        <v>-0.54547591600000001</v>
      </c>
      <c r="O75" s="25">
        <f>IF(VLOOKUP(B75,'Data yoy'!$A:$AW,MATCH($O$1,'Data yoy'!$A$1:$AW$1,),)=0,#N/A,VLOOKUP(B75,'Data yoy'!$A:$AW,MATCH($O$1,'Data yoy'!$A$1:$AW$1,),))</f>
        <v>9.2224599999999999</v>
      </c>
      <c r="P75" s="25">
        <f>IF(VLOOKUP(B75,'Data yoy'!$A:$AW,MATCH($P$1,'Data yoy'!$A$1:$AW$1,),)=0,#N/A,VLOOKUP(B75,'Data yoy'!$A:$AW,MATCH($P$1,'Data yoy'!$A$1:$AW$1,),))</f>
        <v>0.70485855600000002</v>
      </c>
      <c r="Q75" s="25">
        <f>IF(VLOOKUP(B75,'Data yoy'!$A:$AW,MATCH($Q$1,'Data yoy'!$A$1:$AW$1,),)=0,#N/A,VLOOKUP(B75,'Data yoy'!$A:$AW,MATCH($Q$1,'Data yoy'!$A$1:$AW$1,),))</f>
        <v>2.6351621060000001</v>
      </c>
      <c r="R75" s="25">
        <f>IF(VLOOKUP(B75,'Data yoy'!$A:$AW,MATCH($R$1,'Data yoy'!$A$1:$AW$1,),)=0,#N/A,VLOOKUP(B75,'Data yoy'!$A:$AW,MATCH($R$1,'Data yoy'!$A$1:$AW$1,),))</f>
        <v>2.1987612670000001</v>
      </c>
      <c r="S75" s="25">
        <f>IF(VLOOKUP(B75,'Data yoy'!$A:$AW,MATCH($S$1,'Data yoy'!$A$1:$AW$1,),)=0,#N/A,VLOOKUP(B75,'Data yoy'!$A:$AW,MATCH($S$1,'Data yoy'!$A$1:$AW$1,),))</f>
        <v>2.926494945</v>
      </c>
      <c r="T75" s="25">
        <f>IF(VLOOKUP(B75,'Data yoy'!$A:$AW,MATCH($T$1,'Data yoy'!$A$1:$AW$1,),)=0,#N/A,VLOOKUP(B75,'Data yoy'!$A:$AW,MATCH($T$1,'Data yoy'!$A$1:$AW$1,),))</f>
        <v>-6.3317370840000002</v>
      </c>
      <c r="U75" s="25">
        <f>IF(VLOOKUP(B75,'Data yoy'!$A:$AW,MATCH($U$1,'Data yoy'!$A$1:$AW$1,),)=0,#N/A,VLOOKUP(B75,'Data yoy'!$A:$AW,MATCH($U$1,'Data yoy'!$A$1:$AW$1,),))</f>
        <v>-1.14012845</v>
      </c>
      <c r="V75" s="25">
        <f>IF(VLOOKUP(B75,'Data yoy'!$A:$AW,MATCH($V$1,'Data yoy'!$A$1:$AW$1,),)=0,#N/A,VLOOKUP(B75,'Data yoy'!$A:$AW,MATCH($V$1,'Data yoy'!$A$1:$AW$1,),))</f>
        <v>-1.1033345379999999</v>
      </c>
      <c r="W75" s="25">
        <f>IF(VLOOKUP(B75,'Data yoy'!$A:$AW,MATCH($W$1,'Data yoy'!$A$1:$AW$1,),)=0,#N/A,VLOOKUP(B75,'Data yoy'!$A:$AW,MATCH($W$1,'Data yoy'!$A$1:$AW$1,),))</f>
        <v>4.5244235330000002</v>
      </c>
      <c r="X75" s="25">
        <f>IF(VLOOKUP(B75,'Data yoy'!$A:$AW,MATCH($X$1,'Data yoy'!$A$1:$AW$1,),)=0,#N/A,VLOOKUP(B75,'Data yoy'!$A:$AW,MATCH($X$1,'Data yoy'!$A$1:$AW$1,),))</f>
        <v>3.3935594359999999</v>
      </c>
      <c r="Y75" s="25">
        <f>IF(VLOOKUP(B75,'Data yoy'!$A:$AW,MATCH($Y$1,'Data yoy'!$A$1:$AW$1,),)=0,#N/A,VLOOKUP(B75,'Data yoy'!$A:$AW,MATCH($Y$1,'Data yoy'!$A$1:$AW$1,),))</f>
        <v>3.023989131</v>
      </c>
      <c r="Z75" s="25">
        <f>IF(VLOOKUP(B75,'Data yoy'!$A:$AW,MATCH($Z$1,'Data yoy'!$A$1:$AW$1,),)=0,#N/A,VLOOKUP(B75,'Data yoy'!$A:$AW,MATCH($Z$1,'Data yoy'!$A$1:$AW$1,),))</f>
        <v>0.20369295500000001</v>
      </c>
      <c r="AA75" s="25">
        <f>IF(VLOOKUP(B75,'Data yoy'!$A:$AW,MATCH($AA$1,'Data yoy'!$A$1:$AW$1,),)=0,#N/A,VLOOKUP(B75,'Data yoy'!$A:$AW,MATCH($AA$1,'Data yoy'!$A$1:$AW$1,),))</f>
        <v>4.0587609569999996</v>
      </c>
      <c r="AB75" s="72"/>
      <c r="AC75" s="26" t="str">
        <f t="shared" ref="AC75:AC98" si="13">B75</f>
        <v>2016-Q1</v>
      </c>
      <c r="AD75" s="27">
        <f t="shared" ref="AD75:AD106" si="14">(VLOOKUP(AC75,B:Y,MATCH($AE$6,$B$1:$Y$1,),))</f>
        <v>2.4185704760000002</v>
      </c>
      <c r="AE75" s="27">
        <f t="shared" ref="AE75:AE98" si="15">(VLOOKUP(AC75,B:Y,MATCH($AE$7,$B$1:$Y$1,),))</f>
        <v>1.9148209410000001</v>
      </c>
      <c r="AF75" s="27">
        <f t="shared" si="12"/>
        <v>0.50374953500000008</v>
      </c>
    </row>
    <row r="76" spans="2:32" x14ac:dyDescent="0.2">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1.7208782460000001</v>
      </c>
      <c r="F76" s="25">
        <f>IF(VLOOKUP(B76,'Data yoy'!$A:$AW,MATCH($F$1,'Data yoy'!$A$1:$AW$1,),)=0,#N/A,VLOOKUP(B76,'Data yoy'!$A:$AW,MATCH($F$1,'Data yoy'!$A$1:$AW$1,),))</f>
        <v>0.52528469</v>
      </c>
      <c r="G76" s="25">
        <f>IF(VLOOKUP(B76,'Data yoy'!$A:$AW,MATCH($G$1,'Data yoy'!$A$1:$AW$1,),)=0,#N/A,VLOOKUP(B76,'Data yoy'!$A:$AW,MATCH($G$1,'Data yoy'!$A$1:$AW$1,),))</f>
        <v>2.178643906</v>
      </c>
      <c r="H76" s="25">
        <f>IF(VLOOKUP(B76,'Data yoy'!$A:$AW,MATCH($H$1,'Data yoy'!$A$1:$AW$1,),)=0,#N/A,VLOOKUP(B76,'Data yoy'!$A:$AW,MATCH($H$1,'Data yoy'!$A$1:$AW$1,),))</f>
        <v>0.95796744899999997</v>
      </c>
      <c r="I76" s="25">
        <f>IF(VLOOKUP(B76,'Data yoy'!$A:$AW,MATCH($I$1,'Data yoy'!$A$1:$AW$1,),)=0,#N/A,VLOOKUP(B76,'Data yoy'!$A:$AW,MATCH($I$1,'Data yoy'!$A$1:$AW$1,),))</f>
        <v>2.2547717399999998</v>
      </c>
      <c r="J76" s="25">
        <f>IF(VLOOKUP(B76,'Data yoy'!$A:$AW,MATCH($J$1,'Data yoy'!$A$1:$AW$1,),)=0,#N/A,VLOOKUP(B76,'Data yoy'!$A:$AW,MATCH($J$1,'Data yoy'!$A$1:$AW$1,),))</f>
        <v>1.2522623879999999</v>
      </c>
      <c r="K76" s="25">
        <f>IF(VLOOKUP(B76,'Data yoy'!$A:$AW,MATCH($K$1,'Data yoy'!$A$1:$AW$1,),)=0,#N/A,VLOOKUP(B76,'Data yoy'!$A:$AW,MATCH($K$1,'Data yoy'!$A$1:$AW$1,),))</f>
        <v>3.0085783629999998</v>
      </c>
      <c r="L76" s="25">
        <f>IF(VLOOKUP(B76,'Data yoy'!$A:$AW,MATCH($L$1,'Data yoy'!$A$1:$AW$1,),)=0,#N/A,VLOOKUP(B76,'Data yoy'!$A:$AW,MATCH($L$1,'Data yoy'!$A$1:$AW$1,),))</f>
        <v>2.1406203339999998</v>
      </c>
      <c r="M76" s="25">
        <f>IF(VLOOKUP(B76,'Data yoy'!$A:$AW,MATCH($M$1,'Data yoy'!$A$1:$AW$1,),)=0,#N/A,VLOOKUP(B76,'Data yoy'!$A:$AW,MATCH($M$1,'Data yoy'!$A$1:$AW$1,),))</f>
        <v>1.9882907139999999</v>
      </c>
      <c r="N76" s="25">
        <f>IF(VLOOKUP(B76,'Data yoy'!$A:$AW,MATCH($N$1,'Data yoy'!$A$1:$AW$1,),)=0,#N/A,VLOOKUP(B76,'Data yoy'!$A:$AW,MATCH($N$1,'Data yoy'!$A$1:$AW$1,),))</f>
        <v>0.17908624300000001</v>
      </c>
      <c r="O76" s="25">
        <f>IF(VLOOKUP(B76,'Data yoy'!$A:$AW,MATCH($O$1,'Data yoy'!$A$1:$AW$1,),)=0,#N/A,VLOOKUP(B76,'Data yoy'!$A:$AW,MATCH($O$1,'Data yoy'!$A$1:$AW$1,),))</f>
        <v>8.8364399999999996</v>
      </c>
      <c r="P76" s="25">
        <f>IF(VLOOKUP(B76,'Data yoy'!$A:$AW,MATCH($P$1,'Data yoy'!$A$1:$AW$1,),)=0,#N/A,VLOOKUP(B76,'Data yoy'!$A:$AW,MATCH($P$1,'Data yoy'!$A$1:$AW$1,),))</f>
        <v>0.48316809100000002</v>
      </c>
      <c r="Q76" s="25">
        <f>IF(VLOOKUP(B76,'Data yoy'!$A:$AW,MATCH($Q$1,'Data yoy'!$A$1:$AW$1,),)=0,#N/A,VLOOKUP(B76,'Data yoy'!$A:$AW,MATCH($Q$1,'Data yoy'!$A$1:$AW$1,),))</f>
        <v>3.1941576340000002</v>
      </c>
      <c r="R76" s="25">
        <f>IF(VLOOKUP(B76,'Data yoy'!$A:$AW,MATCH($R$1,'Data yoy'!$A$1:$AW$1,),)=0,#N/A,VLOOKUP(B76,'Data yoy'!$A:$AW,MATCH($R$1,'Data yoy'!$A$1:$AW$1,),))</f>
        <v>1.9955451129999999</v>
      </c>
      <c r="S76" s="25">
        <f>IF(VLOOKUP(B76,'Data yoy'!$A:$AW,MATCH($S$1,'Data yoy'!$A$1:$AW$1,),)=0,#N/A,VLOOKUP(B76,'Data yoy'!$A:$AW,MATCH($S$1,'Data yoy'!$A$1:$AW$1,),))</f>
        <v>3.6712156039999999</v>
      </c>
      <c r="T76" s="25">
        <f>IF(VLOOKUP(B76,'Data yoy'!$A:$AW,MATCH($T$1,'Data yoy'!$A$1:$AW$1,),)=0,#N/A,VLOOKUP(B76,'Data yoy'!$A:$AW,MATCH($T$1,'Data yoy'!$A$1:$AW$1,),))</f>
        <v>-3.2843557300000001</v>
      </c>
      <c r="U76" s="25">
        <f>IF(VLOOKUP(B76,'Data yoy'!$A:$AW,MATCH($U$1,'Data yoy'!$A$1:$AW$1,),)=0,#N/A,VLOOKUP(B76,'Data yoy'!$A:$AW,MATCH($U$1,'Data yoy'!$A$1:$AW$1,),))</f>
        <v>-1.3975220719999999</v>
      </c>
      <c r="V76" s="25">
        <f>IF(VLOOKUP(B76,'Data yoy'!$A:$AW,MATCH($V$1,'Data yoy'!$A$1:$AW$1,),)=0,#N/A,VLOOKUP(B76,'Data yoy'!$A:$AW,MATCH($V$1,'Data yoy'!$A$1:$AW$1,),))</f>
        <v>2.7401863880000001</v>
      </c>
      <c r="W76" s="25">
        <f>IF(VLOOKUP(B76,'Data yoy'!$A:$AW,MATCH($W$1,'Data yoy'!$A$1:$AW$1,),)=0,#N/A,VLOOKUP(B76,'Data yoy'!$A:$AW,MATCH($W$1,'Data yoy'!$A$1:$AW$1,),))</f>
        <v>4.4287952639999997</v>
      </c>
      <c r="X76" s="25">
        <f>IF(VLOOKUP(B76,'Data yoy'!$A:$AW,MATCH($X$1,'Data yoy'!$A$1:$AW$1,),)=0,#N/A,VLOOKUP(B76,'Data yoy'!$A:$AW,MATCH($X$1,'Data yoy'!$A$1:$AW$1,),))</f>
        <v>2.255475396</v>
      </c>
      <c r="Y76" s="25">
        <f>IF(VLOOKUP(B76,'Data yoy'!$A:$AW,MATCH($Y$1,'Data yoy'!$A$1:$AW$1,),)=0,#N/A,VLOOKUP(B76,'Data yoy'!$A:$AW,MATCH($Y$1,'Data yoy'!$A$1:$AW$1,),))</f>
        <v>3.5574286860000002</v>
      </c>
      <c r="Z76" s="25">
        <f>IF(VLOOKUP(B76,'Data yoy'!$A:$AW,MATCH($Z$1,'Data yoy'!$A$1:$AW$1,),)=0,#N/A,VLOOKUP(B76,'Data yoy'!$A:$AW,MATCH($Z$1,'Data yoy'!$A$1:$AW$1,),))</f>
        <v>-3.621577893</v>
      </c>
      <c r="AA76" s="25">
        <f>IF(VLOOKUP(B76,'Data yoy'!$A:$AW,MATCH($AA$1,'Data yoy'!$A$1:$AW$1,),)=0,#N/A,VLOOKUP(B76,'Data yoy'!$A:$AW,MATCH($AA$1,'Data yoy'!$A$1:$AW$1,),))</f>
        <v>4.2845693730000001</v>
      </c>
      <c r="AB76" s="72"/>
      <c r="AC76" s="26" t="str">
        <f t="shared" si="13"/>
        <v>2016-Q2</v>
      </c>
      <c r="AD76" s="27">
        <f t="shared" si="14"/>
        <v>2.2547717399999998</v>
      </c>
      <c r="AE76" s="27">
        <f t="shared" si="15"/>
        <v>1.7208782460000001</v>
      </c>
      <c r="AF76" s="27">
        <f t="shared" si="12"/>
        <v>0.53389349399999975</v>
      </c>
    </row>
    <row r="77" spans="2:32" x14ac:dyDescent="0.2">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1.7306136729999999</v>
      </c>
      <c r="F77" s="25">
        <f>IF(VLOOKUP(B77,'Data yoy'!$A:$AW,MATCH($F$1,'Data yoy'!$A$1:$AW$1,),)=0,#N/A,VLOOKUP(B77,'Data yoy'!$A:$AW,MATCH($F$1,'Data yoy'!$A$1:$AW$1,),))</f>
        <v>0.60520722100000002</v>
      </c>
      <c r="G77" s="25">
        <f>IF(VLOOKUP(B77,'Data yoy'!$A:$AW,MATCH($G$1,'Data yoy'!$A$1:$AW$1,),)=0,#N/A,VLOOKUP(B77,'Data yoy'!$A:$AW,MATCH($G$1,'Data yoy'!$A$1:$AW$1,),))</f>
        <v>2.0181250249999998</v>
      </c>
      <c r="H77" s="25">
        <f>IF(VLOOKUP(B77,'Data yoy'!$A:$AW,MATCH($H$1,'Data yoy'!$A$1:$AW$1,),)=0,#N/A,VLOOKUP(B77,'Data yoy'!$A:$AW,MATCH($H$1,'Data yoy'!$A$1:$AW$1,),))</f>
        <v>0.81027239399999995</v>
      </c>
      <c r="I77" s="25">
        <f>IF(VLOOKUP(B77,'Data yoy'!$A:$AW,MATCH($I$1,'Data yoy'!$A$1:$AW$1,),)=0,#N/A,VLOOKUP(B77,'Data yoy'!$A:$AW,MATCH($I$1,'Data yoy'!$A$1:$AW$1,),))</f>
        <v>2.1612003440000001</v>
      </c>
      <c r="J77" s="25">
        <f>IF(VLOOKUP(B77,'Data yoy'!$A:$AW,MATCH($J$1,'Data yoy'!$A$1:$AW$1,),)=0,#N/A,VLOOKUP(B77,'Data yoy'!$A:$AW,MATCH($J$1,'Data yoy'!$A$1:$AW$1,),))</f>
        <v>1.582185824</v>
      </c>
      <c r="K77" s="25">
        <f>IF(VLOOKUP(B77,'Data yoy'!$A:$AW,MATCH($K$1,'Data yoy'!$A$1:$AW$1,),)=0,#N/A,VLOOKUP(B77,'Data yoy'!$A:$AW,MATCH($K$1,'Data yoy'!$A$1:$AW$1,),))</f>
        <v>2.9851407970000001</v>
      </c>
      <c r="L77" s="25">
        <f>IF(VLOOKUP(B77,'Data yoy'!$A:$AW,MATCH($L$1,'Data yoy'!$A$1:$AW$1,),)=0,#N/A,VLOOKUP(B77,'Data yoy'!$A:$AW,MATCH($L$1,'Data yoy'!$A$1:$AW$1,),))</f>
        <v>1.0398091380000001</v>
      </c>
      <c r="M77" s="25">
        <f>IF(VLOOKUP(B77,'Data yoy'!$A:$AW,MATCH($M$1,'Data yoy'!$A$1:$AW$1,),)=0,#N/A,VLOOKUP(B77,'Data yoy'!$A:$AW,MATCH($M$1,'Data yoy'!$A$1:$AW$1,),))</f>
        <v>1.736917992</v>
      </c>
      <c r="N77" s="25">
        <f>IF(VLOOKUP(B77,'Data yoy'!$A:$AW,MATCH($N$1,'Data yoy'!$A$1:$AW$1,),)=0,#N/A,VLOOKUP(B77,'Data yoy'!$A:$AW,MATCH($N$1,'Data yoy'!$A$1:$AW$1,),))</f>
        <v>8.6290206999999994E-2</v>
      </c>
      <c r="O77" s="25">
        <f>IF(VLOOKUP(B77,'Data yoy'!$A:$AW,MATCH($O$1,'Data yoy'!$A$1:$AW$1,),)=0,#N/A,VLOOKUP(B77,'Data yoy'!$A:$AW,MATCH($O$1,'Data yoy'!$A$1:$AW$1,),))</f>
        <v>9.3121100000000006</v>
      </c>
      <c r="P77" s="25">
        <f>IF(VLOOKUP(B77,'Data yoy'!$A:$AW,MATCH($P$1,'Data yoy'!$A$1:$AW$1,),)=0,#N/A,VLOOKUP(B77,'Data yoy'!$A:$AW,MATCH($P$1,'Data yoy'!$A$1:$AW$1,),))</f>
        <v>1.1615540019999999</v>
      </c>
      <c r="Q77" s="25">
        <f>IF(VLOOKUP(B77,'Data yoy'!$A:$AW,MATCH($Q$1,'Data yoy'!$A$1:$AW$1,),)=0,#N/A,VLOOKUP(B77,'Data yoy'!$A:$AW,MATCH($Q$1,'Data yoy'!$A$1:$AW$1,),))</f>
        <v>2.264110396</v>
      </c>
      <c r="R77" s="25">
        <f>IF(VLOOKUP(B77,'Data yoy'!$A:$AW,MATCH($R$1,'Data yoy'!$A$1:$AW$1,),)=0,#N/A,VLOOKUP(B77,'Data yoy'!$A:$AW,MATCH($R$1,'Data yoy'!$A$1:$AW$1,),))</f>
        <v>1.914750427</v>
      </c>
      <c r="S77" s="25">
        <f>IF(VLOOKUP(B77,'Data yoy'!$A:$AW,MATCH($S$1,'Data yoy'!$A$1:$AW$1,),)=0,#N/A,VLOOKUP(B77,'Data yoy'!$A:$AW,MATCH($S$1,'Data yoy'!$A$1:$AW$1,),))</f>
        <v>2.6305051480000001</v>
      </c>
      <c r="T77" s="25">
        <f>IF(VLOOKUP(B77,'Data yoy'!$A:$AW,MATCH($T$1,'Data yoy'!$A$1:$AW$1,),)=0,#N/A,VLOOKUP(B77,'Data yoy'!$A:$AW,MATCH($T$1,'Data yoy'!$A$1:$AW$1,),))</f>
        <v>-2.4351160219999999</v>
      </c>
      <c r="U77" s="25">
        <f>IF(VLOOKUP(B77,'Data yoy'!$A:$AW,MATCH($U$1,'Data yoy'!$A$1:$AW$1,),)=0,#N/A,VLOOKUP(B77,'Data yoy'!$A:$AW,MATCH($U$1,'Data yoy'!$A$1:$AW$1,),))</f>
        <v>0.90178134799999998</v>
      </c>
      <c r="V77" s="25">
        <f>IF(VLOOKUP(B77,'Data yoy'!$A:$AW,MATCH($V$1,'Data yoy'!$A$1:$AW$1,),)=0,#N/A,VLOOKUP(B77,'Data yoy'!$A:$AW,MATCH($V$1,'Data yoy'!$A$1:$AW$1,),))</f>
        <v>-1.1672379209999999</v>
      </c>
      <c r="W77" s="25">
        <f>IF(VLOOKUP(B77,'Data yoy'!$A:$AW,MATCH($W$1,'Data yoy'!$A$1:$AW$1,),)=0,#N/A,VLOOKUP(B77,'Data yoy'!$A:$AW,MATCH($W$1,'Data yoy'!$A$1:$AW$1,),))</f>
        <v>3.2153910000000001E-2</v>
      </c>
      <c r="X77" s="25">
        <f>IF(VLOOKUP(B77,'Data yoy'!$A:$AW,MATCH($X$1,'Data yoy'!$A$1:$AW$1,),)=0,#N/A,VLOOKUP(B77,'Data yoy'!$A:$AW,MATCH($X$1,'Data yoy'!$A$1:$AW$1,),))</f>
        <v>1.9596201049999999</v>
      </c>
      <c r="Y77" s="25">
        <f>IF(VLOOKUP(B77,'Data yoy'!$A:$AW,MATCH($Y$1,'Data yoy'!$A$1:$AW$1,),)=0,#N/A,VLOOKUP(B77,'Data yoy'!$A:$AW,MATCH($Y$1,'Data yoy'!$A$1:$AW$1,),))</f>
        <v>2.5241190200000001</v>
      </c>
      <c r="Z77" s="25">
        <f>IF(VLOOKUP(B77,'Data yoy'!$A:$AW,MATCH($Z$1,'Data yoy'!$A$1:$AW$1,),)=0,#N/A,VLOOKUP(B77,'Data yoy'!$A:$AW,MATCH($Z$1,'Data yoy'!$A$1:$AW$1,),))</f>
        <v>-3.2767366290000002</v>
      </c>
      <c r="AA77" s="25">
        <f>IF(VLOOKUP(B77,'Data yoy'!$A:$AW,MATCH($AA$1,'Data yoy'!$A$1:$AW$1,),)=0,#N/A,VLOOKUP(B77,'Data yoy'!$A:$AW,MATCH($AA$1,'Data yoy'!$A$1:$AW$1,),))</f>
        <v>4.137334761</v>
      </c>
      <c r="AB77" s="72"/>
      <c r="AC77" s="26" t="str">
        <f t="shared" si="13"/>
        <v>2016-Q3</v>
      </c>
      <c r="AD77" s="27">
        <f t="shared" si="14"/>
        <v>2.1612003440000001</v>
      </c>
      <c r="AE77" s="27">
        <f t="shared" si="15"/>
        <v>1.7306136729999999</v>
      </c>
      <c r="AF77" s="27">
        <f t="shared" si="12"/>
        <v>0.43058667100000014</v>
      </c>
    </row>
    <row r="78" spans="2:32" x14ac:dyDescent="0.2">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2.020998128</v>
      </c>
      <c r="F78" s="25">
        <f>IF(VLOOKUP(B78,'Data yoy'!$A:$AW,MATCH($F$1,'Data yoy'!$A$1:$AW$1,),)=0,#N/A,VLOOKUP(B78,'Data yoy'!$A:$AW,MATCH($F$1,'Data yoy'!$A$1:$AW$1,),))</f>
        <v>0.93134287999999998</v>
      </c>
      <c r="G78" s="25">
        <f>IF(VLOOKUP(B78,'Data yoy'!$A:$AW,MATCH($G$1,'Data yoy'!$A$1:$AW$1,),)=0,#N/A,VLOOKUP(B78,'Data yoy'!$A:$AW,MATCH($G$1,'Data yoy'!$A$1:$AW$1,),))</f>
        <v>1.9002158899999999</v>
      </c>
      <c r="H78" s="25">
        <f>IF(VLOOKUP(B78,'Data yoy'!$A:$AW,MATCH($H$1,'Data yoy'!$A$1:$AW$1,),)=0,#N/A,VLOOKUP(B78,'Data yoy'!$A:$AW,MATCH($H$1,'Data yoy'!$A$1:$AW$1,),))</f>
        <v>1.2038598380000001</v>
      </c>
      <c r="I78" s="25">
        <f>IF(VLOOKUP(B78,'Data yoy'!$A:$AW,MATCH($I$1,'Data yoy'!$A$1:$AW$1,),)=0,#N/A,VLOOKUP(B78,'Data yoy'!$A:$AW,MATCH($I$1,'Data yoy'!$A$1:$AW$1,),))</f>
        <v>2.2215100579999998</v>
      </c>
      <c r="J78" s="25">
        <f>IF(VLOOKUP(B78,'Data yoy'!$A:$AW,MATCH($J$1,'Data yoy'!$A$1:$AW$1,),)=0,#N/A,VLOOKUP(B78,'Data yoy'!$A:$AW,MATCH($J$1,'Data yoy'!$A$1:$AW$1,),))</f>
        <v>1.3377390339999999</v>
      </c>
      <c r="K78" s="25">
        <f>IF(VLOOKUP(B78,'Data yoy'!$A:$AW,MATCH($K$1,'Data yoy'!$A$1:$AW$1,),)=0,#N/A,VLOOKUP(B78,'Data yoy'!$A:$AW,MATCH($K$1,'Data yoy'!$A$1:$AW$1,),))</f>
        <v>2.4705723079999999</v>
      </c>
      <c r="L78" s="25">
        <f>IF(VLOOKUP(B78,'Data yoy'!$A:$AW,MATCH($L$1,'Data yoy'!$A$1:$AW$1,),)=0,#N/A,VLOOKUP(B78,'Data yoy'!$A:$AW,MATCH($L$1,'Data yoy'!$A$1:$AW$1,),))</f>
        <v>1.1988176370000001</v>
      </c>
      <c r="M78" s="25">
        <f>IF(VLOOKUP(B78,'Data yoy'!$A:$AW,MATCH($M$1,'Data yoy'!$A$1:$AW$1,),)=0,#N/A,VLOOKUP(B78,'Data yoy'!$A:$AW,MATCH($M$1,'Data yoy'!$A$1:$AW$1,),))</f>
        <v>3.1309463360000001</v>
      </c>
      <c r="N78" s="25">
        <f>IF(VLOOKUP(B78,'Data yoy'!$A:$AW,MATCH($N$1,'Data yoy'!$A$1:$AW$1,),)=0,#N/A,VLOOKUP(B78,'Data yoy'!$A:$AW,MATCH($N$1,'Data yoy'!$A$1:$AW$1,),))</f>
        <v>1.1729231419999999</v>
      </c>
      <c r="O78" s="25">
        <f>IF(VLOOKUP(B78,'Data yoy'!$A:$AW,MATCH($O$1,'Data yoy'!$A$1:$AW$1,),)=0,#N/A,VLOOKUP(B78,'Data yoy'!$A:$AW,MATCH($O$1,'Data yoy'!$A$1:$AW$1,),))</f>
        <v>8.5953999999999997</v>
      </c>
      <c r="P78" s="25">
        <f>IF(VLOOKUP(B78,'Data yoy'!$A:$AW,MATCH($P$1,'Data yoy'!$A$1:$AW$1,),)=0,#N/A,VLOOKUP(B78,'Data yoy'!$A:$AW,MATCH($P$1,'Data yoy'!$A$1:$AW$1,),))</f>
        <v>1.6534435869999999</v>
      </c>
      <c r="Q78" s="25">
        <f>IF(VLOOKUP(B78,'Data yoy'!$A:$AW,MATCH($Q$1,'Data yoy'!$A$1:$AW$1,),)=0,#N/A,VLOOKUP(B78,'Data yoy'!$A:$AW,MATCH($Q$1,'Data yoy'!$A$1:$AW$1,),))</f>
        <v>2.7215731910000001</v>
      </c>
      <c r="R78" s="25">
        <f>IF(VLOOKUP(B78,'Data yoy'!$A:$AW,MATCH($R$1,'Data yoy'!$A$1:$AW$1,),)=0,#N/A,VLOOKUP(B78,'Data yoy'!$A:$AW,MATCH($R$1,'Data yoy'!$A$1:$AW$1,),))</f>
        <v>1.842540997</v>
      </c>
      <c r="S78" s="25">
        <f>IF(VLOOKUP(B78,'Data yoy'!$A:$AW,MATCH($S$1,'Data yoy'!$A$1:$AW$1,),)=0,#N/A,VLOOKUP(B78,'Data yoy'!$A:$AW,MATCH($S$1,'Data yoy'!$A$1:$AW$1,),))</f>
        <v>2.5721908230000001</v>
      </c>
      <c r="T78" s="25">
        <f>IF(VLOOKUP(B78,'Data yoy'!$A:$AW,MATCH($T$1,'Data yoy'!$A$1:$AW$1,),)=0,#N/A,VLOOKUP(B78,'Data yoy'!$A:$AW,MATCH($T$1,'Data yoy'!$A$1:$AW$1,),))</f>
        <v>-1.8407878150000001</v>
      </c>
      <c r="U78" s="25">
        <f>IF(VLOOKUP(B78,'Data yoy'!$A:$AW,MATCH($U$1,'Data yoy'!$A$1:$AW$1,),)=0,#N/A,VLOOKUP(B78,'Data yoy'!$A:$AW,MATCH($U$1,'Data yoy'!$A$1:$AW$1,),))</f>
        <v>-0.22892836899999999</v>
      </c>
      <c r="V78" s="25">
        <f>IF(VLOOKUP(B78,'Data yoy'!$A:$AW,MATCH($V$1,'Data yoy'!$A$1:$AW$1,),)=0,#N/A,VLOOKUP(B78,'Data yoy'!$A:$AW,MATCH($V$1,'Data yoy'!$A$1:$AW$1,),))</f>
        <v>8.8371325120000002</v>
      </c>
      <c r="W78" s="25">
        <f>IF(VLOOKUP(B78,'Data yoy'!$A:$AW,MATCH($W$1,'Data yoy'!$A$1:$AW$1,),)=0,#N/A,VLOOKUP(B78,'Data yoy'!$A:$AW,MATCH($W$1,'Data yoy'!$A$1:$AW$1,),))</f>
        <v>4.3261893249999996</v>
      </c>
      <c r="X78" s="25">
        <f>IF(VLOOKUP(B78,'Data yoy'!$A:$AW,MATCH($X$1,'Data yoy'!$A$1:$AW$1,),)=0,#N/A,VLOOKUP(B78,'Data yoy'!$A:$AW,MATCH($X$1,'Data yoy'!$A$1:$AW$1,),))</f>
        <v>2.1706344980000001</v>
      </c>
      <c r="Y78" s="25">
        <f>IF(VLOOKUP(B78,'Data yoy'!$A:$AW,MATCH($Y$1,'Data yoy'!$A$1:$AW$1,),)=0,#N/A,VLOOKUP(B78,'Data yoy'!$A:$AW,MATCH($Y$1,'Data yoy'!$A$1:$AW$1,),))</f>
        <v>3.5880533689999998</v>
      </c>
      <c r="Z78" s="25">
        <f>IF(VLOOKUP(B78,'Data yoy'!$A:$AW,MATCH($Z$1,'Data yoy'!$A$1:$AW$1,),)=0,#N/A,VLOOKUP(B78,'Data yoy'!$A:$AW,MATCH($Z$1,'Data yoy'!$A$1:$AW$1,),))</f>
        <v>-1.568911653</v>
      </c>
      <c r="AA78" s="25">
        <f>IF(VLOOKUP(B78,'Data yoy'!$A:$AW,MATCH($AA$1,'Data yoy'!$A$1:$AW$1,),)=0,#N/A,VLOOKUP(B78,'Data yoy'!$A:$AW,MATCH($AA$1,'Data yoy'!$A$1:$AW$1,),))</f>
        <v>3.4202299219999999</v>
      </c>
      <c r="AB78" s="72"/>
      <c r="AC78" s="26" t="str">
        <f t="shared" si="13"/>
        <v>2016-Q4</v>
      </c>
      <c r="AD78" s="27">
        <f t="shared" si="14"/>
        <v>2.2215100579999998</v>
      </c>
      <c r="AE78" s="27">
        <f t="shared" si="15"/>
        <v>2.020998128</v>
      </c>
      <c r="AF78" s="27">
        <f t="shared" ref="AF78:AF109" si="16">AD78-AE78</f>
        <v>0.20051192999999978</v>
      </c>
    </row>
    <row r="79" spans="2:32" x14ac:dyDescent="0.2">
      <c r="B79" s="24" t="s">
        <v>345</v>
      </c>
      <c r="C79" s="25">
        <f>IF(VLOOKUP(B79,'Data yoy'!$A:$AW,MATCH($C$1,'Data yoy'!$A$1:$AW$1,),)=0,#N/A,VLOOKUP(B79,'Data yoy'!$A:$AW,MATCH($C$1,'Data yoy'!$A$1:$AW$1,),))</f>
        <v>1.8852788700000001</v>
      </c>
      <c r="D79" s="25">
        <f>IF(VLOOKUP(B79,'Data yoy'!$A:$AW,MATCH($D$1,'Data yoy'!$A$1:$AW$1,),)=0,#N/A,VLOOKUP(B79,'Data yoy'!$A:$AW,MATCH($D$1,'Data yoy'!$A$1:$AW$1,),))</f>
        <v>7</v>
      </c>
      <c r="E79" s="25">
        <f>IF(VLOOKUP(B79,'Data yoy'!$A:$AW,MATCH($E$1,'Data yoy'!$A$1:$AW$1,),)=0,#N/A,VLOOKUP(B79,'Data yoy'!$A:$AW,MATCH($E$1,'Data yoy'!$A$1:$AW$1,),))</f>
        <v>2.179691992</v>
      </c>
      <c r="F79" s="25">
        <f>IF(VLOOKUP(B79,'Data yoy'!$A:$AW,MATCH($F$1,'Data yoy'!$A$1:$AW$1,),)=0,#N/A,VLOOKUP(B79,'Data yoy'!$A:$AW,MATCH($F$1,'Data yoy'!$A$1:$AW$1,),))</f>
        <v>1.0086610359999999</v>
      </c>
      <c r="G79" s="25">
        <f>IF(VLOOKUP(B79,'Data yoy'!$A:$AW,MATCH($G$1,'Data yoy'!$A$1:$AW$1,),)=0,#N/A,VLOOKUP(B79,'Data yoy'!$A:$AW,MATCH($G$1,'Data yoy'!$A$1:$AW$1,),))</f>
        <v>2.306102514</v>
      </c>
      <c r="H79" s="25">
        <f>IF(VLOOKUP(B79,'Data yoy'!$A:$AW,MATCH($H$1,'Data yoy'!$A$1:$AW$1,),)=0,#N/A,VLOOKUP(B79,'Data yoy'!$A:$AW,MATCH($H$1,'Data yoy'!$A$1:$AW$1,),))</f>
        <v>1.38721472</v>
      </c>
      <c r="I79" s="25">
        <f>IF(VLOOKUP(B79,'Data yoy'!$A:$AW,MATCH($I$1,'Data yoy'!$A$1:$AW$1,),)=0,#N/A,VLOOKUP(B79,'Data yoy'!$A:$AW,MATCH($I$1,'Data yoy'!$A$1:$AW$1,),))</f>
        <v>2.4333881470000001</v>
      </c>
      <c r="J79" s="25">
        <f>IF(VLOOKUP(B79,'Data yoy'!$A:$AW,MATCH($J$1,'Data yoy'!$A$1:$AW$1,),)=0,#N/A,VLOOKUP(B79,'Data yoy'!$A:$AW,MATCH($J$1,'Data yoy'!$A$1:$AW$1,),))</f>
        <v>1.617353901</v>
      </c>
      <c r="K79" s="25">
        <f>IF(VLOOKUP(B79,'Data yoy'!$A:$AW,MATCH($K$1,'Data yoy'!$A$1:$AW$1,),)=0,#N/A,VLOOKUP(B79,'Data yoy'!$A:$AW,MATCH($K$1,'Data yoy'!$A$1:$AW$1,),))</f>
        <v>2.5887791710000001</v>
      </c>
      <c r="L79" s="25">
        <f>IF(VLOOKUP(B79,'Data yoy'!$A:$AW,MATCH($L$1,'Data yoy'!$A$1:$AW$1,),)=0,#N/A,VLOOKUP(B79,'Data yoy'!$A:$AW,MATCH($L$1,'Data yoy'!$A$1:$AW$1,),))</f>
        <v>1.7320871339999999</v>
      </c>
      <c r="M79" s="25">
        <f>IF(VLOOKUP(B79,'Data yoy'!$A:$AW,MATCH($M$1,'Data yoy'!$A$1:$AW$1,),)=0,#N/A,VLOOKUP(B79,'Data yoy'!$A:$AW,MATCH($M$1,'Data yoy'!$A$1:$AW$1,),))</f>
        <v>3.0146939740000001</v>
      </c>
      <c r="N79" s="25">
        <f>IF(VLOOKUP(B79,'Data yoy'!$A:$AW,MATCH($N$1,'Data yoy'!$A$1:$AW$1,),)=0,#N/A,VLOOKUP(B79,'Data yoy'!$A:$AW,MATCH($N$1,'Data yoy'!$A$1:$AW$1,),))</f>
        <v>1.1846646649999999</v>
      </c>
      <c r="O79" s="25">
        <f>IF(VLOOKUP(B79,'Data yoy'!$A:$AW,MATCH($O$1,'Data yoy'!$A$1:$AW$1,),)=0,#N/A,VLOOKUP(B79,'Data yoy'!$A:$AW,MATCH($O$1,'Data yoy'!$A$1:$AW$1,),))</f>
        <v>6.3787599999999998</v>
      </c>
      <c r="P79" s="25">
        <f>IF(VLOOKUP(B79,'Data yoy'!$A:$AW,MATCH($P$1,'Data yoy'!$A$1:$AW$1,),)=0,#N/A,VLOOKUP(B79,'Data yoy'!$A:$AW,MATCH($P$1,'Data yoy'!$A$1:$AW$1,),))</f>
        <v>2.1977790920000002</v>
      </c>
      <c r="Q79" s="25">
        <f>IF(VLOOKUP(B79,'Data yoy'!$A:$AW,MATCH($Q$1,'Data yoy'!$A$1:$AW$1,),)=0,#N/A,VLOOKUP(B79,'Data yoy'!$A:$AW,MATCH($Q$1,'Data yoy'!$A$1:$AW$1,),))</f>
        <v>2.0902159139999998</v>
      </c>
      <c r="R79" s="25">
        <f>IF(VLOOKUP(B79,'Data yoy'!$A:$AW,MATCH($R$1,'Data yoy'!$A$1:$AW$1,),)=0,#N/A,VLOOKUP(B79,'Data yoy'!$A:$AW,MATCH($R$1,'Data yoy'!$A$1:$AW$1,),))</f>
        <v>1.5855437750000001</v>
      </c>
      <c r="S79" s="25">
        <f>IF(VLOOKUP(B79,'Data yoy'!$A:$AW,MATCH($S$1,'Data yoy'!$A$1:$AW$1,),)=0,#N/A,VLOOKUP(B79,'Data yoy'!$A:$AW,MATCH($S$1,'Data yoy'!$A$1:$AW$1,),))</f>
        <v>3.2421475380000002</v>
      </c>
      <c r="T79" s="25">
        <f>IF(VLOOKUP(B79,'Data yoy'!$A:$AW,MATCH($T$1,'Data yoy'!$A$1:$AW$1,),)=0,#N/A,VLOOKUP(B79,'Data yoy'!$A:$AW,MATCH($T$1,'Data yoy'!$A$1:$AW$1,),))</f>
        <v>0.85981892800000004</v>
      </c>
      <c r="U79" s="25">
        <f>IF(VLOOKUP(B79,'Data yoy'!$A:$AW,MATCH($U$1,'Data yoy'!$A$1:$AW$1,),)=0,#N/A,VLOOKUP(B79,'Data yoy'!$A:$AW,MATCH($U$1,'Data yoy'!$A$1:$AW$1,),))</f>
        <v>0.37108906600000002</v>
      </c>
      <c r="V79" s="25">
        <f>IF(VLOOKUP(B79,'Data yoy'!$A:$AW,MATCH($V$1,'Data yoy'!$A$1:$AW$1,),)=0,#N/A,VLOOKUP(B79,'Data yoy'!$A:$AW,MATCH($V$1,'Data yoy'!$A$1:$AW$1,),))</f>
        <v>7.3206347879999996</v>
      </c>
      <c r="W79" s="25">
        <f>IF(VLOOKUP(B79,'Data yoy'!$A:$AW,MATCH($W$1,'Data yoy'!$A$1:$AW$1,),)=0,#N/A,VLOOKUP(B79,'Data yoy'!$A:$AW,MATCH($W$1,'Data yoy'!$A$1:$AW$1,),))</f>
        <v>5.3733098119999996</v>
      </c>
      <c r="X79" s="25">
        <f>IF(VLOOKUP(B79,'Data yoy'!$A:$AW,MATCH($X$1,'Data yoy'!$A$1:$AW$1,),)=0,#N/A,VLOOKUP(B79,'Data yoy'!$A:$AW,MATCH($X$1,'Data yoy'!$A$1:$AW$1,),))</f>
        <v>3.570373762</v>
      </c>
      <c r="Y79" s="25">
        <f>IF(VLOOKUP(B79,'Data yoy'!$A:$AW,MATCH($Y$1,'Data yoy'!$A$1:$AW$1,),)=0,#N/A,VLOOKUP(B79,'Data yoy'!$A:$AW,MATCH($Y$1,'Data yoy'!$A$1:$AW$1,),))</f>
        <v>4.8754581359999998</v>
      </c>
      <c r="Z79" s="25">
        <f>IF(VLOOKUP(B79,'Data yoy'!$A:$AW,MATCH($Z$1,'Data yoy'!$A$1:$AW$1,),)=0,#N/A,VLOOKUP(B79,'Data yoy'!$A:$AW,MATCH($Z$1,'Data yoy'!$A$1:$AW$1,),))</f>
        <v>0.25851429100000001</v>
      </c>
      <c r="AA79" s="25">
        <f>IF(VLOOKUP(B79,'Data yoy'!$A:$AW,MATCH($AA$1,'Data yoy'!$A$1:$AW$1,),)=0,#N/A,VLOOKUP(B79,'Data yoy'!$A:$AW,MATCH($AA$1,'Data yoy'!$A$1:$AW$1,),))</f>
        <v>3.2759337579999999</v>
      </c>
      <c r="AB79" s="72"/>
      <c r="AC79" s="26" t="str">
        <f t="shared" si="13"/>
        <v>2017-Q1</v>
      </c>
      <c r="AD79" s="27">
        <f t="shared" si="14"/>
        <v>2.4333881470000001</v>
      </c>
      <c r="AE79" s="27">
        <f t="shared" si="15"/>
        <v>2.179691992</v>
      </c>
      <c r="AF79" s="27">
        <f t="shared" si="16"/>
        <v>0.25369615500000009</v>
      </c>
    </row>
    <row r="80" spans="2:32" x14ac:dyDescent="0.2">
      <c r="B80" s="24" t="s">
        <v>346</v>
      </c>
      <c r="C80" s="25">
        <f>IF(VLOOKUP(B80,'Data yoy'!$A:$AW,MATCH($C$1,'Data yoy'!$A$1:$AW$1,),)=0,#N/A,VLOOKUP(B80,'Data yoy'!$A:$AW,MATCH($C$1,'Data yoy'!$A$1:$AW$1,),))</f>
        <v>2.1467165829999999</v>
      </c>
      <c r="D80" s="25">
        <f>IF(VLOOKUP(B80,'Data yoy'!$A:$AW,MATCH($D$1,'Data yoy'!$A$1:$AW$1,),)=0,#N/A,VLOOKUP(B80,'Data yoy'!$A:$AW,MATCH($D$1,'Data yoy'!$A$1:$AW$1,),))</f>
        <v>7</v>
      </c>
      <c r="E80" s="25">
        <f>IF(VLOOKUP(B80,'Data yoy'!$A:$AW,MATCH($E$1,'Data yoy'!$A$1:$AW$1,),)=0,#N/A,VLOOKUP(B80,'Data yoy'!$A:$AW,MATCH($E$1,'Data yoy'!$A$1:$AW$1,),))</f>
        <v>2.7424113370000001</v>
      </c>
      <c r="F80" s="25">
        <f>IF(VLOOKUP(B80,'Data yoy'!$A:$AW,MATCH($F$1,'Data yoy'!$A$1:$AW$1,),)=0,#N/A,VLOOKUP(B80,'Data yoy'!$A:$AW,MATCH($F$1,'Data yoy'!$A$1:$AW$1,),))</f>
        <v>1.5505428969999999</v>
      </c>
      <c r="G80" s="25">
        <f>IF(VLOOKUP(B80,'Data yoy'!$A:$AW,MATCH($G$1,'Data yoy'!$A$1:$AW$1,),)=0,#N/A,VLOOKUP(B80,'Data yoy'!$A:$AW,MATCH($G$1,'Data yoy'!$A$1:$AW$1,),))</f>
        <v>2.6793629550000002</v>
      </c>
      <c r="H80" s="25">
        <f>IF(VLOOKUP(B80,'Data yoy'!$A:$AW,MATCH($H$1,'Data yoy'!$A$1:$AW$1,),)=0,#N/A,VLOOKUP(B80,'Data yoy'!$A:$AW,MATCH($H$1,'Data yoy'!$A$1:$AW$1,),))</f>
        <v>2.3870799229999999</v>
      </c>
      <c r="I80" s="25">
        <f>IF(VLOOKUP(B80,'Data yoy'!$A:$AW,MATCH($I$1,'Data yoy'!$A$1:$AW$1,),)=0,#N/A,VLOOKUP(B80,'Data yoy'!$A:$AW,MATCH($I$1,'Data yoy'!$A$1:$AW$1,),))</f>
        <v>2.1618790720000001</v>
      </c>
      <c r="J80" s="25">
        <f>IF(VLOOKUP(B80,'Data yoy'!$A:$AW,MATCH($J$1,'Data yoy'!$A$1:$AW$1,),)=0,#N/A,VLOOKUP(B80,'Data yoy'!$A:$AW,MATCH($J$1,'Data yoy'!$A$1:$AW$1,),))</f>
        <v>1.814360382</v>
      </c>
      <c r="K80" s="25">
        <f>IF(VLOOKUP(B80,'Data yoy'!$A:$AW,MATCH($K$1,'Data yoy'!$A$1:$AW$1,),)=0,#N/A,VLOOKUP(B80,'Data yoy'!$A:$AW,MATCH($K$1,'Data yoy'!$A$1:$AW$1,),))</f>
        <v>3.2572936229999998</v>
      </c>
      <c r="L80" s="25">
        <f>IF(VLOOKUP(B80,'Data yoy'!$A:$AW,MATCH($L$1,'Data yoy'!$A$1:$AW$1,),)=0,#N/A,VLOOKUP(B80,'Data yoy'!$A:$AW,MATCH($L$1,'Data yoy'!$A$1:$AW$1,),))</f>
        <v>2.9436015759999998</v>
      </c>
      <c r="M80" s="25">
        <f>IF(VLOOKUP(B80,'Data yoy'!$A:$AW,MATCH($M$1,'Data yoy'!$A$1:$AW$1,),)=0,#N/A,VLOOKUP(B80,'Data yoy'!$A:$AW,MATCH($M$1,'Data yoy'!$A$1:$AW$1,),))</f>
        <v>2.9250624470000002</v>
      </c>
      <c r="N80" s="25">
        <f>IF(VLOOKUP(B80,'Data yoy'!$A:$AW,MATCH($N$1,'Data yoy'!$A$1:$AW$1,),)=0,#N/A,VLOOKUP(B80,'Data yoy'!$A:$AW,MATCH($N$1,'Data yoy'!$A$1:$AW$1,),))</f>
        <v>1.828467195</v>
      </c>
      <c r="O80" s="25">
        <f>IF(VLOOKUP(B80,'Data yoy'!$A:$AW,MATCH($O$1,'Data yoy'!$A$1:$AW$1,),)=0,#N/A,VLOOKUP(B80,'Data yoy'!$A:$AW,MATCH($O$1,'Data yoy'!$A$1:$AW$1,),))</f>
        <v>6.6571100000000003</v>
      </c>
      <c r="P80" s="25">
        <f>IF(VLOOKUP(B80,'Data yoy'!$A:$AW,MATCH($P$1,'Data yoy'!$A$1:$AW$1,),)=0,#N/A,VLOOKUP(B80,'Data yoy'!$A:$AW,MATCH($P$1,'Data yoy'!$A$1:$AW$1,),))</f>
        <v>3.75347556</v>
      </c>
      <c r="Q80" s="25">
        <f>IF(VLOOKUP(B80,'Data yoy'!$A:$AW,MATCH($Q$1,'Data yoy'!$A$1:$AW$1,),)=0,#N/A,VLOOKUP(B80,'Data yoy'!$A:$AW,MATCH($Q$1,'Data yoy'!$A$1:$AW$1,),))</f>
        <v>2.1123373559999998</v>
      </c>
      <c r="R80" s="25">
        <f>IF(VLOOKUP(B80,'Data yoy'!$A:$AW,MATCH($R$1,'Data yoy'!$A$1:$AW$1,),)=0,#N/A,VLOOKUP(B80,'Data yoy'!$A:$AW,MATCH($R$1,'Data yoy'!$A$1:$AW$1,),))</f>
        <v>1.3646030330000001</v>
      </c>
      <c r="S80" s="25">
        <f>IF(VLOOKUP(B80,'Data yoy'!$A:$AW,MATCH($S$1,'Data yoy'!$A$1:$AW$1,),)=0,#N/A,VLOOKUP(B80,'Data yoy'!$A:$AW,MATCH($S$1,'Data yoy'!$A$1:$AW$1,),))</f>
        <v>2.757337588</v>
      </c>
      <c r="T80" s="25">
        <f>IF(VLOOKUP(B80,'Data yoy'!$A:$AW,MATCH($T$1,'Data yoy'!$A$1:$AW$1,),)=0,#N/A,VLOOKUP(B80,'Data yoy'!$A:$AW,MATCH($T$1,'Data yoy'!$A$1:$AW$1,),))</f>
        <v>1.0388969809999999</v>
      </c>
      <c r="U80" s="25">
        <f>IF(VLOOKUP(B80,'Data yoy'!$A:$AW,MATCH($U$1,'Data yoy'!$A$1:$AW$1,),)=0,#N/A,VLOOKUP(B80,'Data yoy'!$A:$AW,MATCH($U$1,'Data yoy'!$A$1:$AW$1,),))</f>
        <v>1.3175387700000001</v>
      </c>
      <c r="V80" s="25">
        <f>IF(VLOOKUP(B80,'Data yoy'!$A:$AW,MATCH($V$1,'Data yoy'!$A$1:$AW$1,),)=0,#N/A,VLOOKUP(B80,'Data yoy'!$A:$AW,MATCH($V$1,'Data yoy'!$A$1:$AW$1,),))</f>
        <v>9.0311837950000005</v>
      </c>
      <c r="W80" s="25">
        <f>IF(VLOOKUP(B80,'Data yoy'!$A:$AW,MATCH($W$1,'Data yoy'!$A$1:$AW$1,),)=0,#N/A,VLOOKUP(B80,'Data yoy'!$A:$AW,MATCH($W$1,'Data yoy'!$A$1:$AW$1,),))</f>
        <v>6.2557580340000003</v>
      </c>
      <c r="X80" s="25">
        <f>IF(VLOOKUP(B80,'Data yoy'!$A:$AW,MATCH($X$1,'Data yoy'!$A$1:$AW$1,),)=0,#N/A,VLOOKUP(B80,'Data yoy'!$A:$AW,MATCH($X$1,'Data yoy'!$A$1:$AW$1,),))</f>
        <v>6.1313612270000002</v>
      </c>
      <c r="Y80" s="25">
        <f>IF(VLOOKUP(B80,'Data yoy'!$A:$AW,MATCH($Y$1,'Data yoy'!$A$1:$AW$1,),)=0,#N/A,VLOOKUP(B80,'Data yoy'!$A:$AW,MATCH($Y$1,'Data yoy'!$A$1:$AW$1,),))</f>
        <v>4.4225528150000004</v>
      </c>
      <c r="Z80" s="25">
        <f>IF(VLOOKUP(B80,'Data yoy'!$A:$AW,MATCH($Z$1,'Data yoy'!$A$1:$AW$1,),)=0,#N/A,VLOOKUP(B80,'Data yoy'!$A:$AW,MATCH($Z$1,'Data yoy'!$A$1:$AW$1,),))</f>
        <v>2.9478524300000002</v>
      </c>
      <c r="AA80" s="25">
        <f>IF(VLOOKUP(B80,'Data yoy'!$A:$AW,MATCH($AA$1,'Data yoy'!$A$1:$AW$1,),)=0,#N/A,VLOOKUP(B80,'Data yoy'!$A:$AW,MATCH($AA$1,'Data yoy'!$A$1:$AW$1,),))</f>
        <v>3.4053268860000001</v>
      </c>
      <c r="AB80" s="72"/>
      <c r="AC80" s="26" t="str">
        <f t="shared" si="13"/>
        <v>2017-Q2</v>
      </c>
      <c r="AD80" s="27">
        <f t="shared" si="14"/>
        <v>2.1618790720000001</v>
      </c>
      <c r="AE80" s="27">
        <f t="shared" si="15"/>
        <v>2.7424113370000001</v>
      </c>
      <c r="AF80" s="27">
        <f t="shared" si="16"/>
        <v>-0.58053226499999999</v>
      </c>
    </row>
    <row r="81" spans="2:32" x14ac:dyDescent="0.2">
      <c r="B81" s="24" t="s">
        <v>347</v>
      </c>
      <c r="C81" s="25">
        <f>IF(VLOOKUP(B81,'Data yoy'!$A:$AW,MATCH($C$1,'Data yoy'!$A$1:$AW$1,),)=0,#N/A,VLOOKUP(B81,'Data yoy'!$A:$AW,MATCH($C$1,'Data yoy'!$A$1:$AW$1,),))</f>
        <v>2.2665646380000002</v>
      </c>
      <c r="D81" s="25">
        <f>IF(VLOOKUP(B81,'Data yoy'!$A:$AW,MATCH($D$1,'Data yoy'!$A$1:$AW$1,),)=0,#N/A,VLOOKUP(B81,'Data yoy'!$A:$AW,MATCH($D$1,'Data yoy'!$A$1:$AW$1,),))</f>
        <v>6.9</v>
      </c>
      <c r="E81" s="25">
        <f>IF(VLOOKUP(B81,'Data yoy'!$A:$AW,MATCH($E$1,'Data yoy'!$A$1:$AW$1,),)=0,#N/A,VLOOKUP(B81,'Data yoy'!$A:$AW,MATCH($E$1,'Data yoy'!$A$1:$AW$1,),))</f>
        <v>2.9945428860000001</v>
      </c>
      <c r="F81" s="25">
        <f>IF(VLOOKUP(B81,'Data yoy'!$A:$AW,MATCH($F$1,'Data yoy'!$A$1:$AW$1,),)=0,#N/A,VLOOKUP(B81,'Data yoy'!$A:$AW,MATCH($F$1,'Data yoy'!$A$1:$AW$1,),))</f>
        <v>2.1352003220000002</v>
      </c>
      <c r="G81" s="25">
        <f>IF(VLOOKUP(B81,'Data yoy'!$A:$AW,MATCH($G$1,'Data yoy'!$A$1:$AW$1,),)=0,#N/A,VLOOKUP(B81,'Data yoy'!$A:$AW,MATCH($G$1,'Data yoy'!$A$1:$AW$1,),))</f>
        <v>3.2277027129999998</v>
      </c>
      <c r="H81" s="25">
        <f>IF(VLOOKUP(B81,'Data yoy'!$A:$AW,MATCH($H$1,'Data yoy'!$A$1:$AW$1,),)=0,#N/A,VLOOKUP(B81,'Data yoy'!$A:$AW,MATCH($H$1,'Data yoy'!$A$1:$AW$1,),))</f>
        <v>2.8362200500000001</v>
      </c>
      <c r="I81" s="25">
        <f>IF(VLOOKUP(B81,'Data yoy'!$A:$AW,MATCH($I$1,'Data yoy'!$A$1:$AW$1,),)=0,#N/A,VLOOKUP(B81,'Data yoy'!$A:$AW,MATCH($I$1,'Data yoy'!$A$1:$AW$1,),))</f>
        <v>2.1446338370000002</v>
      </c>
      <c r="J81" s="25">
        <f>IF(VLOOKUP(B81,'Data yoy'!$A:$AW,MATCH($J$1,'Data yoy'!$A$1:$AW$1,),)=0,#N/A,VLOOKUP(B81,'Data yoy'!$A:$AW,MATCH($J$1,'Data yoy'!$A$1:$AW$1,),))</f>
        <v>1.6271757689999999</v>
      </c>
      <c r="K81" s="25">
        <f>IF(VLOOKUP(B81,'Data yoy'!$A:$AW,MATCH($K$1,'Data yoy'!$A$1:$AW$1,),)=0,#N/A,VLOOKUP(B81,'Data yoy'!$A:$AW,MATCH($K$1,'Data yoy'!$A$1:$AW$1,),))</f>
        <v>2.9402268669999998</v>
      </c>
      <c r="L81" s="25">
        <f>IF(VLOOKUP(B81,'Data yoy'!$A:$AW,MATCH($L$1,'Data yoy'!$A$1:$AW$1,),)=0,#N/A,VLOOKUP(B81,'Data yoy'!$A:$AW,MATCH($L$1,'Data yoy'!$A$1:$AW$1,),))</f>
        <v>3.6240339619999999</v>
      </c>
      <c r="M81" s="25">
        <f>IF(VLOOKUP(B81,'Data yoy'!$A:$AW,MATCH($M$1,'Data yoy'!$A$1:$AW$1,),)=0,#N/A,VLOOKUP(B81,'Data yoy'!$A:$AW,MATCH($M$1,'Data yoy'!$A$1:$AW$1,),))</f>
        <v>1.6185220170000001</v>
      </c>
      <c r="N81" s="25">
        <f>IF(VLOOKUP(B81,'Data yoy'!$A:$AW,MATCH($N$1,'Data yoy'!$A$1:$AW$1,),)=0,#N/A,VLOOKUP(B81,'Data yoy'!$A:$AW,MATCH($N$1,'Data yoy'!$A$1:$AW$1,),))</f>
        <v>2.4172248299999999</v>
      </c>
      <c r="O81" s="25">
        <f>IF(VLOOKUP(B81,'Data yoy'!$A:$AW,MATCH($O$1,'Data yoy'!$A$1:$AW$1,),)=0,#N/A,VLOOKUP(B81,'Data yoy'!$A:$AW,MATCH($O$1,'Data yoy'!$A$1:$AW$1,),))</f>
        <v>5.9996700000000001</v>
      </c>
      <c r="P81" s="25">
        <f>IF(VLOOKUP(B81,'Data yoy'!$A:$AW,MATCH($P$1,'Data yoy'!$A$1:$AW$1,),)=0,#N/A,VLOOKUP(B81,'Data yoy'!$A:$AW,MATCH($P$1,'Data yoy'!$A$1:$AW$1,),))</f>
        <v>3.12771636</v>
      </c>
      <c r="Q81" s="25">
        <f>IF(VLOOKUP(B81,'Data yoy'!$A:$AW,MATCH($Q$1,'Data yoy'!$A$1:$AW$1,),)=0,#N/A,VLOOKUP(B81,'Data yoy'!$A:$AW,MATCH($Q$1,'Data yoy'!$A$1:$AW$1,),))</f>
        <v>2.9700613699999998</v>
      </c>
      <c r="R81" s="25">
        <f>IF(VLOOKUP(B81,'Data yoy'!$A:$AW,MATCH($R$1,'Data yoy'!$A$1:$AW$1,),)=0,#N/A,VLOOKUP(B81,'Data yoy'!$A:$AW,MATCH($R$1,'Data yoy'!$A$1:$AW$1,),))</f>
        <v>1.4588950979999999</v>
      </c>
      <c r="S81" s="25">
        <f>IF(VLOOKUP(B81,'Data yoy'!$A:$AW,MATCH($S$1,'Data yoy'!$A$1:$AW$1,),)=0,#N/A,VLOOKUP(B81,'Data yoy'!$A:$AW,MATCH($S$1,'Data yoy'!$A$1:$AW$1,),))</f>
        <v>3.7676756810000001</v>
      </c>
      <c r="T81" s="25">
        <f>IF(VLOOKUP(B81,'Data yoy'!$A:$AW,MATCH($T$1,'Data yoy'!$A$1:$AW$1,),)=0,#N/A,VLOOKUP(B81,'Data yoy'!$A:$AW,MATCH($T$1,'Data yoy'!$A$1:$AW$1,),))</f>
        <v>1.9891394259999999</v>
      </c>
      <c r="U81" s="25">
        <f>IF(VLOOKUP(B81,'Data yoy'!$A:$AW,MATCH($U$1,'Data yoy'!$A$1:$AW$1,),)=0,#N/A,VLOOKUP(B81,'Data yoy'!$A:$AW,MATCH($U$1,'Data yoy'!$A$1:$AW$1,),))</f>
        <v>2.0613423000000002</v>
      </c>
      <c r="V81" s="25">
        <f>IF(VLOOKUP(B81,'Data yoy'!$A:$AW,MATCH($V$1,'Data yoy'!$A$1:$AW$1,),)=0,#N/A,VLOOKUP(B81,'Data yoy'!$A:$AW,MATCH($V$1,'Data yoy'!$A$1:$AW$1,),))</f>
        <v>13.570784836</v>
      </c>
      <c r="W81" s="25">
        <f>IF(VLOOKUP(B81,'Data yoy'!$A:$AW,MATCH($W$1,'Data yoy'!$A$1:$AW$1,),)=0,#N/A,VLOOKUP(B81,'Data yoy'!$A:$AW,MATCH($W$1,'Data yoy'!$A$1:$AW$1,),))</f>
        <v>11.051091386</v>
      </c>
      <c r="X81" s="25">
        <f>IF(VLOOKUP(B81,'Data yoy'!$A:$AW,MATCH($X$1,'Data yoy'!$A$1:$AW$1,),)=0,#N/A,VLOOKUP(B81,'Data yoy'!$A:$AW,MATCH($X$1,'Data yoy'!$A$1:$AW$1,),))</f>
        <v>5.8793927559999997</v>
      </c>
      <c r="Y81" s="25">
        <f>IF(VLOOKUP(B81,'Data yoy'!$A:$AW,MATCH($Y$1,'Data yoy'!$A$1:$AW$1,),)=0,#N/A,VLOOKUP(B81,'Data yoy'!$A:$AW,MATCH($Y$1,'Data yoy'!$A$1:$AW$1,),))</f>
        <v>5.3335905170000002</v>
      </c>
      <c r="Z81" s="25">
        <f>IF(VLOOKUP(B81,'Data yoy'!$A:$AW,MATCH($Z$1,'Data yoy'!$A$1:$AW$1,),)=0,#N/A,VLOOKUP(B81,'Data yoy'!$A:$AW,MATCH($Z$1,'Data yoy'!$A$1:$AW$1,),))</f>
        <v>3.822856646</v>
      </c>
      <c r="AA81" s="25">
        <f>IF(VLOOKUP(B81,'Data yoy'!$A:$AW,MATCH($AA$1,'Data yoy'!$A$1:$AW$1,),)=0,#N/A,VLOOKUP(B81,'Data yoy'!$A:$AW,MATCH($AA$1,'Data yoy'!$A$1:$AW$1,),))</f>
        <v>3.4202940179999999</v>
      </c>
      <c r="AB81" s="72"/>
      <c r="AC81" s="26" t="str">
        <f t="shared" si="13"/>
        <v>2017-Q3</v>
      </c>
      <c r="AD81" s="27">
        <f t="shared" si="14"/>
        <v>2.1446338370000002</v>
      </c>
      <c r="AE81" s="27">
        <f t="shared" si="15"/>
        <v>2.9945428860000001</v>
      </c>
      <c r="AF81" s="27">
        <f t="shared" si="16"/>
        <v>-0.84990904899999986</v>
      </c>
    </row>
    <row r="82" spans="2:32" x14ac:dyDescent="0.2">
      <c r="B82" s="24" t="s">
        <v>348</v>
      </c>
      <c r="C82" s="25">
        <f>IF(VLOOKUP(B82,'Data yoy'!$A:$AW,MATCH($C$1,'Data yoy'!$A$1:$AW$1,),)=0,#N/A,VLOOKUP(B82,'Data yoy'!$A:$AW,MATCH($C$1,'Data yoy'!$A$1:$AW$1,),))</f>
        <v>2.7178855820000001</v>
      </c>
      <c r="D82" s="25">
        <f>IF(VLOOKUP(B82,'Data yoy'!$A:$AW,MATCH($D$1,'Data yoy'!$A$1:$AW$1,),)=0,#N/A,VLOOKUP(B82,'Data yoy'!$A:$AW,MATCH($D$1,'Data yoy'!$A$1:$AW$1,),))</f>
        <v>6.8</v>
      </c>
      <c r="E82" s="25">
        <f>IF(VLOOKUP(B82,'Data yoy'!$A:$AW,MATCH($E$1,'Data yoy'!$A$1:$AW$1,),)=0,#N/A,VLOOKUP(B82,'Data yoy'!$A:$AW,MATCH($E$1,'Data yoy'!$A$1:$AW$1,),))</f>
        <v>3.1048629779999999</v>
      </c>
      <c r="F82" s="25">
        <f>IF(VLOOKUP(B82,'Data yoy'!$A:$AW,MATCH($F$1,'Data yoy'!$A$1:$AW$1,),)=0,#N/A,VLOOKUP(B82,'Data yoy'!$A:$AW,MATCH($F$1,'Data yoy'!$A$1:$AW$1,),))</f>
        <v>2.1316675159999998</v>
      </c>
      <c r="G82" s="25">
        <f>IF(VLOOKUP(B82,'Data yoy'!$A:$AW,MATCH($G$1,'Data yoy'!$A$1:$AW$1,),)=0,#N/A,VLOOKUP(B82,'Data yoy'!$A:$AW,MATCH($G$1,'Data yoy'!$A$1:$AW$1,),))</f>
        <v>3.7344002230000002</v>
      </c>
      <c r="H82" s="25">
        <f>IF(VLOOKUP(B82,'Data yoy'!$A:$AW,MATCH($H$1,'Data yoy'!$A$1:$AW$1,),)=0,#N/A,VLOOKUP(B82,'Data yoy'!$A:$AW,MATCH($H$1,'Data yoy'!$A$1:$AW$1,),))</f>
        <v>3.153068218</v>
      </c>
      <c r="I82" s="25">
        <f>IF(VLOOKUP(B82,'Data yoy'!$A:$AW,MATCH($I$1,'Data yoy'!$A$1:$AW$1,),)=0,#N/A,VLOOKUP(B82,'Data yoy'!$A:$AW,MATCH($I$1,'Data yoy'!$A$1:$AW$1,),))</f>
        <v>1.803513159</v>
      </c>
      <c r="J82" s="25">
        <f>IF(VLOOKUP(B82,'Data yoy'!$A:$AW,MATCH($J$1,'Data yoy'!$A$1:$AW$1,),)=0,#N/A,VLOOKUP(B82,'Data yoy'!$A:$AW,MATCH($J$1,'Data yoy'!$A$1:$AW$1,),))</f>
        <v>1.8804384789999999</v>
      </c>
      <c r="K82" s="25">
        <f>IF(VLOOKUP(B82,'Data yoy'!$A:$AW,MATCH($K$1,'Data yoy'!$A$1:$AW$1,),)=0,#N/A,VLOOKUP(B82,'Data yoy'!$A:$AW,MATCH($K$1,'Data yoy'!$A$1:$AW$1,),))</f>
        <v>3.1051708809999998</v>
      </c>
      <c r="L82" s="25">
        <f>IF(VLOOKUP(B82,'Data yoy'!$A:$AW,MATCH($L$1,'Data yoy'!$A$1:$AW$1,),)=0,#N/A,VLOOKUP(B82,'Data yoy'!$A:$AW,MATCH($L$1,'Data yoy'!$A$1:$AW$1,),))</f>
        <v>2.9189116020000001</v>
      </c>
      <c r="M82" s="25">
        <f>IF(VLOOKUP(B82,'Data yoy'!$A:$AW,MATCH($M$1,'Data yoy'!$A$1:$AW$1,),)=0,#N/A,VLOOKUP(B82,'Data yoy'!$A:$AW,MATCH($M$1,'Data yoy'!$A$1:$AW$1,),))</f>
        <v>1.8144254470000001</v>
      </c>
      <c r="N82" s="25">
        <f>IF(VLOOKUP(B82,'Data yoy'!$A:$AW,MATCH($N$1,'Data yoy'!$A$1:$AW$1,),)=0,#N/A,VLOOKUP(B82,'Data yoy'!$A:$AW,MATCH($N$1,'Data yoy'!$A$1:$AW$1,),))</f>
        <v>1.6004158959999999</v>
      </c>
      <c r="O82" s="25">
        <f>IF(VLOOKUP(B82,'Data yoy'!$A:$AW,MATCH($O$1,'Data yoy'!$A$1:$AW$1,),)=0,#N/A,VLOOKUP(B82,'Data yoy'!$A:$AW,MATCH($O$1,'Data yoy'!$A$1:$AW$1,),))</f>
        <v>6.5320499999999999</v>
      </c>
      <c r="P82" s="25">
        <f>IF(VLOOKUP(B82,'Data yoy'!$A:$AW,MATCH($P$1,'Data yoy'!$A$1:$AW$1,),)=0,#N/A,VLOOKUP(B82,'Data yoy'!$A:$AW,MATCH($P$1,'Data yoy'!$A$1:$AW$1,),))</f>
        <v>3.0831140669999999</v>
      </c>
      <c r="Q82" s="25">
        <f>IF(VLOOKUP(B82,'Data yoy'!$A:$AW,MATCH($Q$1,'Data yoy'!$A$1:$AW$1,),)=0,#N/A,VLOOKUP(B82,'Data yoy'!$A:$AW,MATCH($Q$1,'Data yoy'!$A$1:$AW$1,),))</f>
        <v>2.3342200950000001</v>
      </c>
      <c r="R82" s="25">
        <f>IF(VLOOKUP(B82,'Data yoy'!$A:$AW,MATCH($R$1,'Data yoy'!$A$1:$AW$1,),)=0,#N/A,VLOOKUP(B82,'Data yoy'!$A:$AW,MATCH($R$1,'Data yoy'!$A$1:$AW$1,),))</f>
        <v>2.2078227020000001</v>
      </c>
      <c r="S82" s="25">
        <f>IF(VLOOKUP(B82,'Data yoy'!$A:$AW,MATCH($S$1,'Data yoy'!$A$1:$AW$1,),)=0,#N/A,VLOOKUP(B82,'Data yoy'!$A:$AW,MATCH($S$1,'Data yoy'!$A$1:$AW$1,),))</f>
        <v>2.8724935880000002</v>
      </c>
      <c r="T82" s="25">
        <f>IF(VLOOKUP(B82,'Data yoy'!$A:$AW,MATCH($T$1,'Data yoy'!$A$1:$AW$1,),)=0,#N/A,VLOOKUP(B82,'Data yoy'!$A:$AW,MATCH($T$1,'Data yoy'!$A$1:$AW$1,),))</f>
        <v>2.6106537240000001</v>
      </c>
      <c r="U82" s="25">
        <f>IF(VLOOKUP(B82,'Data yoy'!$A:$AW,MATCH($U$1,'Data yoy'!$A$1:$AW$1,),)=0,#N/A,VLOOKUP(B82,'Data yoy'!$A:$AW,MATCH($U$1,'Data yoy'!$A$1:$AW$1,),))</f>
        <v>0.48153518499999998</v>
      </c>
      <c r="V82" s="25">
        <f>IF(VLOOKUP(B82,'Data yoy'!$A:$AW,MATCH($V$1,'Data yoy'!$A$1:$AW$1,),)=0,#N/A,VLOOKUP(B82,'Data yoy'!$A:$AW,MATCH($V$1,'Data yoy'!$A$1:$AW$1,),))</f>
        <v>6.9663064610000003</v>
      </c>
      <c r="W82" s="25">
        <f>IF(VLOOKUP(B82,'Data yoy'!$A:$AW,MATCH($W$1,'Data yoy'!$A$1:$AW$1,),)=0,#N/A,VLOOKUP(B82,'Data yoy'!$A:$AW,MATCH($W$1,'Data yoy'!$A$1:$AW$1,),))</f>
        <v>7.2337548180000004</v>
      </c>
      <c r="X82" s="25">
        <f>IF(VLOOKUP(B82,'Data yoy'!$A:$AW,MATCH($X$1,'Data yoy'!$A$1:$AW$1,),)=0,#N/A,VLOOKUP(B82,'Data yoy'!$A:$AW,MATCH($X$1,'Data yoy'!$A$1:$AW$1,),))</f>
        <v>5.8948496209999997</v>
      </c>
      <c r="Y82" s="25">
        <f>IF(VLOOKUP(B82,'Data yoy'!$A:$AW,MATCH($Y$1,'Data yoy'!$A$1:$AW$1,),)=0,#N/A,VLOOKUP(B82,'Data yoy'!$A:$AW,MATCH($Y$1,'Data yoy'!$A$1:$AW$1,),))</f>
        <v>4.7928370679999999</v>
      </c>
      <c r="Z82" s="25">
        <f>IF(VLOOKUP(B82,'Data yoy'!$A:$AW,MATCH($Z$1,'Data yoy'!$A$1:$AW$1,),)=0,#N/A,VLOOKUP(B82,'Data yoy'!$A:$AW,MATCH($Z$1,'Data yoy'!$A$1:$AW$1,),))</f>
        <v>4.2698886810000003</v>
      </c>
      <c r="AA82" s="25">
        <f>IF(VLOOKUP(B82,'Data yoy'!$A:$AW,MATCH($AA$1,'Data yoy'!$A$1:$AW$1,),)=0,#N/A,VLOOKUP(B82,'Data yoy'!$A:$AW,MATCH($AA$1,'Data yoy'!$A$1:$AW$1,),))</f>
        <v>3.8981855360000002</v>
      </c>
      <c r="AB82" s="72"/>
      <c r="AC82" s="26" t="str">
        <f t="shared" si="13"/>
        <v>2017-Q4</v>
      </c>
      <c r="AD82" s="27">
        <f t="shared" si="14"/>
        <v>1.803513159</v>
      </c>
      <c r="AE82" s="27">
        <f t="shared" si="15"/>
        <v>3.1048629779999999</v>
      </c>
      <c r="AF82" s="27">
        <f t="shared" si="16"/>
        <v>-1.3013498189999999</v>
      </c>
    </row>
    <row r="83" spans="2:32" x14ac:dyDescent="0.2">
      <c r="B83" s="24" t="s">
        <v>349</v>
      </c>
      <c r="C83" s="25">
        <f>IF(VLOOKUP(B83,'Data yoy'!$A:$AW,MATCH($C$1,'Data yoy'!$A$1:$AW$1,),)=0,#N/A,VLOOKUP(B83,'Data yoy'!$A:$AW,MATCH($C$1,'Data yoy'!$A$1:$AW$1,),))</f>
        <v>3.0153118829999999</v>
      </c>
      <c r="D83" s="25">
        <f>IF(VLOOKUP(B83,'Data yoy'!$A:$AW,MATCH($D$1,'Data yoy'!$A$1:$AW$1,),)=0,#N/A,VLOOKUP(B83,'Data yoy'!$A:$AW,MATCH($D$1,'Data yoy'!$A$1:$AW$1,),))</f>
        <v>6.9</v>
      </c>
      <c r="E83" s="25">
        <f>IF(VLOOKUP(B83,'Data yoy'!$A:$AW,MATCH($E$1,'Data yoy'!$A$1:$AW$1,),)=0,#N/A,VLOOKUP(B83,'Data yoy'!$A:$AW,MATCH($E$1,'Data yoy'!$A$1:$AW$1,),))</f>
        <v>2.4500315549999998</v>
      </c>
      <c r="F83" s="25">
        <f>IF(VLOOKUP(B83,'Data yoy'!$A:$AW,MATCH($F$1,'Data yoy'!$A$1:$AW$1,),)=0,#N/A,VLOOKUP(B83,'Data yoy'!$A:$AW,MATCH($F$1,'Data yoy'!$A$1:$AW$1,),))</f>
        <v>1.433536889</v>
      </c>
      <c r="G83" s="25">
        <f>IF(VLOOKUP(B83,'Data yoy'!$A:$AW,MATCH($G$1,'Data yoy'!$A$1:$AW$1,),)=0,#N/A,VLOOKUP(B83,'Data yoy'!$A:$AW,MATCH($G$1,'Data yoy'!$A$1:$AW$1,),))</f>
        <v>2.0421842520000002</v>
      </c>
      <c r="H83" s="25">
        <f>IF(VLOOKUP(B83,'Data yoy'!$A:$AW,MATCH($H$1,'Data yoy'!$A$1:$AW$1,),)=0,#N/A,VLOOKUP(B83,'Data yoy'!$A:$AW,MATCH($H$1,'Data yoy'!$A$1:$AW$1,),))</f>
        <v>2.3443626659999999</v>
      </c>
      <c r="I83" s="25">
        <f>IF(VLOOKUP(B83,'Data yoy'!$A:$AW,MATCH($I$1,'Data yoy'!$A$1:$AW$1,),)=0,#N/A,VLOOKUP(B83,'Data yoy'!$A:$AW,MATCH($I$1,'Data yoy'!$A$1:$AW$1,),))</f>
        <v>1.3856480920000001</v>
      </c>
      <c r="J83" s="25">
        <f>IF(VLOOKUP(B83,'Data yoy'!$A:$AW,MATCH($J$1,'Data yoy'!$A$1:$AW$1,),)=0,#N/A,VLOOKUP(B83,'Data yoy'!$A:$AW,MATCH($J$1,'Data yoy'!$A$1:$AW$1,),))</f>
        <v>1.3065245569999999</v>
      </c>
      <c r="K83" s="25">
        <f>IF(VLOOKUP(B83,'Data yoy'!$A:$AW,MATCH($K$1,'Data yoy'!$A$1:$AW$1,),)=0,#N/A,VLOOKUP(B83,'Data yoy'!$A:$AW,MATCH($K$1,'Data yoy'!$A$1:$AW$1,),))</f>
        <v>2.679684843</v>
      </c>
      <c r="L83" s="25">
        <f>IF(VLOOKUP(B83,'Data yoy'!$A:$AW,MATCH($L$1,'Data yoy'!$A$1:$AW$1,),)=0,#N/A,VLOOKUP(B83,'Data yoy'!$A:$AW,MATCH($L$1,'Data yoy'!$A$1:$AW$1,),))</f>
        <v>2.7320450639999998</v>
      </c>
      <c r="M83" s="25">
        <f>IF(VLOOKUP(B83,'Data yoy'!$A:$AW,MATCH($M$1,'Data yoy'!$A$1:$AW$1,),)=0,#N/A,VLOOKUP(B83,'Data yoy'!$A:$AW,MATCH($M$1,'Data yoy'!$A$1:$AW$1,),))</f>
        <v>2.4526519379999998</v>
      </c>
      <c r="N83" s="25">
        <f>IF(VLOOKUP(B83,'Data yoy'!$A:$AW,MATCH($N$1,'Data yoy'!$A$1:$AW$1,),)=0,#N/A,VLOOKUP(B83,'Data yoy'!$A:$AW,MATCH($N$1,'Data yoy'!$A$1:$AW$1,),))</f>
        <v>2.770876817</v>
      </c>
      <c r="O83" s="25">
        <f>IF(VLOOKUP(B83,'Data yoy'!$A:$AW,MATCH($O$1,'Data yoy'!$A$1:$AW$1,),)=0,#N/A,VLOOKUP(B83,'Data yoy'!$A:$AW,MATCH($O$1,'Data yoy'!$A$1:$AW$1,),))</f>
        <v>7.9676499999999999</v>
      </c>
      <c r="P83" s="25">
        <f>IF(VLOOKUP(B83,'Data yoy'!$A:$AW,MATCH($P$1,'Data yoy'!$A$1:$AW$1,),)=0,#N/A,VLOOKUP(B83,'Data yoy'!$A:$AW,MATCH($P$1,'Data yoy'!$A$1:$AW$1,),))</f>
        <v>2.8672536530000001</v>
      </c>
      <c r="Q83" s="25">
        <f>IF(VLOOKUP(B83,'Data yoy'!$A:$AW,MATCH($Q$1,'Data yoy'!$A$1:$AW$1,),)=0,#N/A,VLOOKUP(B83,'Data yoy'!$A:$AW,MATCH($Q$1,'Data yoy'!$A$1:$AW$1,),))</f>
        <v>2.9722940040000001</v>
      </c>
      <c r="R83" s="25">
        <f>IF(VLOOKUP(B83,'Data yoy'!$A:$AW,MATCH($R$1,'Data yoy'!$A$1:$AW$1,),)=0,#N/A,VLOOKUP(B83,'Data yoy'!$A:$AW,MATCH($R$1,'Data yoy'!$A$1:$AW$1,),))</f>
        <v>3.126877967</v>
      </c>
      <c r="S83" s="25">
        <f>IF(VLOOKUP(B83,'Data yoy'!$A:$AW,MATCH($S$1,'Data yoy'!$A$1:$AW$1,),)=0,#N/A,VLOOKUP(B83,'Data yoy'!$A:$AW,MATCH($S$1,'Data yoy'!$A$1:$AW$1,),))</f>
        <v>3.0620915960000001</v>
      </c>
      <c r="T83" s="25">
        <f>IF(VLOOKUP(B83,'Data yoy'!$A:$AW,MATCH($T$1,'Data yoy'!$A$1:$AW$1,),)=0,#N/A,VLOOKUP(B83,'Data yoy'!$A:$AW,MATCH($T$1,'Data yoy'!$A$1:$AW$1,),))</f>
        <v>2.0243724670000001</v>
      </c>
      <c r="U83" s="25">
        <f>IF(VLOOKUP(B83,'Data yoy'!$A:$AW,MATCH($U$1,'Data yoy'!$A$1:$AW$1,),)=0,#N/A,VLOOKUP(B83,'Data yoy'!$A:$AW,MATCH($U$1,'Data yoy'!$A$1:$AW$1,),))</f>
        <v>2.1431929260000002</v>
      </c>
      <c r="V83" s="25">
        <f>IF(VLOOKUP(B83,'Data yoy'!$A:$AW,MATCH($V$1,'Data yoy'!$A$1:$AW$1,),)=0,#N/A,VLOOKUP(B83,'Data yoy'!$A:$AW,MATCH($V$1,'Data yoy'!$A$1:$AW$1,),))</f>
        <v>12.839838404</v>
      </c>
      <c r="W83" s="25">
        <f>IF(VLOOKUP(B83,'Data yoy'!$A:$AW,MATCH($W$1,'Data yoy'!$A$1:$AW$1,),)=0,#N/A,VLOOKUP(B83,'Data yoy'!$A:$AW,MATCH($W$1,'Data yoy'!$A$1:$AW$1,),))</f>
        <v>7.3634451470000002</v>
      </c>
      <c r="X83" s="25">
        <f>IF(VLOOKUP(B83,'Data yoy'!$A:$AW,MATCH($X$1,'Data yoy'!$A$1:$AW$1,),)=0,#N/A,VLOOKUP(B83,'Data yoy'!$A:$AW,MATCH($X$1,'Data yoy'!$A$1:$AW$1,),))</f>
        <v>4.8044975550000002</v>
      </c>
      <c r="Y83" s="25">
        <f>IF(VLOOKUP(B83,'Data yoy'!$A:$AW,MATCH($Y$1,'Data yoy'!$A$1:$AW$1,),)=0,#N/A,VLOOKUP(B83,'Data yoy'!$A:$AW,MATCH($Y$1,'Data yoy'!$A$1:$AW$1,),))</f>
        <v>5.124233985</v>
      </c>
      <c r="Z83" s="25">
        <f>IF(VLOOKUP(B83,'Data yoy'!$A:$AW,MATCH($Z$1,'Data yoy'!$A$1:$AW$1,),)=0,#N/A,VLOOKUP(B83,'Data yoy'!$A:$AW,MATCH($Z$1,'Data yoy'!$A$1:$AW$1,),))</f>
        <v>3.0300874169999998</v>
      </c>
      <c r="AA83" s="25">
        <f>IF(VLOOKUP(B83,'Data yoy'!$A:$AW,MATCH($AA$1,'Data yoy'!$A$1:$AW$1,),)=0,#N/A,VLOOKUP(B83,'Data yoy'!$A:$AW,MATCH($AA$1,'Data yoy'!$A$1:$AW$1,),))</f>
        <v>3.5662470320000002</v>
      </c>
      <c r="AB83" s="72"/>
      <c r="AC83" s="26" t="str">
        <f t="shared" si="13"/>
        <v>2018-Q1</v>
      </c>
      <c r="AD83" s="27">
        <f t="shared" si="14"/>
        <v>1.3856480920000001</v>
      </c>
      <c r="AE83" s="27">
        <f t="shared" si="15"/>
        <v>2.4500315549999998</v>
      </c>
      <c r="AF83" s="27">
        <f t="shared" si="16"/>
        <v>-1.0643834629999998</v>
      </c>
    </row>
    <row r="84" spans="2:32" s="72" customFormat="1" x14ac:dyDescent="0.2">
      <c r="B84" s="24" t="s">
        <v>350</v>
      </c>
      <c r="C84" s="25">
        <f>IF(VLOOKUP(B84,'Data yoy'!$A:$AW,MATCH($C$1,'Data yoy'!$A$1:$AW$1,),)=0,#N/A,VLOOKUP(B84,'Data yoy'!$A:$AW,MATCH($C$1,'Data yoy'!$A$1:$AW$1,),))</f>
        <v>3.2961522830000001</v>
      </c>
      <c r="D84" s="25">
        <f>IF(VLOOKUP(B84,'Data yoy'!$A:$AW,MATCH($D$1,'Data yoy'!$A$1:$AW$1,),)=0,#N/A,VLOOKUP(B84,'Data yoy'!$A:$AW,MATCH($D$1,'Data yoy'!$A$1:$AW$1,),))</f>
        <v>6.9</v>
      </c>
      <c r="E84" s="25">
        <f>IF(VLOOKUP(B84,'Data yoy'!$A:$AW,MATCH($E$1,'Data yoy'!$A$1:$AW$1,),)=0,#N/A,VLOOKUP(B84,'Data yoy'!$A:$AW,MATCH($E$1,'Data yoy'!$A$1:$AW$1,),))</f>
        <v>2.134648248</v>
      </c>
      <c r="F84" s="25">
        <f>IF(VLOOKUP(B84,'Data yoy'!$A:$AW,MATCH($F$1,'Data yoy'!$A$1:$AW$1,),)=0,#N/A,VLOOKUP(B84,'Data yoy'!$A:$AW,MATCH($F$1,'Data yoy'!$A$1:$AW$1,),))</f>
        <v>1.3734497320000001</v>
      </c>
      <c r="G84" s="25">
        <f>IF(VLOOKUP(B84,'Data yoy'!$A:$AW,MATCH($G$1,'Data yoy'!$A$1:$AW$1,),)=0,#N/A,VLOOKUP(B84,'Data yoy'!$A:$AW,MATCH($G$1,'Data yoy'!$A$1:$AW$1,),))</f>
        <v>1.816096978</v>
      </c>
      <c r="H84" s="25">
        <f>IF(VLOOKUP(B84,'Data yoy'!$A:$AW,MATCH($H$1,'Data yoy'!$A$1:$AW$1,),)=0,#N/A,VLOOKUP(B84,'Data yoy'!$A:$AW,MATCH($H$1,'Data yoy'!$A$1:$AW$1,),))</f>
        <v>1.880804484</v>
      </c>
      <c r="I84" s="25">
        <f>IF(VLOOKUP(B84,'Data yoy'!$A:$AW,MATCH($I$1,'Data yoy'!$A$1:$AW$1,),)=0,#N/A,VLOOKUP(B84,'Data yoy'!$A:$AW,MATCH($I$1,'Data yoy'!$A$1:$AW$1,),))</f>
        <v>1.6240757889999999</v>
      </c>
      <c r="J84" s="25">
        <f>IF(VLOOKUP(B84,'Data yoy'!$A:$AW,MATCH($J$1,'Data yoy'!$A$1:$AW$1,),)=0,#N/A,VLOOKUP(B84,'Data yoy'!$A:$AW,MATCH($J$1,'Data yoy'!$A$1:$AW$1,),))</f>
        <v>0.90731631700000004</v>
      </c>
      <c r="K84" s="25">
        <f>IF(VLOOKUP(B84,'Data yoy'!$A:$AW,MATCH($K$1,'Data yoy'!$A$1:$AW$1,),)=0,#N/A,VLOOKUP(B84,'Data yoy'!$A:$AW,MATCH($K$1,'Data yoy'!$A$1:$AW$1,),))</f>
        <v>2.1843443640000002</v>
      </c>
      <c r="L84" s="25">
        <f>IF(VLOOKUP(B84,'Data yoy'!$A:$AW,MATCH($L$1,'Data yoy'!$A$1:$AW$1,),)=0,#N/A,VLOOKUP(B84,'Data yoy'!$A:$AW,MATCH($L$1,'Data yoy'!$A$1:$AW$1,),))</f>
        <v>2.5237913999999999</v>
      </c>
      <c r="M84" s="25">
        <f>IF(VLOOKUP(B84,'Data yoy'!$A:$AW,MATCH($M$1,'Data yoy'!$A$1:$AW$1,),)=0,#N/A,VLOOKUP(B84,'Data yoy'!$A:$AW,MATCH($M$1,'Data yoy'!$A$1:$AW$1,),))</f>
        <v>2.128813981</v>
      </c>
      <c r="N84" s="25">
        <f>IF(VLOOKUP(B84,'Data yoy'!$A:$AW,MATCH($N$1,'Data yoy'!$A$1:$AW$1,),)=0,#N/A,VLOOKUP(B84,'Data yoy'!$A:$AW,MATCH($N$1,'Data yoy'!$A$1:$AW$1,),))</f>
        <v>2.6356292149999998</v>
      </c>
      <c r="O84" s="25">
        <f>IF(VLOOKUP(B84,'Data yoy'!$A:$AW,MATCH($O$1,'Data yoy'!$A$1:$AW$1,),)=0,#N/A,VLOOKUP(B84,'Data yoy'!$A:$AW,MATCH($O$1,'Data yoy'!$A$1:$AW$1,),))</f>
        <v>7.1873199999999997</v>
      </c>
      <c r="P84" s="25">
        <f>IF(VLOOKUP(B84,'Data yoy'!$A:$AW,MATCH($P$1,'Data yoy'!$A$1:$AW$1,),)=0,#N/A,VLOOKUP(B84,'Data yoy'!$A:$AW,MATCH($P$1,'Data yoy'!$A$1:$AW$1,),))</f>
        <v>2.6249711279999999</v>
      </c>
      <c r="Q84" s="25">
        <f>IF(VLOOKUP(B84,'Data yoy'!$A:$AW,MATCH($Q$1,'Data yoy'!$A$1:$AW$1,),)=0,#N/A,VLOOKUP(B84,'Data yoy'!$A:$AW,MATCH($Q$1,'Data yoy'!$A$1:$AW$1,),))</f>
        <v>3.205152467</v>
      </c>
      <c r="R84" s="25">
        <f>IF(VLOOKUP(B84,'Data yoy'!$A:$AW,MATCH($R$1,'Data yoy'!$A$1:$AW$1,),)=0,#N/A,VLOOKUP(B84,'Data yoy'!$A:$AW,MATCH($R$1,'Data yoy'!$A$1:$AW$1,),))</f>
        <v>3.7729382889999998</v>
      </c>
      <c r="S84" s="25">
        <f>IF(VLOOKUP(B84,'Data yoy'!$A:$AW,MATCH($S$1,'Data yoy'!$A$1:$AW$1,),)=0,#N/A,VLOOKUP(B84,'Data yoy'!$A:$AW,MATCH($S$1,'Data yoy'!$A$1:$AW$1,),))</f>
        <v>3.0235219390000001</v>
      </c>
      <c r="T84" s="25">
        <f>IF(VLOOKUP(B84,'Data yoy'!$A:$AW,MATCH($T$1,'Data yoy'!$A$1:$AW$1,),)=0,#N/A,VLOOKUP(B84,'Data yoy'!$A:$AW,MATCH($T$1,'Data yoy'!$A$1:$AW$1,),))</f>
        <v>1.4450366640000001</v>
      </c>
      <c r="U84" s="25">
        <f>IF(VLOOKUP(B84,'Data yoy'!$A:$AW,MATCH($U$1,'Data yoy'!$A$1:$AW$1,),)=0,#N/A,VLOOKUP(B84,'Data yoy'!$A:$AW,MATCH($U$1,'Data yoy'!$A$1:$AW$1,),))</f>
        <v>1.6799924829999999</v>
      </c>
      <c r="V84" s="25">
        <f>IF(VLOOKUP(B84,'Data yoy'!$A:$AW,MATCH($V$1,'Data yoy'!$A$1:$AW$1,),)=0,#N/A,VLOOKUP(B84,'Data yoy'!$A:$AW,MATCH($V$1,'Data yoy'!$A$1:$AW$1,),))</f>
        <v>12.502919683</v>
      </c>
      <c r="W84" s="25">
        <f>IF(VLOOKUP(B84,'Data yoy'!$A:$AW,MATCH($W$1,'Data yoy'!$A$1:$AW$1,),)=0,#N/A,VLOOKUP(B84,'Data yoy'!$A:$AW,MATCH($W$1,'Data yoy'!$A$1:$AW$1,),))</f>
        <v>5.5035136979999999</v>
      </c>
      <c r="X84" s="25">
        <f>IF(VLOOKUP(B84,'Data yoy'!$A:$AW,MATCH($X$1,'Data yoy'!$A$1:$AW$1,),)=0,#N/A,VLOOKUP(B84,'Data yoy'!$A:$AW,MATCH($X$1,'Data yoy'!$A$1:$AW$1,),))</f>
        <v>2.6817571459999998</v>
      </c>
      <c r="Y84" s="25">
        <f>IF(VLOOKUP(B84,'Data yoy'!$A:$AW,MATCH($Y$1,'Data yoy'!$A$1:$AW$1,),)=0,#N/A,VLOOKUP(B84,'Data yoy'!$A:$AW,MATCH($Y$1,'Data yoy'!$A$1:$AW$1,),))</f>
        <v>5.5709770340000002</v>
      </c>
      <c r="Z84" s="25">
        <f>IF(VLOOKUP(B84,'Data yoy'!$A:$AW,MATCH($Z$1,'Data yoy'!$A$1:$AW$1,),)=0,#N/A,VLOOKUP(B84,'Data yoy'!$A:$AW,MATCH($Z$1,'Data yoy'!$A$1:$AW$1,),))</f>
        <v>-2.7322102789999998</v>
      </c>
      <c r="AA84" s="25">
        <f>IF(VLOOKUP(B84,'Data yoy'!$A:$AW,MATCH($AA$1,'Data yoy'!$A$1:$AW$1,),)=0,#N/A,VLOOKUP(B84,'Data yoy'!$A:$AW,MATCH($AA$1,'Data yoy'!$A$1:$AW$1,),))</f>
        <v>3.6266933849999998</v>
      </c>
      <c r="AC84" s="26" t="str">
        <f t="shared" si="13"/>
        <v>2018-Q2</v>
      </c>
      <c r="AD84" s="27">
        <f t="shared" si="14"/>
        <v>1.6240757889999999</v>
      </c>
      <c r="AE84" s="27">
        <f t="shared" si="15"/>
        <v>2.134648248</v>
      </c>
      <c r="AF84" s="27">
        <f t="shared" si="16"/>
        <v>-0.51057245900000003</v>
      </c>
    </row>
    <row r="85" spans="2:32" s="72" customFormat="1" x14ac:dyDescent="0.2">
      <c r="B85" s="24" t="s">
        <v>351</v>
      </c>
      <c r="C85" s="25">
        <f>IF(VLOOKUP(B85,'Data yoy'!$A:$AW,MATCH($C$1,'Data yoy'!$A$1:$AW$1,),)=0,#N/A,VLOOKUP(B85,'Data yoy'!$A:$AW,MATCH($C$1,'Data yoy'!$A$1:$AW$1,),))</f>
        <v>3.0528859119999998</v>
      </c>
      <c r="D85" s="25">
        <f>IF(VLOOKUP(B85,'Data yoy'!$A:$AW,MATCH($D$1,'Data yoy'!$A$1:$AW$1,),)=0,#N/A,VLOOKUP(B85,'Data yoy'!$A:$AW,MATCH($D$1,'Data yoy'!$A$1:$AW$1,),))</f>
        <v>6.7</v>
      </c>
      <c r="E85" s="25">
        <f>IF(VLOOKUP(B85,'Data yoy'!$A:$AW,MATCH($E$1,'Data yoy'!$A$1:$AW$1,),)=0,#N/A,VLOOKUP(B85,'Data yoy'!$A:$AW,MATCH($E$1,'Data yoy'!$A$1:$AW$1,),))</f>
        <v>1.484471477</v>
      </c>
      <c r="F85" s="25">
        <f>IF(VLOOKUP(B85,'Data yoy'!$A:$AW,MATCH($F$1,'Data yoy'!$A$1:$AW$1,),)=0,#N/A,VLOOKUP(B85,'Data yoy'!$A:$AW,MATCH($F$1,'Data yoy'!$A$1:$AW$1,),))</f>
        <v>-0.16496644599999999</v>
      </c>
      <c r="G85" s="25">
        <f>IF(VLOOKUP(B85,'Data yoy'!$A:$AW,MATCH($G$1,'Data yoy'!$A$1:$AW$1,),)=0,#N/A,VLOOKUP(B85,'Data yoy'!$A:$AW,MATCH($G$1,'Data yoy'!$A$1:$AW$1,),))</f>
        <v>0.50217442300000004</v>
      </c>
      <c r="H85" s="25">
        <f>IF(VLOOKUP(B85,'Data yoy'!$A:$AW,MATCH($H$1,'Data yoy'!$A$1:$AW$1,),)=0,#N/A,VLOOKUP(B85,'Data yoy'!$A:$AW,MATCH($H$1,'Data yoy'!$A$1:$AW$1,),))</f>
        <v>1.631788408</v>
      </c>
      <c r="I85" s="25">
        <f>IF(VLOOKUP(B85,'Data yoy'!$A:$AW,MATCH($I$1,'Data yoy'!$A$1:$AW$1,),)=0,#N/A,VLOOKUP(B85,'Data yoy'!$A:$AW,MATCH($I$1,'Data yoy'!$A$1:$AW$1,),))</f>
        <v>1.8299276040000001</v>
      </c>
      <c r="J85" s="25">
        <f>IF(VLOOKUP(B85,'Data yoy'!$A:$AW,MATCH($J$1,'Data yoy'!$A$1:$AW$1,),)=0,#N/A,VLOOKUP(B85,'Data yoy'!$A:$AW,MATCH($J$1,'Data yoy'!$A$1:$AW$1,),))</f>
        <v>0.59714778700000004</v>
      </c>
      <c r="K85" s="25">
        <f>IF(VLOOKUP(B85,'Data yoy'!$A:$AW,MATCH($K$1,'Data yoy'!$A$1:$AW$1,),)=0,#N/A,VLOOKUP(B85,'Data yoy'!$A:$AW,MATCH($K$1,'Data yoy'!$A$1:$AW$1,),))</f>
        <v>2.123714933</v>
      </c>
      <c r="L85" s="25">
        <f>IF(VLOOKUP(B85,'Data yoy'!$A:$AW,MATCH($L$1,'Data yoy'!$A$1:$AW$1,),)=0,#N/A,VLOOKUP(B85,'Data yoy'!$A:$AW,MATCH($L$1,'Data yoy'!$A$1:$AW$1,),))</f>
        <v>0.81741701</v>
      </c>
      <c r="M85" s="25">
        <f>IF(VLOOKUP(B85,'Data yoy'!$A:$AW,MATCH($M$1,'Data yoy'!$A$1:$AW$1,),)=0,#N/A,VLOOKUP(B85,'Data yoy'!$A:$AW,MATCH($M$1,'Data yoy'!$A$1:$AW$1,),))</f>
        <v>2.9262190010000002</v>
      </c>
      <c r="N85" s="25">
        <f>IF(VLOOKUP(B85,'Data yoy'!$A:$AW,MATCH($N$1,'Data yoy'!$A$1:$AW$1,),)=0,#N/A,VLOOKUP(B85,'Data yoy'!$A:$AW,MATCH($N$1,'Data yoy'!$A$1:$AW$1,),))</f>
        <v>2.1890012080000001</v>
      </c>
      <c r="O85" s="25">
        <f>IF(VLOOKUP(B85,'Data yoy'!$A:$AW,MATCH($O$1,'Data yoy'!$A$1:$AW$1,),)=0,#N/A,VLOOKUP(B85,'Data yoy'!$A:$AW,MATCH($O$1,'Data yoy'!$A$1:$AW$1,),))</f>
        <v>6.9183000000000003</v>
      </c>
      <c r="P85" s="25">
        <f>IF(VLOOKUP(B85,'Data yoy'!$A:$AW,MATCH($P$1,'Data yoy'!$A$1:$AW$1,),)=0,#N/A,VLOOKUP(B85,'Data yoy'!$A:$AW,MATCH($P$1,'Data yoy'!$A$1:$AW$1,),))</f>
        <v>2.8991055860000001</v>
      </c>
      <c r="Q85" s="25">
        <f>IF(VLOOKUP(B85,'Data yoy'!$A:$AW,MATCH($Q$1,'Data yoy'!$A$1:$AW$1,),)=0,#N/A,VLOOKUP(B85,'Data yoy'!$A:$AW,MATCH($Q$1,'Data yoy'!$A$1:$AW$1,),))</f>
        <v>2.63075145</v>
      </c>
      <c r="R85" s="25">
        <f>IF(VLOOKUP(B85,'Data yoy'!$A:$AW,MATCH($R$1,'Data yoy'!$A$1:$AW$1,),)=0,#N/A,VLOOKUP(B85,'Data yoy'!$A:$AW,MATCH($R$1,'Data yoy'!$A$1:$AW$1,),))</f>
        <v>2.8842266090000002</v>
      </c>
      <c r="S85" s="25">
        <f>IF(VLOOKUP(B85,'Data yoy'!$A:$AW,MATCH($S$1,'Data yoy'!$A$1:$AW$1,),)=0,#N/A,VLOOKUP(B85,'Data yoy'!$A:$AW,MATCH($S$1,'Data yoy'!$A$1:$AW$1,),))</f>
        <v>2.2176325270000001</v>
      </c>
      <c r="T85" s="25">
        <f>IF(VLOOKUP(B85,'Data yoy'!$A:$AW,MATCH($T$1,'Data yoy'!$A$1:$AW$1,),)=0,#N/A,VLOOKUP(B85,'Data yoy'!$A:$AW,MATCH($T$1,'Data yoy'!$A$1:$AW$1,),))</f>
        <v>2.0253589289999998</v>
      </c>
      <c r="U85" s="25">
        <f>IF(VLOOKUP(B85,'Data yoy'!$A:$AW,MATCH($U$1,'Data yoy'!$A$1:$AW$1,),)=0,#N/A,VLOOKUP(B85,'Data yoy'!$A:$AW,MATCH($U$1,'Data yoy'!$A$1:$AW$1,),))</f>
        <v>0.38422110399999998</v>
      </c>
      <c r="V85" s="25">
        <f>IF(VLOOKUP(B85,'Data yoy'!$A:$AW,MATCH($V$1,'Data yoy'!$A$1:$AW$1,),)=0,#N/A,VLOOKUP(B85,'Data yoy'!$A:$AW,MATCH($V$1,'Data yoy'!$A$1:$AW$1,),))</f>
        <v>7.9937736299999997</v>
      </c>
      <c r="W85" s="25">
        <f>IF(VLOOKUP(B85,'Data yoy'!$A:$AW,MATCH($W$1,'Data yoy'!$A$1:$AW$1,),)=0,#N/A,VLOOKUP(B85,'Data yoy'!$A:$AW,MATCH($W$1,'Data yoy'!$A$1:$AW$1,),))</f>
        <v>2.2750231799999998</v>
      </c>
      <c r="X85" s="25">
        <f>IF(VLOOKUP(B85,'Data yoy'!$A:$AW,MATCH($X$1,'Data yoy'!$A$1:$AW$1,),)=0,#N/A,VLOOKUP(B85,'Data yoy'!$A:$AW,MATCH($X$1,'Data yoy'!$A$1:$AW$1,),))</f>
        <v>2.7294056680000001</v>
      </c>
      <c r="Y85" s="25">
        <f>IF(VLOOKUP(B85,'Data yoy'!$A:$AW,MATCH($Y$1,'Data yoy'!$A$1:$AW$1,),)=0,#N/A,VLOOKUP(B85,'Data yoy'!$A:$AW,MATCH($Y$1,'Data yoy'!$A$1:$AW$1,),))</f>
        <v>5.846150443</v>
      </c>
      <c r="Z85" s="25">
        <f>IF(VLOOKUP(B85,'Data yoy'!$A:$AW,MATCH($Z$1,'Data yoy'!$A$1:$AW$1,),)=0,#N/A,VLOOKUP(B85,'Data yoy'!$A:$AW,MATCH($Z$1,'Data yoy'!$A$1:$AW$1,),))</f>
        <v>-4.1440371479999998</v>
      </c>
      <c r="AA85" s="25">
        <f>IF(VLOOKUP(B85,'Data yoy'!$A:$AW,MATCH($AA$1,'Data yoy'!$A$1:$AW$1,),)=0,#N/A,VLOOKUP(B85,'Data yoy'!$A:$AW,MATCH($AA$1,'Data yoy'!$A$1:$AW$1,),))</f>
        <v>3.0773159739999998</v>
      </c>
      <c r="AC85" s="26" t="str">
        <f t="shared" si="13"/>
        <v>2018-Q3</v>
      </c>
      <c r="AD85" s="27">
        <f t="shared" si="14"/>
        <v>1.8299276040000001</v>
      </c>
      <c r="AE85" s="27">
        <f t="shared" si="15"/>
        <v>1.484471477</v>
      </c>
      <c r="AF85" s="27">
        <f t="shared" si="16"/>
        <v>0.34545612700000006</v>
      </c>
    </row>
    <row r="86" spans="2:32" s="72" customFormat="1" x14ac:dyDescent="0.2">
      <c r="B86" s="24" t="s">
        <v>352</v>
      </c>
      <c r="C86" s="25">
        <f>IF(VLOOKUP(B86,'Data yoy'!$A:$AW,MATCH($C$1,'Data yoy'!$A$1:$AW$1,),)=0,#N/A,VLOOKUP(B86,'Data yoy'!$A:$AW,MATCH($C$1,'Data yoy'!$A$1:$AW$1,),))</f>
        <v>2.3206170949999998</v>
      </c>
      <c r="D86" s="25">
        <f>IF(VLOOKUP(B86,'Data yoy'!$A:$AW,MATCH($D$1,'Data yoy'!$A$1:$AW$1,),)=0,#N/A,VLOOKUP(B86,'Data yoy'!$A:$AW,MATCH($D$1,'Data yoy'!$A$1:$AW$1,),))</f>
        <v>6.5</v>
      </c>
      <c r="E86" s="25">
        <f>IF(VLOOKUP(B86,'Data yoy'!$A:$AW,MATCH($E$1,'Data yoy'!$A$1:$AW$1,),)=0,#N/A,VLOOKUP(B86,'Data yoy'!$A:$AW,MATCH($E$1,'Data yoy'!$A$1:$AW$1,),))</f>
        <v>1.2069460919999999</v>
      </c>
      <c r="F86" s="25">
        <f>IF(VLOOKUP(B86,'Data yoy'!$A:$AW,MATCH($F$1,'Data yoy'!$A$1:$AW$1,),)=0,#N/A,VLOOKUP(B86,'Data yoy'!$A:$AW,MATCH($F$1,'Data yoy'!$A$1:$AW$1,),))</f>
        <v>-0.33306957100000001</v>
      </c>
      <c r="G86" s="25">
        <f>IF(VLOOKUP(B86,'Data yoy'!$A:$AW,MATCH($G$1,'Data yoy'!$A$1:$AW$1,),)=0,#N/A,VLOOKUP(B86,'Data yoy'!$A:$AW,MATCH($G$1,'Data yoy'!$A$1:$AW$1,),))</f>
        <v>8.4593111999999998E-2</v>
      </c>
      <c r="H86" s="25">
        <f>IF(VLOOKUP(B86,'Data yoy'!$A:$AW,MATCH($H$1,'Data yoy'!$A$1:$AW$1,),)=0,#N/A,VLOOKUP(B86,'Data yoy'!$A:$AW,MATCH($H$1,'Data yoy'!$A$1:$AW$1,),))</f>
        <v>1.515601574</v>
      </c>
      <c r="I86" s="25">
        <f>IF(VLOOKUP(B86,'Data yoy'!$A:$AW,MATCH($I$1,'Data yoy'!$A$1:$AW$1,),)=0,#N/A,VLOOKUP(B86,'Data yoy'!$A:$AW,MATCH($I$1,'Data yoy'!$A$1:$AW$1,),))</f>
        <v>1.761540578</v>
      </c>
      <c r="J86" s="25">
        <f>IF(VLOOKUP(B86,'Data yoy'!$A:$AW,MATCH($J$1,'Data yoy'!$A$1:$AW$1,),)=0,#N/A,VLOOKUP(B86,'Data yoy'!$A:$AW,MATCH($J$1,'Data yoy'!$A$1:$AW$1,),))</f>
        <v>0.40200277499999998</v>
      </c>
      <c r="K86" s="25">
        <f>IF(VLOOKUP(B86,'Data yoy'!$A:$AW,MATCH($K$1,'Data yoy'!$A$1:$AW$1,),)=0,#N/A,VLOOKUP(B86,'Data yoy'!$A:$AW,MATCH($K$1,'Data yoy'!$A$1:$AW$1,),))</f>
        <v>2.1738904570000002</v>
      </c>
      <c r="L86" s="25">
        <f>IF(VLOOKUP(B86,'Data yoy'!$A:$AW,MATCH($L$1,'Data yoy'!$A$1:$AW$1,),)=0,#N/A,VLOOKUP(B86,'Data yoy'!$A:$AW,MATCH($L$1,'Data yoy'!$A$1:$AW$1,),))</f>
        <v>2.0640233779999999</v>
      </c>
      <c r="M86" s="25">
        <f>IF(VLOOKUP(B86,'Data yoy'!$A:$AW,MATCH($M$1,'Data yoy'!$A$1:$AW$1,),)=0,#N/A,VLOOKUP(B86,'Data yoy'!$A:$AW,MATCH($M$1,'Data yoy'!$A$1:$AW$1,),))</f>
        <v>1.225663417</v>
      </c>
      <c r="N86" s="25">
        <f>IF(VLOOKUP(B86,'Data yoy'!$A:$AW,MATCH($N$1,'Data yoy'!$A$1:$AW$1,),)=0,#N/A,VLOOKUP(B86,'Data yoy'!$A:$AW,MATCH($N$1,'Data yoy'!$A$1:$AW$1,),))</f>
        <v>2.8459098599999999</v>
      </c>
      <c r="O86" s="25">
        <f>IF(VLOOKUP(B86,'Data yoy'!$A:$AW,MATCH($O$1,'Data yoy'!$A$1:$AW$1,),)=0,#N/A,VLOOKUP(B86,'Data yoy'!$A:$AW,MATCH($O$1,'Data yoy'!$A$1:$AW$1,),))</f>
        <v>6.5923400000000001</v>
      </c>
      <c r="P86" s="25">
        <f>IF(VLOOKUP(B86,'Data yoy'!$A:$AW,MATCH($P$1,'Data yoy'!$A$1:$AW$1,),)=0,#N/A,VLOOKUP(B86,'Data yoy'!$A:$AW,MATCH($P$1,'Data yoy'!$A$1:$AW$1,),))</f>
        <v>2.717788724</v>
      </c>
      <c r="Q86" s="25">
        <f>IF(VLOOKUP(B86,'Data yoy'!$A:$AW,MATCH($Q$1,'Data yoy'!$A$1:$AW$1,),)=0,#N/A,VLOOKUP(B86,'Data yoy'!$A:$AW,MATCH($Q$1,'Data yoy'!$A$1:$AW$1,),))</f>
        <v>2.306890197</v>
      </c>
      <c r="R86" s="25">
        <f>IF(VLOOKUP(B86,'Data yoy'!$A:$AW,MATCH($R$1,'Data yoy'!$A$1:$AW$1,),)=0,#N/A,VLOOKUP(B86,'Data yoy'!$A:$AW,MATCH($R$1,'Data yoy'!$A$1:$AW$1,),))</f>
        <v>1.993577852</v>
      </c>
      <c r="S86" s="25">
        <f>IF(VLOOKUP(B86,'Data yoy'!$A:$AW,MATCH($S$1,'Data yoy'!$A$1:$AW$1,),)=0,#N/A,VLOOKUP(B86,'Data yoy'!$A:$AW,MATCH($S$1,'Data yoy'!$A$1:$AW$1,),))</f>
        <v>3.3324700969999999</v>
      </c>
      <c r="T86" s="25">
        <f>IF(VLOOKUP(B86,'Data yoy'!$A:$AW,MATCH($T$1,'Data yoy'!$A$1:$AW$1,),)=0,#N/A,VLOOKUP(B86,'Data yoy'!$A:$AW,MATCH($T$1,'Data yoy'!$A$1:$AW$1,),))</f>
        <v>1.2220567520000001</v>
      </c>
      <c r="U86" s="25">
        <f>IF(VLOOKUP(B86,'Data yoy'!$A:$AW,MATCH($U$1,'Data yoy'!$A$1:$AW$1,),)=0,#N/A,VLOOKUP(B86,'Data yoy'!$A:$AW,MATCH($U$1,'Data yoy'!$A$1:$AW$1,),))</f>
        <v>1.9020132830000001</v>
      </c>
      <c r="V86" s="25">
        <f>IF(VLOOKUP(B86,'Data yoy'!$A:$AW,MATCH($V$1,'Data yoy'!$A$1:$AW$1,),)=0,#N/A,VLOOKUP(B86,'Data yoy'!$A:$AW,MATCH($V$1,'Data yoy'!$A$1:$AW$1,),))</f>
        <v>3.9197430529999999</v>
      </c>
      <c r="W86" s="25">
        <f>IF(VLOOKUP(B86,'Data yoy'!$A:$AW,MATCH($W$1,'Data yoy'!$A$1:$AW$1,),)=0,#N/A,VLOOKUP(B86,'Data yoy'!$A:$AW,MATCH($W$1,'Data yoy'!$A$1:$AW$1,),))</f>
        <v>-2.61596129</v>
      </c>
      <c r="X86" s="25">
        <f>IF(VLOOKUP(B86,'Data yoy'!$A:$AW,MATCH($X$1,'Data yoy'!$A$1:$AW$1,),)=0,#N/A,VLOOKUP(B86,'Data yoy'!$A:$AW,MATCH($X$1,'Data yoy'!$A$1:$AW$1,),))</f>
        <v>2.558305925</v>
      </c>
      <c r="Y86" s="25">
        <f>IF(VLOOKUP(B86,'Data yoy'!$A:$AW,MATCH($Y$1,'Data yoy'!$A$1:$AW$1,),)=0,#N/A,VLOOKUP(B86,'Data yoy'!$A:$AW,MATCH($Y$1,'Data yoy'!$A$1:$AW$1,),))</f>
        <v>4.9377182209999999</v>
      </c>
      <c r="Z86" s="25">
        <f>IF(VLOOKUP(B86,'Data yoy'!$A:$AW,MATCH($Z$1,'Data yoy'!$A$1:$AW$1,),)=0,#N/A,VLOOKUP(B86,'Data yoy'!$A:$AW,MATCH($Z$1,'Data yoy'!$A$1:$AW$1,),))</f>
        <v>-6.4624225810000002</v>
      </c>
      <c r="AA86" s="25">
        <f>IF(VLOOKUP(B86,'Data yoy'!$A:$AW,MATCH($AA$1,'Data yoy'!$A$1:$AW$1,),)=0,#N/A,VLOOKUP(B86,'Data yoy'!$A:$AW,MATCH($AA$1,'Data yoy'!$A$1:$AW$1,),))</f>
        <v>3.513846113</v>
      </c>
      <c r="AC86" s="26" t="str">
        <f t="shared" si="13"/>
        <v>2018-Q4</v>
      </c>
      <c r="AD86" s="27">
        <f t="shared" si="14"/>
        <v>1.761540578</v>
      </c>
      <c r="AE86" s="27">
        <f t="shared" si="15"/>
        <v>1.2069460919999999</v>
      </c>
      <c r="AF86" s="27">
        <f t="shared" si="16"/>
        <v>0.55459448600000005</v>
      </c>
    </row>
    <row r="87" spans="2:32" s="72" customFormat="1" x14ac:dyDescent="0.2">
      <c r="B87" s="24" t="s">
        <v>353</v>
      </c>
      <c r="C87" s="25">
        <f>IF(VLOOKUP(B87,'Data yoy'!$A:$AW,MATCH($C$1,'Data yoy'!$A$1:$AW$1,),)=0,#N/A,VLOOKUP(B87,'Data yoy'!$A:$AW,MATCH($C$1,'Data yoy'!$A$1:$AW$1,),))</f>
        <v>2.1530015140000001</v>
      </c>
      <c r="D87" s="25">
        <f>IF(VLOOKUP(B87,'Data yoy'!$A:$AW,MATCH($D$1,'Data yoy'!$A$1:$AW$1,),)=0,#N/A,VLOOKUP(B87,'Data yoy'!$A:$AW,MATCH($D$1,'Data yoy'!$A$1:$AW$1,),))</f>
        <v>6.3</v>
      </c>
      <c r="E87" s="25">
        <f>IF(VLOOKUP(B87,'Data yoy'!$A:$AW,MATCH($E$1,'Data yoy'!$A$1:$AW$1,),)=0,#N/A,VLOOKUP(B87,'Data yoy'!$A:$AW,MATCH($E$1,'Data yoy'!$A$1:$AW$1,),))</f>
        <v>1.868389997</v>
      </c>
      <c r="F87" s="25">
        <f>IF(VLOOKUP(B87,'Data yoy'!$A:$AW,MATCH($F$1,'Data yoy'!$A$1:$AW$1,),)=0,#N/A,VLOOKUP(B87,'Data yoy'!$A:$AW,MATCH($F$1,'Data yoy'!$A$1:$AW$1,),))</f>
        <v>-5.761898E-2</v>
      </c>
      <c r="G87" s="25">
        <f>IF(VLOOKUP(B87,'Data yoy'!$A:$AW,MATCH($G$1,'Data yoy'!$A$1:$AW$1,),)=0,#N/A,VLOOKUP(B87,'Data yoy'!$A:$AW,MATCH($G$1,'Data yoy'!$A$1:$AW$1,),))</f>
        <v>1.578883507</v>
      </c>
      <c r="H87" s="25">
        <f>IF(VLOOKUP(B87,'Data yoy'!$A:$AW,MATCH($H$1,'Data yoy'!$A$1:$AW$1,),)=0,#N/A,VLOOKUP(B87,'Data yoy'!$A:$AW,MATCH($H$1,'Data yoy'!$A$1:$AW$1,),))</f>
        <v>2.1345996349999998</v>
      </c>
      <c r="I87" s="25">
        <f>IF(VLOOKUP(B87,'Data yoy'!$A:$AW,MATCH($I$1,'Data yoy'!$A$1:$AW$1,),)=0,#N/A,VLOOKUP(B87,'Data yoy'!$A:$AW,MATCH($I$1,'Data yoy'!$A$1:$AW$1,),))</f>
        <v>2.1729566610000002</v>
      </c>
      <c r="J87" s="25">
        <f>IF(VLOOKUP(B87,'Data yoy'!$A:$AW,MATCH($J$1,'Data yoy'!$A$1:$AW$1,),)=0,#N/A,VLOOKUP(B87,'Data yoy'!$A:$AW,MATCH($J$1,'Data yoy'!$A$1:$AW$1,),))</f>
        <v>0.46069120699999999</v>
      </c>
      <c r="K87" s="25">
        <f>IF(VLOOKUP(B87,'Data yoy'!$A:$AW,MATCH($K$1,'Data yoy'!$A$1:$AW$1,),)=0,#N/A,VLOOKUP(B87,'Data yoy'!$A:$AW,MATCH($K$1,'Data yoy'!$A$1:$AW$1,),))</f>
        <v>2.401358009</v>
      </c>
      <c r="L87" s="25">
        <f>IF(VLOOKUP(B87,'Data yoy'!$A:$AW,MATCH($L$1,'Data yoy'!$A$1:$AW$1,),)=0,#N/A,VLOOKUP(B87,'Data yoy'!$A:$AW,MATCH($L$1,'Data yoy'!$A$1:$AW$1,),))</f>
        <v>2.3525675029999999</v>
      </c>
      <c r="M87" s="25">
        <f>IF(VLOOKUP(B87,'Data yoy'!$A:$AW,MATCH($M$1,'Data yoy'!$A$1:$AW$1,),)=0,#N/A,VLOOKUP(B87,'Data yoy'!$A:$AW,MATCH($M$1,'Data yoy'!$A$1:$AW$1,),))</f>
        <v>0.21636750299999999</v>
      </c>
      <c r="N87" s="25">
        <f>IF(VLOOKUP(B87,'Data yoy'!$A:$AW,MATCH($N$1,'Data yoy'!$A$1:$AW$1,),)=0,#N/A,VLOOKUP(B87,'Data yoy'!$A:$AW,MATCH($N$1,'Data yoy'!$A$1:$AW$1,),))</f>
        <v>1.4313071719999999</v>
      </c>
      <c r="O87" s="25">
        <f>IF(VLOOKUP(B87,'Data yoy'!$A:$AW,MATCH($O$1,'Data yoy'!$A$1:$AW$1,),)=0,#N/A,VLOOKUP(B87,'Data yoy'!$A:$AW,MATCH($O$1,'Data yoy'!$A$1:$AW$1,),))</f>
        <v>5.4862200000000003</v>
      </c>
      <c r="P87" s="25">
        <f>IF(VLOOKUP(B87,'Data yoy'!$A:$AW,MATCH($P$1,'Data yoy'!$A$1:$AW$1,),)=0,#N/A,VLOOKUP(B87,'Data yoy'!$A:$AW,MATCH($P$1,'Data yoy'!$A$1:$AW$1,),))</f>
        <v>1.918859114</v>
      </c>
      <c r="Q87" s="25">
        <f>IF(VLOOKUP(B87,'Data yoy'!$A:$AW,MATCH($Q$1,'Data yoy'!$A$1:$AW$1,),)=0,#N/A,VLOOKUP(B87,'Data yoy'!$A:$AW,MATCH($Q$1,'Data yoy'!$A$1:$AW$1,),))</f>
        <v>1.8555476310000001</v>
      </c>
      <c r="R87" s="25">
        <f>IF(VLOOKUP(B87,'Data yoy'!$A:$AW,MATCH($R$1,'Data yoy'!$A$1:$AW$1,),)=0,#N/A,VLOOKUP(B87,'Data yoy'!$A:$AW,MATCH($R$1,'Data yoy'!$A$1:$AW$1,),))</f>
        <v>1.193403985</v>
      </c>
      <c r="S87" s="25">
        <f>IF(VLOOKUP(B87,'Data yoy'!$A:$AW,MATCH($S$1,'Data yoy'!$A$1:$AW$1,),)=0,#N/A,VLOOKUP(B87,'Data yoy'!$A:$AW,MATCH($S$1,'Data yoy'!$A$1:$AW$1,),))</f>
        <v>1.955154074</v>
      </c>
      <c r="T87" s="25">
        <f>IF(VLOOKUP(B87,'Data yoy'!$A:$AW,MATCH($T$1,'Data yoy'!$A$1:$AW$1,),)=0,#N/A,VLOOKUP(B87,'Data yoy'!$A:$AW,MATCH($T$1,'Data yoy'!$A$1:$AW$1,),))</f>
        <v>1.17939083</v>
      </c>
      <c r="U87" s="25">
        <f>IF(VLOOKUP(B87,'Data yoy'!$A:$AW,MATCH($U$1,'Data yoy'!$A$1:$AW$1,),)=0,#N/A,VLOOKUP(B87,'Data yoy'!$A:$AW,MATCH($U$1,'Data yoy'!$A$1:$AW$1,),))</f>
        <v>1.394444623</v>
      </c>
      <c r="V87" s="25">
        <f>IF(VLOOKUP(B87,'Data yoy'!$A:$AW,MATCH($V$1,'Data yoy'!$A$1:$AW$1,),)=0,#N/A,VLOOKUP(B87,'Data yoy'!$A:$AW,MATCH($V$1,'Data yoy'!$A$1:$AW$1,),))</f>
        <v>5.2387535160000001</v>
      </c>
      <c r="W87" s="25">
        <f>IF(VLOOKUP(B87,'Data yoy'!$A:$AW,MATCH($W$1,'Data yoy'!$A$1:$AW$1,),)=0,#N/A,VLOOKUP(B87,'Data yoy'!$A:$AW,MATCH($W$1,'Data yoy'!$A$1:$AW$1,),))</f>
        <v>-2.3334229209999999</v>
      </c>
      <c r="X87" s="25">
        <f>IF(VLOOKUP(B87,'Data yoy'!$A:$AW,MATCH($X$1,'Data yoy'!$A$1:$AW$1,),)=0,#N/A,VLOOKUP(B87,'Data yoy'!$A:$AW,MATCH($X$1,'Data yoy'!$A$1:$AW$1,),))</f>
        <v>2.967140332</v>
      </c>
      <c r="Y87" s="25">
        <f>IF(VLOOKUP(B87,'Data yoy'!$A:$AW,MATCH($Y$1,'Data yoy'!$A$1:$AW$1,),)=0,#N/A,VLOOKUP(B87,'Data yoy'!$A:$AW,MATCH($Y$1,'Data yoy'!$A$1:$AW$1,),))</f>
        <v>5.5463438600000003</v>
      </c>
      <c r="Z87" s="25">
        <f>IF(VLOOKUP(B87,'Data yoy'!$A:$AW,MATCH($Z$1,'Data yoy'!$A$1:$AW$1,),)=0,#N/A,VLOOKUP(B87,'Data yoy'!$A:$AW,MATCH($Z$1,'Data yoy'!$A$1:$AW$1,),))</f>
        <v>-6.0072999429999996</v>
      </c>
      <c r="AA87" s="25">
        <f>IF(VLOOKUP(B87,'Data yoy'!$A:$AW,MATCH($AA$1,'Data yoy'!$A$1:$AW$1,),)=0,#N/A,VLOOKUP(B87,'Data yoy'!$A:$AW,MATCH($AA$1,'Data yoy'!$A$1:$AW$1,),))</f>
        <v>3.2004137940000001</v>
      </c>
      <c r="AC87" s="26" t="str">
        <f t="shared" si="13"/>
        <v>2019-Q1</v>
      </c>
      <c r="AD87" s="27">
        <f t="shared" si="14"/>
        <v>2.1729566610000002</v>
      </c>
      <c r="AE87" s="27">
        <f t="shared" si="15"/>
        <v>1.868389997</v>
      </c>
      <c r="AF87" s="27">
        <f t="shared" si="16"/>
        <v>0.30456666400000021</v>
      </c>
    </row>
    <row r="88" spans="2:32" s="72" customFormat="1" x14ac:dyDescent="0.2">
      <c r="B88" s="24" t="s">
        <v>354</v>
      </c>
      <c r="C88" s="25">
        <f>IF(VLOOKUP(B88,'Data yoy'!$A:$AW,MATCH($C$1,'Data yoy'!$A$1:$AW$1,),)=0,#N/A,VLOOKUP(B88,'Data yoy'!$A:$AW,MATCH($C$1,'Data yoy'!$A$1:$AW$1,),))</f>
        <v>2.1114788359999999</v>
      </c>
      <c r="D88" s="25">
        <f>IF(VLOOKUP(B88,'Data yoy'!$A:$AW,MATCH($D$1,'Data yoy'!$A$1:$AW$1,),)=0,#N/A,VLOOKUP(B88,'Data yoy'!$A:$AW,MATCH($D$1,'Data yoy'!$A$1:$AW$1,),))</f>
        <v>6</v>
      </c>
      <c r="E88" s="25">
        <f>IF(VLOOKUP(B88,'Data yoy'!$A:$AW,MATCH($E$1,'Data yoy'!$A$1:$AW$1,),)=0,#N/A,VLOOKUP(B88,'Data yoy'!$A:$AW,MATCH($E$1,'Data yoy'!$A$1:$AW$1,),))</f>
        <v>1.557373178</v>
      </c>
      <c r="F88" s="25">
        <f>IF(VLOOKUP(B88,'Data yoy'!$A:$AW,MATCH($F$1,'Data yoy'!$A$1:$AW$1,),)=0,#N/A,VLOOKUP(B88,'Data yoy'!$A:$AW,MATCH($F$1,'Data yoy'!$A$1:$AW$1,),))</f>
        <v>4.7251063000000003E-2</v>
      </c>
      <c r="G88" s="25">
        <f>IF(VLOOKUP(B88,'Data yoy'!$A:$AW,MATCH($G$1,'Data yoy'!$A$1:$AW$1,),)=0,#N/A,VLOOKUP(B88,'Data yoy'!$A:$AW,MATCH($G$1,'Data yoy'!$A$1:$AW$1,),))</f>
        <v>0.51867434899999998</v>
      </c>
      <c r="H88" s="25">
        <f>IF(VLOOKUP(B88,'Data yoy'!$A:$AW,MATCH($H$1,'Data yoy'!$A$1:$AW$1,),)=0,#N/A,VLOOKUP(B88,'Data yoy'!$A:$AW,MATCH($H$1,'Data yoy'!$A$1:$AW$1,),))</f>
        <v>2.3253329969999998</v>
      </c>
      <c r="I88" s="25">
        <f>IF(VLOOKUP(B88,'Data yoy'!$A:$AW,MATCH($I$1,'Data yoy'!$A$1:$AW$1,),)=0,#N/A,VLOOKUP(B88,'Data yoy'!$A:$AW,MATCH($I$1,'Data yoy'!$A$1:$AW$1,),))</f>
        <v>1.752346376</v>
      </c>
      <c r="J88" s="25">
        <f>IF(VLOOKUP(B88,'Data yoy'!$A:$AW,MATCH($J$1,'Data yoy'!$A$1:$AW$1,),)=0,#N/A,VLOOKUP(B88,'Data yoy'!$A:$AW,MATCH($J$1,'Data yoy'!$A$1:$AW$1,),))</f>
        <v>0.63787265599999998</v>
      </c>
      <c r="K88" s="25">
        <f>IF(VLOOKUP(B88,'Data yoy'!$A:$AW,MATCH($K$1,'Data yoy'!$A$1:$AW$1,),)=0,#N/A,VLOOKUP(B88,'Data yoy'!$A:$AW,MATCH($K$1,'Data yoy'!$A$1:$AW$1,),))</f>
        <v>2.1767540780000001</v>
      </c>
      <c r="L88" s="25">
        <f>IF(VLOOKUP(B88,'Data yoy'!$A:$AW,MATCH($L$1,'Data yoy'!$A$1:$AW$1,),)=0,#N/A,VLOOKUP(B88,'Data yoy'!$A:$AW,MATCH($L$1,'Data yoy'!$A$1:$AW$1,),))</f>
        <v>1.7518975000000001</v>
      </c>
      <c r="M88" s="25">
        <f>IF(VLOOKUP(B88,'Data yoy'!$A:$AW,MATCH($M$1,'Data yoy'!$A$1:$AW$1,),)=0,#N/A,VLOOKUP(B88,'Data yoy'!$A:$AW,MATCH($M$1,'Data yoy'!$A$1:$AW$1,),))</f>
        <v>-0.136328739</v>
      </c>
      <c r="N88" s="25">
        <f>IF(VLOOKUP(B88,'Data yoy'!$A:$AW,MATCH($N$1,'Data yoy'!$A$1:$AW$1,),)=0,#N/A,VLOOKUP(B88,'Data yoy'!$A:$AW,MATCH($N$1,'Data yoy'!$A$1:$AW$1,),))</f>
        <v>3.1498777059999998</v>
      </c>
      <c r="O88" s="25">
        <f>IF(VLOOKUP(B88,'Data yoy'!$A:$AW,MATCH($O$1,'Data yoy'!$A$1:$AW$1,),)=0,#N/A,VLOOKUP(B88,'Data yoy'!$A:$AW,MATCH($O$1,'Data yoy'!$A$1:$AW$1,),))</f>
        <v>5.2645200000000001</v>
      </c>
      <c r="P88" s="25">
        <f>IF(VLOOKUP(B88,'Data yoy'!$A:$AW,MATCH($P$1,'Data yoy'!$A$1:$AW$1,),)=0,#N/A,VLOOKUP(B88,'Data yoy'!$A:$AW,MATCH($P$1,'Data yoy'!$A$1:$AW$1,),))</f>
        <v>2.1268048070000001</v>
      </c>
      <c r="Q88" s="25">
        <f>IF(VLOOKUP(B88,'Data yoy'!$A:$AW,MATCH($Q$1,'Data yoy'!$A$1:$AW$1,),)=0,#N/A,VLOOKUP(B88,'Data yoy'!$A:$AW,MATCH($Q$1,'Data yoy'!$A$1:$AW$1,),))</f>
        <v>1.6718926039999999</v>
      </c>
      <c r="R88" s="25">
        <f>IF(VLOOKUP(B88,'Data yoy'!$A:$AW,MATCH($R$1,'Data yoy'!$A$1:$AW$1,),)=0,#N/A,VLOOKUP(B88,'Data yoy'!$A:$AW,MATCH($R$1,'Data yoy'!$A$1:$AW$1,),))</f>
        <v>0.65844172000000001</v>
      </c>
      <c r="S88" s="25">
        <f>IF(VLOOKUP(B88,'Data yoy'!$A:$AW,MATCH($S$1,'Data yoy'!$A$1:$AW$1,),)=0,#N/A,VLOOKUP(B88,'Data yoy'!$A:$AW,MATCH($S$1,'Data yoy'!$A$1:$AW$1,),))</f>
        <v>2.3729841270000001</v>
      </c>
      <c r="T88" s="25">
        <f>IF(VLOOKUP(B88,'Data yoy'!$A:$AW,MATCH($T$1,'Data yoy'!$A$1:$AW$1,),)=0,#N/A,VLOOKUP(B88,'Data yoy'!$A:$AW,MATCH($T$1,'Data yoy'!$A$1:$AW$1,),))</f>
        <v>1.596902051</v>
      </c>
      <c r="U88" s="25">
        <f>IF(VLOOKUP(B88,'Data yoy'!$A:$AW,MATCH($U$1,'Data yoy'!$A$1:$AW$1,),)=0,#N/A,VLOOKUP(B88,'Data yoy'!$A:$AW,MATCH($U$1,'Data yoy'!$A$1:$AW$1,),))</f>
        <v>2.0203362939999998</v>
      </c>
      <c r="V88" s="25">
        <f>IF(VLOOKUP(B88,'Data yoy'!$A:$AW,MATCH($V$1,'Data yoy'!$A$1:$AW$1,),)=0,#N/A,VLOOKUP(B88,'Data yoy'!$A:$AW,MATCH($V$1,'Data yoy'!$A$1:$AW$1,),))</f>
        <v>4.5608757259999999</v>
      </c>
      <c r="W88" s="25">
        <f>IF(VLOOKUP(B88,'Data yoy'!$A:$AW,MATCH($W$1,'Data yoy'!$A$1:$AW$1,),)=0,#N/A,VLOOKUP(B88,'Data yoy'!$A:$AW,MATCH($W$1,'Data yoy'!$A$1:$AW$1,),))</f>
        <v>-0.51483434100000003</v>
      </c>
      <c r="X88" s="25">
        <f>IF(VLOOKUP(B88,'Data yoy'!$A:$AW,MATCH($X$1,'Data yoy'!$A$1:$AW$1,),)=0,#N/A,VLOOKUP(B88,'Data yoy'!$A:$AW,MATCH($X$1,'Data yoy'!$A$1:$AW$1,),))</f>
        <v>3.0195256069999998</v>
      </c>
      <c r="Y88" s="25">
        <f>IF(VLOOKUP(B88,'Data yoy'!$A:$AW,MATCH($Y$1,'Data yoy'!$A$1:$AW$1,),)=0,#N/A,VLOOKUP(B88,'Data yoy'!$A:$AW,MATCH($Y$1,'Data yoy'!$A$1:$AW$1,),))</f>
        <v>4.9040559420000003</v>
      </c>
      <c r="Z88" s="25">
        <f>IF(VLOOKUP(B88,'Data yoy'!$A:$AW,MATCH($Z$1,'Data yoy'!$A$1:$AW$1,),)=0,#N/A,VLOOKUP(B88,'Data yoy'!$A:$AW,MATCH($Z$1,'Data yoy'!$A$1:$AW$1,),))</f>
        <v>-0.86099997800000005</v>
      </c>
      <c r="AA88" s="25">
        <f>IF(VLOOKUP(B88,'Data yoy'!$A:$AW,MATCH($AA$1,'Data yoy'!$A$1:$AW$1,),)=0,#N/A,VLOOKUP(B88,'Data yoy'!$A:$AW,MATCH($AA$1,'Data yoy'!$A$1:$AW$1,),))</f>
        <v>2.61618284</v>
      </c>
      <c r="AC88" s="26" t="str">
        <f t="shared" si="13"/>
        <v>2019-Q2</v>
      </c>
      <c r="AD88" s="27">
        <f t="shared" si="14"/>
        <v>1.752346376</v>
      </c>
      <c r="AE88" s="27">
        <f t="shared" si="15"/>
        <v>1.557373178</v>
      </c>
      <c r="AF88" s="27">
        <f t="shared" si="16"/>
        <v>0.19497319800000001</v>
      </c>
    </row>
    <row r="89" spans="2:32" s="72" customFormat="1" x14ac:dyDescent="0.2">
      <c r="B89" s="24" t="s">
        <v>355</v>
      </c>
      <c r="C89" s="25">
        <f>IF(VLOOKUP(B89,'Data yoy'!$A:$AW,MATCH($C$1,'Data yoy'!$A$1:$AW$1,),)=0,#N/A,VLOOKUP(B89,'Data yoy'!$A:$AW,MATCH($C$1,'Data yoy'!$A$1:$AW$1,),))</f>
        <v>2.3183259980000002</v>
      </c>
      <c r="D89" s="25">
        <f>IF(VLOOKUP(B89,'Data yoy'!$A:$AW,MATCH($D$1,'Data yoy'!$A$1:$AW$1,),)=0,#N/A,VLOOKUP(B89,'Data yoy'!$A:$AW,MATCH($D$1,'Data yoy'!$A$1:$AW$1,),))</f>
        <v>5.9</v>
      </c>
      <c r="E89" s="25">
        <f>IF(VLOOKUP(B89,'Data yoy'!$A:$AW,MATCH($E$1,'Data yoy'!$A$1:$AW$1,),)=0,#N/A,VLOOKUP(B89,'Data yoy'!$A:$AW,MATCH($E$1,'Data yoy'!$A$1:$AW$1,),))</f>
        <v>1.7475186140000001</v>
      </c>
      <c r="F89" s="25">
        <f>IF(VLOOKUP(B89,'Data yoy'!$A:$AW,MATCH($F$1,'Data yoy'!$A$1:$AW$1,),)=0,#N/A,VLOOKUP(B89,'Data yoy'!$A:$AW,MATCH($F$1,'Data yoy'!$A$1:$AW$1,),))</f>
        <v>0.73296206600000002</v>
      </c>
      <c r="G89" s="25">
        <f>IF(VLOOKUP(B89,'Data yoy'!$A:$AW,MATCH($G$1,'Data yoy'!$A$1:$AW$1,),)=0,#N/A,VLOOKUP(B89,'Data yoy'!$A:$AW,MATCH($G$1,'Data yoy'!$A$1:$AW$1,),))</f>
        <v>1.359957007</v>
      </c>
      <c r="H89" s="25">
        <f>IF(VLOOKUP(B89,'Data yoy'!$A:$AW,MATCH($H$1,'Data yoy'!$A$1:$AW$1,),)=0,#N/A,VLOOKUP(B89,'Data yoy'!$A:$AW,MATCH($H$1,'Data yoy'!$A$1:$AW$1,),))</f>
        <v>1.994906769</v>
      </c>
      <c r="I89" s="25">
        <f>IF(VLOOKUP(B89,'Data yoy'!$A:$AW,MATCH($I$1,'Data yoy'!$A$1:$AW$1,),)=0,#N/A,VLOOKUP(B89,'Data yoy'!$A:$AW,MATCH($I$1,'Data yoy'!$A$1:$AW$1,),))</f>
        <v>1.5776679410000001</v>
      </c>
      <c r="J89" s="25">
        <f>IF(VLOOKUP(B89,'Data yoy'!$A:$AW,MATCH($J$1,'Data yoy'!$A$1:$AW$1,),)=0,#N/A,VLOOKUP(B89,'Data yoy'!$A:$AW,MATCH($J$1,'Data yoy'!$A$1:$AW$1,),))</f>
        <v>0.648966975</v>
      </c>
      <c r="K89" s="25">
        <f>IF(VLOOKUP(B89,'Data yoy'!$A:$AW,MATCH($K$1,'Data yoy'!$A$1:$AW$1,),)=0,#N/A,VLOOKUP(B89,'Data yoy'!$A:$AW,MATCH($K$1,'Data yoy'!$A$1:$AW$1,),))</f>
        <v>2.0358717460000002</v>
      </c>
      <c r="L89" s="25">
        <f>IF(VLOOKUP(B89,'Data yoy'!$A:$AW,MATCH($L$1,'Data yoy'!$A$1:$AW$1,),)=0,#N/A,VLOOKUP(B89,'Data yoy'!$A:$AW,MATCH($L$1,'Data yoy'!$A$1:$AW$1,),))</f>
        <v>2.612703325</v>
      </c>
      <c r="M89" s="25">
        <f>IF(VLOOKUP(B89,'Data yoy'!$A:$AW,MATCH($M$1,'Data yoy'!$A$1:$AW$1,),)=0,#N/A,VLOOKUP(B89,'Data yoy'!$A:$AW,MATCH($M$1,'Data yoy'!$A$1:$AW$1,),))</f>
        <v>-1.4643523E-2</v>
      </c>
      <c r="N89" s="25">
        <f>IF(VLOOKUP(B89,'Data yoy'!$A:$AW,MATCH($N$1,'Data yoy'!$A$1:$AW$1,),)=0,#N/A,VLOOKUP(B89,'Data yoy'!$A:$AW,MATCH($N$1,'Data yoy'!$A$1:$AW$1,),))</f>
        <v>1.894762912</v>
      </c>
      <c r="O89" s="25">
        <f>IF(VLOOKUP(B89,'Data yoy'!$A:$AW,MATCH($O$1,'Data yoy'!$A$1:$AW$1,),)=0,#N/A,VLOOKUP(B89,'Data yoy'!$A:$AW,MATCH($O$1,'Data yoy'!$A$1:$AW$1,),))</f>
        <v>4.7420600000000004</v>
      </c>
      <c r="P89" s="25">
        <f>IF(VLOOKUP(B89,'Data yoy'!$A:$AW,MATCH($P$1,'Data yoy'!$A$1:$AW$1,),)=0,#N/A,VLOOKUP(B89,'Data yoy'!$A:$AW,MATCH($P$1,'Data yoy'!$A$1:$AW$1,),))</f>
        <v>1.7581388549999999</v>
      </c>
      <c r="Q89" s="25">
        <f>IF(VLOOKUP(B89,'Data yoy'!$A:$AW,MATCH($Q$1,'Data yoy'!$A$1:$AW$1,),)=0,#N/A,VLOOKUP(B89,'Data yoy'!$A:$AW,MATCH($Q$1,'Data yoy'!$A$1:$AW$1,),))</f>
        <v>2.069036884</v>
      </c>
      <c r="R89" s="25">
        <f>IF(VLOOKUP(B89,'Data yoy'!$A:$AW,MATCH($R$1,'Data yoy'!$A$1:$AW$1,),)=0,#N/A,VLOOKUP(B89,'Data yoy'!$A:$AW,MATCH($R$1,'Data yoy'!$A$1:$AW$1,),))</f>
        <v>1.4311818670000001</v>
      </c>
      <c r="S89" s="25">
        <f>IF(VLOOKUP(B89,'Data yoy'!$A:$AW,MATCH($S$1,'Data yoy'!$A$1:$AW$1,),)=0,#N/A,VLOOKUP(B89,'Data yoy'!$A:$AW,MATCH($S$1,'Data yoy'!$A$1:$AW$1,),))</f>
        <v>2.0850006209999998</v>
      </c>
      <c r="T89" s="25">
        <f>IF(VLOOKUP(B89,'Data yoy'!$A:$AW,MATCH($T$1,'Data yoy'!$A$1:$AW$1,),)=0,#N/A,VLOOKUP(B89,'Data yoy'!$A:$AW,MATCH($T$1,'Data yoy'!$A$1:$AW$1,),))</f>
        <v>0.69759932199999997</v>
      </c>
      <c r="U89" s="25">
        <f>IF(VLOOKUP(B89,'Data yoy'!$A:$AW,MATCH($U$1,'Data yoy'!$A$1:$AW$1,),)=0,#N/A,VLOOKUP(B89,'Data yoy'!$A:$AW,MATCH($U$1,'Data yoy'!$A$1:$AW$1,),))</f>
        <v>2.2728421839999999</v>
      </c>
      <c r="V89" s="25">
        <f>IF(VLOOKUP(B89,'Data yoy'!$A:$AW,MATCH($V$1,'Data yoy'!$A$1:$AW$1,),)=0,#N/A,VLOOKUP(B89,'Data yoy'!$A:$AW,MATCH($V$1,'Data yoy'!$A$1:$AW$1,),))</f>
        <v>5.3960046090000002</v>
      </c>
      <c r="W89" s="25">
        <f>IF(VLOOKUP(B89,'Data yoy'!$A:$AW,MATCH($W$1,'Data yoy'!$A$1:$AW$1,),)=0,#N/A,VLOOKUP(B89,'Data yoy'!$A:$AW,MATCH($W$1,'Data yoy'!$A$1:$AW$1,),))</f>
        <v>1.1442792260000001</v>
      </c>
      <c r="X89" s="25">
        <f>IF(VLOOKUP(B89,'Data yoy'!$A:$AW,MATCH($X$1,'Data yoy'!$A$1:$AW$1,),)=0,#N/A,VLOOKUP(B89,'Data yoy'!$A:$AW,MATCH($X$1,'Data yoy'!$A$1:$AW$1,),))</f>
        <v>2.9550639950000002</v>
      </c>
      <c r="Y89" s="25">
        <f>IF(VLOOKUP(B89,'Data yoy'!$A:$AW,MATCH($Y$1,'Data yoy'!$A$1:$AW$1,),)=0,#N/A,VLOOKUP(B89,'Data yoy'!$A:$AW,MATCH($Y$1,'Data yoy'!$A$1:$AW$1,),))</f>
        <v>4.5636647720000001</v>
      </c>
      <c r="Z89" s="25">
        <f>IF(VLOOKUP(B89,'Data yoy'!$A:$AW,MATCH($Z$1,'Data yoy'!$A$1:$AW$1,),)=0,#N/A,VLOOKUP(B89,'Data yoy'!$A:$AW,MATCH($Z$1,'Data yoy'!$A$1:$AW$1,),))</f>
        <v>-0.36717946099999998</v>
      </c>
      <c r="AA89" s="25">
        <f>IF(VLOOKUP(B89,'Data yoy'!$A:$AW,MATCH($AA$1,'Data yoy'!$A$1:$AW$1,),)=0,#N/A,VLOOKUP(B89,'Data yoy'!$A:$AW,MATCH($AA$1,'Data yoy'!$A$1:$AW$1,),))</f>
        <v>3.2245333619999998</v>
      </c>
      <c r="AC89" s="26" t="str">
        <f t="shared" si="13"/>
        <v>2019-Q3</v>
      </c>
      <c r="AD89" s="27">
        <f t="shared" si="14"/>
        <v>1.5776679410000001</v>
      </c>
      <c r="AE89" s="27">
        <f t="shared" si="15"/>
        <v>1.7475186140000001</v>
      </c>
      <c r="AF89" s="27">
        <f t="shared" si="16"/>
        <v>-0.16985067300000001</v>
      </c>
    </row>
    <row r="90" spans="2:32" s="72" customFormat="1" x14ac:dyDescent="0.2">
      <c r="B90" s="24" t="s">
        <v>356</v>
      </c>
      <c r="C90" s="25">
        <f>IF(VLOOKUP(B90,'Data yoy'!$A:$AW,MATCH($C$1,'Data yoy'!$A$1:$AW$1,),)=0,#N/A,VLOOKUP(B90,'Data yoy'!$A:$AW,MATCH($C$1,'Data yoy'!$A$1:$AW$1,),))</f>
        <v>2.5694235349999999</v>
      </c>
      <c r="D90" s="25">
        <f>IF(VLOOKUP(B90,'Data yoy'!$A:$AW,MATCH($D$1,'Data yoy'!$A$1:$AW$1,),)=0,#N/A,VLOOKUP(B90,'Data yoy'!$A:$AW,MATCH($D$1,'Data yoy'!$A$1:$AW$1,),))</f>
        <v>5.8</v>
      </c>
      <c r="E90" s="25">
        <f>IF(VLOOKUP(B90,'Data yoy'!$A:$AW,MATCH($E$1,'Data yoy'!$A$1:$AW$1,),)=0,#N/A,VLOOKUP(B90,'Data yoy'!$A:$AW,MATCH($E$1,'Data yoy'!$A$1:$AW$1,),))</f>
        <v>1.1533989920000001</v>
      </c>
      <c r="F90" s="25">
        <f>IF(VLOOKUP(B90,'Data yoy'!$A:$AW,MATCH($F$1,'Data yoy'!$A$1:$AW$1,),)=0,#N/A,VLOOKUP(B90,'Data yoy'!$A:$AW,MATCH($F$1,'Data yoy'!$A$1:$AW$1,),))</f>
        <v>-1.692733636</v>
      </c>
      <c r="G90" s="25">
        <f>IF(VLOOKUP(B90,'Data yoy'!$A:$AW,MATCH($G$1,'Data yoy'!$A$1:$AW$1,),)=0,#N/A,VLOOKUP(B90,'Data yoy'!$A:$AW,MATCH($G$1,'Data yoy'!$A$1:$AW$1,),))</f>
        <v>0.89453405200000002</v>
      </c>
      <c r="H90" s="25">
        <f>IF(VLOOKUP(B90,'Data yoy'!$A:$AW,MATCH($H$1,'Data yoy'!$A$1:$AW$1,),)=0,#N/A,VLOOKUP(B90,'Data yoy'!$A:$AW,MATCH($H$1,'Data yoy'!$A$1:$AW$1,),))</f>
        <v>0.91192093799999996</v>
      </c>
      <c r="I90" s="25">
        <f>IF(VLOOKUP(B90,'Data yoy'!$A:$AW,MATCH($I$1,'Data yoy'!$A$1:$AW$1,),)=0,#N/A,VLOOKUP(B90,'Data yoy'!$A:$AW,MATCH($I$1,'Data yoy'!$A$1:$AW$1,),))</f>
        <v>1.1927699620000001</v>
      </c>
      <c r="J90" s="25">
        <f>IF(VLOOKUP(B90,'Data yoy'!$A:$AW,MATCH($J$1,'Data yoy'!$A$1:$AW$1,),)=0,#N/A,VLOOKUP(B90,'Data yoy'!$A:$AW,MATCH($J$1,'Data yoy'!$A$1:$AW$1,),))</f>
        <v>-0.114848464</v>
      </c>
      <c r="K90" s="25">
        <f>IF(VLOOKUP(B90,'Data yoy'!$A:$AW,MATCH($K$1,'Data yoy'!$A$1:$AW$1,),)=0,#N/A,VLOOKUP(B90,'Data yoy'!$A:$AW,MATCH($K$1,'Data yoy'!$A$1:$AW$1,),))</f>
        <v>1.7334300490000001</v>
      </c>
      <c r="L90" s="25">
        <f>IF(VLOOKUP(B90,'Data yoy'!$A:$AW,MATCH($L$1,'Data yoy'!$A$1:$AW$1,),)=0,#N/A,VLOOKUP(B90,'Data yoy'!$A:$AW,MATCH($L$1,'Data yoy'!$A$1:$AW$1,),))</f>
        <v>1.3834936200000001</v>
      </c>
      <c r="M90" s="25">
        <f>IF(VLOOKUP(B90,'Data yoy'!$A:$AW,MATCH($M$1,'Data yoy'!$A$1:$AW$1,),)=0,#N/A,VLOOKUP(B90,'Data yoy'!$A:$AW,MATCH($M$1,'Data yoy'!$A$1:$AW$1,),))</f>
        <v>-0.80265828900000002</v>
      </c>
      <c r="N90" s="25">
        <f>IF(VLOOKUP(B90,'Data yoy'!$A:$AW,MATCH($N$1,'Data yoy'!$A$1:$AW$1,),)=0,#N/A,VLOOKUP(B90,'Data yoy'!$A:$AW,MATCH($N$1,'Data yoy'!$A$1:$AW$1,),))</f>
        <v>0.76465798799999996</v>
      </c>
      <c r="O90" s="25">
        <f>IF(VLOOKUP(B90,'Data yoy'!$A:$AW,MATCH($O$1,'Data yoy'!$A$1:$AW$1,),)=0,#N/A,VLOOKUP(B90,'Data yoy'!$A:$AW,MATCH($O$1,'Data yoy'!$A$1:$AW$1,),))</f>
        <v>3.5724800000000001</v>
      </c>
      <c r="P90" s="25">
        <f>IF(VLOOKUP(B90,'Data yoy'!$A:$AW,MATCH($P$1,'Data yoy'!$A$1:$AW$1,),)=0,#N/A,VLOOKUP(B90,'Data yoy'!$A:$AW,MATCH($P$1,'Data yoy'!$A$1:$AW$1,),))</f>
        <v>1.717385462</v>
      </c>
      <c r="Q90" s="25">
        <f>IF(VLOOKUP(B90,'Data yoy'!$A:$AW,MATCH($Q$1,'Data yoy'!$A$1:$AW$1,),)=0,#N/A,VLOOKUP(B90,'Data yoy'!$A:$AW,MATCH($Q$1,'Data yoy'!$A$1:$AW$1,),))</f>
        <v>2.3284276479999999</v>
      </c>
      <c r="R90" s="25">
        <f>IF(VLOOKUP(B90,'Data yoy'!$A:$AW,MATCH($R$1,'Data yoy'!$A$1:$AW$1,),)=0,#N/A,VLOOKUP(B90,'Data yoy'!$A:$AW,MATCH($R$1,'Data yoy'!$A$1:$AW$1,),))</f>
        <v>1.6861324369999999</v>
      </c>
      <c r="S90" s="25">
        <f>IF(VLOOKUP(B90,'Data yoy'!$A:$AW,MATCH($S$1,'Data yoy'!$A$1:$AW$1,),)=0,#N/A,VLOOKUP(B90,'Data yoy'!$A:$AW,MATCH($S$1,'Data yoy'!$A$1:$AW$1,),))</f>
        <v>2.557298587</v>
      </c>
      <c r="T90" s="25">
        <f>IF(VLOOKUP(B90,'Data yoy'!$A:$AW,MATCH($T$1,'Data yoy'!$A$1:$AW$1,),)=0,#N/A,VLOOKUP(B90,'Data yoy'!$A:$AW,MATCH($T$1,'Data yoy'!$A$1:$AW$1,),))</f>
        <v>1.400804092</v>
      </c>
      <c r="U90" s="25">
        <f>IF(VLOOKUP(B90,'Data yoy'!$A:$AW,MATCH($U$1,'Data yoy'!$A$1:$AW$1,),)=0,#N/A,VLOOKUP(B90,'Data yoy'!$A:$AW,MATCH($U$1,'Data yoy'!$A$1:$AW$1,),))</f>
        <v>1.429794703</v>
      </c>
      <c r="V90" s="25">
        <f>IF(VLOOKUP(B90,'Data yoy'!$A:$AW,MATCH($V$1,'Data yoy'!$A$1:$AW$1,),)=0,#N/A,VLOOKUP(B90,'Data yoy'!$A:$AW,MATCH($V$1,'Data yoy'!$A$1:$AW$1,),))</f>
        <v>5.2800290250000002</v>
      </c>
      <c r="W90" s="25">
        <f>IF(VLOOKUP(B90,'Data yoy'!$A:$AW,MATCH($W$1,'Data yoy'!$A$1:$AW$1,),)=0,#N/A,VLOOKUP(B90,'Data yoy'!$A:$AW,MATCH($W$1,'Data yoy'!$A$1:$AW$1,),))</f>
        <v>5.6839073600000001</v>
      </c>
      <c r="X90" s="25">
        <f>IF(VLOOKUP(B90,'Data yoy'!$A:$AW,MATCH($X$1,'Data yoy'!$A$1:$AW$1,),)=0,#N/A,VLOOKUP(B90,'Data yoy'!$A:$AW,MATCH($X$1,'Data yoy'!$A$1:$AW$1,),))</f>
        <v>2.8846397640000001</v>
      </c>
      <c r="Y90" s="25">
        <f>IF(VLOOKUP(B90,'Data yoy'!$A:$AW,MATCH($Y$1,'Data yoy'!$A$1:$AW$1,),)=0,#N/A,VLOOKUP(B90,'Data yoy'!$A:$AW,MATCH($Y$1,'Data yoy'!$A$1:$AW$1,),))</f>
        <v>4.0349637530000004</v>
      </c>
      <c r="Z90" s="25">
        <f>IF(VLOOKUP(B90,'Data yoy'!$A:$AW,MATCH($Z$1,'Data yoy'!$A$1:$AW$1,),)=0,#N/A,VLOOKUP(B90,'Data yoy'!$A:$AW,MATCH($Z$1,'Data yoy'!$A$1:$AW$1,),))</f>
        <v>-0.64780648399999996</v>
      </c>
      <c r="AA90" s="25">
        <f>IF(VLOOKUP(B90,'Data yoy'!$A:$AW,MATCH($AA$1,'Data yoy'!$A$1:$AW$1,),)=0,#N/A,VLOOKUP(B90,'Data yoy'!$A:$AW,MATCH($AA$1,'Data yoy'!$A$1:$AW$1,),))</f>
        <v>2.316258822</v>
      </c>
      <c r="AC90" s="26" t="str">
        <f t="shared" si="13"/>
        <v>2019-Q4</v>
      </c>
      <c r="AD90" s="27">
        <f t="shared" si="14"/>
        <v>1.1927699620000001</v>
      </c>
      <c r="AE90" s="27">
        <f t="shared" si="15"/>
        <v>1.1533989920000001</v>
      </c>
      <c r="AF90" s="27">
        <f t="shared" si="16"/>
        <v>3.9370970000000005E-2</v>
      </c>
    </row>
    <row r="91" spans="2:32" s="72" customFormat="1" x14ac:dyDescent="0.2">
      <c r="B91" s="24" t="s">
        <v>357</v>
      </c>
      <c r="C91" s="25">
        <f>IF(VLOOKUP(B91,'Data yoy'!$A:$AW,MATCH($C$1,'Data yoy'!$A$1:$AW$1,),)=0,#N/A,VLOOKUP(B91,'Data yoy'!$A:$AW,MATCH($C$1,'Data yoy'!$A$1:$AW$1,),))</f>
        <v>0.63078516399999995</v>
      </c>
      <c r="D91" s="25">
        <f>IF(VLOOKUP(B91,'Data yoy'!$A:$AW,MATCH($D$1,'Data yoy'!$A$1:$AW$1,),)=0,#N/A,VLOOKUP(B91,'Data yoy'!$A:$AW,MATCH($D$1,'Data yoy'!$A$1:$AW$1,),))</f>
        <v>-6.8</v>
      </c>
      <c r="E91" s="25">
        <f>IF(VLOOKUP(B91,'Data yoy'!$A:$AW,MATCH($E$1,'Data yoy'!$A$1:$AW$1,),)=0,#N/A,VLOOKUP(B91,'Data yoy'!$A:$AW,MATCH($E$1,'Data yoy'!$A$1:$AW$1,),))</f>
        <v>-3.0542314570000002</v>
      </c>
      <c r="F91" s="25">
        <f>IF(VLOOKUP(B91,'Data yoy'!$A:$AW,MATCH($F$1,'Data yoy'!$A$1:$AW$1,),)=0,#N/A,VLOOKUP(B91,'Data yoy'!$A:$AW,MATCH($F$1,'Data yoy'!$A$1:$AW$1,),))</f>
        <v>-1.7803698139999999</v>
      </c>
      <c r="G91" s="25">
        <f>IF(VLOOKUP(B91,'Data yoy'!$A:$AW,MATCH($G$1,'Data yoy'!$A$1:$AW$1,),)=0,#N/A,VLOOKUP(B91,'Data yoy'!$A:$AW,MATCH($G$1,'Data yoy'!$A$1:$AW$1,),))</f>
        <v>-1.919182065</v>
      </c>
      <c r="H91" s="25">
        <f>IF(VLOOKUP(B91,'Data yoy'!$A:$AW,MATCH($H$1,'Data yoy'!$A$1:$AW$1,),)=0,#N/A,VLOOKUP(B91,'Data yoy'!$A:$AW,MATCH($H$1,'Data yoy'!$A$1:$AW$1,),))</f>
        <v>-5.423366004</v>
      </c>
      <c r="I91" s="25">
        <f>IF(VLOOKUP(B91,'Data yoy'!$A:$AW,MATCH($I$1,'Data yoy'!$A$1:$AW$1,),)=0,#N/A,VLOOKUP(B91,'Data yoy'!$A:$AW,MATCH($I$1,'Data yoy'!$A$1:$AW$1,),))</f>
        <v>-2.104502761</v>
      </c>
      <c r="J91" s="25">
        <f>IF(VLOOKUP(B91,'Data yoy'!$A:$AW,MATCH($J$1,'Data yoy'!$A$1:$AW$1,),)=0,#N/A,VLOOKUP(B91,'Data yoy'!$A:$AW,MATCH($J$1,'Data yoy'!$A$1:$AW$1,),))</f>
        <v>-5.8669276300000002</v>
      </c>
      <c r="K91" s="25">
        <f>IF(VLOOKUP(B91,'Data yoy'!$A:$AW,MATCH($K$1,'Data yoy'!$A$1:$AW$1,),)=0,#N/A,VLOOKUP(B91,'Data yoy'!$A:$AW,MATCH($K$1,'Data yoy'!$A$1:$AW$1,),))</f>
        <v>-4.3265407890000001</v>
      </c>
      <c r="L91" s="25">
        <f>IF(VLOOKUP(B91,'Data yoy'!$A:$AW,MATCH($L$1,'Data yoy'!$A$1:$AW$1,),)=0,#N/A,VLOOKUP(B91,'Data yoy'!$A:$AW,MATCH($L$1,'Data yoy'!$A$1:$AW$1,),))</f>
        <v>2.6420368E-2</v>
      </c>
      <c r="M91" s="25">
        <f>IF(VLOOKUP(B91,'Data yoy'!$A:$AW,MATCH($M$1,'Data yoy'!$A$1:$AW$1,),)=0,#N/A,VLOOKUP(B91,'Data yoy'!$A:$AW,MATCH($M$1,'Data yoy'!$A$1:$AW$1,),))</f>
        <v>-1.6856879339999999</v>
      </c>
      <c r="N91" s="25">
        <f>IF(VLOOKUP(B91,'Data yoy'!$A:$AW,MATCH($N$1,'Data yoy'!$A$1:$AW$1,),)=0,#N/A,VLOOKUP(B91,'Data yoy'!$A:$AW,MATCH($N$1,'Data yoy'!$A$1:$AW$1,),))</f>
        <v>0.60514174399999998</v>
      </c>
      <c r="O91" s="25">
        <f>IF(VLOOKUP(B91,'Data yoy'!$A:$AW,MATCH($O$1,'Data yoy'!$A$1:$AW$1,),)=0,#N/A,VLOOKUP(B91,'Data yoy'!$A:$AW,MATCH($O$1,'Data yoy'!$A$1:$AW$1,),))</f>
        <v>2.6487599999999998</v>
      </c>
      <c r="P91" s="25">
        <f>IF(VLOOKUP(B91,'Data yoy'!$A:$AW,MATCH($P$1,'Data yoy'!$A$1:$AW$1,),)=0,#N/A,VLOOKUP(B91,'Data yoy'!$A:$AW,MATCH($P$1,'Data yoy'!$A$1:$AW$1,),))</f>
        <v>-0.567093183</v>
      </c>
      <c r="Q91" s="25">
        <f>IF(VLOOKUP(B91,'Data yoy'!$A:$AW,MATCH($Q$1,'Data yoy'!$A$1:$AW$1,),)=0,#N/A,VLOOKUP(B91,'Data yoy'!$A:$AW,MATCH($Q$1,'Data yoy'!$A$1:$AW$1,),))</f>
        <v>1.6038129910000001</v>
      </c>
      <c r="R91" s="25">
        <f>IF(VLOOKUP(B91,'Data yoy'!$A:$AW,MATCH($R$1,'Data yoy'!$A$1:$AW$1,),)=0,#N/A,VLOOKUP(B91,'Data yoy'!$A:$AW,MATCH($R$1,'Data yoy'!$A$1:$AW$1,),))</f>
        <v>-0.165913384</v>
      </c>
      <c r="S91" s="25">
        <f>IF(VLOOKUP(B91,'Data yoy'!$A:$AW,MATCH($S$1,'Data yoy'!$A$1:$AW$1,),)=0,#N/A,VLOOKUP(B91,'Data yoy'!$A:$AW,MATCH($S$1,'Data yoy'!$A$1:$AW$1,),))</f>
        <v>1.4661467210000001</v>
      </c>
      <c r="T91" s="25">
        <f>IF(VLOOKUP(B91,'Data yoy'!$A:$AW,MATCH($T$1,'Data yoy'!$A$1:$AW$1,),)=0,#N/A,VLOOKUP(B91,'Data yoy'!$A:$AW,MATCH($T$1,'Data yoy'!$A$1:$AW$1,),))</f>
        <v>-1.3891829419999999</v>
      </c>
      <c r="U91" s="25">
        <f>IF(VLOOKUP(B91,'Data yoy'!$A:$AW,MATCH($U$1,'Data yoy'!$A$1:$AW$1,),)=0,#N/A,VLOOKUP(B91,'Data yoy'!$A:$AW,MATCH($U$1,'Data yoy'!$A$1:$AW$1,),))</f>
        <v>-1.0319819429999999</v>
      </c>
      <c r="V91" s="25">
        <f>IF(VLOOKUP(B91,'Data yoy'!$A:$AW,MATCH($V$1,'Data yoy'!$A$1:$AW$1,),)=0,#N/A,VLOOKUP(B91,'Data yoy'!$A:$AW,MATCH($V$1,'Data yoy'!$A$1:$AW$1,),))</f>
        <v>6.7979673869999999</v>
      </c>
      <c r="W91" s="25">
        <f>IF(VLOOKUP(B91,'Data yoy'!$A:$AW,MATCH($W$1,'Data yoy'!$A$1:$AW$1,),)=0,#N/A,VLOOKUP(B91,'Data yoy'!$A:$AW,MATCH($W$1,'Data yoy'!$A$1:$AW$1,),))</f>
        <v>4.2929284550000002</v>
      </c>
      <c r="X91" s="25">
        <f>IF(VLOOKUP(B91,'Data yoy'!$A:$AW,MATCH($X$1,'Data yoy'!$A$1:$AW$1,),)=0,#N/A,VLOOKUP(B91,'Data yoy'!$A:$AW,MATCH($X$1,'Data yoy'!$A$1:$AW$1,),))</f>
        <v>-1.462598866</v>
      </c>
      <c r="Y91" s="25">
        <f>IF(VLOOKUP(B91,'Data yoy'!$A:$AW,MATCH($Y$1,'Data yoy'!$A$1:$AW$1,),)=0,#N/A,VLOOKUP(B91,'Data yoy'!$A:$AW,MATCH($Y$1,'Data yoy'!$A$1:$AW$1,),))</f>
        <v>2.2216601890000001</v>
      </c>
      <c r="Z91" s="25">
        <f>IF(VLOOKUP(B91,'Data yoy'!$A:$AW,MATCH($Z$1,'Data yoy'!$A$1:$AW$1,),)=0,#N/A,VLOOKUP(B91,'Data yoy'!$A:$AW,MATCH($Z$1,'Data yoy'!$A$1:$AW$1,),))</f>
        <v>-4.7973049879999996</v>
      </c>
      <c r="AA91" s="25">
        <f>IF(VLOOKUP(B91,'Data yoy'!$A:$AW,MATCH($AA$1,'Data yoy'!$A$1:$AW$1,),)=0,#N/A,VLOOKUP(B91,'Data yoy'!$A:$AW,MATCH($AA$1,'Data yoy'!$A$1:$AW$1,),))</f>
        <v>0.62261742200000003</v>
      </c>
      <c r="AC91" s="26" t="str">
        <f t="shared" si="13"/>
        <v>2020-Q1</v>
      </c>
      <c r="AD91" s="27">
        <f t="shared" si="14"/>
        <v>-2.104502761</v>
      </c>
      <c r="AE91" s="27">
        <f t="shared" si="15"/>
        <v>-3.0542314570000002</v>
      </c>
      <c r="AF91" s="27">
        <f t="shared" si="16"/>
        <v>0.94972869600000021</v>
      </c>
    </row>
    <row r="92" spans="2:32" s="72" customFormat="1" x14ac:dyDescent="0.2">
      <c r="B92" s="24" t="s">
        <v>358</v>
      </c>
      <c r="C92" s="25">
        <f>IF(VLOOKUP(B92,'Data yoy'!$A:$AW,MATCH($C$1,'Data yoy'!$A$1:$AW$1,),)=0,#N/A,VLOOKUP(B92,'Data yoy'!$A:$AW,MATCH($C$1,'Data yoy'!$A$1:$AW$1,),))</f>
        <v>-9.0837374240000006</v>
      </c>
      <c r="D92" s="25">
        <f>IF(VLOOKUP(B92,'Data yoy'!$A:$AW,MATCH($D$1,'Data yoy'!$A$1:$AW$1,),)=0,#N/A,VLOOKUP(B92,'Data yoy'!$A:$AW,MATCH($D$1,'Data yoy'!$A$1:$AW$1,),))</f>
        <v>3.2</v>
      </c>
      <c r="E92" s="25">
        <f>IF(VLOOKUP(B92,'Data yoy'!$A:$AW,MATCH($E$1,'Data yoy'!$A$1:$AW$1,),)=0,#N/A,VLOOKUP(B92,'Data yoy'!$A:$AW,MATCH($E$1,'Data yoy'!$A$1:$AW$1,),))</f>
        <v>-14.538802132000001</v>
      </c>
      <c r="F92" s="25">
        <f>IF(VLOOKUP(B92,'Data yoy'!$A:$AW,MATCH($F$1,'Data yoy'!$A$1:$AW$1,),)=0,#N/A,VLOOKUP(B92,'Data yoy'!$A:$AW,MATCH($F$1,'Data yoy'!$A$1:$AW$1,),))</f>
        <v>-10.075101245000001</v>
      </c>
      <c r="G92" s="25">
        <f>IF(VLOOKUP(B92,'Data yoy'!$A:$AW,MATCH($G$1,'Data yoy'!$A$1:$AW$1,),)=0,#N/A,VLOOKUP(B92,'Data yoy'!$A:$AW,MATCH($G$1,'Data yoy'!$A$1:$AW$1,),))</f>
        <v>-11.286579908</v>
      </c>
      <c r="H92" s="25">
        <f>IF(VLOOKUP(B92,'Data yoy'!$A:$AW,MATCH($H$1,'Data yoy'!$A$1:$AW$1,),)=0,#N/A,VLOOKUP(B92,'Data yoy'!$A:$AW,MATCH($H$1,'Data yoy'!$A$1:$AW$1,),))</f>
        <v>-18.609605720000001</v>
      </c>
      <c r="I92" s="25">
        <f>IF(VLOOKUP(B92,'Data yoy'!$A:$AW,MATCH($I$1,'Data yoy'!$A$1:$AW$1,),)=0,#N/A,VLOOKUP(B92,'Data yoy'!$A:$AW,MATCH($I$1,'Data yoy'!$A$1:$AW$1,),))</f>
        <v>-21.249193732999998</v>
      </c>
      <c r="J92" s="25">
        <f>IF(VLOOKUP(B92,'Data yoy'!$A:$AW,MATCH($J$1,'Data yoy'!$A$1:$AW$1,),)=0,#N/A,VLOOKUP(B92,'Data yoy'!$A:$AW,MATCH($J$1,'Data yoy'!$A$1:$AW$1,),))</f>
        <v>-18.130104282000001</v>
      </c>
      <c r="K92" s="25">
        <f>IF(VLOOKUP(B92,'Data yoy'!$A:$AW,MATCH($K$1,'Data yoy'!$A$1:$AW$1,),)=0,#N/A,VLOOKUP(B92,'Data yoy'!$A:$AW,MATCH($K$1,'Data yoy'!$A$1:$AW$1,),))</f>
        <v>-21.501874910000002</v>
      </c>
      <c r="L92" s="25">
        <f>IF(VLOOKUP(B92,'Data yoy'!$A:$AW,MATCH($L$1,'Data yoy'!$A$1:$AW$1,),)=0,#N/A,VLOOKUP(B92,'Data yoy'!$A:$AW,MATCH($L$1,'Data yoy'!$A$1:$AW$1,),))</f>
        <v>-8.2894206639999997</v>
      </c>
      <c r="M92" s="25">
        <f>IF(VLOOKUP(B92,'Data yoy'!$A:$AW,MATCH($M$1,'Data yoy'!$A$1:$AW$1,),)=0,#N/A,VLOOKUP(B92,'Data yoy'!$A:$AW,MATCH($M$1,'Data yoy'!$A$1:$AW$1,),))</f>
        <v>-18.901418013000001</v>
      </c>
      <c r="N92" s="25">
        <f>IF(VLOOKUP(B92,'Data yoy'!$A:$AW,MATCH($N$1,'Data yoy'!$A$1:$AW$1,),)=0,#N/A,VLOOKUP(B92,'Data yoy'!$A:$AW,MATCH($N$1,'Data yoy'!$A$1:$AW$1,),))</f>
        <v>-6.0322870870000003</v>
      </c>
      <c r="O92" s="25">
        <f>IF(VLOOKUP(B92,'Data yoy'!$A:$AW,MATCH($O$1,'Data yoy'!$A$1:$AW$1,),)=0,#N/A,VLOOKUP(B92,'Data yoy'!$A:$AW,MATCH($O$1,'Data yoy'!$A$1:$AW$1,),))</f>
        <v>-24.1861</v>
      </c>
      <c r="P92" s="25">
        <f>IF(VLOOKUP(B92,'Data yoy'!$A:$AW,MATCH($P$1,'Data yoy'!$A$1:$AW$1,),)=0,#N/A,VLOOKUP(B92,'Data yoy'!$A:$AW,MATCH($P$1,'Data yoy'!$A$1:$AW$1,),))</f>
        <v>-12.414749165</v>
      </c>
      <c r="Q92" s="25">
        <f>IF(VLOOKUP(B92,'Data yoy'!$A:$AW,MATCH($Q$1,'Data yoy'!$A$1:$AW$1,),)=0,#N/A,VLOOKUP(B92,'Data yoy'!$A:$AW,MATCH($Q$1,'Data yoy'!$A$1:$AW$1,),))</f>
        <v>-5.954186848</v>
      </c>
      <c r="R92" s="25">
        <f>IF(VLOOKUP(B92,'Data yoy'!$A:$AW,MATCH($R$1,'Data yoy'!$A$1:$AW$1,),)=0,#N/A,VLOOKUP(B92,'Data yoy'!$A:$AW,MATCH($R$1,'Data yoy'!$A$1:$AW$1,),))</f>
        <v>-6.6813179160000002</v>
      </c>
      <c r="S92" s="25">
        <f>IF(VLOOKUP(B92,'Data yoy'!$A:$AW,MATCH($S$1,'Data yoy'!$A$1:$AW$1,),)=0,#N/A,VLOOKUP(B92,'Data yoy'!$A:$AW,MATCH($S$1,'Data yoy'!$A$1:$AW$1,),))</f>
        <v>-2.7480632460000001</v>
      </c>
      <c r="T92" s="25">
        <f>IF(VLOOKUP(B92,'Data yoy'!$A:$AW,MATCH($T$1,'Data yoy'!$A$1:$AW$1,),)=0,#N/A,VLOOKUP(B92,'Data yoy'!$A:$AW,MATCH($T$1,'Data yoy'!$A$1:$AW$1,),))</f>
        <v>-10.64085773</v>
      </c>
      <c r="U92" s="25">
        <f>IF(VLOOKUP(B92,'Data yoy'!$A:$AW,MATCH($U$1,'Data yoy'!$A$1:$AW$1,),)=0,#N/A,VLOOKUP(B92,'Data yoy'!$A:$AW,MATCH($U$1,'Data yoy'!$A$1:$AW$1,),))</f>
        <v>-15.684314666000001</v>
      </c>
      <c r="V92" s="25">
        <f>IF(VLOOKUP(B92,'Data yoy'!$A:$AW,MATCH($V$1,'Data yoy'!$A$1:$AW$1,),)=0,#N/A,VLOOKUP(B92,'Data yoy'!$A:$AW,MATCH($V$1,'Data yoy'!$A$1:$AW$1,),))</f>
        <v>1.0125173649999999</v>
      </c>
      <c r="W92" s="25">
        <f>IF(VLOOKUP(B92,'Data yoy'!$A:$AW,MATCH($W$1,'Data yoy'!$A$1:$AW$1,),)=0,#N/A,VLOOKUP(B92,'Data yoy'!$A:$AW,MATCH($W$1,'Data yoy'!$A$1:$AW$1,),))</f>
        <v>-9.1025785149999994</v>
      </c>
      <c r="X92" s="25">
        <f>IF(VLOOKUP(B92,'Data yoy'!$A:$AW,MATCH($X$1,'Data yoy'!$A$1:$AW$1,),)=0,#N/A,VLOOKUP(B92,'Data yoy'!$A:$AW,MATCH($X$1,'Data yoy'!$A$1:$AW$1,),))</f>
        <v>-10.942126828999999</v>
      </c>
      <c r="Y92" s="25">
        <f>IF(VLOOKUP(B92,'Data yoy'!$A:$AW,MATCH($Y$1,'Data yoy'!$A$1:$AW$1,),)=0,#N/A,VLOOKUP(B92,'Data yoy'!$A:$AW,MATCH($Y$1,'Data yoy'!$A$1:$AW$1,),))</f>
        <v>-7.8260079080000002</v>
      </c>
      <c r="Z92" s="25">
        <f>IF(VLOOKUP(B92,'Data yoy'!$A:$AW,MATCH($Z$1,'Data yoy'!$A$1:$AW$1,),)=0,#N/A,VLOOKUP(B92,'Data yoy'!$A:$AW,MATCH($Z$1,'Data yoy'!$A$1:$AW$1,),))</f>
        <v>-19.717883762</v>
      </c>
      <c r="AA92" s="25">
        <f>IF(VLOOKUP(B92,'Data yoy'!$A:$AW,MATCH($AA$1,'Data yoy'!$A$1:$AW$1,),)=0,#N/A,VLOOKUP(B92,'Data yoy'!$A:$AW,MATCH($AA$1,'Data yoy'!$A$1:$AW$1,),))</f>
        <v>-10.205358252</v>
      </c>
      <c r="AC92" s="26" t="str">
        <f t="shared" si="13"/>
        <v>2020-Q2</v>
      </c>
      <c r="AD92" s="27">
        <f t="shared" si="14"/>
        <v>-21.249193732999998</v>
      </c>
      <c r="AE92" s="27">
        <f t="shared" si="15"/>
        <v>-14.538802132000001</v>
      </c>
      <c r="AF92" s="27">
        <f t="shared" si="16"/>
        <v>-6.7103916009999978</v>
      </c>
    </row>
    <row r="93" spans="2:32" s="72" customFormat="1" x14ac:dyDescent="0.2">
      <c r="B93" s="24" t="s">
        <v>359</v>
      </c>
      <c r="C93" s="25">
        <f>IF(VLOOKUP(B93,'Data yoy'!$A:$AW,MATCH($C$1,'Data yoy'!$A$1:$AW$1,),)=0,#N/A,VLOOKUP(B93,'Data yoy'!$A:$AW,MATCH($C$1,'Data yoy'!$A$1:$AW$1,),))</f>
        <v>-2.8875059890000001</v>
      </c>
      <c r="D93" s="25">
        <f>IF(VLOOKUP(B93,'Data yoy'!$A:$AW,MATCH($D$1,'Data yoy'!$A$1:$AW$1,),)=0,#N/A,VLOOKUP(B93,'Data yoy'!$A:$AW,MATCH($D$1,'Data yoy'!$A$1:$AW$1,),))</f>
        <v>4.9000000000000004</v>
      </c>
      <c r="E93" s="25">
        <f>IF(VLOOKUP(B93,'Data yoy'!$A:$AW,MATCH($E$1,'Data yoy'!$A$1:$AW$1,),)=0,#N/A,VLOOKUP(B93,'Data yoy'!$A:$AW,MATCH($E$1,'Data yoy'!$A$1:$AW$1,),))</f>
        <v>-4.0509567850000003</v>
      </c>
      <c r="F93" s="25">
        <f>IF(VLOOKUP(B93,'Data yoy'!$A:$AW,MATCH($F$1,'Data yoy'!$A$1:$AW$1,),)=0,#N/A,VLOOKUP(B93,'Data yoy'!$A:$AW,MATCH($F$1,'Data yoy'!$A$1:$AW$1,),))</f>
        <v>-5.371766536</v>
      </c>
      <c r="G93" s="25">
        <f>IF(VLOOKUP(B93,'Data yoy'!$A:$AW,MATCH($G$1,'Data yoy'!$A$1:$AW$1,),)=0,#N/A,VLOOKUP(B93,'Data yoy'!$A:$AW,MATCH($G$1,'Data yoy'!$A$1:$AW$1,),))</f>
        <v>-3.6600779540000001</v>
      </c>
      <c r="H93" s="25">
        <f>IF(VLOOKUP(B93,'Data yoy'!$A:$AW,MATCH($H$1,'Data yoy'!$A$1:$AW$1,),)=0,#N/A,VLOOKUP(B93,'Data yoy'!$A:$AW,MATCH($H$1,'Data yoy'!$A$1:$AW$1,),))</f>
        <v>-3.5950590600000001</v>
      </c>
      <c r="I93" s="25">
        <f>IF(VLOOKUP(B93,'Data yoy'!$A:$AW,MATCH($I$1,'Data yoy'!$A$1:$AW$1,),)=0,#N/A,VLOOKUP(B93,'Data yoy'!$A:$AW,MATCH($I$1,'Data yoy'!$A$1:$AW$1,),))</f>
        <v>-7.8337419209999997</v>
      </c>
      <c r="J93" s="25">
        <f>IF(VLOOKUP(B93,'Data yoy'!$A:$AW,MATCH($J$1,'Data yoy'!$A$1:$AW$1,),)=0,#N/A,VLOOKUP(B93,'Data yoy'!$A:$AW,MATCH($J$1,'Data yoy'!$A$1:$AW$1,),))</f>
        <v>-5.4206525479999996</v>
      </c>
      <c r="K93" s="25">
        <f>IF(VLOOKUP(B93,'Data yoy'!$A:$AW,MATCH($K$1,'Data yoy'!$A$1:$AW$1,),)=0,#N/A,VLOOKUP(B93,'Data yoy'!$A:$AW,MATCH($K$1,'Data yoy'!$A$1:$AW$1,),))</f>
        <v>-8.6615832249999993</v>
      </c>
      <c r="L93" s="25">
        <f>IF(VLOOKUP(B93,'Data yoy'!$A:$AW,MATCH($L$1,'Data yoy'!$A$1:$AW$1,),)=0,#N/A,VLOOKUP(B93,'Data yoy'!$A:$AW,MATCH($L$1,'Data yoy'!$A$1:$AW$1,),))</f>
        <v>-2.083357613</v>
      </c>
      <c r="M93" s="25">
        <f>IF(VLOOKUP(B93,'Data yoy'!$A:$AW,MATCH($M$1,'Data yoy'!$A$1:$AW$1,),)=0,#N/A,VLOOKUP(B93,'Data yoy'!$A:$AW,MATCH($M$1,'Data yoy'!$A$1:$AW$1,),))</f>
        <v>-8.3869799650000001</v>
      </c>
      <c r="N93" s="25">
        <f>IF(VLOOKUP(B93,'Data yoy'!$A:$AW,MATCH($N$1,'Data yoy'!$A$1:$AW$1,),)=0,#N/A,VLOOKUP(B93,'Data yoy'!$A:$AW,MATCH($N$1,'Data yoy'!$A$1:$AW$1,),))</f>
        <v>-2.467576233</v>
      </c>
      <c r="O93" s="25">
        <f>IF(VLOOKUP(B93,'Data yoy'!$A:$AW,MATCH($O$1,'Data yoy'!$A$1:$AW$1,),)=0,#N/A,VLOOKUP(B93,'Data yoy'!$A:$AW,MATCH($O$1,'Data yoy'!$A$1:$AW$1,),))</f>
        <v>-6.7870799999999996</v>
      </c>
      <c r="P93" s="25">
        <f>IF(VLOOKUP(B93,'Data yoy'!$A:$AW,MATCH($P$1,'Data yoy'!$A$1:$AW$1,),)=0,#N/A,VLOOKUP(B93,'Data yoy'!$A:$AW,MATCH($P$1,'Data yoy'!$A$1:$AW$1,),))</f>
        <v>-4.8569047669999996</v>
      </c>
      <c r="Q93" s="25">
        <f>IF(VLOOKUP(B93,'Data yoy'!$A:$AW,MATCH($Q$1,'Data yoy'!$A$1:$AW$1,),)=0,#N/A,VLOOKUP(B93,'Data yoy'!$A:$AW,MATCH($Q$1,'Data yoy'!$A$1:$AW$1,),))</f>
        <v>-3.516455117</v>
      </c>
      <c r="R93" s="25">
        <f>IF(VLOOKUP(B93,'Data yoy'!$A:$AW,MATCH($R$1,'Data yoy'!$A$1:$AW$1,),)=0,#N/A,VLOOKUP(B93,'Data yoy'!$A:$AW,MATCH($R$1,'Data yoy'!$A$1:$AW$1,),))</f>
        <v>-1.3240015549999999</v>
      </c>
      <c r="S93" s="25">
        <f>IF(VLOOKUP(B93,'Data yoy'!$A:$AW,MATCH($S$1,'Data yoy'!$A$1:$AW$1,),)=0,#N/A,VLOOKUP(B93,'Data yoy'!$A:$AW,MATCH($S$1,'Data yoy'!$A$1:$AW$1,),))</f>
        <v>-0.97709461500000006</v>
      </c>
      <c r="T93" s="25">
        <f>IF(VLOOKUP(B93,'Data yoy'!$A:$AW,MATCH($T$1,'Data yoy'!$A$1:$AW$1,),)=0,#N/A,VLOOKUP(B93,'Data yoy'!$A:$AW,MATCH($T$1,'Data yoy'!$A$1:$AW$1,),))</f>
        <v>-3.6860193620000001</v>
      </c>
      <c r="U93" s="25">
        <f>IF(VLOOKUP(B93,'Data yoy'!$A:$AW,MATCH($U$1,'Data yoy'!$A$1:$AW$1,),)=0,#N/A,VLOOKUP(B93,'Data yoy'!$A:$AW,MATCH($U$1,'Data yoy'!$A$1:$AW$1,),))</f>
        <v>-11.001424706</v>
      </c>
      <c r="V93" s="25">
        <f>IF(VLOOKUP(B93,'Data yoy'!$A:$AW,MATCH($V$1,'Data yoy'!$A$1:$AW$1,),)=0,#N/A,VLOOKUP(B93,'Data yoy'!$A:$AW,MATCH($V$1,'Data yoy'!$A$1:$AW$1,),))</f>
        <v>11.039220588999999</v>
      </c>
      <c r="W93" s="25">
        <f>IF(VLOOKUP(B93,'Data yoy'!$A:$AW,MATCH($W$1,'Data yoy'!$A$1:$AW$1,),)=0,#N/A,VLOOKUP(B93,'Data yoy'!$A:$AW,MATCH($W$1,'Data yoy'!$A$1:$AW$1,),))</f>
        <v>5.7515175770000004</v>
      </c>
      <c r="X93" s="25">
        <f>IF(VLOOKUP(B93,'Data yoy'!$A:$AW,MATCH($X$1,'Data yoy'!$A$1:$AW$1,),)=0,#N/A,VLOOKUP(B93,'Data yoy'!$A:$AW,MATCH($X$1,'Data yoy'!$A$1:$AW$1,),))</f>
        <v>-5.4469678869999996</v>
      </c>
      <c r="Y93" s="25">
        <f>IF(VLOOKUP(B93,'Data yoy'!$A:$AW,MATCH($Y$1,'Data yoy'!$A$1:$AW$1,),)=0,#N/A,VLOOKUP(B93,'Data yoy'!$A:$AW,MATCH($Y$1,'Data yoy'!$A$1:$AW$1,),))</f>
        <v>-1.9264516730000001</v>
      </c>
      <c r="Z93" s="25">
        <f>IF(VLOOKUP(B93,'Data yoy'!$A:$AW,MATCH($Z$1,'Data yoy'!$A$1:$AW$1,),)=0,#N/A,VLOOKUP(B93,'Data yoy'!$A:$AW,MATCH($Z$1,'Data yoy'!$A$1:$AW$1,),))</f>
        <v>-10.298534308000001</v>
      </c>
      <c r="AA93" s="25">
        <f>IF(VLOOKUP(B93,'Data yoy'!$A:$AW,MATCH($AA$1,'Data yoy'!$A$1:$AW$1,),)=0,#N/A,VLOOKUP(B93,'Data yoy'!$A:$AW,MATCH($AA$1,'Data yoy'!$A$1:$AW$1,),))</f>
        <v>1.202931593</v>
      </c>
      <c r="AC93" s="26" t="str">
        <f t="shared" si="13"/>
        <v>2020-Q3</v>
      </c>
      <c r="AD93" s="27">
        <f t="shared" si="14"/>
        <v>-7.8337419209999997</v>
      </c>
      <c r="AE93" s="27">
        <f t="shared" si="15"/>
        <v>-4.0509567850000003</v>
      </c>
      <c r="AF93" s="27">
        <f t="shared" si="16"/>
        <v>-3.7827851359999993</v>
      </c>
    </row>
    <row r="94" spans="2:32" s="72" customFormat="1" x14ac:dyDescent="0.2">
      <c r="B94" s="24" t="s">
        <v>360</v>
      </c>
      <c r="C94" s="25">
        <f>IF(VLOOKUP(B94,'Data yoy'!$A:$AW,MATCH($C$1,'Data yoy'!$A$1:$AW$1,),)=0,#N/A,VLOOKUP(B94,'Data yoy'!$A:$AW,MATCH($C$1,'Data yoy'!$A$1:$AW$1,),))</f>
        <v>-2.2629152430000001</v>
      </c>
      <c r="D94" s="25">
        <f>IF(VLOOKUP(B94,'Data yoy'!$A:$AW,MATCH($D$1,'Data yoy'!$A$1:$AW$1,),)=0,#N/A,VLOOKUP(B94,'Data yoy'!$A:$AW,MATCH($D$1,'Data yoy'!$A$1:$AW$1,),))</f>
        <v>6.5</v>
      </c>
      <c r="E94" s="25">
        <f>IF(VLOOKUP(B94,'Data yoy'!$A:$AW,MATCH($E$1,'Data yoy'!$A$1:$AW$1,),)=0,#N/A,VLOOKUP(B94,'Data yoy'!$A:$AW,MATCH($E$1,'Data yoy'!$A$1:$AW$1,),))</f>
        <v>-4.3798291479999998</v>
      </c>
      <c r="F94" s="25">
        <f>IF(VLOOKUP(B94,'Data yoy'!$A:$AW,MATCH($F$1,'Data yoy'!$A$1:$AW$1,),)=0,#N/A,VLOOKUP(B94,'Data yoy'!$A:$AW,MATCH($F$1,'Data yoy'!$A$1:$AW$1,),))</f>
        <v>-0.81478097699999996</v>
      </c>
      <c r="G94" s="25">
        <f>IF(VLOOKUP(B94,'Data yoy'!$A:$AW,MATCH($G$1,'Data yoy'!$A$1:$AW$1,),)=0,#N/A,VLOOKUP(B94,'Data yoy'!$A:$AW,MATCH($G$1,'Data yoy'!$A$1:$AW$1,),))</f>
        <v>-2.8716205910000001</v>
      </c>
      <c r="H94" s="25">
        <f>IF(VLOOKUP(B94,'Data yoy'!$A:$AW,MATCH($H$1,'Data yoy'!$A$1:$AW$1,),)=0,#N/A,VLOOKUP(B94,'Data yoy'!$A:$AW,MATCH($H$1,'Data yoy'!$A$1:$AW$1,),))</f>
        <v>-4.2984426229999997</v>
      </c>
      <c r="I94" s="25">
        <f>IF(VLOOKUP(B94,'Data yoy'!$A:$AW,MATCH($I$1,'Data yoy'!$A$1:$AW$1,),)=0,#N/A,VLOOKUP(B94,'Data yoy'!$A:$AW,MATCH($I$1,'Data yoy'!$A$1:$AW$1,),))</f>
        <v>-6.407082527</v>
      </c>
      <c r="J94" s="25">
        <f>IF(VLOOKUP(B94,'Data yoy'!$A:$AW,MATCH($J$1,'Data yoy'!$A$1:$AW$1,),)=0,#N/A,VLOOKUP(B94,'Data yoy'!$A:$AW,MATCH($J$1,'Data yoy'!$A$1:$AW$1,),))</f>
        <v>-6.56563359</v>
      </c>
      <c r="K94" s="25">
        <f>IF(VLOOKUP(B94,'Data yoy'!$A:$AW,MATCH($K$1,'Data yoy'!$A$1:$AW$1,),)=0,#N/A,VLOOKUP(B94,'Data yoy'!$A:$AW,MATCH($K$1,'Data yoy'!$A$1:$AW$1,),))</f>
        <v>-8.8016765729999999</v>
      </c>
      <c r="L94" s="25">
        <f>IF(VLOOKUP(B94,'Data yoy'!$A:$AW,MATCH($L$1,'Data yoy'!$A$1:$AW$1,),)=0,#N/A,VLOOKUP(B94,'Data yoy'!$A:$AW,MATCH($L$1,'Data yoy'!$A$1:$AW$1,),))</f>
        <v>-2.0129765449999999</v>
      </c>
      <c r="M94" s="25">
        <f>IF(VLOOKUP(B94,'Data yoy'!$A:$AW,MATCH($M$1,'Data yoy'!$A$1:$AW$1,),)=0,#N/A,VLOOKUP(B94,'Data yoy'!$A:$AW,MATCH($M$1,'Data yoy'!$A$1:$AW$1,),))</f>
        <v>-4.5269930450000002</v>
      </c>
      <c r="N94" s="25">
        <f>IF(VLOOKUP(B94,'Data yoy'!$A:$AW,MATCH($N$1,'Data yoy'!$A$1:$AW$1,),)=0,#N/A,VLOOKUP(B94,'Data yoy'!$A:$AW,MATCH($N$1,'Data yoy'!$A$1:$AW$1,),))</f>
        <v>-1.2994789870000001</v>
      </c>
      <c r="O94" s="25">
        <f>IF(VLOOKUP(B94,'Data yoy'!$A:$AW,MATCH($O$1,'Data yoy'!$A$1:$AW$1,),)=0,#N/A,VLOOKUP(B94,'Data yoy'!$A:$AW,MATCH($O$1,'Data yoy'!$A$1:$AW$1,),))</f>
        <v>0.77761999999999998</v>
      </c>
      <c r="P94" s="25">
        <f>IF(VLOOKUP(B94,'Data yoy'!$A:$AW,MATCH($P$1,'Data yoy'!$A$1:$AW$1,),)=0,#N/A,VLOOKUP(B94,'Data yoy'!$A:$AW,MATCH($P$1,'Data yoy'!$A$1:$AW$1,),))</f>
        <v>-3.0624428049999999</v>
      </c>
      <c r="Q94" s="25">
        <f>IF(VLOOKUP(B94,'Data yoy'!$A:$AW,MATCH($Q$1,'Data yoy'!$A$1:$AW$1,),)=0,#N/A,VLOOKUP(B94,'Data yoy'!$A:$AW,MATCH($Q$1,'Data yoy'!$A$1:$AW$1,),))</f>
        <v>-0.75049505000000005</v>
      </c>
      <c r="R94" s="25">
        <f>IF(VLOOKUP(B94,'Data yoy'!$A:$AW,MATCH($R$1,'Data yoy'!$A$1:$AW$1,),)=0,#N/A,VLOOKUP(B94,'Data yoy'!$A:$AW,MATCH($R$1,'Data yoy'!$A$1:$AW$1,),))</f>
        <v>-1.8376316079999999</v>
      </c>
      <c r="S94" s="25">
        <f>IF(VLOOKUP(B94,'Data yoy'!$A:$AW,MATCH($S$1,'Data yoy'!$A$1:$AW$1,),)=0,#N/A,VLOOKUP(B94,'Data yoy'!$A:$AW,MATCH($S$1,'Data yoy'!$A$1:$AW$1,),))</f>
        <v>-1.1200573890000001</v>
      </c>
      <c r="T94" s="25">
        <f>IF(VLOOKUP(B94,'Data yoy'!$A:$AW,MATCH($T$1,'Data yoy'!$A$1:$AW$1,),)=0,#N/A,VLOOKUP(B94,'Data yoy'!$A:$AW,MATCH($T$1,'Data yoy'!$A$1:$AW$1,),))</f>
        <v>-1.0144741399999999</v>
      </c>
      <c r="U94" s="25">
        <f>IF(VLOOKUP(B94,'Data yoy'!$A:$AW,MATCH($U$1,'Data yoy'!$A$1:$AW$1,),)=0,#N/A,VLOOKUP(B94,'Data yoy'!$A:$AW,MATCH($U$1,'Data yoy'!$A$1:$AW$1,),))</f>
        <v>-7.3485555089999997</v>
      </c>
      <c r="V94" s="25">
        <f>IF(VLOOKUP(B94,'Data yoy'!$A:$AW,MATCH($V$1,'Data yoy'!$A$1:$AW$1,),)=0,#N/A,VLOOKUP(B94,'Data yoy'!$A:$AW,MATCH($V$1,'Data yoy'!$A$1:$AW$1,),))</f>
        <v>4.5862383209999997</v>
      </c>
      <c r="W94" s="25">
        <f>IF(VLOOKUP(B94,'Data yoy'!$A:$AW,MATCH($W$1,'Data yoy'!$A$1:$AW$1,),)=0,#N/A,VLOOKUP(B94,'Data yoy'!$A:$AW,MATCH($W$1,'Data yoy'!$A$1:$AW$1,),))</f>
        <v>5.5823967640000003</v>
      </c>
      <c r="X94" s="25">
        <f>IF(VLOOKUP(B94,'Data yoy'!$A:$AW,MATCH($X$1,'Data yoy'!$A$1:$AW$1,),)=0,#N/A,VLOOKUP(B94,'Data yoy'!$A:$AW,MATCH($X$1,'Data yoy'!$A$1:$AW$1,),))</f>
        <v>-5.3454798539999997</v>
      </c>
      <c r="Y94" s="25">
        <f>IF(VLOOKUP(B94,'Data yoy'!$A:$AW,MATCH($Y$1,'Data yoy'!$A$1:$AW$1,),)=0,#N/A,VLOOKUP(B94,'Data yoy'!$A:$AW,MATCH($Y$1,'Data yoy'!$A$1:$AW$1,),))</f>
        <v>-2.5360638170000001</v>
      </c>
      <c r="Z94" s="25">
        <f>IF(VLOOKUP(B94,'Data yoy'!$A:$AW,MATCH($Z$1,'Data yoy'!$A$1:$AW$1,),)=0,#N/A,VLOOKUP(B94,'Data yoy'!$A:$AW,MATCH($Z$1,'Data yoy'!$A$1:$AW$1,),))</f>
        <v>-4.652705707</v>
      </c>
      <c r="AA94" s="25">
        <f>IF(VLOOKUP(B94,'Data yoy'!$A:$AW,MATCH($AA$1,'Data yoy'!$A$1:$AW$1,),)=0,#N/A,VLOOKUP(B94,'Data yoy'!$A:$AW,MATCH($AA$1,'Data yoy'!$A$1:$AW$1,),))</f>
        <v>0.49542040999999998</v>
      </c>
      <c r="AC94" s="26" t="str">
        <f t="shared" si="13"/>
        <v>2020-Q4</v>
      </c>
      <c r="AD94" s="27">
        <f t="shared" si="14"/>
        <v>-6.407082527</v>
      </c>
      <c r="AE94" s="27">
        <f t="shared" si="15"/>
        <v>-4.3798291479999998</v>
      </c>
      <c r="AF94" s="27">
        <f t="shared" si="16"/>
        <v>-2.0272533790000002</v>
      </c>
    </row>
    <row r="95" spans="2:32" s="72" customFormat="1" x14ac:dyDescent="0.2">
      <c r="B95" s="24" t="s">
        <v>361</v>
      </c>
      <c r="C95" s="25">
        <f>IF(VLOOKUP(B95,'Data yoy'!$A:$AW,MATCH($C$1,'Data yoy'!$A$1:$AW$1,),)=0,#N/A,VLOOKUP(B95,'Data yoy'!$A:$AW,MATCH($C$1,'Data yoy'!$A$1:$AW$1,),))</f>
        <v>0.54697680299999996</v>
      </c>
      <c r="D95" s="25">
        <f>IF(VLOOKUP(B95,'Data yoy'!$A:$AW,MATCH($D$1,'Data yoy'!$A$1:$AW$1,),)=0,#N/A,VLOOKUP(B95,'Data yoy'!$A:$AW,MATCH($D$1,'Data yoy'!$A$1:$AW$1,),))</f>
        <v>18.3</v>
      </c>
      <c r="E95" s="25">
        <f>IF(VLOOKUP(B95,'Data yoy'!$A:$AW,MATCH($E$1,'Data yoy'!$A$1:$AW$1,),)=0,#N/A,VLOOKUP(B95,'Data yoy'!$A:$AW,MATCH($E$1,'Data yoy'!$A$1:$AW$1,),))</f>
        <v>-1.1482595760000001</v>
      </c>
      <c r="F95" s="25">
        <f>IF(VLOOKUP(B95,'Data yoy'!$A:$AW,MATCH($F$1,'Data yoy'!$A$1:$AW$1,),)=0,#N/A,VLOOKUP(B95,'Data yoy'!$A:$AW,MATCH($F$1,'Data yoy'!$A$1:$AW$1,),))</f>
        <v>-1.8326048319999999</v>
      </c>
      <c r="G95" s="25">
        <f>IF(VLOOKUP(B95,'Data yoy'!$A:$AW,MATCH($G$1,'Data yoy'!$A$1:$AW$1,),)=0,#N/A,VLOOKUP(B95,'Data yoy'!$A:$AW,MATCH($G$1,'Data yoy'!$A$1:$AW$1,),))</f>
        <v>-2.9751800660000001</v>
      </c>
      <c r="H95" s="25">
        <f>IF(VLOOKUP(B95,'Data yoy'!$A:$AW,MATCH($H$1,'Data yoy'!$A$1:$AW$1,),)=0,#N/A,VLOOKUP(B95,'Data yoy'!$A:$AW,MATCH($H$1,'Data yoy'!$A$1:$AW$1,),))</f>
        <v>1.538842211</v>
      </c>
      <c r="I95" s="25">
        <f>IF(VLOOKUP(B95,'Data yoy'!$A:$AW,MATCH($I$1,'Data yoy'!$A$1:$AW$1,),)=0,#N/A,VLOOKUP(B95,'Data yoy'!$A:$AW,MATCH($I$1,'Data yoy'!$A$1:$AW$1,),))</f>
        <v>-5.0861042699999999</v>
      </c>
      <c r="J95" s="25">
        <f>IF(VLOOKUP(B95,'Data yoy'!$A:$AW,MATCH($J$1,'Data yoy'!$A$1:$AW$1,),)=0,#N/A,VLOOKUP(B95,'Data yoy'!$A:$AW,MATCH($J$1,'Data yoy'!$A$1:$AW$1,),))</f>
        <v>-0.62213880600000004</v>
      </c>
      <c r="K95" s="25">
        <f>IF(VLOOKUP(B95,'Data yoy'!$A:$AW,MATCH($K$1,'Data yoy'!$A$1:$AW$1,),)=0,#N/A,VLOOKUP(B95,'Data yoy'!$A:$AW,MATCH($K$1,'Data yoy'!$A$1:$AW$1,),))</f>
        <v>-4.2140480010000001</v>
      </c>
      <c r="L95" s="25">
        <f>IF(VLOOKUP(B95,'Data yoy'!$A:$AW,MATCH($L$1,'Data yoy'!$A$1:$AW$1,),)=0,#N/A,VLOOKUP(B95,'Data yoy'!$A:$AW,MATCH($L$1,'Data yoy'!$A$1:$AW$1,),))</f>
        <v>6.9550050000000002E-3</v>
      </c>
      <c r="M95" s="25">
        <f>IF(VLOOKUP(B95,'Data yoy'!$A:$AW,MATCH($M$1,'Data yoy'!$A$1:$AW$1,),)=0,#N/A,VLOOKUP(B95,'Data yoy'!$A:$AW,MATCH($M$1,'Data yoy'!$A$1:$AW$1,),))</f>
        <v>-2.7719857139999999</v>
      </c>
      <c r="N95" s="25">
        <f>IF(VLOOKUP(B95,'Data yoy'!$A:$AW,MATCH($N$1,'Data yoy'!$A$1:$AW$1,),)=0,#N/A,VLOOKUP(B95,'Data yoy'!$A:$AW,MATCH($N$1,'Data yoy'!$A$1:$AW$1,),))</f>
        <v>-0.43206129399999998</v>
      </c>
      <c r="O95" s="25">
        <f>IF(VLOOKUP(B95,'Data yoy'!$A:$AW,MATCH($O$1,'Data yoy'!$A$1:$AW$1,),)=0,#N/A,VLOOKUP(B95,'Data yoy'!$A:$AW,MATCH($O$1,'Data yoy'!$A$1:$AW$1,),))</f>
        <v>0.95128000000000001</v>
      </c>
      <c r="P95" s="25">
        <f>IF(VLOOKUP(B95,'Data yoy'!$A:$AW,MATCH($P$1,'Data yoy'!$A$1:$AW$1,),)=0,#N/A,VLOOKUP(B95,'Data yoy'!$A:$AW,MATCH($P$1,'Data yoy'!$A$1:$AW$1,),))</f>
        <v>0.26846018799999999</v>
      </c>
      <c r="Q95" s="25">
        <f>IF(VLOOKUP(B95,'Data yoy'!$A:$AW,MATCH($Q$1,'Data yoy'!$A$1:$AW$1,),)=0,#N/A,VLOOKUP(B95,'Data yoy'!$A:$AW,MATCH($Q$1,'Data yoy'!$A$1:$AW$1,),))</f>
        <v>1.354075433</v>
      </c>
      <c r="R95" s="25">
        <f>IF(VLOOKUP(B95,'Data yoy'!$A:$AW,MATCH($R$1,'Data yoy'!$A$1:$AW$1,),)=0,#N/A,VLOOKUP(B95,'Data yoy'!$A:$AW,MATCH($R$1,'Data yoy'!$A$1:$AW$1,),))</f>
        <v>-0.45687183100000001</v>
      </c>
      <c r="S95" s="25">
        <f>IF(VLOOKUP(B95,'Data yoy'!$A:$AW,MATCH($S$1,'Data yoy'!$A$1:$AW$1,),)=0,#N/A,VLOOKUP(B95,'Data yoy'!$A:$AW,MATCH($S$1,'Data yoy'!$A$1:$AW$1,),))</f>
        <v>1.8861570860000001</v>
      </c>
      <c r="T95" s="25">
        <f>IF(VLOOKUP(B95,'Data yoy'!$A:$AW,MATCH($T$1,'Data yoy'!$A$1:$AW$1,),)=0,#N/A,VLOOKUP(B95,'Data yoy'!$A:$AW,MATCH($T$1,'Data yoy'!$A$1:$AW$1,),))</f>
        <v>2.6464095699999999</v>
      </c>
      <c r="U95" s="25">
        <f>IF(VLOOKUP(B95,'Data yoy'!$A:$AW,MATCH($U$1,'Data yoy'!$A$1:$AW$1,),)=0,#N/A,VLOOKUP(B95,'Data yoy'!$A:$AW,MATCH($U$1,'Data yoy'!$A$1:$AW$1,),))</f>
        <v>-1.9040602760000001</v>
      </c>
      <c r="V95" s="25">
        <f>IF(VLOOKUP(B95,'Data yoy'!$A:$AW,MATCH($V$1,'Data yoy'!$A$1:$AW$1,),)=0,#N/A,VLOOKUP(B95,'Data yoy'!$A:$AW,MATCH($V$1,'Data yoy'!$A$1:$AW$1,),))</f>
        <v>10.999706198</v>
      </c>
      <c r="W95" s="25">
        <f>IF(VLOOKUP(B95,'Data yoy'!$A:$AW,MATCH($W$1,'Data yoy'!$A$1:$AW$1,),)=0,#N/A,VLOOKUP(B95,'Data yoy'!$A:$AW,MATCH($W$1,'Data yoy'!$A$1:$AW$1,),))</f>
        <v>7.6659254880000001</v>
      </c>
      <c r="X95" s="25">
        <f>IF(VLOOKUP(B95,'Data yoy'!$A:$AW,MATCH($X$1,'Data yoy'!$A$1:$AW$1,),)=0,#N/A,VLOOKUP(B95,'Data yoy'!$A:$AW,MATCH($X$1,'Data yoy'!$A$1:$AW$1,),))</f>
        <v>-2.4561492999999999</v>
      </c>
      <c r="Y95" s="25">
        <f>IF(VLOOKUP(B95,'Data yoy'!$A:$AW,MATCH($Y$1,'Data yoy'!$A$1:$AW$1,),)=0,#N/A,VLOOKUP(B95,'Data yoy'!$A:$AW,MATCH($Y$1,'Data yoy'!$A$1:$AW$1,),))</f>
        <v>-1.0877008429999999</v>
      </c>
      <c r="Z95" s="25">
        <f>IF(VLOOKUP(B95,'Data yoy'!$A:$AW,MATCH($Z$1,'Data yoy'!$A$1:$AW$1,),)=0,#N/A,VLOOKUP(B95,'Data yoy'!$A:$AW,MATCH($Z$1,'Data yoy'!$A$1:$AW$1,),))</f>
        <v>2.5378217580000002</v>
      </c>
      <c r="AA95" s="25">
        <f>IF(VLOOKUP(B95,'Data yoy'!$A:$AW,MATCH($AA$1,'Data yoy'!$A$1:$AW$1,),)=0,#N/A,VLOOKUP(B95,'Data yoy'!$A:$AW,MATCH($AA$1,'Data yoy'!$A$1:$AW$1,),))</f>
        <v>3.2772033829999998</v>
      </c>
      <c r="AC95" s="26" t="str">
        <f t="shared" si="13"/>
        <v>2021-Q1</v>
      </c>
      <c r="AD95" s="27">
        <f t="shared" si="14"/>
        <v>-5.0861042699999999</v>
      </c>
      <c r="AE95" s="27">
        <f t="shared" si="15"/>
        <v>-1.1482595760000001</v>
      </c>
      <c r="AF95" s="27">
        <f t="shared" si="16"/>
        <v>-3.9378446939999998</v>
      </c>
    </row>
    <row r="96" spans="2:32" s="72" customFormat="1" x14ac:dyDescent="0.2">
      <c r="B96" s="24" t="s">
        <v>362</v>
      </c>
      <c r="C96" s="25">
        <f>IF(VLOOKUP(B96,'Data yoy'!$A:$AW,MATCH($C$1,'Data yoy'!$A$1:$AW$1,),)=0,#N/A,VLOOKUP(B96,'Data yoy'!$A:$AW,MATCH($C$1,'Data yoy'!$A$1:$AW$1,),))</f>
        <v>12.226677108000001</v>
      </c>
      <c r="D96" s="25">
        <f>IF(VLOOKUP(B96,'Data yoy'!$A:$AW,MATCH($D$1,'Data yoy'!$A$1:$AW$1,),)=0,#N/A,VLOOKUP(B96,'Data yoy'!$A:$AW,MATCH($D$1,'Data yoy'!$A$1:$AW$1,),))</f>
        <v>7.9</v>
      </c>
      <c r="E96" s="25">
        <f>IF(VLOOKUP(B96,'Data yoy'!$A:$AW,MATCH($E$1,'Data yoy'!$A$1:$AW$1,),)=0,#N/A,VLOOKUP(B96,'Data yoy'!$A:$AW,MATCH($E$1,'Data yoy'!$A$1:$AW$1,),))</f>
        <v>14.379616910999999</v>
      </c>
      <c r="F96" s="25">
        <f>IF(VLOOKUP(B96,'Data yoy'!$A:$AW,MATCH($F$1,'Data yoy'!$A$1:$AW$1,),)=0,#N/A,VLOOKUP(B96,'Data yoy'!$A:$AW,MATCH($F$1,'Data yoy'!$A$1:$AW$1,),))</f>
        <v>7.2815123269999997</v>
      </c>
      <c r="G96" s="25">
        <f>IF(VLOOKUP(B96,'Data yoy'!$A:$AW,MATCH($G$1,'Data yoy'!$A$1:$AW$1,),)=0,#N/A,VLOOKUP(B96,'Data yoy'!$A:$AW,MATCH($G$1,'Data yoy'!$A$1:$AW$1,),))</f>
        <v>9.9799969239999999</v>
      </c>
      <c r="H96" s="25">
        <f>IF(VLOOKUP(B96,'Data yoy'!$A:$AW,MATCH($H$1,'Data yoy'!$A$1:$AW$1,),)=0,#N/A,VLOOKUP(B96,'Data yoy'!$A:$AW,MATCH($H$1,'Data yoy'!$A$1:$AW$1,),))</f>
        <v>18.823665454</v>
      </c>
      <c r="I96" s="25">
        <f>IF(VLOOKUP(B96,'Data yoy'!$A:$AW,MATCH($I$1,'Data yoy'!$A$1:$AW$1,),)=0,#N/A,VLOOKUP(B96,'Data yoy'!$A:$AW,MATCH($I$1,'Data yoy'!$A$1:$AW$1,),))</f>
        <v>24.232106554000001</v>
      </c>
      <c r="J96" s="25">
        <f>IF(VLOOKUP(B96,'Data yoy'!$A:$AW,MATCH($J$1,'Data yoy'!$A$1:$AW$1,),)=0,#N/A,VLOOKUP(B96,'Data yoy'!$A:$AW,MATCH($J$1,'Data yoy'!$A$1:$AW$1,),))</f>
        <v>17.103324776000001</v>
      </c>
      <c r="K96" s="25">
        <f>IF(VLOOKUP(B96,'Data yoy'!$A:$AW,MATCH($K$1,'Data yoy'!$A$1:$AW$1,),)=0,#N/A,VLOOKUP(B96,'Data yoy'!$A:$AW,MATCH($K$1,'Data yoy'!$A$1:$AW$1,),))</f>
        <v>17.548571404</v>
      </c>
      <c r="L96" s="25">
        <f>IF(VLOOKUP(B96,'Data yoy'!$A:$AW,MATCH($L$1,'Data yoy'!$A$1:$AW$1,),)=0,#N/A,VLOOKUP(B96,'Data yoy'!$A:$AW,MATCH($L$1,'Data yoy'!$A$1:$AW$1,),))</f>
        <v>9.5912871249999991</v>
      </c>
      <c r="M96" s="25">
        <f>IF(VLOOKUP(B96,'Data yoy'!$A:$AW,MATCH($M$1,'Data yoy'!$A$1:$AW$1,),)=0,#N/A,VLOOKUP(B96,'Data yoy'!$A:$AW,MATCH($M$1,'Data yoy'!$A$1:$AW$1,),))</f>
        <v>19.618506912000001</v>
      </c>
      <c r="N96" s="25">
        <f>IF(VLOOKUP(B96,'Data yoy'!$A:$AW,MATCH($N$1,'Data yoy'!$A$1:$AW$1,),)=0,#N/A,VLOOKUP(B96,'Data yoy'!$A:$AW,MATCH($N$1,'Data yoy'!$A$1:$AW$1,),))</f>
        <v>7.5695837170000004</v>
      </c>
      <c r="O96" s="25">
        <f>IF(VLOOKUP(B96,'Data yoy'!$A:$AW,MATCH($O$1,'Data yoy'!$A$1:$AW$1,),)=0,#N/A,VLOOKUP(B96,'Data yoy'!$A:$AW,MATCH($O$1,'Data yoy'!$A$1:$AW$1,),))</f>
        <v>19.502140000000001</v>
      </c>
      <c r="P96" s="25">
        <f>IF(VLOOKUP(B96,'Data yoy'!$A:$AW,MATCH($P$1,'Data yoy'!$A$1:$AW$1,),)=0,#N/A,VLOOKUP(B96,'Data yoy'!$A:$AW,MATCH($P$1,'Data yoy'!$A$1:$AW$1,),))</f>
        <v>11.814578424</v>
      </c>
      <c r="Q96" s="25">
        <f>IF(VLOOKUP(B96,'Data yoy'!$A:$AW,MATCH($Q$1,'Data yoy'!$A$1:$AW$1,),)=0,#N/A,VLOOKUP(B96,'Data yoy'!$A:$AW,MATCH($Q$1,'Data yoy'!$A$1:$AW$1,),))</f>
        <v>9.5053631470000006</v>
      </c>
      <c r="R96" s="25">
        <f>IF(VLOOKUP(B96,'Data yoy'!$A:$AW,MATCH($R$1,'Data yoy'!$A$1:$AW$1,),)=0,#N/A,VLOOKUP(B96,'Data yoy'!$A:$AW,MATCH($R$1,'Data yoy'!$A$1:$AW$1,),))</f>
        <v>7.9718178259999997</v>
      </c>
      <c r="S96" s="25">
        <f>IF(VLOOKUP(B96,'Data yoy'!$A:$AW,MATCH($S$1,'Data yoy'!$A$1:$AW$1,),)=0,#N/A,VLOOKUP(B96,'Data yoy'!$A:$AW,MATCH($S$1,'Data yoy'!$A$1:$AW$1,),))</f>
        <v>6.0115519959999997</v>
      </c>
      <c r="T96" s="25">
        <f>IF(VLOOKUP(B96,'Data yoy'!$A:$AW,MATCH($T$1,'Data yoy'!$A$1:$AW$1,),)=0,#N/A,VLOOKUP(B96,'Data yoy'!$A:$AW,MATCH($T$1,'Data yoy'!$A$1:$AW$1,),))</f>
        <v>12.222418805</v>
      </c>
      <c r="U96" s="25">
        <f>IF(VLOOKUP(B96,'Data yoy'!$A:$AW,MATCH($U$1,'Data yoy'!$A$1:$AW$1,),)=0,#N/A,VLOOKUP(B96,'Data yoy'!$A:$AW,MATCH($U$1,'Data yoy'!$A$1:$AW$1,),))</f>
        <v>16.613562816000002</v>
      </c>
      <c r="V96" s="25">
        <f>IF(VLOOKUP(B96,'Data yoy'!$A:$AW,MATCH($V$1,'Data yoy'!$A$1:$AW$1,),)=0,#N/A,VLOOKUP(B96,'Data yoy'!$A:$AW,MATCH($V$1,'Data yoy'!$A$1:$AW$1,),))</f>
        <v>20.831565515000001</v>
      </c>
      <c r="W96" s="25">
        <f>IF(VLOOKUP(B96,'Data yoy'!$A:$AW,MATCH($W$1,'Data yoy'!$A$1:$AW$1,),)=0,#N/A,VLOOKUP(B96,'Data yoy'!$A:$AW,MATCH($W$1,'Data yoy'!$A$1:$AW$1,),))</f>
        <v>22.472627478</v>
      </c>
      <c r="X96" s="25">
        <f>IF(VLOOKUP(B96,'Data yoy'!$A:$AW,MATCH($X$1,'Data yoy'!$A$1:$AW$1,),)=0,#N/A,VLOOKUP(B96,'Data yoy'!$A:$AW,MATCH($X$1,'Data yoy'!$A$1:$AW$1,),))</f>
        <v>8.4781037260000005</v>
      </c>
      <c r="Y96" s="25">
        <f>IF(VLOOKUP(B96,'Data yoy'!$A:$AW,MATCH($Y$1,'Data yoy'!$A$1:$AW$1,),)=0,#N/A,VLOOKUP(B96,'Data yoy'!$A:$AW,MATCH($Y$1,'Data yoy'!$A$1:$AW$1,),))</f>
        <v>10.914667086</v>
      </c>
      <c r="Z96" s="25">
        <f>IF(VLOOKUP(B96,'Data yoy'!$A:$AW,MATCH($Z$1,'Data yoy'!$A$1:$AW$1,),)=0,#N/A,VLOOKUP(B96,'Data yoy'!$A:$AW,MATCH($Z$1,'Data yoy'!$A$1:$AW$1,),))</f>
        <v>19.669173822000001</v>
      </c>
      <c r="AA96" s="25">
        <f>IF(VLOOKUP(B96,'Data yoy'!$A:$AW,MATCH($AA$1,'Data yoy'!$A$1:$AW$1,),)=0,#N/A,VLOOKUP(B96,'Data yoy'!$A:$AW,MATCH($AA$1,'Data yoy'!$A$1:$AW$1,),))</f>
        <v>17.887959782999999</v>
      </c>
      <c r="AC96" s="26" t="str">
        <f t="shared" si="13"/>
        <v>2021-Q2</v>
      </c>
      <c r="AD96" s="27">
        <f t="shared" si="14"/>
        <v>24.232106554000001</v>
      </c>
      <c r="AE96" s="27">
        <f t="shared" si="15"/>
        <v>14.379616910999999</v>
      </c>
      <c r="AF96" s="27">
        <f t="shared" si="16"/>
        <v>9.852489643000002</v>
      </c>
    </row>
    <row r="97" spans="2:32" s="72" customFormat="1" x14ac:dyDescent="0.2">
      <c r="B97" s="24" t="s">
        <v>363</v>
      </c>
      <c r="C97" s="25">
        <f>IF(VLOOKUP(B97,'Data yoy'!$A:$AW,MATCH($C$1,'Data yoy'!$A$1:$AW$1,),)=0,#N/A,VLOOKUP(B97,'Data yoy'!$A:$AW,MATCH($C$1,'Data yoy'!$A$1:$AW$1,),))</f>
        <v>4.946555569</v>
      </c>
      <c r="D97" s="25">
        <f>IF(VLOOKUP(B97,'Data yoy'!$A:$AW,MATCH($D$1,'Data yoy'!$A$1:$AW$1,),)=0,#N/A,VLOOKUP(B97,'Data yoy'!$A:$AW,MATCH($D$1,'Data yoy'!$A$1:$AW$1,),))</f>
        <v>4.9000000000000004</v>
      </c>
      <c r="E97" s="25">
        <f>IF(VLOOKUP(B97,'Data yoy'!$A:$AW,MATCH($E$1,'Data yoy'!$A$1:$AW$1,),)=0,#N/A,VLOOKUP(B97,'Data yoy'!$A:$AW,MATCH($E$1,'Data yoy'!$A$1:$AW$1,),))</f>
        <v>3.8541611900000001</v>
      </c>
      <c r="F97" s="25">
        <f>IF(VLOOKUP(B97,'Data yoy'!$A:$AW,MATCH($F$1,'Data yoy'!$A$1:$AW$1,),)=0,#N/A,VLOOKUP(B97,'Data yoy'!$A:$AW,MATCH($F$1,'Data yoy'!$A$1:$AW$1,),))</f>
        <v>1.145873854</v>
      </c>
      <c r="G97" s="25">
        <f>IF(VLOOKUP(B97,'Data yoy'!$A:$AW,MATCH($G$1,'Data yoy'!$A$1:$AW$1,),)=0,#N/A,VLOOKUP(B97,'Data yoy'!$A:$AW,MATCH($G$1,'Data yoy'!$A$1:$AW$1,),))</f>
        <v>2.5680665970000001</v>
      </c>
      <c r="H97" s="25">
        <f>IF(VLOOKUP(B97,'Data yoy'!$A:$AW,MATCH($H$1,'Data yoy'!$A$1:$AW$1,),)=0,#N/A,VLOOKUP(B97,'Data yoy'!$A:$AW,MATCH($H$1,'Data yoy'!$A$1:$AW$1,),))</f>
        <v>3.2735819770000001</v>
      </c>
      <c r="I97" s="25">
        <f>IF(VLOOKUP(B97,'Data yoy'!$A:$AW,MATCH($I$1,'Data yoy'!$A$1:$AW$1,),)=0,#N/A,VLOOKUP(B97,'Data yoy'!$A:$AW,MATCH($I$1,'Data yoy'!$A$1:$AW$1,),))</f>
        <v>6.7856135320000002</v>
      </c>
      <c r="J97" s="25">
        <f>IF(VLOOKUP(B97,'Data yoy'!$A:$AW,MATCH($J$1,'Data yoy'!$A$1:$AW$1,),)=0,#N/A,VLOOKUP(B97,'Data yoy'!$A:$AW,MATCH($J$1,'Data yoy'!$A$1:$AW$1,),))</f>
        <v>3.9479320750000002</v>
      </c>
      <c r="K97" s="25">
        <f>IF(VLOOKUP(B97,'Data yoy'!$A:$AW,MATCH($K$1,'Data yoy'!$A$1:$AW$1,),)=0,#N/A,VLOOKUP(B97,'Data yoy'!$A:$AW,MATCH($K$1,'Data yoy'!$A$1:$AW$1,),))</f>
        <v>2.6674136160000002</v>
      </c>
      <c r="L97" s="25">
        <f>IF(VLOOKUP(B97,'Data yoy'!$A:$AW,MATCH($L$1,'Data yoy'!$A$1:$AW$1,),)=0,#N/A,VLOOKUP(B97,'Data yoy'!$A:$AW,MATCH($L$1,'Data yoy'!$A$1:$AW$1,),))</f>
        <v>4.5478421630000003</v>
      </c>
      <c r="M97" s="25">
        <f>IF(VLOOKUP(B97,'Data yoy'!$A:$AW,MATCH($M$1,'Data yoy'!$A$1:$AW$1,),)=0,#N/A,VLOOKUP(B97,'Data yoy'!$A:$AW,MATCH($M$1,'Data yoy'!$A$1:$AW$1,),))</f>
        <v>4.6842028879999997</v>
      </c>
      <c r="N97" s="25">
        <f>IF(VLOOKUP(B97,'Data yoy'!$A:$AW,MATCH($N$1,'Data yoy'!$A$1:$AW$1,),)=0,#N/A,VLOOKUP(B97,'Data yoy'!$A:$AW,MATCH($N$1,'Data yoy'!$A$1:$AW$1,),))</f>
        <v>3.830445643</v>
      </c>
      <c r="O97" s="25">
        <f>IF(VLOOKUP(B97,'Data yoy'!$A:$AW,MATCH($O$1,'Data yoy'!$A$1:$AW$1,),)=0,#N/A,VLOOKUP(B97,'Data yoy'!$A:$AW,MATCH($O$1,'Data yoy'!$A$1:$AW$1,),))</f>
        <v>8.54739</v>
      </c>
      <c r="P97" s="25">
        <f>IF(VLOOKUP(B97,'Data yoy'!$A:$AW,MATCH($P$1,'Data yoy'!$A$1:$AW$1,),)=0,#N/A,VLOOKUP(B97,'Data yoy'!$A:$AW,MATCH($P$1,'Data yoy'!$A$1:$AW$1,),))</f>
        <v>3.967072967</v>
      </c>
      <c r="Q97" s="25">
        <f>IF(VLOOKUP(B97,'Data yoy'!$A:$AW,MATCH($Q$1,'Data yoy'!$A$1:$AW$1,),)=0,#N/A,VLOOKUP(B97,'Data yoy'!$A:$AW,MATCH($Q$1,'Data yoy'!$A$1:$AW$1,),))</f>
        <v>3.852921421</v>
      </c>
      <c r="R97" s="25">
        <f>IF(VLOOKUP(B97,'Data yoy'!$A:$AW,MATCH($R$1,'Data yoy'!$A$1:$AW$1,),)=0,#N/A,VLOOKUP(B97,'Data yoy'!$A:$AW,MATCH($R$1,'Data yoy'!$A$1:$AW$1,),))</f>
        <v>3.2519090980000001</v>
      </c>
      <c r="S97" s="25">
        <f>IF(VLOOKUP(B97,'Data yoy'!$A:$AW,MATCH($S$1,'Data yoy'!$A$1:$AW$1,),)=0,#N/A,VLOOKUP(B97,'Data yoy'!$A:$AW,MATCH($S$1,'Data yoy'!$A$1:$AW$1,),))</f>
        <v>4.0182523730000002</v>
      </c>
      <c r="T97" s="25">
        <f>IF(VLOOKUP(B97,'Data yoy'!$A:$AW,MATCH($T$1,'Data yoy'!$A$1:$AW$1,),)=0,#N/A,VLOOKUP(B97,'Data yoy'!$A:$AW,MATCH($T$1,'Data yoy'!$A$1:$AW$1,),))</f>
        <v>4.0353474040000004</v>
      </c>
      <c r="U97" s="25">
        <f>IF(VLOOKUP(B97,'Data yoy'!$A:$AW,MATCH($U$1,'Data yoy'!$A$1:$AW$1,),)=0,#N/A,VLOOKUP(B97,'Data yoy'!$A:$AW,MATCH($U$1,'Data yoy'!$A$1:$AW$1,),))</f>
        <v>13.437990600999999</v>
      </c>
      <c r="V97" s="25">
        <f>IF(VLOOKUP(B97,'Data yoy'!$A:$AW,MATCH($V$1,'Data yoy'!$A$1:$AW$1,),)=0,#N/A,VLOOKUP(B97,'Data yoy'!$A:$AW,MATCH($V$1,'Data yoy'!$A$1:$AW$1,),))</f>
        <v>11.423769153</v>
      </c>
      <c r="W97" s="25">
        <f>IF(VLOOKUP(B97,'Data yoy'!$A:$AW,MATCH($W$1,'Data yoy'!$A$1:$AW$1,),)=0,#N/A,VLOOKUP(B97,'Data yoy'!$A:$AW,MATCH($W$1,'Data yoy'!$A$1:$AW$1,),))</f>
        <v>8.0673436850000009</v>
      </c>
      <c r="X97" s="25">
        <f>IF(VLOOKUP(B97,'Data yoy'!$A:$AW,MATCH($X$1,'Data yoy'!$A$1:$AW$1,),)=0,#N/A,VLOOKUP(B97,'Data yoy'!$A:$AW,MATCH($X$1,'Data yoy'!$A$1:$AW$1,),))</f>
        <v>3.1381185440000001</v>
      </c>
      <c r="Y97" s="25">
        <f>IF(VLOOKUP(B97,'Data yoy'!$A:$AW,MATCH($Y$1,'Data yoy'!$A$1:$AW$1,),)=0,#N/A,VLOOKUP(B97,'Data yoy'!$A:$AW,MATCH($Y$1,'Data yoy'!$A$1:$AW$1,),))</f>
        <v>5.4936641829999999</v>
      </c>
      <c r="Z97" s="25">
        <f>IF(VLOOKUP(B97,'Data yoy'!$A:$AW,MATCH($Z$1,'Data yoy'!$A$1:$AW$1,),)=0,#N/A,VLOOKUP(B97,'Data yoy'!$A:$AW,MATCH($Z$1,'Data yoy'!$A$1:$AW$1,),))</f>
        <v>11.295659723</v>
      </c>
      <c r="AA97" s="25">
        <f>IF(VLOOKUP(B97,'Data yoy'!$A:$AW,MATCH($AA$1,'Data yoy'!$A$1:$AW$1,),)=0,#N/A,VLOOKUP(B97,'Data yoy'!$A:$AW,MATCH($AA$1,'Data yoy'!$A$1:$AW$1,),))</f>
        <v>-0.26529296000000002</v>
      </c>
      <c r="AC97" s="26" t="str">
        <f t="shared" si="13"/>
        <v>2021-Q3</v>
      </c>
      <c r="AD97" s="27">
        <f t="shared" si="14"/>
        <v>6.7856135320000002</v>
      </c>
      <c r="AE97" s="27">
        <f t="shared" si="15"/>
        <v>3.8541611900000001</v>
      </c>
      <c r="AF97" s="27">
        <f t="shared" si="16"/>
        <v>2.931452342</v>
      </c>
    </row>
    <row r="98" spans="2:32" s="72" customFormat="1" x14ac:dyDescent="0.2">
      <c r="B98" s="24" t="s">
        <v>364</v>
      </c>
      <c r="C98" s="25">
        <f>IF(VLOOKUP(B98,'Data yoy'!$A:$AW,MATCH($C$1,'Data yoy'!$A$1:$AW$1,),)=0,#N/A,VLOOKUP(B98,'Data yoy'!$A:$AW,MATCH($C$1,'Data yoy'!$A$1:$AW$1,),))</f>
        <v>5.5317363620000002</v>
      </c>
      <c r="D98" s="25">
        <f>IF(VLOOKUP(B98,'Data yoy'!$A:$AW,MATCH($D$1,'Data yoy'!$A$1:$AW$1,),)=0,#N/A,VLOOKUP(B98,'Data yoy'!$A:$AW,MATCH($D$1,'Data yoy'!$A$1:$AW$1,),))</f>
        <v>4</v>
      </c>
      <c r="E98" s="25">
        <f>IF(VLOOKUP(B98,'Data yoy'!$A:$AW,MATCH($E$1,'Data yoy'!$A$1:$AW$1,),)=0,#N/A,VLOOKUP(B98,'Data yoy'!$A:$AW,MATCH($E$1,'Data yoy'!$A$1:$AW$1,),))</f>
        <v>4.6070402640000001</v>
      </c>
      <c r="F98" s="25">
        <f>IF(VLOOKUP(B98,'Data yoy'!$A:$AW,MATCH($F$1,'Data yoy'!$A$1:$AW$1,),)=0,#N/A,VLOOKUP(B98,'Data yoy'!$A:$AW,MATCH($F$1,'Data yoy'!$A$1:$AW$1,),))</f>
        <v>0.68547249499999996</v>
      </c>
      <c r="G98" s="25">
        <f>IF(VLOOKUP(B98,'Data yoy'!$A:$AW,MATCH($G$1,'Data yoy'!$A$1:$AW$1,),)=0,#N/A,VLOOKUP(B98,'Data yoy'!$A:$AW,MATCH($G$1,'Data yoy'!$A$1:$AW$1,),))</f>
        <v>1.375282927</v>
      </c>
      <c r="H98" s="25">
        <f>IF(VLOOKUP(B98,'Data yoy'!$A:$AW,MATCH($H$1,'Data yoy'!$A$1:$AW$1,),)=0,#N/A,VLOOKUP(B98,'Data yoy'!$A:$AW,MATCH($H$1,'Data yoy'!$A$1:$AW$1,),))</f>
        <v>5.4201401960000002</v>
      </c>
      <c r="I98" s="25">
        <f>IF(VLOOKUP(B98,'Data yoy'!$A:$AW,MATCH($I$1,'Data yoy'!$A$1:$AW$1,),)=0,#N/A,VLOOKUP(B98,'Data yoy'!$A:$AW,MATCH($I$1,'Data yoy'!$A$1:$AW$1,),))</f>
        <v>6.4601759870000004</v>
      </c>
      <c r="J98" s="25">
        <f>IF(VLOOKUP(B98,'Data yoy'!$A:$AW,MATCH($J$1,'Data yoy'!$A$1:$AW$1,),)=0,#N/A,VLOOKUP(B98,'Data yoy'!$A:$AW,MATCH($J$1,'Data yoy'!$A$1:$AW$1,),))</f>
        <v>6.3964973929999998</v>
      </c>
      <c r="K98" s="25">
        <f>IF(VLOOKUP(B98,'Data yoy'!$A:$AW,MATCH($K$1,'Data yoy'!$A$1:$AW$1,),)=0,#N/A,VLOOKUP(B98,'Data yoy'!$A:$AW,MATCH($K$1,'Data yoy'!$A$1:$AW$1,),))</f>
        <v>5.233834699</v>
      </c>
      <c r="L98" s="25">
        <f>IF(VLOOKUP(B98,'Data yoy'!$A:$AW,MATCH($L$1,'Data yoy'!$A$1:$AW$1,),)=0,#N/A,VLOOKUP(B98,'Data yoy'!$A:$AW,MATCH($L$1,'Data yoy'!$A$1:$AW$1,),))</f>
        <v>5.8714568859999998</v>
      </c>
      <c r="M98" s="25">
        <f>IF(VLOOKUP(B98,'Data yoy'!$A:$AW,MATCH($M$1,'Data yoy'!$A$1:$AW$1,),)=0,#N/A,VLOOKUP(B98,'Data yoy'!$A:$AW,MATCH($M$1,'Data yoy'!$A$1:$AW$1,),))</f>
        <v>2.7472122040000002</v>
      </c>
      <c r="N98" s="25" t="e">
        <f>IF(VLOOKUP(B98,'Data yoy'!$A:$AW,MATCH($N$1,'Data yoy'!$A$1:$AW$1,),)=0,#N/A,VLOOKUP(B98,'Data yoy'!$A:$AW,MATCH($N$1,'Data yoy'!$A$1:$AW$1,),))</f>
        <v>#N/A</v>
      </c>
      <c r="O98" s="25" t="e">
        <f>IF(VLOOKUP(B98,'Data yoy'!$A:$AW,MATCH($O$1,'Data yoy'!$A$1:$AW$1,),)=0,#N/A,VLOOKUP(B98,'Data yoy'!$A:$AW,MATCH($O$1,'Data yoy'!$A$1:$AW$1,),))</f>
        <v>#N/A</v>
      </c>
      <c r="P98" s="25">
        <f>IF(VLOOKUP(B98,'Data yoy'!$A:$AW,MATCH($P$1,'Data yoy'!$A$1:$AW$1,),)=0,#N/A,VLOOKUP(B98,'Data yoy'!$A:$AW,MATCH($P$1,'Data yoy'!$A$1:$AW$1,),))</f>
        <v>3.3643720070000001</v>
      </c>
      <c r="Q98" s="25" t="e">
        <f>IF(VLOOKUP(B98,'Data yoy'!$A:$AW,MATCH($Q$1,'Data yoy'!$A$1:$AW$1,),)=0,#N/A,VLOOKUP(B98,'Data yoy'!$A:$AW,MATCH($Q$1,'Data yoy'!$A$1:$AW$1,),))</f>
        <v>#N/A</v>
      </c>
      <c r="R98" s="25" t="e">
        <f>IF(VLOOKUP(B98,'Data yoy'!$A:$AW,MATCH($R$1,'Data yoy'!$A$1:$AW$1,),)=0,#N/A,VLOOKUP(B98,'Data yoy'!$A:$AW,MATCH($R$1,'Data yoy'!$A$1:$AW$1,),))</f>
        <v>#N/A</v>
      </c>
      <c r="S98" s="25">
        <f>IF(VLOOKUP(B98,'Data yoy'!$A:$AW,MATCH($S$1,'Data yoy'!$A$1:$AW$1,),)=0,#N/A,VLOOKUP(B98,'Data yoy'!$A:$AW,MATCH($S$1,'Data yoy'!$A$1:$AW$1,),))</f>
        <v>3.9939059370000001</v>
      </c>
      <c r="T98" s="25" t="e">
        <f>IF(VLOOKUP(B98,'Data yoy'!$A:$AW,MATCH($T$1,'Data yoy'!$A$1:$AW$1,),)=0,#N/A,VLOOKUP(B98,'Data yoy'!$A:$AW,MATCH($T$1,'Data yoy'!$A$1:$AW$1,),))</f>
        <v>#N/A</v>
      </c>
      <c r="U98" s="25" t="e">
        <f>IF(VLOOKUP(B98,'Data yoy'!$A:$AW,MATCH($U$1,'Data yoy'!$A$1:$AW$1,),)=0,#N/A,VLOOKUP(B98,'Data yoy'!$A:$AW,MATCH($U$1,'Data yoy'!$A$1:$AW$1,),))</f>
        <v>#N/A</v>
      </c>
      <c r="V98" s="25" t="e">
        <f>IF(VLOOKUP(B98,'Data yoy'!$A:$AW,MATCH($V$1,'Data yoy'!$A$1:$AW$1,),)=0,#N/A,VLOOKUP(B98,'Data yoy'!$A:$AW,MATCH($V$1,'Data yoy'!$A$1:$AW$1,),))</f>
        <v>#N/A</v>
      </c>
      <c r="W98" s="25" t="e">
        <f>IF(VLOOKUP(B98,'Data yoy'!$A:$AW,MATCH($W$1,'Data yoy'!$A$1:$AW$1,),)=0,#N/A,VLOOKUP(B98,'Data yoy'!$A:$AW,MATCH($W$1,'Data yoy'!$A$1:$AW$1,),))</f>
        <v>#N/A</v>
      </c>
      <c r="X98" s="25">
        <f>IF(VLOOKUP(B98,'Data yoy'!$A:$AW,MATCH($X$1,'Data yoy'!$A$1:$AW$1,),)=0,#N/A,VLOOKUP(B98,'Data yoy'!$A:$AW,MATCH($X$1,'Data yoy'!$A$1:$AW$1,),))</f>
        <v>3.3851317939999999</v>
      </c>
      <c r="Y98" s="25" t="e">
        <f>IF(VLOOKUP(B98,'Data yoy'!$A:$AW,MATCH($Y$1,'Data yoy'!$A$1:$AW$1,),)=0,#N/A,VLOOKUP(B98,'Data yoy'!$A:$AW,MATCH($Y$1,'Data yoy'!$A$1:$AW$1,),))</f>
        <v>#N/A</v>
      </c>
      <c r="Z98" s="25" t="e">
        <f>IF(VLOOKUP(B98,'Data yoy'!$A:$AW,MATCH($Z$1,'Data yoy'!$A$1:$AW$1,),)=0,#N/A,VLOOKUP(B98,'Data yoy'!$A:$AW,MATCH($Z$1,'Data yoy'!$A$1:$AW$1,),))</f>
        <v>#N/A</v>
      </c>
      <c r="AA98" s="25" t="e">
        <f>IF(VLOOKUP(B98,'Data yoy'!$A:$AW,MATCH($AA$1,'Data yoy'!$A$1:$AW$1,),)=0,#N/A,VLOOKUP(B98,'Data yoy'!$A:$AW,MATCH($AA$1,'Data yoy'!$A$1:$AW$1,),))</f>
        <v>#N/A</v>
      </c>
      <c r="AC98" s="26" t="str">
        <f t="shared" si="13"/>
        <v>2021-Q4</v>
      </c>
      <c r="AD98" s="27">
        <f t="shared" si="14"/>
        <v>6.4601759870000004</v>
      </c>
      <c r="AE98" s="27">
        <f t="shared" si="15"/>
        <v>4.6070402640000001</v>
      </c>
      <c r="AF98" s="27">
        <f t="shared" si="16"/>
        <v>1.8531357230000003</v>
      </c>
    </row>
    <row r="99" spans="2:32" s="72" customFormat="1" x14ac:dyDescent="0.2"/>
    <row r="100" spans="2:32" s="72" customFormat="1" x14ac:dyDescent="0.2"/>
    <row r="101" spans="2:32" s="72" customFormat="1" x14ac:dyDescent="0.2"/>
    <row r="102" spans="2:32" s="72" customFormat="1" x14ac:dyDescent="0.2"/>
    <row r="103" spans="2:32" s="72" customFormat="1" x14ac:dyDescent="0.2"/>
    <row r="104" spans="2:32" s="72" customFormat="1" x14ac:dyDescent="0.2"/>
    <row r="105" spans="2:32" s="72" customFormat="1" x14ac:dyDescent="0.2"/>
    <row r="106" spans="2:32" s="72" customFormat="1" x14ac:dyDescent="0.2"/>
    <row r="107" spans="2:32" s="72" customFormat="1" x14ac:dyDescent="0.2"/>
    <row r="108" spans="2:32" s="72" customFormat="1" x14ac:dyDescent="0.2"/>
    <row r="109" spans="2:32" s="72" customFormat="1" x14ac:dyDescent="0.2"/>
    <row r="110" spans="2:32" s="72" customFormat="1" x14ac:dyDescent="0.2"/>
    <row r="111" spans="2:32" s="72" customFormat="1" x14ac:dyDescent="0.2"/>
    <row r="112" spans="2:32"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40" zoomScaleNormal="140" workbookViewId="0">
      <pane ySplit="3" topLeftCell="A4" activePane="bottomLeft" state="frozen"/>
      <selection pane="bottomLeft" activeCell="AB71" sqref="AB71"/>
    </sheetView>
  </sheetViews>
  <sheetFormatPr baseColWidth="10" defaultColWidth="8.83203125" defaultRowHeight="15" x14ac:dyDescent="0.2"/>
  <cols>
    <col min="1" max="1" width="9.1640625" style="72" customWidth="1"/>
    <col min="2" max="2" width="13.6640625" style="68" customWidth="1"/>
    <col min="3" max="27" width="6.1640625" style="68" customWidth="1"/>
    <col min="28" max="28" width="6.1640625" style="72" customWidth="1"/>
    <col min="29" max="30" width="15.33203125" style="72" customWidth="1"/>
    <col min="31" max="31" width="10.6640625" style="72" bestFit="1" customWidth="1"/>
    <col min="32" max="72" width="9.1640625" style="72"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2">
      <c r="AD2" s="72" t="s">
        <v>565</v>
      </c>
      <c r="AE2" s="3" t="str">
        <f>'Table yoy'!AE2</f>
        <v>2021-Q3</v>
      </c>
      <c r="AH2" s="72" t="s">
        <v>586</v>
      </c>
    </row>
    <row r="3" spans="2: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D3" s="11" t="s">
        <v>575</v>
      </c>
      <c r="AE3" s="12" t="str">
        <f>'Table yoy'!AE3</f>
        <v>2021-Q3</v>
      </c>
    </row>
    <row r="4" spans="2:34" ht="16" customHeight="1" thickBot="1" x14ac:dyDescent="0.25">
      <c r="B4" s="4" t="s">
        <v>576</v>
      </c>
      <c r="C4" s="13">
        <f t="shared" ref="C4:AA4" si="0">MAX(C90:C93)</f>
        <v>7.547534636</v>
      </c>
      <c r="D4" s="13">
        <f t="shared" si="0"/>
        <v>10.7</v>
      </c>
      <c r="E4" s="13">
        <f t="shared" si="0"/>
        <v>12.550886</v>
      </c>
      <c r="F4" s="13">
        <f t="shared" si="0"/>
        <v>5.1086881039999996</v>
      </c>
      <c r="G4" s="13">
        <f t="shared" si="0"/>
        <v>9.043062505</v>
      </c>
      <c r="H4" s="13">
        <f t="shared" si="0"/>
        <v>18.521750099999998</v>
      </c>
      <c r="I4" s="13">
        <f t="shared" si="0"/>
        <v>17.57247971</v>
      </c>
      <c r="J4" s="13">
        <f t="shared" si="0"/>
        <v>15.621339324999999</v>
      </c>
      <c r="K4" s="13">
        <f t="shared" si="0"/>
        <v>16.798457004999999</v>
      </c>
      <c r="L4" s="13">
        <f t="shared" si="0"/>
        <v>6.899812968</v>
      </c>
      <c r="M4" s="13">
        <f t="shared" si="0"/>
        <v>13.770805801</v>
      </c>
      <c r="N4" s="13">
        <f t="shared" si="0"/>
        <v>2.7780786000000002</v>
      </c>
      <c r="O4" s="13">
        <f t="shared" si="0"/>
        <v>16.798457004999999</v>
      </c>
      <c r="P4" s="13">
        <f t="shared" si="0"/>
        <v>8.9839583770000004</v>
      </c>
      <c r="Q4" s="13">
        <f t="shared" si="0"/>
        <v>3.416049809</v>
      </c>
      <c r="R4" s="13">
        <f t="shared" si="0"/>
        <v>6.3172821609999996</v>
      </c>
      <c r="S4" s="13">
        <f t="shared" si="0"/>
        <v>2.2334243909999998</v>
      </c>
      <c r="T4" s="13">
        <f t="shared" si="0"/>
        <v>7.7682806729999996</v>
      </c>
      <c r="U4" s="13">
        <f t="shared" si="0"/>
        <v>5.5862566420000004</v>
      </c>
      <c r="V4" s="13">
        <f t="shared" si="0"/>
        <v>9.4687302169999992</v>
      </c>
      <c r="W4" s="13">
        <f t="shared" si="0"/>
        <v>16.400501818999999</v>
      </c>
      <c r="X4" s="13">
        <f t="shared" si="0"/>
        <v>6.7526521910000001</v>
      </c>
      <c r="Y4" s="13">
        <f t="shared" si="0"/>
        <v>7.5363926409999999</v>
      </c>
      <c r="Z4" s="13">
        <f t="shared" si="0"/>
        <v>11.907713151999999</v>
      </c>
      <c r="AA4" s="13">
        <f t="shared" si="0"/>
        <v>13.854537372999999</v>
      </c>
      <c r="AD4" s="14" t="s">
        <v>577</v>
      </c>
      <c r="AE4" s="15" t="str">
        <f>'Table yoy'!AE4</f>
        <v>2020-Q4</v>
      </c>
    </row>
    <row r="5" spans="2:34" x14ac:dyDescent="0.2">
      <c r="B5" s="4" t="s">
        <v>578</v>
      </c>
      <c r="C5" s="13">
        <f t="shared" ref="C5:AA5" si="1">MIN(C90:C93)</f>
        <v>-8.9372505009999994</v>
      </c>
      <c r="D5" s="13">
        <f t="shared" si="1"/>
        <v>-9.5</v>
      </c>
      <c r="E5" s="13">
        <f t="shared" si="1"/>
        <v>-11.68216</v>
      </c>
      <c r="F5" s="13">
        <f t="shared" si="1"/>
        <v>-8.0476667709999994</v>
      </c>
      <c r="G5" s="13">
        <f t="shared" si="1"/>
        <v>-9.9962156110000002</v>
      </c>
      <c r="H5" s="13">
        <f t="shared" si="1"/>
        <v>-13.464232561999999</v>
      </c>
      <c r="I5" s="13">
        <f t="shared" si="1"/>
        <v>-19.449477922</v>
      </c>
      <c r="J5" s="13">
        <f t="shared" si="1"/>
        <v>-12.870385778999999</v>
      </c>
      <c r="K5" s="13">
        <f t="shared" si="1"/>
        <v>-17.652092760999999</v>
      </c>
      <c r="L5" s="13">
        <f t="shared" si="1"/>
        <v>-7.8700179889999999</v>
      </c>
      <c r="M5" s="13">
        <f t="shared" si="1"/>
        <v>-17.782610597000001</v>
      </c>
      <c r="N5" s="13">
        <f t="shared" si="1"/>
        <v>-4.4850020739999996</v>
      </c>
      <c r="O5" s="13">
        <f t="shared" si="1"/>
        <v>-17.652092760999999</v>
      </c>
      <c r="P5" s="13">
        <f t="shared" si="1"/>
        <v>-11.042537245</v>
      </c>
      <c r="Q5" s="13">
        <f t="shared" si="1"/>
        <v>-6.7928193090000004</v>
      </c>
      <c r="R5" s="13">
        <f t="shared" si="1"/>
        <v>-6.1551224170000003</v>
      </c>
      <c r="S5" s="13">
        <f t="shared" si="1"/>
        <v>-3.1507382079999999</v>
      </c>
      <c r="T5" s="13">
        <f t="shared" si="1"/>
        <v>-8.8542618740000005</v>
      </c>
      <c r="U5" s="13">
        <f t="shared" si="1"/>
        <v>-14.152196136000001</v>
      </c>
      <c r="V5" s="13">
        <f t="shared" si="1"/>
        <v>-3.3176466630000001</v>
      </c>
      <c r="W5" s="13">
        <f t="shared" si="1"/>
        <v>-10.769850757</v>
      </c>
      <c r="X5" s="13">
        <f t="shared" si="1"/>
        <v>-8.9098688030000002</v>
      </c>
      <c r="Y5" s="13">
        <f t="shared" si="1"/>
        <v>-9.2164320370000006</v>
      </c>
      <c r="Z5" s="13">
        <f t="shared" si="1"/>
        <v>-15.119921737</v>
      </c>
      <c r="AA5" s="13">
        <f t="shared" si="1"/>
        <v>-10.269196739</v>
      </c>
      <c r="AC5" s="16" t="s">
        <v>579</v>
      </c>
      <c r="AE5" s="17"/>
    </row>
    <row r="6" spans="2:34" x14ac:dyDescent="0.2">
      <c r="B6" s="4" t="s">
        <v>580</v>
      </c>
      <c r="C6" s="13">
        <f t="shared" ref="C6:AA6" si="2">AVERAGE(C90:C93)</f>
        <v>-0.55605024825000005</v>
      </c>
      <c r="D6" s="13">
        <f t="shared" si="2"/>
        <v>1.4249999999999998</v>
      </c>
      <c r="E6" s="13">
        <f t="shared" si="2"/>
        <v>-0.65143875000000007</v>
      </c>
      <c r="F6" s="13">
        <f t="shared" si="2"/>
        <v>-1.25584752725</v>
      </c>
      <c r="G6" s="13">
        <f t="shared" si="2"/>
        <v>-0.69788582450000014</v>
      </c>
      <c r="H6" s="13">
        <f t="shared" si="2"/>
        <v>-0.24147275875000052</v>
      </c>
      <c r="I6" s="13">
        <f t="shared" si="2"/>
        <v>-1.1397789012499997</v>
      </c>
      <c r="J6" s="13">
        <f t="shared" si="2"/>
        <v>-0.84721707124999979</v>
      </c>
      <c r="K6" s="13">
        <f t="shared" si="2"/>
        <v>-1.4670705919999998</v>
      </c>
      <c r="L6" s="13">
        <f t="shared" si="2"/>
        <v>-0.3867574064999999</v>
      </c>
      <c r="M6" s="13">
        <f t="shared" si="2"/>
        <v>-1.5203593885000006</v>
      </c>
      <c r="N6" s="13">
        <f t="shared" si="2"/>
        <v>-0.58893363149999989</v>
      </c>
      <c r="O6" s="13">
        <f t="shared" si="2"/>
        <v>-1.4670705919999998</v>
      </c>
      <c r="P6" s="13">
        <f t="shared" si="2"/>
        <v>-0.97879943074999964</v>
      </c>
      <c r="Q6" s="13">
        <f t="shared" si="2"/>
        <v>-0.81995099575000008</v>
      </c>
      <c r="R6" s="13">
        <f t="shared" si="2"/>
        <v>-0.23276363300000025</v>
      </c>
      <c r="S6" s="13">
        <f t="shared" si="2"/>
        <v>-0.22259142250000008</v>
      </c>
      <c r="T6" s="13">
        <f t="shared" si="2"/>
        <v>-0.7562983347500003</v>
      </c>
      <c r="U6" s="13">
        <f t="shared" si="2"/>
        <v>-2.5960852867500002</v>
      </c>
      <c r="V6" s="13">
        <f t="shared" si="2"/>
        <v>2.7555974784999999</v>
      </c>
      <c r="W6" s="13">
        <f t="shared" si="2"/>
        <v>1.8603809869999997</v>
      </c>
      <c r="X6" s="13">
        <f t="shared" si="2"/>
        <v>-1.2250911302499998</v>
      </c>
      <c r="Y6" s="13">
        <f t="shared" si="2"/>
        <v>-0.30531279200000028</v>
      </c>
      <c r="Z6" s="13">
        <f t="shared" si="2"/>
        <v>-2.2109459102500004</v>
      </c>
      <c r="AA6" s="13">
        <f t="shared" si="2"/>
        <v>0.66257549374999991</v>
      </c>
      <c r="AC6" s="18"/>
      <c r="AD6" s="72" t="s">
        <v>581</v>
      </c>
      <c r="AE6" s="17" t="s">
        <v>64</v>
      </c>
    </row>
    <row r="7" spans="2:34" ht="16" customHeight="1" thickBot="1" x14ac:dyDescent="0.25">
      <c r="B7" s="4" t="s">
        <v>582</v>
      </c>
      <c r="C7" s="13" t="str">
        <f t="shared" ref="C7:Y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below</v>
      </c>
      <c r="O7" s="13" t="str">
        <f t="shared" si="3"/>
        <v>above</v>
      </c>
      <c r="P7" s="13" t="str">
        <f t="shared" si="3"/>
        <v>above</v>
      </c>
      <c r="Q7" s="13" t="str">
        <f t="shared" si="3"/>
        <v>below</v>
      </c>
      <c r="R7" s="13" t="str">
        <f t="shared" si="3"/>
        <v>above</v>
      </c>
      <c r="S7" s="13" t="str">
        <f t="shared" si="3"/>
        <v>above</v>
      </c>
      <c r="T7" s="13" t="str">
        <f t="shared" si="3"/>
        <v>above</v>
      </c>
      <c r="U7" s="13" t="str">
        <f t="shared" si="3"/>
        <v>above</v>
      </c>
      <c r="V7" s="13" t="str">
        <f t="shared" si="3"/>
        <v>below</v>
      </c>
      <c r="W7" s="13" t="str">
        <f t="shared" si="3"/>
        <v>above</v>
      </c>
      <c r="X7" s="13" t="str">
        <f t="shared" si="3"/>
        <v>above</v>
      </c>
      <c r="Y7" s="13" t="str">
        <f t="shared" si="3"/>
        <v>above</v>
      </c>
      <c r="Z7" s="13" t="str">
        <f>IF((VLOOKUP($AE$2,$B:$Z,MATCH(Z3,$B$3:$Z$3,),))&gt;Z6,"above","below")</f>
        <v>above</v>
      </c>
      <c r="AA7" s="13" t="str">
        <f>IF((VLOOKUP($AE$2,$B:$AA,MATCH(AA3,$B$3:$AA$3,),))&gt;AA6,"above","below")</f>
        <v>below</v>
      </c>
      <c r="AC7" s="19"/>
      <c r="AD7" s="20" t="s">
        <v>583</v>
      </c>
      <c r="AE7" s="21" t="s">
        <v>31</v>
      </c>
    </row>
    <row r="8" spans="2:34" x14ac:dyDescent="0.2">
      <c r="B8" s="4" t="s">
        <v>584</v>
      </c>
      <c r="C8" s="13" t="e">
        <f t="shared" ref="C8:Y8" si="4">VLOOKUP($AE$2,$B:$Y,MATCH(C3,$B$3:$Y$3,),)-VLOOKUP($AE$4,$B:$Y,MATCH(C3,$B$3:$Y$3,),)</f>
        <v>#N/A</v>
      </c>
      <c r="D8" s="13" t="e">
        <f t="shared" si="4"/>
        <v>#N/A</v>
      </c>
      <c r="E8" s="13" t="e">
        <f t="shared" si="4"/>
        <v>#N/A</v>
      </c>
      <c r="F8" s="13" t="e">
        <f t="shared" si="4"/>
        <v>#N/A</v>
      </c>
      <c r="G8" s="13" t="e">
        <f t="shared" si="4"/>
        <v>#N/A</v>
      </c>
      <c r="H8" s="13" t="e">
        <f t="shared" si="4"/>
        <v>#N/A</v>
      </c>
      <c r="I8" s="13" t="e">
        <f t="shared" si="4"/>
        <v>#N/A</v>
      </c>
      <c r="J8" s="13" t="e">
        <f t="shared" si="4"/>
        <v>#N/A</v>
      </c>
      <c r="K8" s="13" t="e">
        <f t="shared" si="4"/>
        <v>#N/A</v>
      </c>
      <c r="L8" s="13" t="e">
        <f t="shared" si="4"/>
        <v>#N/A</v>
      </c>
      <c r="M8" s="13" t="e">
        <f t="shared" si="4"/>
        <v>#N/A</v>
      </c>
      <c r="N8" s="13" t="e">
        <f t="shared" si="4"/>
        <v>#N/A</v>
      </c>
      <c r="O8" s="13" t="e">
        <f t="shared" si="4"/>
        <v>#N/A</v>
      </c>
      <c r="P8" s="13" t="e">
        <f t="shared" si="4"/>
        <v>#N/A</v>
      </c>
      <c r="Q8" s="13" t="e">
        <f t="shared" si="4"/>
        <v>#N/A</v>
      </c>
      <c r="R8" s="13" t="e">
        <f t="shared" si="4"/>
        <v>#N/A</v>
      </c>
      <c r="S8" s="13" t="e">
        <f t="shared" si="4"/>
        <v>#N/A</v>
      </c>
      <c r="T8" s="13" t="e">
        <f t="shared" si="4"/>
        <v>#N/A</v>
      </c>
      <c r="U8" s="13" t="e">
        <f t="shared" si="4"/>
        <v>#N/A</v>
      </c>
      <c r="V8" s="13" t="e">
        <f t="shared" si="4"/>
        <v>#N/A</v>
      </c>
      <c r="W8" s="13" t="e">
        <f t="shared" si="4"/>
        <v>#N/A</v>
      </c>
      <c r="X8" s="13" t="e">
        <f t="shared" si="4"/>
        <v>#N/A</v>
      </c>
      <c r="Y8" s="13" t="e">
        <f t="shared" si="4"/>
        <v>#N/A</v>
      </c>
      <c r="Z8" s="13" t="e">
        <f>VLOOKUP($AE$2,$B:$Z,MATCH(Z3,$B$3:$Z$3,),)-VLOOKUP($AE$4,$B:$Z,MATCH(Z3,$B$3:$Z$3,),)</f>
        <v>#N/A</v>
      </c>
      <c r="AA8" s="13" t="e">
        <f>VLOOKUP($AE$2,$B:$AA,MATCH(AA3,$B$3:$AA$3,),)-VLOOKUP($AE$4,$B:$AA,MATCH(AA3,$B$3:$AA$3,),)</f>
        <v>#N/A</v>
      </c>
    </row>
    <row r="9" spans="2:34" x14ac:dyDescent="0.2">
      <c r="B9" s="4" t="s">
        <v>585</v>
      </c>
      <c r="C9" s="13">
        <f t="shared" ref="C9:Y9" si="5">VLOOKUP($AE$2,$B:$Y,MATCH(C3,$B$3:$Y$3,),)-VLOOKUP($AE$3,$B:$Y,MATCH(C3,$B$3:$Y$3,),)</f>
        <v>0</v>
      </c>
      <c r="D9" s="13">
        <f t="shared" si="5"/>
        <v>0</v>
      </c>
      <c r="E9" s="13">
        <f t="shared" si="5"/>
        <v>0</v>
      </c>
      <c r="F9" s="13">
        <f t="shared" si="5"/>
        <v>0</v>
      </c>
      <c r="G9" s="13">
        <f t="shared" si="5"/>
        <v>0</v>
      </c>
      <c r="H9" s="13">
        <f t="shared" si="5"/>
        <v>0</v>
      </c>
      <c r="I9" s="13">
        <f t="shared" si="5"/>
        <v>0</v>
      </c>
      <c r="J9" s="13">
        <f t="shared" si="5"/>
        <v>0</v>
      </c>
      <c r="K9" s="13">
        <f t="shared" si="5"/>
        <v>0</v>
      </c>
      <c r="L9" s="13">
        <f t="shared" si="5"/>
        <v>0</v>
      </c>
      <c r="M9" s="13">
        <f t="shared" si="5"/>
        <v>0</v>
      </c>
      <c r="N9" s="13">
        <f t="shared" si="5"/>
        <v>0</v>
      </c>
      <c r="O9" s="13">
        <f t="shared" si="5"/>
        <v>0</v>
      </c>
      <c r="P9" s="13">
        <f t="shared" si="5"/>
        <v>0</v>
      </c>
      <c r="Q9" s="13">
        <f t="shared" si="5"/>
        <v>0</v>
      </c>
      <c r="R9" s="13">
        <f t="shared" si="5"/>
        <v>0</v>
      </c>
      <c r="S9" s="13">
        <f t="shared" si="5"/>
        <v>0</v>
      </c>
      <c r="T9" s="13">
        <f t="shared" si="5"/>
        <v>0</v>
      </c>
      <c r="U9" s="13">
        <f t="shared" si="5"/>
        <v>0</v>
      </c>
      <c r="V9" s="13">
        <f t="shared" si="5"/>
        <v>0</v>
      </c>
      <c r="W9" s="13">
        <f t="shared" si="5"/>
        <v>0</v>
      </c>
      <c r="X9" s="13">
        <f t="shared" si="5"/>
        <v>0</v>
      </c>
      <c r="Y9" s="13">
        <f t="shared" si="5"/>
        <v>0</v>
      </c>
      <c r="Z9" s="13">
        <f>VLOOKUP($AE$2,$B:$Z,MATCH(Z3,$B$3:$Z$3,),)-VLOOKUP($AE$3,$B:$Z,MATCH(Z3,$B$3:$Z$3,),)</f>
        <v>0</v>
      </c>
      <c r="AA9" s="13">
        <f>VLOOKUP($AE$2,$B:$AA,MATCH(AA3,$B$3:$AA$3,),)-VLOOKUP($AE$3,$B:$AA,MATCH(AA3,$B$3:$AA$3,),)</f>
        <v>0</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277</v>
      </c>
      <c r="C11" s="25">
        <f>VLOOKUP(B11,'Data qoq'!$A:$AT,MATCH($C$1,'Data qoq'!$A$1:$AT$1,),)</f>
        <v>0.36444736100000003</v>
      </c>
      <c r="D11" s="25">
        <f>VLOOKUP(B11,'Data qoq'!$A:$AT,MATCH($D$1,'Data qoq'!$A$1:$AT$1,),)</f>
        <v>0</v>
      </c>
      <c r="E11" s="25">
        <f>VLOOKUP(B11,'Data qoq'!$A:$AT,MATCH($E$1,'Data qoq'!$A$1:$AT$1,),)</f>
        <v>1.212351</v>
      </c>
      <c r="F11" s="25">
        <f>VLOOKUP(B11,'Data qoq'!$A:$AT,MATCH($F$1,'Data qoq'!$A$1:$AT$1,),)</f>
        <v>1.697874044</v>
      </c>
      <c r="G11" s="25">
        <f>VLOOKUP(B11,'Data qoq'!$A:$AT,MATCH($G$1,'Data qoq'!$A$1:$AT$1,),)</f>
        <v>1.430876974</v>
      </c>
      <c r="H11" s="25">
        <f>VLOOKUP(B11,'Data qoq'!$A:$AT,MATCH($H$1,'Data qoq'!$A$1:$AT$1,),)</f>
        <v>0.90745361899999999</v>
      </c>
      <c r="I11" s="25">
        <f>VLOOKUP(B11,'Data qoq'!$A:$AT,MATCH($I$1,'Data qoq'!$A$1:$AT$1,),)</f>
        <v>0.98640668300000001</v>
      </c>
      <c r="J11" s="25">
        <f>VLOOKUP(B11,'Data qoq'!$A:$AT,MATCH($J$1,'Data qoq'!$A$1:$AT$1,),)</f>
        <v>1.021350086</v>
      </c>
      <c r="K11" s="25">
        <f>VLOOKUP(B11,'Data qoq'!$A:$AT,MATCH($K$1,'Data qoq'!$A$1:$AT$1,),)</f>
        <v>1.5996598479999999</v>
      </c>
      <c r="L11" s="25">
        <f>VLOOKUP(B11,'Data qoq'!$A:$AT,MATCH($L$1,'Data qoq'!$A$1:$AT$1,),)</f>
        <v>0.65931146100000004</v>
      </c>
      <c r="M11" s="25">
        <f>VLOOKUP(B11,'Data qoq'!$A:$AT,MATCH($M$1,'Data qoq'!$A$1:$AT$1,),)</f>
        <v>1.878067224</v>
      </c>
      <c r="N11" s="25">
        <f>VLOOKUP(B11,'Data qoq'!$A:$AT,MATCH($N$1,'Data qoq'!$A$1:$AT$1,),)</f>
        <v>0</v>
      </c>
      <c r="O11" s="25">
        <f>VLOOKUP(B11,'Data qoq'!$A:$AT,MATCH($C$1,'Data qoq'!$J$1:$AT$1,),)</f>
        <v>1.4554588479999999</v>
      </c>
      <c r="P11" s="25">
        <f>VLOOKUP(B11,'Data qoq'!$A:$AT,MATCH($P$1,'Data qoq'!$A$1:$AT$1,),)</f>
        <v>1.59973568</v>
      </c>
      <c r="Q11" s="25">
        <f>VLOOKUP(B11,'Data qoq'!$A:$AT,MATCH($Q$1,'Data qoq'!$A$1:$AT$1,),)</f>
        <v>0.40341783599999997</v>
      </c>
      <c r="R11" s="25">
        <f>VLOOKUP(B11,'Data qoq'!$A:$AT,MATCH($E$1,'Data qoq'!$A$1:$AT$1,),)</f>
        <v>1.212351</v>
      </c>
      <c r="S11" s="25">
        <f>VLOOKUP(B11,'Data qoq'!$A:$AT,MATCH($S$1,'Data qoq'!$A$1:$AT$1,),)</f>
        <v>1.895051738</v>
      </c>
      <c r="T11" s="25">
        <f>VLOOKUP(B11,'Data qoq'!$A:$AT,MATCH($T$1,'Data qoq'!$A$1:$AT$1,),)</f>
        <v>1.0500748870000001</v>
      </c>
      <c r="U11" s="25">
        <f>VLOOKUP(B11,'Data qoq'!$A:$AT,MATCH($U$1,'Data qoq'!$A$1:$AT$1,),)</f>
        <v>0.37966255999999998</v>
      </c>
      <c r="V11" s="25">
        <f>VLOOKUP(B11,'Data qoq'!$A:$AT,MATCH($V$1,'Data qoq'!$A$1:$AT$1,),)</f>
        <v>1.6589572480000001</v>
      </c>
      <c r="W11" s="25">
        <f>VLOOKUP(B11,'Data qoq'!$A:$AT,MATCH($W$1,'Data qoq'!$A$1:$AT$1,),)</f>
        <v>1.5748513790000001</v>
      </c>
      <c r="X11" s="25">
        <f>VLOOKUP(B11,'Data qoq'!$A:$AT,MATCH($X$1,'Data qoq'!$A$1:$AT$1,),)</f>
        <v>1.357098004</v>
      </c>
      <c r="Y11" s="25">
        <f>VLOOKUP(B11,'Data qoq'!$A:$AT,MATCH($Y$1,'Data qoq'!$A$1:$AT$1,),)</f>
        <v>-0.34101710499999999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-1.0664296129999999</v>
      </c>
      <c r="AE11" s="27">
        <f t="shared" ref="AE11:AE42" si="8">C11-G11</f>
        <v>-1.0664296129999999</v>
      </c>
    </row>
    <row r="12" spans="2:34" hidden="1" x14ac:dyDescent="0.2">
      <c r="B12" s="24" t="s">
        <v>278</v>
      </c>
      <c r="C12" s="25">
        <f>VLOOKUP(B12,'Data qoq'!$A:$AT,MATCH($C$1,'Data qoq'!$A$1:$AT$1,),)</f>
        <v>1.8205830080000001</v>
      </c>
      <c r="D12" s="25">
        <f>VLOOKUP(B12,'Data qoq'!$A:$AT,MATCH($D$1,'Data qoq'!$A$1:$AT$1,),)</f>
        <v>0</v>
      </c>
      <c r="E12" s="25">
        <f>VLOOKUP(B12,'Data qoq'!$A:$AT,MATCH($E$1,'Data qoq'!$A$1:$AT$1,),)</f>
        <v>0.91715599999999997</v>
      </c>
      <c r="F12" s="25">
        <f>VLOOKUP(B12,'Data qoq'!$A:$AT,MATCH($F$1,'Data qoq'!$A$1:$AT$1,),)</f>
        <v>0.473742045</v>
      </c>
      <c r="G12" s="25">
        <f>VLOOKUP(B12,'Data qoq'!$A:$AT,MATCH($G$1,'Data qoq'!$A$1:$AT$1,),)</f>
        <v>0.821432516</v>
      </c>
      <c r="H12" s="25">
        <f>VLOOKUP(B12,'Data qoq'!$A:$AT,MATCH($H$1,'Data qoq'!$A$1:$AT$1,),)</f>
        <v>0.98986602700000004</v>
      </c>
      <c r="I12" s="25">
        <f>VLOOKUP(B12,'Data qoq'!$A:$AT,MATCH($I$1,'Data qoq'!$A$1:$AT$1,),)</f>
        <v>0.64698476999999999</v>
      </c>
      <c r="J12" s="25">
        <f>VLOOKUP(B12,'Data qoq'!$A:$AT,MATCH($J$1,'Data qoq'!$A$1:$AT$1,),)</f>
        <v>0.81340988400000003</v>
      </c>
      <c r="K12" s="25">
        <f>VLOOKUP(B12,'Data qoq'!$A:$AT,MATCH($K$1,'Data qoq'!$A$1:$AT$1,),)</f>
        <v>1.2522319770000001</v>
      </c>
      <c r="L12" s="25">
        <f>VLOOKUP(B12,'Data qoq'!$A:$AT,MATCH($L$1,'Data qoq'!$A$1:$AT$1,),)</f>
        <v>2.5171457230000001</v>
      </c>
      <c r="M12" s="25">
        <f>VLOOKUP(B12,'Data qoq'!$A:$AT,MATCH($M$1,'Data qoq'!$A$1:$AT$1,),)</f>
        <v>1.511846563</v>
      </c>
      <c r="N12" s="25">
        <f>VLOOKUP(B12,'Data qoq'!$A:$AT,MATCH($N$1,'Data qoq'!$A$1:$AT$1,),)</f>
        <v>0</v>
      </c>
      <c r="O12" s="25">
        <f>VLOOKUP(B12,'Data qoq'!$A:$AT,MATCH($C$1,'Data qoq'!$J$1:$AT$1,),)</f>
        <v>4.8513164999999997E-2</v>
      </c>
      <c r="P12" s="25">
        <f>VLOOKUP(B12,'Data qoq'!$A:$AT,MATCH($P$1,'Data qoq'!$A$1:$AT$1,),)</f>
        <v>1.1885847089999999</v>
      </c>
      <c r="Q12" s="25">
        <f>VLOOKUP(B12,'Data qoq'!$A:$AT,MATCH($Q$1,'Data qoq'!$A$1:$AT$1,),)</f>
        <v>0.93695328600000005</v>
      </c>
      <c r="R12" s="25">
        <f>VLOOKUP(B12,'Data qoq'!$A:$AT,MATCH($E$1,'Data qoq'!$A$1:$AT$1,),)</f>
        <v>0.91715599999999997</v>
      </c>
      <c r="S12" s="25">
        <f>VLOOKUP(B12,'Data qoq'!$A:$AT,MATCH($S$1,'Data qoq'!$A$1:$AT$1,),)</f>
        <v>1.3325102150000001</v>
      </c>
      <c r="T12" s="25">
        <f>VLOOKUP(B12,'Data qoq'!$A:$AT,MATCH($T$1,'Data qoq'!$A$1:$AT$1,),)</f>
        <v>1.4110773599999999</v>
      </c>
      <c r="U12" s="25">
        <f>VLOOKUP(B12,'Data qoq'!$A:$AT,MATCH($U$1,'Data qoq'!$A$1:$AT$1,),)</f>
        <v>0.92199407799999999</v>
      </c>
      <c r="V12" s="25">
        <f>VLOOKUP(B12,'Data qoq'!$A:$AT,MATCH($V$1,'Data qoq'!$A$1:$AT$1,),)</f>
        <v>3.3815064010000002</v>
      </c>
      <c r="W12" s="25">
        <f>VLOOKUP(B12,'Data qoq'!$A:$AT,MATCH($W$1,'Data qoq'!$A$1:$AT$1,),)</f>
        <v>3.8933703569999998</v>
      </c>
      <c r="X12" s="25">
        <f>VLOOKUP(B12,'Data qoq'!$A:$AT,MATCH($X$1,'Data qoq'!$A$1:$AT$1,),)</f>
        <v>1.0430145470000001</v>
      </c>
      <c r="Y12" s="25">
        <f>VLOOKUP(B12,'Data qoq'!$A:$AT,MATCH($Y$1,'Data qoq'!$A$1:$AT$1,),)</f>
        <v>1.204583059</v>
      </c>
      <c r="Z12" s="25">
        <f>VLOOKUP(B12,'Data qoq'!$A:$AU,MATCH($Z$1,'Data qoq'!$A$1:$AU$1,),)</f>
        <v>-1.6088924600000001</v>
      </c>
      <c r="AA12" s="25" t="e">
        <f>VLOOKUP(C12,'Data qoq'!$A:$AU,MATCH($Z$1,'Data qoq'!$A$1:$AU$1,),)</f>
        <v>#N/A</v>
      </c>
      <c r="AC12" s="26" t="str">
        <f t="shared" si="6"/>
        <v>2000-Q2</v>
      </c>
      <c r="AD12" s="27">
        <f t="shared" si="7"/>
        <v>0.99915049200000006</v>
      </c>
      <c r="AE12" s="27">
        <f t="shared" si="8"/>
        <v>0.99915049200000006</v>
      </c>
    </row>
    <row r="13" spans="2:34" hidden="1" x14ac:dyDescent="0.2">
      <c r="B13" s="24" t="s">
        <v>279</v>
      </c>
      <c r="C13" s="25">
        <f>VLOOKUP(B13,'Data qoq'!$A:$AT,MATCH($C$1,'Data qoq'!$A$1:$AT$1,),)</f>
        <v>9.9774128000000004E-2</v>
      </c>
      <c r="D13" s="25">
        <f>VLOOKUP(B13,'Data qoq'!$A:$AT,MATCH($D$1,'Data qoq'!$A$1:$AT$1,),)</f>
        <v>0</v>
      </c>
      <c r="E13" s="25">
        <f>VLOOKUP(B13,'Data qoq'!$A:$AT,MATCH($E$1,'Data qoq'!$A$1:$AT$1,),)</f>
        <v>0.53998599999999997</v>
      </c>
      <c r="F13" s="25">
        <f>VLOOKUP(B13,'Data qoq'!$A:$AT,MATCH($F$1,'Data qoq'!$A$1:$AT$1,),)</f>
        <v>2.5553083000000001E-2</v>
      </c>
      <c r="G13" s="25">
        <f>VLOOKUP(B13,'Data qoq'!$A:$AT,MATCH($G$1,'Data qoq'!$A$1:$AT$1,),)</f>
        <v>-2.3611874000000001E-2</v>
      </c>
      <c r="H13" s="25">
        <f>VLOOKUP(B13,'Data qoq'!$A:$AT,MATCH($H$1,'Data qoq'!$A$1:$AT$1,),)</f>
        <v>0.6242801</v>
      </c>
      <c r="I13" s="25">
        <f>VLOOKUP(B13,'Data qoq'!$A:$AT,MATCH($I$1,'Data qoq'!$A$1:$AT$1,),)</f>
        <v>0.38235993800000001</v>
      </c>
      <c r="J13" s="25">
        <f>VLOOKUP(B13,'Data qoq'!$A:$AT,MATCH($J$1,'Data qoq'!$A$1:$AT$1,),)</f>
        <v>0.61353429999999998</v>
      </c>
      <c r="K13" s="25">
        <f>VLOOKUP(B13,'Data qoq'!$A:$AT,MATCH($K$1,'Data qoq'!$A$1:$AT$1,),)</f>
        <v>1.0792242439999999</v>
      </c>
      <c r="L13" s="25">
        <f>VLOOKUP(B13,'Data qoq'!$A:$AT,MATCH($L$1,'Data qoq'!$A$1:$AT$1,),)</f>
        <v>0.78953867099999997</v>
      </c>
      <c r="M13" s="25">
        <f>VLOOKUP(B13,'Data qoq'!$A:$AT,MATCH($M$1,'Data qoq'!$A$1:$AT$1,),)</f>
        <v>1.020215334</v>
      </c>
      <c r="N13" s="25">
        <f>VLOOKUP(B13,'Data qoq'!$A:$AT,MATCH($N$1,'Data qoq'!$A$1:$AT$1,),)</f>
        <v>0</v>
      </c>
      <c r="O13" s="25">
        <f>VLOOKUP(B13,'Data qoq'!$A:$AT,MATCH($C$1,'Data qoq'!$J$1:$AT$1,),)</f>
        <v>0.39117692300000001</v>
      </c>
      <c r="P13" s="25">
        <f>VLOOKUP(B13,'Data qoq'!$A:$AT,MATCH($P$1,'Data qoq'!$A$1:$AT$1,),)</f>
        <v>1.0169817880000001</v>
      </c>
      <c r="Q13" s="25">
        <f>VLOOKUP(B13,'Data qoq'!$A:$AT,MATCH($Q$1,'Data qoq'!$A$1:$AT$1,),)</f>
        <v>0.24687658600000001</v>
      </c>
      <c r="R13" s="25">
        <f>VLOOKUP(B13,'Data qoq'!$A:$AT,MATCH($E$1,'Data qoq'!$A$1:$AT$1,),)</f>
        <v>0.53998599999999997</v>
      </c>
      <c r="S13" s="25">
        <f>VLOOKUP(B13,'Data qoq'!$A:$AT,MATCH($S$1,'Data qoq'!$A$1:$AT$1,),)</f>
        <v>2.754591172</v>
      </c>
      <c r="T13" s="25">
        <f>VLOOKUP(B13,'Data qoq'!$A:$AT,MATCH($T$1,'Data qoq'!$A$1:$AT$1,),)</f>
        <v>1.179862953</v>
      </c>
      <c r="U13" s="25">
        <f>VLOOKUP(B13,'Data qoq'!$A:$AT,MATCH($U$1,'Data qoq'!$A$1:$AT$1,),)</f>
        <v>1.8684096670000001</v>
      </c>
      <c r="V13" s="25">
        <f>VLOOKUP(B13,'Data qoq'!$A:$AT,MATCH($V$1,'Data qoq'!$A$1:$AT$1,),)</f>
        <v>1.596829058</v>
      </c>
      <c r="W13" s="25">
        <f>VLOOKUP(B13,'Data qoq'!$A:$AT,MATCH($W$1,'Data qoq'!$A$1:$AT$1,),)</f>
        <v>1.4893164219999999</v>
      </c>
      <c r="X13" s="25">
        <f>VLOOKUP(B13,'Data qoq'!$A:$AT,MATCH($X$1,'Data qoq'!$A$1:$AT$1,),)</f>
        <v>1.3601614339999999</v>
      </c>
      <c r="Y13" s="25">
        <f>VLOOKUP(B13,'Data qoq'!$A:$AT,MATCH($Y$1,'Data qoq'!$A$1:$AT$1,),)</f>
        <v>0.38722675899999998</v>
      </c>
      <c r="Z13" s="25">
        <f>VLOOKUP(B13,'Data qoq'!$A:$AU,MATCH($Z$1,'Data qoq'!$A$1:$AU$1,),)</f>
        <v>-0.25518508200000001</v>
      </c>
      <c r="AA13" s="25">
        <f>VLOOKUP(B13,'Data qoq'!$A:$AU,MATCH($AA$1,'Data qoq'!$A$1:$AU$1,),)</f>
        <v>0.39117692300000001</v>
      </c>
      <c r="AC13" s="26" t="str">
        <f t="shared" si="6"/>
        <v>2000-Q3</v>
      </c>
      <c r="AD13" s="27">
        <f t="shared" si="7"/>
        <v>0.12338600200000001</v>
      </c>
      <c r="AE13" s="27">
        <f t="shared" si="8"/>
        <v>0.12338600200000001</v>
      </c>
    </row>
    <row r="14" spans="2:34" hidden="1" x14ac:dyDescent="0.2">
      <c r="B14" s="24" t="s">
        <v>280</v>
      </c>
      <c r="C14" s="25">
        <f>VLOOKUP(B14,'Data qoq'!$A:$AT,MATCH($C$1,'Data qoq'!$A$1:$AT$1,),)</f>
        <v>0.59436175499999999</v>
      </c>
      <c r="D14" s="25">
        <f>VLOOKUP(B14,'Data qoq'!$A:$AT,MATCH($D$1,'Data qoq'!$A$1:$AT$1,),)</f>
        <v>0</v>
      </c>
      <c r="E14" s="25">
        <f>VLOOKUP(B14,'Data qoq'!$A:$AT,MATCH($E$1,'Data qoq'!$A$1:$AT$1,),)</f>
        <v>0.66749499999999995</v>
      </c>
      <c r="F14" s="25">
        <f>VLOOKUP(B14,'Data qoq'!$A:$AT,MATCH($F$1,'Data qoq'!$A$1:$AT$1,),)</f>
        <v>0.97188883599999998</v>
      </c>
      <c r="G14" s="25">
        <f>VLOOKUP(B14,'Data qoq'!$A:$AT,MATCH($G$1,'Data qoq'!$A$1:$AT$1,),)</f>
        <v>-0.30707993500000003</v>
      </c>
      <c r="H14" s="25">
        <f>VLOOKUP(B14,'Data qoq'!$A:$AT,MATCH($H$1,'Data qoq'!$A$1:$AT$1,),)</f>
        <v>0.81548570899999995</v>
      </c>
      <c r="I14" s="25">
        <f>VLOOKUP(B14,'Data qoq'!$A:$AT,MATCH($I$1,'Data qoq'!$A$1:$AT$1,),)</f>
        <v>0.28586088100000001</v>
      </c>
      <c r="J14" s="25">
        <f>VLOOKUP(B14,'Data qoq'!$A:$AT,MATCH($J$1,'Data qoq'!$A$1:$AT$1,),)</f>
        <v>1.444006377</v>
      </c>
      <c r="K14" s="25">
        <f>VLOOKUP(B14,'Data qoq'!$A:$AT,MATCH($K$1,'Data qoq'!$A$1:$AT$1,),)</f>
        <v>1.0304453899999999</v>
      </c>
      <c r="L14" s="25">
        <f>VLOOKUP(B14,'Data qoq'!$A:$AT,MATCH($L$1,'Data qoq'!$A$1:$AT$1,),)</f>
        <v>-0.29831542900000002</v>
      </c>
      <c r="M14" s="25">
        <f>VLOOKUP(B14,'Data qoq'!$A:$AT,MATCH($M$1,'Data qoq'!$A$1:$AT$1,),)</f>
        <v>-0.86520578999999997</v>
      </c>
      <c r="N14" s="25">
        <f>VLOOKUP(B14,'Data qoq'!$A:$AT,MATCH($N$1,'Data qoq'!$A$1:$AT$1,),)</f>
        <v>0</v>
      </c>
      <c r="O14" s="25">
        <f>VLOOKUP(B14,'Data qoq'!$A:$AT,MATCH($C$1,'Data qoq'!$J$1:$AT$1,),)</f>
        <v>0.19675854600000001</v>
      </c>
      <c r="P14" s="25">
        <f>VLOOKUP(B14,'Data qoq'!$A:$AT,MATCH($P$1,'Data qoq'!$A$1:$AT$1,),)</f>
        <v>0.17120740000000001</v>
      </c>
      <c r="Q14" s="25">
        <f>VLOOKUP(B14,'Data qoq'!$A:$AT,MATCH($Q$1,'Data qoq'!$A$1:$AT$1,),)</f>
        <v>-0.35428711200000002</v>
      </c>
      <c r="R14" s="25">
        <f>VLOOKUP(B14,'Data qoq'!$A:$AT,MATCH($E$1,'Data qoq'!$A$1:$AT$1,),)</f>
        <v>0.66749499999999995</v>
      </c>
      <c r="S14" s="25">
        <f>VLOOKUP(B14,'Data qoq'!$A:$AT,MATCH($S$1,'Data qoq'!$A$1:$AT$1,),)</f>
        <v>-0.32445797199999998</v>
      </c>
      <c r="T14" s="25">
        <f>VLOOKUP(B14,'Data qoq'!$A:$AT,MATCH($T$1,'Data qoq'!$A$1:$AT$1,),)</f>
        <v>1.2270032150000001</v>
      </c>
      <c r="U14" s="25">
        <f>VLOOKUP(B14,'Data qoq'!$A:$AT,MATCH($U$1,'Data qoq'!$A$1:$AT$1,),)</f>
        <v>1.418925598</v>
      </c>
      <c r="V14" s="25">
        <f>VLOOKUP(B14,'Data qoq'!$A:$AT,MATCH($V$1,'Data qoq'!$A$1:$AT$1,),)</f>
        <v>0.37338458299999999</v>
      </c>
      <c r="W14" s="25">
        <f>VLOOKUP(B14,'Data qoq'!$A:$AT,MATCH($W$1,'Data qoq'!$A$1:$AT$1,),)</f>
        <v>1.436633405</v>
      </c>
      <c r="X14" s="25">
        <f>VLOOKUP(B14,'Data qoq'!$A:$AT,MATCH($X$1,'Data qoq'!$A$1:$AT$1,),)</f>
        <v>0.40518897100000001</v>
      </c>
      <c r="Y14" s="25">
        <f>VLOOKUP(B14,'Data qoq'!$A:$AT,MATCH($Y$1,'Data qoq'!$A$1:$AT$1,),)</f>
        <v>2.9320861520000001</v>
      </c>
      <c r="Z14" s="25">
        <f>VLOOKUP(B14,'Data qoq'!$A:$AU,MATCH($Z$1,'Data qoq'!$A$1:$AU$1,),)</f>
        <v>0.30685813499999998</v>
      </c>
      <c r="AA14" s="25">
        <f>VLOOKUP(B14,'Data qoq'!$A:$AU,MATCH($AA$1,'Data qoq'!$A$1:$AU$1,),)</f>
        <v>0.19675854600000001</v>
      </c>
      <c r="AC14" s="26" t="str">
        <f t="shared" si="6"/>
        <v>2000-Q4</v>
      </c>
      <c r="AD14" s="27">
        <f t="shared" si="7"/>
        <v>0.90144168999999996</v>
      </c>
      <c r="AE14" s="27">
        <f t="shared" si="8"/>
        <v>0.90144168999999996</v>
      </c>
    </row>
    <row r="15" spans="2:34" hidden="1" x14ac:dyDescent="0.2">
      <c r="B15" s="24" t="s">
        <v>281</v>
      </c>
      <c r="C15" s="25">
        <f>VLOOKUP(B15,'Data qoq'!$A:$AT,MATCH($C$1,'Data qoq'!$A$1:$AT$1,),)</f>
        <v>-0.32422100300000001</v>
      </c>
      <c r="D15" s="25">
        <f>VLOOKUP(B15,'Data qoq'!$A:$AT,MATCH($D$1,'Data qoq'!$A$1:$AT$1,),)</f>
        <v>0</v>
      </c>
      <c r="E15" s="25">
        <f>VLOOKUP(B15,'Data qoq'!$A:$AT,MATCH($E$1,'Data qoq'!$A$1:$AT$1,),)</f>
        <v>1.0229490000000001</v>
      </c>
      <c r="F15" s="25">
        <f>VLOOKUP(B15,'Data qoq'!$A:$AT,MATCH($F$1,'Data qoq'!$A$1:$AT$1,),)</f>
        <v>0.74252921999999999</v>
      </c>
      <c r="G15" s="25">
        <f>VLOOKUP(B15,'Data qoq'!$A:$AT,MATCH($G$1,'Data qoq'!$A$1:$AT$1,),)</f>
        <v>2.010957903</v>
      </c>
      <c r="H15" s="25">
        <f>VLOOKUP(B15,'Data qoq'!$A:$AT,MATCH($H$1,'Data qoq'!$A$1:$AT$1,),)</f>
        <v>0.54171533100000002</v>
      </c>
      <c r="I15" s="25">
        <f>VLOOKUP(B15,'Data qoq'!$A:$AT,MATCH($I$1,'Data qoq'!$A$1:$AT$1,),)</f>
        <v>0.85513813800000005</v>
      </c>
      <c r="J15" s="25">
        <f>VLOOKUP(B15,'Data qoq'!$A:$AT,MATCH($J$1,'Data qoq'!$A$1:$AT$1,),)</f>
        <v>0.66526413299999998</v>
      </c>
      <c r="K15" s="25">
        <f>VLOOKUP(B15,'Data qoq'!$A:$AT,MATCH($K$1,'Data qoq'!$A$1:$AT$1,),)</f>
        <v>1.0617582640000001</v>
      </c>
      <c r="L15" s="25">
        <f>VLOOKUP(B15,'Data qoq'!$A:$AT,MATCH($L$1,'Data qoq'!$A$1:$AT$1,),)</f>
        <v>0.365595155</v>
      </c>
      <c r="M15" s="25">
        <f>VLOOKUP(B15,'Data qoq'!$A:$AT,MATCH($M$1,'Data qoq'!$A$1:$AT$1,),)</f>
        <v>3.3449972000000001E-2</v>
      </c>
      <c r="N15" s="25">
        <f>VLOOKUP(B15,'Data qoq'!$A:$AT,MATCH($N$1,'Data qoq'!$A$1:$AT$1,),)</f>
        <v>0</v>
      </c>
      <c r="O15" s="25">
        <f>VLOOKUP(B15,'Data qoq'!$A:$AT,MATCH($C$1,'Data qoq'!$J$1:$AT$1,),)</f>
        <v>0.34958111800000002</v>
      </c>
      <c r="P15" s="25">
        <f>VLOOKUP(B15,'Data qoq'!$A:$AT,MATCH($P$1,'Data qoq'!$A$1:$AT$1,),)</f>
        <v>0.529651011</v>
      </c>
      <c r="Q15" s="25">
        <f>VLOOKUP(B15,'Data qoq'!$A:$AT,MATCH($Q$1,'Data qoq'!$A$1:$AT$1,),)</f>
        <v>1.035278557</v>
      </c>
      <c r="R15" s="25">
        <f>VLOOKUP(B15,'Data qoq'!$A:$AT,MATCH($E$1,'Data qoq'!$A$1:$AT$1,),)</f>
        <v>1.0229490000000001</v>
      </c>
      <c r="S15" s="25">
        <f>VLOOKUP(B15,'Data qoq'!$A:$AT,MATCH($S$1,'Data qoq'!$A$1:$AT$1,),)</f>
        <v>1.2255548009999999</v>
      </c>
      <c r="T15" s="25">
        <f>VLOOKUP(B15,'Data qoq'!$A:$AT,MATCH($T$1,'Data qoq'!$A$1:$AT$1,),)</f>
        <v>0.37280912199999999</v>
      </c>
      <c r="U15" s="25">
        <f>VLOOKUP(B15,'Data qoq'!$A:$AT,MATCH($U$1,'Data qoq'!$A$1:$AT$1,),)</f>
        <v>1.237878102</v>
      </c>
      <c r="V15" s="25">
        <f>VLOOKUP(B15,'Data qoq'!$A:$AT,MATCH($V$1,'Data qoq'!$A$1:$AT$1,),)</f>
        <v>2.466676466</v>
      </c>
      <c r="W15" s="25">
        <f>VLOOKUP(B15,'Data qoq'!$A:$AT,MATCH($W$1,'Data qoq'!$A$1:$AT$1,),)</f>
        <v>-5.1251296079999999</v>
      </c>
      <c r="X15" s="25">
        <f>VLOOKUP(B15,'Data qoq'!$A:$AT,MATCH($X$1,'Data qoq'!$A$1:$AT$1,),)</f>
        <v>1.1528293249999999</v>
      </c>
      <c r="Y15" s="25">
        <f>VLOOKUP(B15,'Data qoq'!$A:$AT,MATCH($Y$1,'Data qoq'!$A$1:$AT$1,),)</f>
        <v>-1.3482961849999999</v>
      </c>
      <c r="Z15" s="25">
        <f>VLOOKUP(B15,'Data qoq'!$A:$AU,MATCH($Z$1,'Data qoq'!$A$1:$AU$1,),)</f>
        <v>0.16364615900000001</v>
      </c>
      <c r="AA15" s="25">
        <f>VLOOKUP(B15,'Data qoq'!$A:$AU,MATCH($AA$1,'Data qoq'!$A$1:$AU$1,),)</f>
        <v>0.34958111800000002</v>
      </c>
      <c r="AC15" s="26" t="str">
        <f t="shared" si="6"/>
        <v>2001-Q1</v>
      </c>
      <c r="AD15" s="27">
        <f t="shared" si="7"/>
        <v>-2.3351789059999999</v>
      </c>
      <c r="AE15" s="27">
        <f t="shared" si="8"/>
        <v>-2.3351789059999999</v>
      </c>
    </row>
    <row r="16" spans="2:34" hidden="1" x14ac:dyDescent="0.2">
      <c r="B16" s="24" t="s">
        <v>282</v>
      </c>
      <c r="C16" s="25">
        <f>VLOOKUP(B16,'Data qoq'!$A:$AT,MATCH($C$1,'Data qoq'!$A$1:$AT$1,),)</f>
        <v>0.62138921499999999</v>
      </c>
      <c r="D16" s="25">
        <f>VLOOKUP(B16,'Data qoq'!$A:$AT,MATCH($D$1,'Data qoq'!$A$1:$AT$1,),)</f>
        <v>0</v>
      </c>
      <c r="E16" s="25">
        <f>VLOOKUP(B16,'Data qoq'!$A:$AT,MATCH($E$1,'Data qoq'!$A$1:$AT$1,),)</f>
        <v>9.5263E-2</v>
      </c>
      <c r="F16" s="25">
        <f>VLOOKUP(B16,'Data qoq'!$A:$AT,MATCH($F$1,'Data qoq'!$A$1:$AT$1,),)</f>
        <v>-0.75061231100000003</v>
      </c>
      <c r="G16" s="25">
        <f>VLOOKUP(B16,'Data qoq'!$A:$AT,MATCH($G$1,'Data qoq'!$A$1:$AT$1,),)</f>
        <v>-5.8069487000000003E-2</v>
      </c>
      <c r="H16" s="25">
        <f>VLOOKUP(B16,'Data qoq'!$A:$AT,MATCH($H$1,'Data qoq'!$A$1:$AT$1,),)</f>
        <v>0.18879432400000001</v>
      </c>
      <c r="I16" s="25">
        <f>VLOOKUP(B16,'Data qoq'!$A:$AT,MATCH($I$1,'Data qoq'!$A$1:$AT$1,),)</f>
        <v>0.45993671000000003</v>
      </c>
      <c r="J16" s="25">
        <f>VLOOKUP(B16,'Data qoq'!$A:$AT,MATCH($J$1,'Data qoq'!$A$1:$AT$1,),)</f>
        <v>-0.39478447900000002</v>
      </c>
      <c r="K16" s="25">
        <f>VLOOKUP(B16,'Data qoq'!$A:$AT,MATCH($K$1,'Data qoq'!$A$1:$AT$1,),)</f>
        <v>0.73911573100000005</v>
      </c>
      <c r="L16" s="25">
        <f>VLOOKUP(B16,'Data qoq'!$A:$AT,MATCH($L$1,'Data qoq'!$A$1:$AT$1,),)</f>
        <v>9.5156419999999995E-3</v>
      </c>
      <c r="M16" s="25">
        <f>VLOOKUP(B16,'Data qoq'!$A:$AT,MATCH($M$1,'Data qoq'!$A$1:$AT$1,),)</f>
        <v>-0.54118438099999999</v>
      </c>
      <c r="N16" s="25">
        <f>VLOOKUP(B16,'Data qoq'!$A:$AT,MATCH($N$1,'Data qoq'!$A$1:$AT$1,),)</f>
        <v>0</v>
      </c>
      <c r="O16" s="25">
        <f>VLOOKUP(B16,'Data qoq'!$A:$AT,MATCH($C$1,'Data qoq'!$J$1:$AT$1,),)</f>
        <v>1.4234506979999999</v>
      </c>
      <c r="P16" s="25">
        <f>VLOOKUP(B16,'Data qoq'!$A:$AT,MATCH($P$1,'Data qoq'!$A$1:$AT$1,),)</f>
        <v>0.26949002500000002</v>
      </c>
      <c r="Q16" s="25">
        <f>VLOOKUP(B16,'Data qoq'!$A:$AT,MATCH($Q$1,'Data qoq'!$A$1:$AT$1,),)</f>
        <v>0.81211115199999995</v>
      </c>
      <c r="R16" s="25">
        <f>VLOOKUP(B16,'Data qoq'!$A:$AT,MATCH($E$1,'Data qoq'!$A$1:$AT$1,),)</f>
        <v>9.5263E-2</v>
      </c>
      <c r="S16" s="25">
        <f>VLOOKUP(B16,'Data qoq'!$A:$AT,MATCH($S$1,'Data qoq'!$A$1:$AT$1,),)</f>
        <v>1.2988810260000001</v>
      </c>
      <c r="T16" s="25">
        <f>VLOOKUP(B16,'Data qoq'!$A:$AT,MATCH($T$1,'Data qoq'!$A$1:$AT$1,),)</f>
        <v>-0.49529306200000001</v>
      </c>
      <c r="U16" s="25">
        <f>VLOOKUP(B16,'Data qoq'!$A:$AT,MATCH($U$1,'Data qoq'!$A$1:$AT$1,),)</f>
        <v>-0.26357386700000002</v>
      </c>
      <c r="V16" s="25">
        <f>VLOOKUP(B16,'Data qoq'!$A:$AT,MATCH($V$1,'Data qoq'!$A$1:$AT$1,),)</f>
        <v>1.7176289739999999</v>
      </c>
      <c r="W16" s="25">
        <f>VLOOKUP(B16,'Data qoq'!$A:$AT,MATCH($W$1,'Data qoq'!$A$1:$AT$1,),)</f>
        <v>-4.8440387170000001</v>
      </c>
      <c r="X16" s="25">
        <f>VLOOKUP(B16,'Data qoq'!$A:$AT,MATCH($X$1,'Data qoq'!$A$1:$AT$1,),)</f>
        <v>0.27706922299999998</v>
      </c>
      <c r="Y16" s="25">
        <f>VLOOKUP(B16,'Data qoq'!$A:$AT,MATCH($Y$1,'Data qoq'!$A$1:$AT$1,),)</f>
        <v>-0.453090304</v>
      </c>
      <c r="Z16" s="25">
        <f>VLOOKUP(B16,'Data qoq'!$A:$AU,MATCH($Z$1,'Data qoq'!$A$1:$AU$1,),)</f>
        <v>-0.82981777400000001</v>
      </c>
      <c r="AA16" s="25">
        <f>VLOOKUP(B16,'Data qoq'!$A:$AU,MATCH($AA$1,'Data qoq'!$A$1:$AU$1,),)</f>
        <v>1.4234506979999999</v>
      </c>
      <c r="AC16" s="26" t="str">
        <f t="shared" si="6"/>
        <v>2001-Q2</v>
      </c>
      <c r="AD16" s="27">
        <f t="shared" si="7"/>
        <v>0.67945870200000003</v>
      </c>
      <c r="AE16" s="27">
        <f t="shared" si="8"/>
        <v>0.67945870200000003</v>
      </c>
    </row>
    <row r="17" spans="2:31" hidden="1" x14ac:dyDescent="0.2">
      <c r="B17" s="24" t="s">
        <v>283</v>
      </c>
      <c r="C17" s="25">
        <f>VLOOKUP(B17,'Data qoq'!$A:$AT,MATCH($C$1,'Data qoq'!$A$1:$AT$1,),)</f>
        <v>-0.400349016</v>
      </c>
      <c r="D17" s="25">
        <f>VLOOKUP(B17,'Data qoq'!$A:$AT,MATCH($D$1,'Data qoq'!$A$1:$AT$1,),)</f>
        <v>0</v>
      </c>
      <c r="E17" s="25">
        <f>VLOOKUP(B17,'Data qoq'!$A:$AT,MATCH($E$1,'Data qoq'!$A$1:$AT$1,),)</f>
        <v>9.9604999999999999E-2</v>
      </c>
      <c r="F17" s="25">
        <f>VLOOKUP(B17,'Data qoq'!$A:$AT,MATCH($F$1,'Data qoq'!$A$1:$AT$1,),)</f>
        <v>-1.089555829</v>
      </c>
      <c r="G17" s="25">
        <f>VLOOKUP(B17,'Data qoq'!$A:$AT,MATCH($G$1,'Data qoq'!$A$1:$AT$1,),)</f>
        <v>-0.162669071</v>
      </c>
      <c r="H17" s="25">
        <f>VLOOKUP(B17,'Data qoq'!$A:$AT,MATCH($H$1,'Data qoq'!$A$1:$AT$1,),)</f>
        <v>0.27491379399999999</v>
      </c>
      <c r="I17" s="25">
        <f>VLOOKUP(B17,'Data qoq'!$A:$AT,MATCH($I$1,'Data qoq'!$A$1:$AT$1,),)</f>
        <v>0.46817064800000002</v>
      </c>
      <c r="J17" s="25">
        <f>VLOOKUP(B17,'Data qoq'!$A:$AT,MATCH($J$1,'Data qoq'!$A$1:$AT$1,),)</f>
        <v>-0.28475642699999998</v>
      </c>
      <c r="K17" s="25">
        <f>VLOOKUP(B17,'Data qoq'!$A:$AT,MATCH($K$1,'Data qoq'!$A$1:$AT$1,),)</f>
        <v>0.93202408199999998</v>
      </c>
      <c r="L17" s="25">
        <f>VLOOKUP(B17,'Data qoq'!$A:$AT,MATCH($L$1,'Data qoq'!$A$1:$AT$1,),)</f>
        <v>0.38488270800000002</v>
      </c>
      <c r="M17" s="25">
        <f>VLOOKUP(B17,'Data qoq'!$A:$AT,MATCH($M$1,'Data qoq'!$A$1:$AT$1,),)</f>
        <v>0.21874088899999999</v>
      </c>
      <c r="N17" s="25">
        <f>VLOOKUP(B17,'Data qoq'!$A:$AT,MATCH($N$1,'Data qoq'!$A$1:$AT$1,),)</f>
        <v>0</v>
      </c>
      <c r="O17" s="25">
        <f>VLOOKUP(B17,'Data qoq'!$A:$AT,MATCH($C$1,'Data qoq'!$J$1:$AT$1,),)</f>
        <v>0.759938589</v>
      </c>
      <c r="P17" s="25">
        <f>VLOOKUP(B17,'Data qoq'!$A:$AT,MATCH($P$1,'Data qoq'!$A$1:$AT$1,),)</f>
        <v>-6.6614244000000003E-2</v>
      </c>
      <c r="Q17" s="25">
        <f>VLOOKUP(B17,'Data qoq'!$A:$AT,MATCH($Q$1,'Data qoq'!$A$1:$AT$1,),)</f>
        <v>1.1951337870000001</v>
      </c>
      <c r="R17" s="25">
        <f>VLOOKUP(B17,'Data qoq'!$A:$AT,MATCH($E$1,'Data qoq'!$A$1:$AT$1,),)</f>
        <v>9.9604999999999999E-2</v>
      </c>
      <c r="S17" s="25">
        <f>VLOOKUP(B17,'Data qoq'!$A:$AT,MATCH($S$1,'Data qoq'!$A$1:$AT$1,),)</f>
        <v>1.3501936240000001</v>
      </c>
      <c r="T17" s="25">
        <f>VLOOKUP(B17,'Data qoq'!$A:$AT,MATCH($T$1,'Data qoq'!$A$1:$AT$1,),)</f>
        <v>-0.51812564400000005</v>
      </c>
      <c r="U17" s="25">
        <f>VLOOKUP(B17,'Data qoq'!$A:$AT,MATCH($U$1,'Data qoq'!$A$1:$AT$1,),)</f>
        <v>1.621616296</v>
      </c>
      <c r="V17" s="25">
        <f>VLOOKUP(B17,'Data qoq'!$A:$AT,MATCH($V$1,'Data qoq'!$A$1:$AT$1,),)</f>
        <v>-0.85413223100000002</v>
      </c>
      <c r="W17" s="25">
        <f>VLOOKUP(B17,'Data qoq'!$A:$AT,MATCH($W$1,'Data qoq'!$A$1:$AT$1,),)</f>
        <v>1.2517857720000001</v>
      </c>
      <c r="X17" s="25">
        <f>VLOOKUP(B17,'Data qoq'!$A:$AT,MATCH($X$1,'Data qoq'!$A$1:$AT$1,),)</f>
        <v>0.496594761</v>
      </c>
      <c r="Y17" s="25">
        <f>VLOOKUP(B17,'Data qoq'!$A:$AT,MATCH($Y$1,'Data qoq'!$A$1:$AT$1,),)</f>
        <v>0.78291929500000002</v>
      </c>
      <c r="Z17" s="25">
        <f>VLOOKUP(B17,'Data qoq'!$A:$AU,MATCH($Z$1,'Data qoq'!$A$1:$AU$1,),)</f>
        <v>-4.6458788760000003</v>
      </c>
      <c r="AA17" s="25">
        <f>VLOOKUP(B17,'Data qoq'!$A:$AU,MATCH($AA$1,'Data qoq'!$A$1:$AU$1,),)</f>
        <v>0.759938589</v>
      </c>
      <c r="AC17" s="26" t="str">
        <f t="shared" si="6"/>
        <v>2001-Q3</v>
      </c>
      <c r="AD17" s="27">
        <f t="shared" si="7"/>
        <v>-0.237679945</v>
      </c>
      <c r="AE17" s="27">
        <f t="shared" si="8"/>
        <v>-0.237679945</v>
      </c>
    </row>
    <row r="18" spans="2:31" hidden="1" x14ac:dyDescent="0.2">
      <c r="B18" s="24" t="s">
        <v>284</v>
      </c>
      <c r="C18" s="25">
        <f>VLOOKUP(B18,'Data qoq'!$A:$AT,MATCH($C$1,'Data qoq'!$A$1:$AT$1,),)</f>
        <v>0.27731435799999998</v>
      </c>
      <c r="D18" s="25">
        <f>VLOOKUP(B18,'Data qoq'!$A:$AT,MATCH($D$1,'Data qoq'!$A$1:$AT$1,),)</f>
        <v>0</v>
      </c>
      <c r="E18" s="25">
        <f>VLOOKUP(B18,'Data qoq'!$A:$AT,MATCH($E$1,'Data qoq'!$A$1:$AT$1,),)</f>
        <v>0.118312</v>
      </c>
      <c r="F18" s="25">
        <f>VLOOKUP(B18,'Data qoq'!$A:$AT,MATCH($F$1,'Data qoq'!$A$1:$AT$1,),)</f>
        <v>-0.341007844</v>
      </c>
      <c r="G18" s="25">
        <f>VLOOKUP(B18,'Data qoq'!$A:$AT,MATCH($G$1,'Data qoq'!$A$1:$AT$1,),)</f>
        <v>-0.11638810300000001</v>
      </c>
      <c r="H18" s="25">
        <f>VLOOKUP(B18,'Data qoq'!$A:$AT,MATCH($H$1,'Data qoq'!$A$1:$AT$1,),)</f>
        <v>2.1023231E-2</v>
      </c>
      <c r="I18" s="25">
        <f>VLOOKUP(B18,'Data qoq'!$A:$AT,MATCH($I$1,'Data qoq'!$A$1:$AT$1,),)</f>
        <v>0.22569473500000001</v>
      </c>
      <c r="J18" s="25">
        <f>VLOOKUP(B18,'Data qoq'!$A:$AT,MATCH($J$1,'Data qoq'!$A$1:$AT$1,),)</f>
        <v>-0.177660911</v>
      </c>
      <c r="K18" s="25">
        <f>VLOOKUP(B18,'Data qoq'!$A:$AT,MATCH($K$1,'Data qoq'!$A$1:$AT$1,),)</f>
        <v>0.69190674799999996</v>
      </c>
      <c r="L18" s="25">
        <f>VLOOKUP(B18,'Data qoq'!$A:$AT,MATCH($L$1,'Data qoq'!$A$1:$AT$1,),)</f>
        <v>0.85015338600000001</v>
      </c>
      <c r="M18" s="25">
        <f>VLOOKUP(B18,'Data qoq'!$A:$AT,MATCH($M$1,'Data qoq'!$A$1:$AT$1,),)</f>
        <v>-0.63754966899999999</v>
      </c>
      <c r="N18" s="25">
        <f>VLOOKUP(B18,'Data qoq'!$A:$AT,MATCH($N$1,'Data qoq'!$A$1:$AT$1,),)</f>
        <v>0</v>
      </c>
      <c r="O18" s="25">
        <f>VLOOKUP(B18,'Data qoq'!$A:$AT,MATCH($C$1,'Data qoq'!$J$1:$AT$1,),)</f>
        <v>1.485937252</v>
      </c>
      <c r="P18" s="25">
        <f>VLOOKUP(B18,'Data qoq'!$A:$AT,MATCH($P$1,'Data qoq'!$A$1:$AT$1,),)</f>
        <v>0.60882924699999996</v>
      </c>
      <c r="Q18" s="25">
        <f>VLOOKUP(B18,'Data qoq'!$A:$AT,MATCH($Q$1,'Data qoq'!$A$1:$AT$1,),)</f>
        <v>1.213760806</v>
      </c>
      <c r="R18" s="25">
        <f>VLOOKUP(B18,'Data qoq'!$A:$AT,MATCH($E$1,'Data qoq'!$A$1:$AT$1,),)</f>
        <v>0.118312</v>
      </c>
      <c r="S18" s="25">
        <f>VLOOKUP(B18,'Data qoq'!$A:$AT,MATCH($S$1,'Data qoq'!$A$1:$AT$1,),)</f>
        <v>1.762585517</v>
      </c>
      <c r="T18" s="25">
        <f>VLOOKUP(B18,'Data qoq'!$A:$AT,MATCH($T$1,'Data qoq'!$A$1:$AT$1,),)</f>
        <v>-0.27944447</v>
      </c>
      <c r="U18" s="25">
        <f>VLOOKUP(B18,'Data qoq'!$A:$AT,MATCH($U$1,'Data qoq'!$A$1:$AT$1,),)</f>
        <v>0.26489864099999999</v>
      </c>
      <c r="V18" s="25">
        <f>VLOOKUP(B18,'Data qoq'!$A:$AT,MATCH($V$1,'Data qoq'!$A$1:$AT$1,),)</f>
        <v>1.63181621</v>
      </c>
      <c r="W18" s="25">
        <f>VLOOKUP(B18,'Data qoq'!$A:$AT,MATCH($W$1,'Data qoq'!$A$1:$AT$1,),)</f>
        <v>-1.6828962709999999</v>
      </c>
      <c r="X18" s="25">
        <f>VLOOKUP(B18,'Data qoq'!$A:$AT,MATCH($X$1,'Data qoq'!$A$1:$AT$1,),)</f>
        <v>0.60274464500000002</v>
      </c>
      <c r="Y18" s="25">
        <f>VLOOKUP(B18,'Data qoq'!$A:$AT,MATCH($Y$1,'Data qoq'!$A$1:$AT$1,),)</f>
        <v>0.29569216500000001</v>
      </c>
      <c r="Z18" s="25">
        <f>VLOOKUP(B18,'Data qoq'!$A:$AU,MATCH($Z$1,'Data qoq'!$A$1:$AU$1,),)</f>
        <v>-5.6948729309999999</v>
      </c>
      <c r="AA18" s="25">
        <f>VLOOKUP(B18,'Data qoq'!$A:$AU,MATCH($AA$1,'Data qoq'!$A$1:$AU$1,),)</f>
        <v>1.485937252</v>
      </c>
      <c r="AC18" s="26" t="str">
        <f t="shared" si="6"/>
        <v>2001-Q4</v>
      </c>
      <c r="AD18" s="27">
        <f t="shared" si="7"/>
        <v>0.393702461</v>
      </c>
      <c r="AE18" s="27">
        <f t="shared" si="8"/>
        <v>0.393702461</v>
      </c>
    </row>
    <row r="19" spans="2:31" hidden="1" x14ac:dyDescent="0.2">
      <c r="B19" s="24" t="s">
        <v>285</v>
      </c>
      <c r="C19" s="25">
        <f>VLOOKUP(B19,'Data qoq'!$A:$AT,MATCH($C$1,'Data qoq'!$A$1:$AT$1,),)</f>
        <v>0.82822721600000004</v>
      </c>
      <c r="D19" s="25">
        <f>VLOOKUP(B19,'Data qoq'!$A:$AT,MATCH($D$1,'Data qoq'!$A$1:$AT$1,),)</f>
        <v>0</v>
      </c>
      <c r="E19" s="25">
        <f>VLOOKUP(B19,'Data qoq'!$A:$AT,MATCH($E$1,'Data qoq'!$A$1:$AT$1,),)</f>
        <v>9.4413999999999998E-2</v>
      </c>
      <c r="F19" s="25">
        <f>VLOOKUP(B19,'Data qoq'!$A:$AT,MATCH($F$1,'Data qoq'!$A$1:$AT$1,),)</f>
        <v>0.16881618000000001</v>
      </c>
      <c r="G19" s="25">
        <f>VLOOKUP(B19,'Data qoq'!$A:$AT,MATCH($G$1,'Data qoq'!$A$1:$AT$1,),)</f>
        <v>-0.52435598400000005</v>
      </c>
      <c r="H19" s="25">
        <f>VLOOKUP(B19,'Data qoq'!$A:$AT,MATCH($H$1,'Data qoq'!$A$1:$AT$1,),)</f>
        <v>0.37168980499999998</v>
      </c>
      <c r="I19" s="25">
        <f>VLOOKUP(B19,'Data qoq'!$A:$AT,MATCH($I$1,'Data qoq'!$A$1:$AT$1,),)</f>
        <v>0.52893754000000004</v>
      </c>
      <c r="J19" s="25">
        <f>VLOOKUP(B19,'Data qoq'!$A:$AT,MATCH($J$1,'Data qoq'!$A$1:$AT$1,),)</f>
        <v>0.110900546</v>
      </c>
      <c r="K19" s="25">
        <f>VLOOKUP(B19,'Data qoq'!$A:$AT,MATCH($K$1,'Data qoq'!$A$1:$AT$1,),)</f>
        <v>0.42550417200000001</v>
      </c>
      <c r="L19" s="25">
        <f>VLOOKUP(B19,'Data qoq'!$A:$AT,MATCH($L$1,'Data qoq'!$A$1:$AT$1,),)</f>
        <v>-0.153812122</v>
      </c>
      <c r="M19" s="25">
        <f>VLOOKUP(B19,'Data qoq'!$A:$AT,MATCH($M$1,'Data qoq'!$A$1:$AT$1,),)</f>
        <v>-0.67097744000000004</v>
      </c>
      <c r="N19" s="25">
        <f>VLOOKUP(B19,'Data qoq'!$A:$AT,MATCH($N$1,'Data qoq'!$A$1:$AT$1,),)</f>
        <v>0</v>
      </c>
      <c r="O19" s="25">
        <f>VLOOKUP(B19,'Data qoq'!$A:$AT,MATCH($C$1,'Data qoq'!$J$1:$AT$1,),)</f>
        <v>0.88993368699999997</v>
      </c>
      <c r="P19" s="25">
        <f>VLOOKUP(B19,'Data qoq'!$A:$AT,MATCH($P$1,'Data qoq'!$A$1:$AT$1,),)</f>
        <v>1.4842260460000001</v>
      </c>
      <c r="Q19" s="25">
        <f>VLOOKUP(B19,'Data qoq'!$A:$AT,MATCH($Q$1,'Data qoq'!$A$1:$AT$1,),)</f>
        <v>0.764615928</v>
      </c>
      <c r="R19" s="25">
        <f>VLOOKUP(B19,'Data qoq'!$A:$AT,MATCH($E$1,'Data qoq'!$A$1:$AT$1,),)</f>
        <v>9.4413999999999998E-2</v>
      </c>
      <c r="S19" s="25">
        <f>VLOOKUP(B19,'Data qoq'!$A:$AT,MATCH($S$1,'Data qoq'!$A$1:$AT$1,),)</f>
        <v>2.5444815919999999</v>
      </c>
      <c r="T19" s="25">
        <f>VLOOKUP(B19,'Data qoq'!$A:$AT,MATCH($T$1,'Data qoq'!$A$1:$AT$1,),)</f>
        <v>2.308552095</v>
      </c>
      <c r="U19" s="25">
        <f>VLOOKUP(B19,'Data qoq'!$A:$AT,MATCH($U$1,'Data qoq'!$A$1:$AT$1,),)</f>
        <v>0.81704766799999995</v>
      </c>
      <c r="V19" s="25">
        <f>VLOOKUP(B19,'Data qoq'!$A:$AT,MATCH($V$1,'Data qoq'!$A$1:$AT$1,),)</f>
        <v>2.7713460900000002</v>
      </c>
      <c r="W19" s="25">
        <f>VLOOKUP(B19,'Data qoq'!$A:$AT,MATCH($W$1,'Data qoq'!$A$1:$AT$1,),)</f>
        <v>3.7775825539999999</v>
      </c>
      <c r="X19" s="25">
        <f>VLOOKUP(B19,'Data qoq'!$A:$AT,MATCH($X$1,'Data qoq'!$A$1:$AT$1,),)</f>
        <v>-0.12518095500000001</v>
      </c>
      <c r="Y19" s="25">
        <f>VLOOKUP(B19,'Data qoq'!$A:$AT,MATCH($Y$1,'Data qoq'!$A$1:$AT$1,),)</f>
        <v>0.21149595900000001</v>
      </c>
      <c r="Z19" s="25">
        <f>VLOOKUP(B19,'Data qoq'!$A:$AU,MATCH($Z$1,'Data qoq'!$A$1:$AU$1,),)</f>
        <v>-4.9310185359999998</v>
      </c>
      <c r="AA19" s="25">
        <f>VLOOKUP(B19,'Data qoq'!$A:$AU,MATCH($AA$1,'Data qoq'!$A$1:$AU$1,),)</f>
        <v>0.88993368699999997</v>
      </c>
      <c r="AC19" s="26" t="str">
        <f t="shared" si="6"/>
        <v>2002-Q1</v>
      </c>
      <c r="AD19" s="27">
        <f t="shared" si="7"/>
        <v>1.3525832000000002</v>
      </c>
      <c r="AE19" s="27">
        <f t="shared" si="8"/>
        <v>1.3525832000000002</v>
      </c>
    </row>
    <row r="20" spans="2:31" hidden="1" x14ac:dyDescent="0.2">
      <c r="B20" s="24" t="s">
        <v>286</v>
      </c>
      <c r="C20" s="25">
        <f>VLOOKUP(B20,'Data qoq'!$A:$AT,MATCH($C$1,'Data qoq'!$A$1:$AT$1,),)</f>
        <v>0.61550245599999998</v>
      </c>
      <c r="D20" s="25">
        <f>VLOOKUP(B20,'Data qoq'!$A:$AT,MATCH($D$1,'Data qoq'!$A$1:$AT$1,),)</f>
        <v>0</v>
      </c>
      <c r="E20" s="25">
        <f>VLOOKUP(B20,'Data qoq'!$A:$AT,MATCH($E$1,'Data qoq'!$A$1:$AT$1,),)</f>
        <v>0.54261499999999996</v>
      </c>
      <c r="F20" s="25">
        <f>VLOOKUP(B20,'Data qoq'!$A:$AT,MATCH($F$1,'Data qoq'!$A$1:$AT$1,),)</f>
        <v>0.81031242400000003</v>
      </c>
      <c r="G20" s="25">
        <f>VLOOKUP(B20,'Data qoq'!$A:$AT,MATCH($G$1,'Data qoq'!$A$1:$AT$1,),)</f>
        <v>0.445116442</v>
      </c>
      <c r="H20" s="25">
        <f>VLOOKUP(B20,'Data qoq'!$A:$AT,MATCH($H$1,'Data qoq'!$A$1:$AT$1,),)</f>
        <v>0.46262463100000001</v>
      </c>
      <c r="I20" s="25">
        <f>VLOOKUP(B20,'Data qoq'!$A:$AT,MATCH($I$1,'Data qoq'!$A$1:$AT$1,),)</f>
        <v>0.64896348699999995</v>
      </c>
      <c r="J20" s="25">
        <f>VLOOKUP(B20,'Data qoq'!$A:$AT,MATCH($J$1,'Data qoq'!$A$1:$AT$1,),)</f>
        <v>0.40907637600000002</v>
      </c>
      <c r="K20" s="25">
        <f>VLOOKUP(B20,'Data qoq'!$A:$AT,MATCH($K$1,'Data qoq'!$A$1:$AT$1,),)</f>
        <v>0.81494336899999997</v>
      </c>
      <c r="L20" s="25">
        <f>VLOOKUP(B20,'Data qoq'!$A:$AT,MATCH($L$1,'Data qoq'!$A$1:$AT$1,),)</f>
        <v>1.5881288090000001</v>
      </c>
      <c r="M20" s="25">
        <f>VLOOKUP(B20,'Data qoq'!$A:$AT,MATCH($M$1,'Data qoq'!$A$1:$AT$1,),)</f>
        <v>0.91383818999999999</v>
      </c>
      <c r="N20" s="25">
        <f>VLOOKUP(B20,'Data qoq'!$A:$AT,MATCH($N$1,'Data qoq'!$A$1:$AT$1,),)</f>
        <v>0</v>
      </c>
      <c r="O20" s="25">
        <f>VLOOKUP(B20,'Data qoq'!$A:$AT,MATCH($C$1,'Data qoq'!$J$1:$AT$1,),)</f>
        <v>1.3177574599999999</v>
      </c>
      <c r="P20" s="25">
        <f>VLOOKUP(B20,'Data qoq'!$A:$AT,MATCH($P$1,'Data qoq'!$A$1:$AT$1,),)</f>
        <v>0.58937331199999998</v>
      </c>
      <c r="Q20" s="25">
        <f>VLOOKUP(B20,'Data qoq'!$A:$AT,MATCH($Q$1,'Data qoq'!$A$1:$AT$1,),)</f>
        <v>1.70733131</v>
      </c>
      <c r="R20" s="25">
        <f>VLOOKUP(B20,'Data qoq'!$A:$AT,MATCH($E$1,'Data qoq'!$A$1:$AT$1,),)</f>
        <v>0.54261499999999996</v>
      </c>
      <c r="S20" s="25">
        <f>VLOOKUP(B20,'Data qoq'!$A:$AT,MATCH($S$1,'Data qoq'!$A$1:$AT$1,),)</f>
        <v>1.8121354160000001</v>
      </c>
      <c r="T20" s="25">
        <f>VLOOKUP(B20,'Data qoq'!$A:$AT,MATCH($T$1,'Data qoq'!$A$1:$AT$1,),)</f>
        <v>0.55592502600000004</v>
      </c>
      <c r="U20" s="25">
        <f>VLOOKUP(B20,'Data qoq'!$A:$AT,MATCH($U$1,'Data qoq'!$A$1:$AT$1,),)</f>
        <v>2.238306787</v>
      </c>
      <c r="V20" s="25">
        <f>VLOOKUP(B20,'Data qoq'!$A:$AT,MATCH($V$1,'Data qoq'!$A$1:$AT$1,),)</f>
        <v>0.75791422100000005</v>
      </c>
      <c r="W20" s="25">
        <f>VLOOKUP(B20,'Data qoq'!$A:$AT,MATCH($W$1,'Data qoq'!$A$1:$AT$1,),)</f>
        <v>4.3164154459999997</v>
      </c>
      <c r="X20" s="25">
        <f>VLOOKUP(B20,'Data qoq'!$A:$AT,MATCH($X$1,'Data qoq'!$A$1:$AT$1,),)</f>
        <v>0.51301652200000003</v>
      </c>
      <c r="Y20" s="25">
        <f>VLOOKUP(B20,'Data qoq'!$A:$AT,MATCH($Y$1,'Data qoq'!$A$1:$AT$1,),)</f>
        <v>0.90443492400000003</v>
      </c>
      <c r="Z20" s="25">
        <f>VLOOKUP(B20,'Data qoq'!$A:$AU,MATCH($Z$1,'Data qoq'!$A$1:$AU$1,),)</f>
        <v>0.42398614800000001</v>
      </c>
      <c r="AA20" s="25">
        <f>VLOOKUP(B20,'Data qoq'!$A:$AU,MATCH($AA$1,'Data qoq'!$A$1:$AU$1,),)</f>
        <v>1.3177574599999999</v>
      </c>
      <c r="AC20" s="26" t="str">
        <f t="shared" si="6"/>
        <v>2002-Q2</v>
      </c>
      <c r="AD20" s="27">
        <f t="shared" si="7"/>
        <v>0.17038601399999997</v>
      </c>
      <c r="AE20" s="27">
        <f t="shared" si="8"/>
        <v>0.17038601399999997</v>
      </c>
    </row>
    <row r="21" spans="2:31" hidden="1" x14ac:dyDescent="0.2">
      <c r="B21" s="24" t="s">
        <v>287</v>
      </c>
      <c r="C21" s="25">
        <f>VLOOKUP(B21,'Data qoq'!$A:$AT,MATCH($C$1,'Data qoq'!$A$1:$AT$1,),)</f>
        <v>0.40352870400000002</v>
      </c>
      <c r="D21" s="25">
        <f>VLOOKUP(B21,'Data qoq'!$A:$AT,MATCH($D$1,'Data qoq'!$A$1:$AT$1,),)</f>
        <v>0</v>
      </c>
      <c r="E21" s="25">
        <f>VLOOKUP(B21,'Data qoq'!$A:$AT,MATCH($E$1,'Data qoq'!$A$1:$AT$1,),)</f>
        <v>0.41511199999999998</v>
      </c>
      <c r="F21" s="25">
        <f>VLOOKUP(B21,'Data qoq'!$A:$AT,MATCH($F$1,'Data qoq'!$A$1:$AT$1,),)</f>
        <v>0.31411203500000001</v>
      </c>
      <c r="G21" s="25">
        <f>VLOOKUP(B21,'Data qoq'!$A:$AT,MATCH($G$1,'Data qoq'!$A$1:$AT$1,),)</f>
        <v>0.48979764199999998</v>
      </c>
      <c r="H21" s="25">
        <f>VLOOKUP(B21,'Data qoq'!$A:$AT,MATCH($H$1,'Data qoq'!$A$1:$AT$1,),)</f>
        <v>0.41923058099999999</v>
      </c>
      <c r="I21" s="25">
        <f>VLOOKUP(B21,'Data qoq'!$A:$AT,MATCH($I$1,'Data qoq'!$A$1:$AT$1,),)</f>
        <v>0.70142148800000004</v>
      </c>
      <c r="J21" s="25">
        <f>VLOOKUP(B21,'Data qoq'!$A:$AT,MATCH($J$1,'Data qoq'!$A$1:$AT$1,),)</f>
        <v>0.228678201</v>
      </c>
      <c r="K21" s="25">
        <f>VLOOKUP(B21,'Data qoq'!$A:$AT,MATCH($K$1,'Data qoq'!$A$1:$AT$1,),)</f>
        <v>0.61646246699999996</v>
      </c>
      <c r="L21" s="25">
        <f>VLOOKUP(B21,'Data qoq'!$A:$AT,MATCH($L$1,'Data qoq'!$A$1:$AT$1,),)</f>
        <v>0.59571563800000005</v>
      </c>
      <c r="M21" s="25">
        <f>VLOOKUP(B21,'Data qoq'!$A:$AT,MATCH($M$1,'Data qoq'!$A$1:$AT$1,),)</f>
        <v>0.78017040800000004</v>
      </c>
      <c r="N21" s="25">
        <f>VLOOKUP(B21,'Data qoq'!$A:$AT,MATCH($N$1,'Data qoq'!$A$1:$AT$1,),)</f>
        <v>0</v>
      </c>
      <c r="O21" s="25">
        <f>VLOOKUP(B21,'Data qoq'!$A:$AT,MATCH($C$1,'Data qoq'!$J$1:$AT$1,),)</f>
        <v>1.172141624</v>
      </c>
      <c r="P21" s="25">
        <f>VLOOKUP(B21,'Data qoq'!$A:$AT,MATCH($P$1,'Data qoq'!$A$1:$AT$1,),)</f>
        <v>0.86544944000000001</v>
      </c>
      <c r="Q21" s="25">
        <f>VLOOKUP(B21,'Data qoq'!$A:$AT,MATCH($Q$1,'Data qoq'!$A$1:$AT$1,),)</f>
        <v>0.30098105800000002</v>
      </c>
      <c r="R21" s="25">
        <f>VLOOKUP(B21,'Data qoq'!$A:$AT,MATCH($E$1,'Data qoq'!$A$1:$AT$1,),)</f>
        <v>0.41511199999999998</v>
      </c>
      <c r="S21" s="25">
        <f>VLOOKUP(B21,'Data qoq'!$A:$AT,MATCH($S$1,'Data qoq'!$A$1:$AT$1,),)</f>
        <v>2.0218129560000002</v>
      </c>
      <c r="T21" s="25">
        <f>VLOOKUP(B21,'Data qoq'!$A:$AT,MATCH($T$1,'Data qoq'!$A$1:$AT$1,),)</f>
        <v>1.238309316</v>
      </c>
      <c r="U21" s="25">
        <f>VLOOKUP(B21,'Data qoq'!$A:$AT,MATCH($U$1,'Data qoq'!$A$1:$AT$1,),)</f>
        <v>0.57704490600000002</v>
      </c>
      <c r="V21" s="25">
        <f>VLOOKUP(B21,'Data qoq'!$A:$AT,MATCH($V$1,'Data qoq'!$A$1:$AT$1,),)</f>
        <v>1.8978616500000001</v>
      </c>
      <c r="W21" s="25">
        <f>VLOOKUP(B21,'Data qoq'!$A:$AT,MATCH($W$1,'Data qoq'!$A$1:$AT$1,),)</f>
        <v>1.366468032</v>
      </c>
      <c r="X21" s="25">
        <f>VLOOKUP(B21,'Data qoq'!$A:$AT,MATCH($X$1,'Data qoq'!$A$1:$AT$1,),)</f>
        <v>0.52188020099999999</v>
      </c>
      <c r="Y21" s="25">
        <f>VLOOKUP(B21,'Data qoq'!$A:$AT,MATCH($Y$1,'Data qoq'!$A$1:$AT$1,),)</f>
        <v>1.232643575</v>
      </c>
      <c r="Z21" s="25">
        <f>VLOOKUP(B21,'Data qoq'!$A:$AU,MATCH($Z$1,'Data qoq'!$A$1:$AU$1,),)</f>
        <v>7.4497308999999998E-2</v>
      </c>
      <c r="AA21" s="25">
        <f>VLOOKUP(B21,'Data qoq'!$A:$AU,MATCH($AA$1,'Data qoq'!$A$1:$AU$1,),)</f>
        <v>1.172141624</v>
      </c>
      <c r="AC21" s="26" t="str">
        <f t="shared" si="6"/>
        <v>2002-Q3</v>
      </c>
      <c r="AD21" s="27">
        <f t="shared" si="7"/>
        <v>-8.6268937999999962E-2</v>
      </c>
      <c r="AE21" s="27">
        <f t="shared" si="8"/>
        <v>-8.6268937999999962E-2</v>
      </c>
    </row>
    <row r="22" spans="2:31" hidden="1" x14ac:dyDescent="0.2">
      <c r="B22" s="24" t="s">
        <v>288</v>
      </c>
      <c r="C22" s="25">
        <f>VLOOKUP(B22,'Data qoq'!$A:$AT,MATCH($C$1,'Data qoq'!$A$1:$AT$1,),)</f>
        <v>0.13065576700000001</v>
      </c>
      <c r="D22" s="25">
        <f>VLOOKUP(B22,'Data qoq'!$A:$AT,MATCH($D$1,'Data qoq'!$A$1:$AT$1,),)</f>
        <v>0</v>
      </c>
      <c r="E22" s="25">
        <f>VLOOKUP(B22,'Data qoq'!$A:$AT,MATCH($E$1,'Data qoq'!$A$1:$AT$1,),)</f>
        <v>0.15759699999999999</v>
      </c>
      <c r="F22" s="25">
        <f>VLOOKUP(B22,'Data qoq'!$A:$AT,MATCH($F$1,'Data qoq'!$A$1:$AT$1,),)</f>
        <v>0.27803700999999997</v>
      </c>
      <c r="G22" s="25">
        <f>VLOOKUP(B22,'Data qoq'!$A:$AT,MATCH($G$1,'Data qoq'!$A$1:$AT$1,),)</f>
        <v>-0.13925285900000001</v>
      </c>
      <c r="H22" s="25">
        <f>VLOOKUP(B22,'Data qoq'!$A:$AT,MATCH($H$1,'Data qoq'!$A$1:$AT$1,),)</f>
        <v>-5.0622937E-2</v>
      </c>
      <c r="I22" s="25">
        <f>VLOOKUP(B22,'Data qoq'!$A:$AT,MATCH($I$1,'Data qoq'!$A$1:$AT$1,),)</f>
        <v>0.88004443600000004</v>
      </c>
      <c r="J22" s="25">
        <f>VLOOKUP(B22,'Data qoq'!$A:$AT,MATCH($J$1,'Data qoq'!$A$1:$AT$1,),)</f>
        <v>0.37146075499999998</v>
      </c>
      <c r="K22" s="25">
        <f>VLOOKUP(B22,'Data qoq'!$A:$AT,MATCH($K$1,'Data qoq'!$A$1:$AT$1,),)</f>
        <v>0.76073692900000001</v>
      </c>
      <c r="L22" s="25">
        <f>VLOOKUP(B22,'Data qoq'!$A:$AT,MATCH($L$1,'Data qoq'!$A$1:$AT$1,),)</f>
        <v>0.14074571599999999</v>
      </c>
      <c r="M22" s="25">
        <f>VLOOKUP(B22,'Data qoq'!$A:$AT,MATCH($M$1,'Data qoq'!$A$1:$AT$1,),)</f>
        <v>0.234789583</v>
      </c>
      <c r="N22" s="25">
        <f>VLOOKUP(B22,'Data qoq'!$A:$AT,MATCH($N$1,'Data qoq'!$A$1:$AT$1,),)</f>
        <v>0</v>
      </c>
      <c r="O22" s="25">
        <f>VLOOKUP(B22,'Data qoq'!$A:$AT,MATCH($C$1,'Data qoq'!$J$1:$AT$1,),)</f>
        <v>1.331676579</v>
      </c>
      <c r="P22" s="25">
        <f>VLOOKUP(B22,'Data qoq'!$A:$AT,MATCH($P$1,'Data qoq'!$A$1:$AT$1,),)</f>
        <v>0.54862090500000005</v>
      </c>
      <c r="Q22" s="25">
        <f>VLOOKUP(B22,'Data qoq'!$A:$AT,MATCH($Q$1,'Data qoq'!$A$1:$AT$1,),)</f>
        <v>0.820128105</v>
      </c>
      <c r="R22" s="25">
        <f>VLOOKUP(B22,'Data qoq'!$A:$AT,MATCH($E$1,'Data qoq'!$A$1:$AT$1,),)</f>
        <v>0.15759699999999999</v>
      </c>
      <c r="S22" s="25">
        <f>VLOOKUP(B22,'Data qoq'!$A:$AT,MATCH($S$1,'Data qoq'!$A$1:$AT$1,),)</f>
        <v>1.0973539919999999</v>
      </c>
      <c r="T22" s="25">
        <f>VLOOKUP(B22,'Data qoq'!$A:$AT,MATCH($T$1,'Data qoq'!$A$1:$AT$1,),)</f>
        <v>1.0091899129999999</v>
      </c>
      <c r="U22" s="25">
        <f>VLOOKUP(B22,'Data qoq'!$A:$AT,MATCH($U$1,'Data qoq'!$A$1:$AT$1,),)</f>
        <v>0.77102046599999996</v>
      </c>
      <c r="V22" s="25">
        <f>VLOOKUP(B22,'Data qoq'!$A:$AT,MATCH($V$1,'Data qoq'!$A$1:$AT$1,),)</f>
        <v>1.030579122</v>
      </c>
      <c r="W22" s="25">
        <f>VLOOKUP(B22,'Data qoq'!$A:$AT,MATCH($W$1,'Data qoq'!$A$1:$AT$1,),)</f>
        <v>2.13363529</v>
      </c>
      <c r="X22" s="25">
        <f>VLOOKUP(B22,'Data qoq'!$A:$AT,MATCH($X$1,'Data qoq'!$A$1:$AT$1,),)</f>
        <v>0.75339327899999997</v>
      </c>
      <c r="Y22" s="25">
        <f>VLOOKUP(B22,'Data qoq'!$A:$AT,MATCH($Y$1,'Data qoq'!$A$1:$AT$1,),)</f>
        <v>9.4315389999999999E-2</v>
      </c>
      <c r="Z22" s="25">
        <f>VLOOKUP(B22,'Data qoq'!$A:$AU,MATCH($Z$1,'Data qoq'!$A$1:$AU$1,),)</f>
        <v>1.019056942</v>
      </c>
      <c r="AA22" s="25">
        <f>VLOOKUP(B22,'Data qoq'!$A:$AU,MATCH($AA$1,'Data qoq'!$A$1:$AU$1,),)</f>
        <v>1.331676579</v>
      </c>
      <c r="AC22" s="26" t="str">
        <f t="shared" si="6"/>
        <v>2002-Q4</v>
      </c>
      <c r="AD22" s="27">
        <f t="shared" si="7"/>
        <v>0.26990862599999998</v>
      </c>
      <c r="AE22" s="27">
        <f t="shared" si="8"/>
        <v>0.26990862599999998</v>
      </c>
    </row>
    <row r="23" spans="2:31" hidden="1" x14ac:dyDescent="0.2">
      <c r="B23" s="24" t="s">
        <v>289</v>
      </c>
      <c r="C23" s="25">
        <f>VLOOKUP(B23,'Data qoq'!$A:$AT,MATCH($C$1,'Data qoq'!$A$1:$AT$1,),)</f>
        <v>0.51672318699999997</v>
      </c>
      <c r="D23" s="25">
        <f>VLOOKUP(B23,'Data qoq'!$A:$AT,MATCH($D$1,'Data qoq'!$A$1:$AT$1,),)</f>
        <v>0</v>
      </c>
      <c r="E23" s="25">
        <f>VLOOKUP(B23,'Data qoq'!$A:$AT,MATCH($E$1,'Data qoq'!$A$1:$AT$1,),)</f>
        <v>-0.306649</v>
      </c>
      <c r="F23" s="25">
        <f>VLOOKUP(B23,'Data qoq'!$A:$AT,MATCH($F$1,'Data qoq'!$A$1:$AT$1,),)</f>
        <v>6.2583332000000005E-2</v>
      </c>
      <c r="G23" s="25">
        <f>VLOOKUP(B23,'Data qoq'!$A:$AT,MATCH($G$1,'Data qoq'!$A$1:$AT$1,),)</f>
        <v>-1.4903972080000001</v>
      </c>
      <c r="H23" s="25">
        <f>VLOOKUP(B23,'Data qoq'!$A:$AT,MATCH($H$1,'Data qoq'!$A$1:$AT$1,),)</f>
        <v>0.196872503</v>
      </c>
      <c r="I23" s="25">
        <f>VLOOKUP(B23,'Data qoq'!$A:$AT,MATCH($I$1,'Data qoq'!$A$1:$AT$1,),)</f>
        <v>0.561056412</v>
      </c>
      <c r="J23" s="25">
        <f>VLOOKUP(B23,'Data qoq'!$A:$AT,MATCH($J$1,'Data qoq'!$A$1:$AT$1,),)</f>
        <v>-0.34580155400000001</v>
      </c>
      <c r="K23" s="25">
        <f>VLOOKUP(B23,'Data qoq'!$A:$AT,MATCH($K$1,'Data qoq'!$A$1:$AT$1,),)</f>
        <v>0.93072099100000005</v>
      </c>
      <c r="L23" s="25">
        <f>VLOOKUP(B23,'Data qoq'!$A:$AT,MATCH($L$1,'Data qoq'!$A$1:$AT$1,),)</f>
        <v>1.1849545319999999</v>
      </c>
      <c r="M23" s="25">
        <f>VLOOKUP(B23,'Data qoq'!$A:$AT,MATCH($M$1,'Data qoq'!$A$1:$AT$1,),)</f>
        <v>0.241219977</v>
      </c>
      <c r="N23" s="25">
        <f>VLOOKUP(B23,'Data qoq'!$A:$AT,MATCH($N$1,'Data qoq'!$A$1:$AT$1,),)</f>
        <v>0</v>
      </c>
      <c r="O23" s="25">
        <f>VLOOKUP(B23,'Data qoq'!$A:$AT,MATCH($C$1,'Data qoq'!$J$1:$AT$1,),)</f>
        <v>0.55220280300000002</v>
      </c>
      <c r="P23" s="25">
        <f>VLOOKUP(B23,'Data qoq'!$A:$AT,MATCH($P$1,'Data qoq'!$A$1:$AT$1,),)</f>
        <v>0.55332523499999997</v>
      </c>
      <c r="Q23" s="25">
        <f>VLOOKUP(B23,'Data qoq'!$A:$AT,MATCH($Q$1,'Data qoq'!$A$1:$AT$1,),)</f>
        <v>0.20462535300000001</v>
      </c>
      <c r="R23" s="25">
        <f>VLOOKUP(B23,'Data qoq'!$A:$AT,MATCH($E$1,'Data qoq'!$A$1:$AT$1,),)</f>
        <v>-0.306649</v>
      </c>
      <c r="S23" s="25">
        <f>VLOOKUP(B23,'Data qoq'!$A:$AT,MATCH($S$1,'Data qoq'!$A$1:$AT$1,),)</f>
        <v>-0.65915983499999997</v>
      </c>
      <c r="T23" s="25">
        <f>VLOOKUP(B23,'Data qoq'!$A:$AT,MATCH($T$1,'Data qoq'!$A$1:$AT$1,),)</f>
        <v>-0.420802862</v>
      </c>
      <c r="U23" s="25">
        <f>VLOOKUP(B23,'Data qoq'!$A:$AT,MATCH($U$1,'Data qoq'!$A$1:$AT$1,),)</f>
        <v>2.0819525830000001</v>
      </c>
      <c r="V23" s="25">
        <f>VLOOKUP(B23,'Data qoq'!$A:$AT,MATCH($V$1,'Data qoq'!$A$1:$AT$1,),)</f>
        <v>-0.56482659499999999</v>
      </c>
      <c r="W23" s="25">
        <f>VLOOKUP(B23,'Data qoq'!$A:$AT,MATCH($W$1,'Data qoq'!$A$1:$AT$1,),)</f>
        <v>8.3600699000000001E-2</v>
      </c>
      <c r="X23" s="25">
        <f>VLOOKUP(B23,'Data qoq'!$A:$AT,MATCH($X$1,'Data qoq'!$A$1:$AT$1,),)</f>
        <v>1.0777540880000001</v>
      </c>
      <c r="Y23" s="25">
        <f>VLOOKUP(B23,'Data qoq'!$A:$AT,MATCH($Y$1,'Data qoq'!$A$1:$AT$1,),)</f>
        <v>0.349509187</v>
      </c>
      <c r="Z23" s="25">
        <f>VLOOKUP(B23,'Data qoq'!$A:$AU,MATCH($Z$1,'Data qoq'!$A$1:$AU$1,),)</f>
        <v>3.695017177</v>
      </c>
      <c r="AA23" s="25">
        <f>VLOOKUP(B23,'Data qoq'!$A:$AU,MATCH($AA$1,'Data qoq'!$A$1:$AU$1,),)</f>
        <v>0.55220280300000002</v>
      </c>
      <c r="AC23" s="26" t="str">
        <f t="shared" si="6"/>
        <v>2003-Q1</v>
      </c>
      <c r="AD23" s="27">
        <f t="shared" si="7"/>
        <v>2.0071203950000003</v>
      </c>
      <c r="AE23" s="27">
        <f t="shared" si="8"/>
        <v>2.0071203950000003</v>
      </c>
    </row>
    <row r="24" spans="2:31" hidden="1" x14ac:dyDescent="0.2">
      <c r="B24" s="24" t="s">
        <v>290</v>
      </c>
      <c r="C24" s="25">
        <f>VLOOKUP(B24,'Data qoq'!$A:$AT,MATCH($C$1,'Data qoq'!$A$1:$AT$1,),)</f>
        <v>0.89337780099999997</v>
      </c>
      <c r="D24" s="25">
        <f>VLOOKUP(B24,'Data qoq'!$A:$AT,MATCH($D$1,'Data qoq'!$A$1:$AT$1,),)</f>
        <v>0</v>
      </c>
      <c r="E24" s="25">
        <f>VLOOKUP(B24,'Data qoq'!$A:$AT,MATCH($E$1,'Data qoq'!$A$1:$AT$1,),)</f>
        <v>8.6481000000000002E-2</v>
      </c>
      <c r="F24" s="25">
        <f>VLOOKUP(B24,'Data qoq'!$A:$AT,MATCH($F$1,'Data qoq'!$A$1:$AT$1,),)</f>
        <v>0.68755559200000005</v>
      </c>
      <c r="G24" s="25">
        <f>VLOOKUP(B24,'Data qoq'!$A:$AT,MATCH($G$1,'Data qoq'!$A$1:$AT$1,),)</f>
        <v>0.117964262</v>
      </c>
      <c r="H24" s="25">
        <f>VLOOKUP(B24,'Data qoq'!$A:$AT,MATCH($H$1,'Data qoq'!$A$1:$AT$1,),)</f>
        <v>-0.213405865</v>
      </c>
      <c r="I24" s="25">
        <f>VLOOKUP(B24,'Data qoq'!$A:$AT,MATCH($I$1,'Data qoq'!$A$1:$AT$1,),)</f>
        <v>0.76330763599999996</v>
      </c>
      <c r="J24" s="25">
        <f>VLOOKUP(B24,'Data qoq'!$A:$AT,MATCH($J$1,'Data qoq'!$A$1:$AT$1,),)</f>
        <v>-0.15979774199999999</v>
      </c>
      <c r="K24" s="25">
        <f>VLOOKUP(B24,'Data qoq'!$A:$AT,MATCH($K$1,'Data qoq'!$A$1:$AT$1,),)</f>
        <v>0.52106276699999998</v>
      </c>
      <c r="L24" s="25">
        <f>VLOOKUP(B24,'Data qoq'!$A:$AT,MATCH($L$1,'Data qoq'!$A$1:$AT$1,),)</f>
        <v>-0.60349749200000002</v>
      </c>
      <c r="M24" s="25">
        <f>VLOOKUP(B24,'Data qoq'!$A:$AT,MATCH($M$1,'Data qoq'!$A$1:$AT$1,),)</f>
        <v>0.228940741</v>
      </c>
      <c r="N24" s="25">
        <f>VLOOKUP(B24,'Data qoq'!$A:$AT,MATCH($N$1,'Data qoq'!$A$1:$AT$1,),)</f>
        <v>1.1154365420000001</v>
      </c>
      <c r="O24" s="25">
        <f>VLOOKUP(B24,'Data qoq'!$A:$AT,MATCH($C$1,'Data qoq'!$J$1:$AT$1,),)</f>
        <v>0.43746963799999999</v>
      </c>
      <c r="P24" s="25">
        <f>VLOOKUP(B24,'Data qoq'!$A:$AT,MATCH($P$1,'Data qoq'!$A$1:$AT$1,),)</f>
        <v>-0.14746372799999999</v>
      </c>
      <c r="Q24" s="25">
        <f>VLOOKUP(B24,'Data qoq'!$A:$AT,MATCH($Q$1,'Data qoq'!$A$1:$AT$1,),)</f>
        <v>0.41187612899999998</v>
      </c>
      <c r="R24" s="25">
        <f>VLOOKUP(B24,'Data qoq'!$A:$AT,MATCH($E$1,'Data qoq'!$A$1:$AT$1,),)</f>
        <v>8.6481000000000002E-2</v>
      </c>
      <c r="S24" s="25">
        <f>VLOOKUP(B24,'Data qoq'!$A:$AT,MATCH($S$1,'Data qoq'!$A$1:$AT$1,),)</f>
        <v>-0.154146863</v>
      </c>
      <c r="T24" s="25">
        <f>VLOOKUP(B24,'Data qoq'!$A:$AT,MATCH($T$1,'Data qoq'!$A$1:$AT$1,),)</f>
        <v>-0.86946848499999996</v>
      </c>
      <c r="U24" s="25">
        <f>VLOOKUP(B24,'Data qoq'!$A:$AT,MATCH($U$1,'Data qoq'!$A$1:$AT$1,),)</f>
        <v>1.771173645</v>
      </c>
      <c r="V24" s="25">
        <f>VLOOKUP(B24,'Data qoq'!$A:$AT,MATCH($V$1,'Data qoq'!$A$1:$AT$1,),)</f>
        <v>0.60596670699999999</v>
      </c>
      <c r="W24" s="25">
        <f>VLOOKUP(B24,'Data qoq'!$A:$AT,MATCH($W$1,'Data qoq'!$A$1:$AT$1,),)</f>
        <v>0.336326982</v>
      </c>
      <c r="X24" s="25">
        <f>VLOOKUP(B24,'Data qoq'!$A:$AT,MATCH($X$1,'Data qoq'!$A$1:$AT$1,),)</f>
        <v>1.0416591289999999</v>
      </c>
      <c r="Y24" s="25">
        <f>VLOOKUP(B24,'Data qoq'!$A:$AT,MATCH($Y$1,'Data qoq'!$A$1:$AT$1,),)</f>
        <v>2.0967386989999999</v>
      </c>
      <c r="Z24" s="25">
        <f>VLOOKUP(B24,'Data qoq'!$A:$AU,MATCH($Z$1,'Data qoq'!$A$1:$AU$1,),)</f>
        <v>3.1643250489999999</v>
      </c>
      <c r="AA24" s="25">
        <f>VLOOKUP(B24,'Data qoq'!$A:$AU,MATCH($AA$1,'Data qoq'!$A$1:$AU$1,),)</f>
        <v>0.43746963799999999</v>
      </c>
      <c r="AC24" s="26" t="str">
        <f t="shared" si="6"/>
        <v>2003-Q2</v>
      </c>
      <c r="AD24" s="27">
        <f t="shared" si="7"/>
        <v>0.77541353899999999</v>
      </c>
      <c r="AE24" s="27">
        <f t="shared" si="8"/>
        <v>0.77541353899999999</v>
      </c>
    </row>
    <row r="25" spans="2:31" hidden="1" x14ac:dyDescent="0.2">
      <c r="B25" s="24" t="s">
        <v>291</v>
      </c>
      <c r="C25" s="25">
        <f>VLOOKUP(B25,'Data qoq'!$A:$AT,MATCH($C$1,'Data qoq'!$A$1:$AT$1,),)</f>
        <v>1.6668962700000001</v>
      </c>
      <c r="D25" s="25">
        <f>VLOOKUP(B25,'Data qoq'!$A:$AT,MATCH($D$1,'Data qoq'!$A$1:$AT$1,),)</f>
        <v>0</v>
      </c>
      <c r="E25" s="25">
        <f>VLOOKUP(B25,'Data qoq'!$A:$AT,MATCH($E$1,'Data qoq'!$A$1:$AT$1,),)</f>
        <v>0.54040600000000005</v>
      </c>
      <c r="F25" s="25">
        <f>VLOOKUP(B25,'Data qoq'!$A:$AT,MATCH($F$1,'Data qoq'!$A$1:$AT$1,),)</f>
        <v>0.29476609999999998</v>
      </c>
      <c r="G25" s="25">
        <f>VLOOKUP(B25,'Data qoq'!$A:$AT,MATCH($G$1,'Data qoq'!$A$1:$AT$1,),)</f>
        <v>0.76587593499999995</v>
      </c>
      <c r="H25" s="25">
        <f>VLOOKUP(B25,'Data qoq'!$A:$AT,MATCH($H$1,'Data qoq'!$A$1:$AT$1,),)</f>
        <v>0.67274411300000003</v>
      </c>
      <c r="I25" s="25">
        <f>VLOOKUP(B25,'Data qoq'!$A:$AT,MATCH($I$1,'Data qoq'!$A$1:$AT$1,),)</f>
        <v>0.98198584499999997</v>
      </c>
      <c r="J25" s="25">
        <f>VLOOKUP(B25,'Data qoq'!$A:$AT,MATCH($J$1,'Data qoq'!$A$1:$AT$1,),)</f>
        <v>-7.2138451000000006E-2</v>
      </c>
      <c r="K25" s="25">
        <f>VLOOKUP(B25,'Data qoq'!$A:$AT,MATCH($K$1,'Data qoq'!$A$1:$AT$1,),)</f>
        <v>0.65942963499999996</v>
      </c>
      <c r="L25" s="25">
        <f>VLOOKUP(B25,'Data qoq'!$A:$AT,MATCH($L$1,'Data qoq'!$A$1:$AT$1,),)</f>
        <v>1.476638662</v>
      </c>
      <c r="M25" s="25">
        <f>VLOOKUP(B25,'Data qoq'!$A:$AT,MATCH($M$1,'Data qoq'!$A$1:$AT$1,),)</f>
        <v>-4.0907631999999999E-2</v>
      </c>
      <c r="N25" s="25">
        <f>VLOOKUP(B25,'Data qoq'!$A:$AT,MATCH($N$1,'Data qoq'!$A$1:$AT$1,),)</f>
        <v>1.6881671840000001</v>
      </c>
      <c r="O25" s="25">
        <f>VLOOKUP(B25,'Data qoq'!$A:$AT,MATCH($C$1,'Data qoq'!$J$1:$AT$1,),)</f>
        <v>2.1064752250000001</v>
      </c>
      <c r="P25" s="25">
        <f>VLOOKUP(B25,'Data qoq'!$A:$AT,MATCH($P$1,'Data qoq'!$A$1:$AT$1,),)</f>
        <v>0.373654347</v>
      </c>
      <c r="Q25" s="25">
        <f>VLOOKUP(B25,'Data qoq'!$A:$AT,MATCH($Q$1,'Data qoq'!$A$1:$AT$1,),)</f>
        <v>1.7309940049999999</v>
      </c>
      <c r="R25" s="25">
        <f>VLOOKUP(B25,'Data qoq'!$A:$AT,MATCH($E$1,'Data qoq'!$A$1:$AT$1,),)</f>
        <v>0.54040600000000005</v>
      </c>
      <c r="S25" s="25">
        <f>VLOOKUP(B25,'Data qoq'!$A:$AT,MATCH($S$1,'Data qoq'!$A$1:$AT$1,),)</f>
        <v>1.9326695089999999</v>
      </c>
      <c r="T25" s="25">
        <f>VLOOKUP(B25,'Data qoq'!$A:$AT,MATCH($T$1,'Data qoq'!$A$1:$AT$1,),)</f>
        <v>0.94943706000000005</v>
      </c>
      <c r="U25" s="25">
        <f>VLOOKUP(B25,'Data qoq'!$A:$AT,MATCH($U$1,'Data qoq'!$A$1:$AT$1,),)</f>
        <v>0.62731859400000001</v>
      </c>
      <c r="V25" s="25">
        <f>VLOOKUP(B25,'Data qoq'!$A:$AT,MATCH($V$1,'Data qoq'!$A$1:$AT$1,),)</f>
        <v>0.81346660500000001</v>
      </c>
      <c r="W25" s="25">
        <f>VLOOKUP(B25,'Data qoq'!$A:$AT,MATCH($W$1,'Data qoq'!$A$1:$AT$1,),)</f>
        <v>2.8512124029999999</v>
      </c>
      <c r="X25" s="25">
        <f>VLOOKUP(B25,'Data qoq'!$A:$AT,MATCH($X$1,'Data qoq'!$A$1:$AT$1,),)</f>
        <v>0.92743451600000004</v>
      </c>
      <c r="Y25" s="25">
        <f>VLOOKUP(B25,'Data qoq'!$A:$AT,MATCH($Y$1,'Data qoq'!$A$1:$AT$1,),)</f>
        <v>1.113623303</v>
      </c>
      <c r="Z25" s="25">
        <f>VLOOKUP(B25,'Data qoq'!$A:$AU,MATCH($Z$1,'Data qoq'!$A$1:$AU$1,),)</f>
        <v>2.4436381310000002</v>
      </c>
      <c r="AA25" s="25">
        <f>VLOOKUP(B25,'Data qoq'!$A:$AU,MATCH($AA$1,'Data qoq'!$A$1:$AU$1,),)</f>
        <v>2.1064752250000001</v>
      </c>
      <c r="AC25" s="26" t="str">
        <f t="shared" si="6"/>
        <v>2003-Q3</v>
      </c>
      <c r="AD25" s="27">
        <f t="shared" si="7"/>
        <v>0.90102033500000012</v>
      </c>
      <c r="AE25" s="27">
        <f t="shared" si="8"/>
        <v>0.90102033500000012</v>
      </c>
    </row>
    <row r="26" spans="2:31" hidden="1" x14ac:dyDescent="0.2">
      <c r="B26" s="24" t="s">
        <v>292</v>
      </c>
      <c r="C26" s="25">
        <f>VLOOKUP(B26,'Data qoq'!$A:$AT,MATCH($C$1,'Data qoq'!$A$1:$AT$1,),)</f>
        <v>1.154045728</v>
      </c>
      <c r="D26" s="25">
        <f>VLOOKUP(B26,'Data qoq'!$A:$AT,MATCH($D$1,'Data qoq'!$A$1:$AT$1,),)</f>
        <v>0</v>
      </c>
      <c r="E26" s="25">
        <f>VLOOKUP(B26,'Data qoq'!$A:$AT,MATCH($E$1,'Data qoq'!$A$1:$AT$1,),)</f>
        <v>0.73518899999999998</v>
      </c>
      <c r="F26" s="25">
        <f>VLOOKUP(B26,'Data qoq'!$A:$AT,MATCH($F$1,'Data qoq'!$A$1:$AT$1,),)</f>
        <v>1.0879651100000001</v>
      </c>
      <c r="G26" s="25">
        <f>VLOOKUP(B26,'Data qoq'!$A:$AT,MATCH($G$1,'Data qoq'!$A$1:$AT$1,),)</f>
        <v>0.26894256</v>
      </c>
      <c r="H26" s="25">
        <f>VLOOKUP(B26,'Data qoq'!$A:$AT,MATCH($H$1,'Data qoq'!$A$1:$AT$1,),)</f>
        <v>0.72404115599999996</v>
      </c>
      <c r="I26" s="25">
        <f>VLOOKUP(B26,'Data qoq'!$A:$AT,MATCH($I$1,'Data qoq'!$A$1:$AT$1,),)</f>
        <v>0.79102715499999998</v>
      </c>
      <c r="J26" s="25">
        <f>VLOOKUP(B26,'Data qoq'!$A:$AT,MATCH($J$1,'Data qoq'!$A$1:$AT$1,),)</f>
        <v>0.93543254600000003</v>
      </c>
      <c r="K26" s="25">
        <f>VLOOKUP(B26,'Data qoq'!$A:$AT,MATCH($K$1,'Data qoq'!$A$1:$AT$1,),)</f>
        <v>0.86449595899999998</v>
      </c>
      <c r="L26" s="25">
        <f>VLOOKUP(B26,'Data qoq'!$A:$AT,MATCH($L$1,'Data qoq'!$A$1:$AT$1,),)</f>
        <v>0.60744874800000004</v>
      </c>
      <c r="M26" s="25">
        <f>VLOOKUP(B26,'Data qoq'!$A:$AT,MATCH($M$1,'Data qoq'!$A$1:$AT$1,),)</f>
        <v>1.100091283</v>
      </c>
      <c r="N26" s="25">
        <f>VLOOKUP(B26,'Data qoq'!$A:$AT,MATCH($N$1,'Data qoq'!$A$1:$AT$1,),)</f>
        <v>1.8238187690000001</v>
      </c>
      <c r="O26" s="25">
        <f>VLOOKUP(B26,'Data qoq'!$A:$AT,MATCH($C$1,'Data qoq'!$J$1:$AT$1,),)</f>
        <v>1.3034495749999999</v>
      </c>
      <c r="P26" s="25">
        <f>VLOOKUP(B26,'Data qoq'!$A:$AT,MATCH($P$1,'Data qoq'!$A$1:$AT$1,),)</f>
        <v>0.68995918099999998</v>
      </c>
      <c r="Q26" s="25">
        <f>VLOOKUP(B26,'Data qoq'!$A:$AT,MATCH($Q$1,'Data qoq'!$A$1:$AT$1,),)</f>
        <v>1.649791928</v>
      </c>
      <c r="R26" s="25">
        <f>VLOOKUP(B26,'Data qoq'!$A:$AT,MATCH($E$1,'Data qoq'!$A$1:$AT$1,),)</f>
        <v>0.73518899999999998</v>
      </c>
      <c r="S26" s="25">
        <f>VLOOKUP(B26,'Data qoq'!$A:$AT,MATCH($S$1,'Data qoq'!$A$1:$AT$1,),)</f>
        <v>2.6394795860000002</v>
      </c>
      <c r="T26" s="25">
        <f>VLOOKUP(B26,'Data qoq'!$A:$AT,MATCH($T$1,'Data qoq'!$A$1:$AT$1,),)</f>
        <v>1.0345440910000001</v>
      </c>
      <c r="U26" s="25">
        <f>VLOOKUP(B26,'Data qoq'!$A:$AT,MATCH($U$1,'Data qoq'!$A$1:$AT$1,),)</f>
        <v>2.1371795480000002</v>
      </c>
      <c r="V26" s="25">
        <f>VLOOKUP(B26,'Data qoq'!$A:$AT,MATCH($V$1,'Data qoq'!$A$1:$AT$1,),)</f>
        <v>5.2187793640000004</v>
      </c>
      <c r="W26" s="25">
        <f>VLOOKUP(B26,'Data qoq'!$A:$AT,MATCH($W$1,'Data qoq'!$A$1:$AT$1,),)</f>
        <v>3.0230130769999999</v>
      </c>
      <c r="X26" s="25">
        <f>VLOOKUP(B26,'Data qoq'!$A:$AT,MATCH($X$1,'Data qoq'!$A$1:$AT$1,),)</f>
        <v>1.0113947480000001</v>
      </c>
      <c r="Y26" s="25">
        <f>VLOOKUP(B26,'Data qoq'!$A:$AT,MATCH($Y$1,'Data qoq'!$A$1:$AT$1,),)</f>
        <v>0.28005839100000002</v>
      </c>
      <c r="Z26" s="25">
        <f>VLOOKUP(B26,'Data qoq'!$A:$AU,MATCH($Z$1,'Data qoq'!$A$1:$AU$1,),)</f>
        <v>1.8764988899999999</v>
      </c>
      <c r="AA26" s="25">
        <f>VLOOKUP(B26,'Data qoq'!$A:$AU,MATCH($AA$1,'Data qoq'!$A$1:$AU$1,),)</f>
        <v>1.3034495749999999</v>
      </c>
      <c r="AC26" s="26" t="str">
        <f t="shared" si="6"/>
        <v>2003-Q4</v>
      </c>
      <c r="AD26" s="27">
        <f t="shared" si="7"/>
        <v>0.88510316800000011</v>
      </c>
      <c r="AE26" s="27">
        <f t="shared" si="8"/>
        <v>0.88510316800000011</v>
      </c>
    </row>
    <row r="27" spans="2:31" hidden="1" x14ac:dyDescent="0.2">
      <c r="B27" s="24" t="s">
        <v>293</v>
      </c>
      <c r="C27" s="25">
        <f>VLOOKUP(B27,'Data qoq'!$A:$AT,MATCH($C$1,'Data qoq'!$A$1:$AT$1,),)</f>
        <v>0.572916486</v>
      </c>
      <c r="D27" s="25">
        <f>VLOOKUP(B27,'Data qoq'!$A:$AT,MATCH($D$1,'Data qoq'!$A$1:$AT$1,),)</f>
        <v>0</v>
      </c>
      <c r="E27" s="25">
        <f>VLOOKUP(B27,'Data qoq'!$A:$AT,MATCH($E$1,'Data qoq'!$A$1:$AT$1,),)</f>
        <v>0.49294399999999999</v>
      </c>
      <c r="F27" s="25">
        <f>VLOOKUP(B27,'Data qoq'!$A:$AT,MATCH($F$1,'Data qoq'!$A$1:$AT$1,),)</f>
        <v>0.73419142000000004</v>
      </c>
      <c r="G27" s="25">
        <f>VLOOKUP(B27,'Data qoq'!$A:$AT,MATCH($G$1,'Data qoq'!$A$1:$AT$1,),)</f>
        <v>-0.17199453100000001</v>
      </c>
      <c r="H27" s="25">
        <f>VLOOKUP(B27,'Data qoq'!$A:$AT,MATCH($H$1,'Data qoq'!$A$1:$AT$1,),)</f>
        <v>0.93078768899999997</v>
      </c>
      <c r="I27" s="25">
        <f>VLOOKUP(B27,'Data qoq'!$A:$AT,MATCH($I$1,'Data qoq'!$A$1:$AT$1,),)</f>
        <v>0.44692334700000003</v>
      </c>
      <c r="J27" s="25">
        <f>VLOOKUP(B27,'Data qoq'!$A:$AT,MATCH($J$1,'Data qoq'!$A$1:$AT$1,),)</f>
        <v>0.21292783100000001</v>
      </c>
      <c r="K27" s="25">
        <f>VLOOKUP(B27,'Data qoq'!$A:$AT,MATCH($K$1,'Data qoq'!$A$1:$AT$1,),)</f>
        <v>0.60304358199999997</v>
      </c>
      <c r="L27" s="25">
        <f>VLOOKUP(B27,'Data qoq'!$A:$AT,MATCH($L$1,'Data qoq'!$A$1:$AT$1,),)</f>
        <v>1.868695365</v>
      </c>
      <c r="M27" s="25">
        <f>VLOOKUP(B27,'Data qoq'!$A:$AT,MATCH($M$1,'Data qoq'!$A$1:$AT$1,),)</f>
        <v>1.402489589</v>
      </c>
      <c r="N27" s="25">
        <f>VLOOKUP(B27,'Data qoq'!$A:$AT,MATCH($N$1,'Data qoq'!$A$1:$AT$1,),)</f>
        <v>1.8786669309999999</v>
      </c>
      <c r="O27" s="25">
        <f>VLOOKUP(B27,'Data qoq'!$A:$AT,MATCH($C$1,'Data qoq'!$J$1:$AT$1,),)</f>
        <v>1.7075292820000001</v>
      </c>
      <c r="P27" s="25">
        <f>VLOOKUP(B27,'Data qoq'!$A:$AT,MATCH($P$1,'Data qoq'!$A$1:$AT$1,),)</f>
        <v>0.72026758700000004</v>
      </c>
      <c r="Q27" s="25">
        <f>VLOOKUP(B27,'Data qoq'!$A:$AT,MATCH($Q$1,'Data qoq'!$A$1:$AT$1,),)</f>
        <v>0.78999281799999999</v>
      </c>
      <c r="R27" s="25">
        <f>VLOOKUP(B27,'Data qoq'!$A:$AT,MATCH($E$1,'Data qoq'!$A$1:$AT$1,),)</f>
        <v>0.49294399999999999</v>
      </c>
      <c r="S27" s="25">
        <f>VLOOKUP(B27,'Data qoq'!$A:$AT,MATCH($S$1,'Data qoq'!$A$1:$AT$1,),)</f>
        <v>1.254800591</v>
      </c>
      <c r="T27" s="25">
        <f>VLOOKUP(B27,'Data qoq'!$A:$AT,MATCH($T$1,'Data qoq'!$A$1:$AT$1,),)</f>
        <v>1.4105899580000001</v>
      </c>
      <c r="U27" s="25">
        <f>VLOOKUP(B27,'Data qoq'!$A:$AT,MATCH($U$1,'Data qoq'!$A$1:$AT$1,),)</f>
        <v>1.8285645370000001</v>
      </c>
      <c r="V27" s="25">
        <f>VLOOKUP(B27,'Data qoq'!$A:$AT,MATCH($V$1,'Data qoq'!$A$1:$AT$1,),)</f>
        <v>-0.16996867099999999</v>
      </c>
      <c r="W27" s="25">
        <f>VLOOKUP(B27,'Data qoq'!$A:$AT,MATCH($W$1,'Data qoq'!$A$1:$AT$1,),)</f>
        <v>2.7542829950000001</v>
      </c>
      <c r="X27" s="25">
        <f>VLOOKUP(B27,'Data qoq'!$A:$AT,MATCH($X$1,'Data qoq'!$A$1:$AT$1,),)</f>
        <v>0.973754181</v>
      </c>
      <c r="Y27" s="25">
        <f>VLOOKUP(B27,'Data qoq'!$A:$AT,MATCH($Y$1,'Data qoq'!$A$1:$AT$1,),)</f>
        <v>2.9871808479999999</v>
      </c>
      <c r="Z27" s="25">
        <f>VLOOKUP(B27,'Data qoq'!$A:$AU,MATCH($Z$1,'Data qoq'!$A$1:$AU$1,),)</f>
        <v>3.2611809639999998</v>
      </c>
      <c r="AA27" s="25">
        <f>VLOOKUP(B27,'Data qoq'!$A:$AU,MATCH($AA$1,'Data qoq'!$A$1:$AU$1,),)</f>
        <v>1.7075292820000001</v>
      </c>
      <c r="AC27" s="26" t="str">
        <f t="shared" si="6"/>
        <v>2004-Q1</v>
      </c>
      <c r="AD27" s="27">
        <f t="shared" si="7"/>
        <v>0.74491101699999995</v>
      </c>
      <c r="AE27" s="27">
        <f t="shared" si="8"/>
        <v>0.74491101699999995</v>
      </c>
    </row>
    <row r="28" spans="2:31" hidden="1" x14ac:dyDescent="0.2">
      <c r="B28" s="24" t="s">
        <v>294</v>
      </c>
      <c r="C28" s="25">
        <f>VLOOKUP(B28,'Data qoq'!$A:$AT,MATCH($C$1,'Data qoq'!$A$1:$AT$1,),)</f>
        <v>0.77873875800000003</v>
      </c>
      <c r="D28" s="25">
        <f>VLOOKUP(B28,'Data qoq'!$A:$AT,MATCH($D$1,'Data qoq'!$A$1:$AT$1,),)</f>
        <v>0</v>
      </c>
      <c r="E28" s="25">
        <f>VLOOKUP(B28,'Data qoq'!$A:$AT,MATCH($E$1,'Data qoq'!$A$1:$AT$1,),)</f>
        <v>0.63411200000000001</v>
      </c>
      <c r="F28" s="25">
        <f>VLOOKUP(B28,'Data qoq'!$A:$AT,MATCH($F$1,'Data qoq'!$A$1:$AT$1,),)</f>
        <v>1.6825066E-2</v>
      </c>
      <c r="G28" s="25">
        <f>VLOOKUP(B28,'Data qoq'!$A:$AT,MATCH($G$1,'Data qoq'!$A$1:$AT$1,),)</f>
        <v>0.50232971599999998</v>
      </c>
      <c r="H28" s="25">
        <f>VLOOKUP(B28,'Data qoq'!$A:$AT,MATCH($H$1,'Data qoq'!$A$1:$AT$1,),)</f>
        <v>0.64987108199999999</v>
      </c>
      <c r="I28" s="25">
        <f>VLOOKUP(B28,'Data qoq'!$A:$AT,MATCH($I$1,'Data qoq'!$A$1:$AT$1,),)</f>
        <v>0.54316136999999998</v>
      </c>
      <c r="J28" s="25">
        <f>VLOOKUP(B28,'Data qoq'!$A:$AT,MATCH($J$1,'Data qoq'!$A$1:$AT$1,),)</f>
        <v>0.42425089399999999</v>
      </c>
      <c r="K28" s="25">
        <f>VLOOKUP(B28,'Data qoq'!$A:$AT,MATCH($K$1,'Data qoq'!$A$1:$AT$1,),)</f>
        <v>0.97698308</v>
      </c>
      <c r="L28" s="25">
        <f>VLOOKUP(B28,'Data qoq'!$A:$AT,MATCH($L$1,'Data qoq'!$A$1:$AT$1,),)</f>
        <v>0.38530665800000002</v>
      </c>
      <c r="M28" s="25">
        <f>VLOOKUP(B28,'Data qoq'!$A:$AT,MATCH($M$1,'Data qoq'!$A$1:$AT$1,),)</f>
        <v>1.5520573120000001</v>
      </c>
      <c r="N28" s="25">
        <f>VLOOKUP(B28,'Data qoq'!$A:$AT,MATCH($N$1,'Data qoq'!$A$1:$AT$1,),)</f>
        <v>1.9271840410000001</v>
      </c>
      <c r="O28" s="25">
        <f>VLOOKUP(B28,'Data qoq'!$A:$AT,MATCH($C$1,'Data qoq'!$J$1:$AT$1,),)</f>
        <v>0.862680852</v>
      </c>
      <c r="P28" s="25">
        <f>VLOOKUP(B28,'Data qoq'!$A:$AT,MATCH($P$1,'Data qoq'!$A$1:$AT$1,),)</f>
        <v>1.1878190150000001</v>
      </c>
      <c r="Q28" s="25">
        <f>VLOOKUP(B28,'Data qoq'!$A:$AT,MATCH($Q$1,'Data qoq'!$A$1:$AT$1,),)</f>
        <v>0.65301704699999996</v>
      </c>
      <c r="R28" s="25">
        <f>VLOOKUP(B28,'Data qoq'!$A:$AT,MATCH($E$1,'Data qoq'!$A$1:$AT$1,),)</f>
        <v>0.63411200000000001</v>
      </c>
      <c r="S28" s="25">
        <f>VLOOKUP(B28,'Data qoq'!$A:$AT,MATCH($S$1,'Data qoq'!$A$1:$AT$1,),)</f>
        <v>0.76349936900000004</v>
      </c>
      <c r="T28" s="25">
        <f>VLOOKUP(B28,'Data qoq'!$A:$AT,MATCH($T$1,'Data qoq'!$A$1:$AT$1,),)</f>
        <v>2.7390041389999999</v>
      </c>
      <c r="U28" s="25">
        <f>VLOOKUP(B28,'Data qoq'!$A:$AT,MATCH($U$1,'Data qoq'!$A$1:$AT$1,),)</f>
        <v>-1.8592187999999999E-2</v>
      </c>
      <c r="V28" s="25">
        <f>VLOOKUP(B28,'Data qoq'!$A:$AT,MATCH($V$1,'Data qoq'!$A$1:$AT$1,),)</f>
        <v>2.3134706779999998</v>
      </c>
      <c r="W28" s="25">
        <f>VLOOKUP(B28,'Data qoq'!$A:$AT,MATCH($W$1,'Data qoq'!$A$1:$AT$1,),)</f>
        <v>2.328300885</v>
      </c>
      <c r="X28" s="25">
        <f>VLOOKUP(B28,'Data qoq'!$A:$AT,MATCH($X$1,'Data qoq'!$A$1:$AT$1,),)</f>
        <v>1.1687850900000001</v>
      </c>
      <c r="Y28" s="25">
        <f>VLOOKUP(B28,'Data qoq'!$A:$AT,MATCH($Y$1,'Data qoq'!$A$1:$AT$1,),)</f>
        <v>0.80933814800000003</v>
      </c>
      <c r="Z28" s="25">
        <f>VLOOKUP(B28,'Data qoq'!$A:$AU,MATCH($Z$1,'Data qoq'!$A$1:$AU$1,),)</f>
        <v>-1.1488376659999999</v>
      </c>
      <c r="AA28" s="25">
        <f>VLOOKUP(B28,'Data qoq'!$A:$AU,MATCH($AA$1,'Data qoq'!$A$1:$AU$1,),)</f>
        <v>0.862680852</v>
      </c>
      <c r="AC28" s="26" t="str">
        <f t="shared" si="6"/>
        <v>2004-Q2</v>
      </c>
      <c r="AD28" s="27">
        <f t="shared" si="7"/>
        <v>0.27640904200000005</v>
      </c>
      <c r="AE28" s="27">
        <f t="shared" si="8"/>
        <v>0.27640904200000005</v>
      </c>
    </row>
    <row r="29" spans="2:31" hidden="1" x14ac:dyDescent="0.2">
      <c r="B29" s="24" t="s">
        <v>295</v>
      </c>
      <c r="C29" s="25">
        <f>VLOOKUP(B29,'Data qoq'!$A:$AT,MATCH($C$1,'Data qoq'!$A$1:$AT$1,),)</f>
        <v>0.94124722500000002</v>
      </c>
      <c r="D29" s="25">
        <f>VLOOKUP(B29,'Data qoq'!$A:$AT,MATCH($D$1,'Data qoq'!$A$1:$AT$1,),)</f>
        <v>0</v>
      </c>
      <c r="E29" s="25">
        <f>VLOOKUP(B29,'Data qoq'!$A:$AT,MATCH($E$1,'Data qoq'!$A$1:$AT$1,),)</f>
        <v>0.24168400000000001</v>
      </c>
      <c r="F29" s="25">
        <f>VLOOKUP(B29,'Data qoq'!$A:$AT,MATCH($F$1,'Data qoq'!$A$1:$AT$1,),)</f>
        <v>0.61157995700000001</v>
      </c>
      <c r="G29" s="25">
        <f>VLOOKUP(B29,'Data qoq'!$A:$AT,MATCH($G$1,'Data qoq'!$A$1:$AT$1,),)</f>
        <v>-0.18597518800000001</v>
      </c>
      <c r="H29" s="25">
        <f>VLOOKUP(B29,'Data qoq'!$A:$AT,MATCH($H$1,'Data qoq'!$A$1:$AT$1,),)</f>
        <v>0.25864037899999998</v>
      </c>
      <c r="I29" s="25">
        <f>VLOOKUP(B29,'Data qoq'!$A:$AT,MATCH($I$1,'Data qoq'!$A$1:$AT$1,),)</f>
        <v>0.24669328400000001</v>
      </c>
      <c r="J29" s="25">
        <f>VLOOKUP(B29,'Data qoq'!$A:$AT,MATCH($J$1,'Data qoq'!$A$1:$AT$1,),)</f>
        <v>-1.0942477000000001E-2</v>
      </c>
      <c r="K29" s="25">
        <f>VLOOKUP(B29,'Data qoq'!$A:$AT,MATCH($K$1,'Data qoq'!$A$1:$AT$1,),)</f>
        <v>0.94041857500000003</v>
      </c>
      <c r="L29" s="25">
        <f>VLOOKUP(B29,'Data qoq'!$A:$AT,MATCH($L$1,'Data qoq'!$A$1:$AT$1,),)</f>
        <v>0.80344237799999996</v>
      </c>
      <c r="M29" s="25">
        <f>VLOOKUP(B29,'Data qoq'!$A:$AT,MATCH($M$1,'Data qoq'!$A$1:$AT$1,),)</f>
        <v>-0.217012908</v>
      </c>
      <c r="N29" s="25">
        <f>VLOOKUP(B29,'Data qoq'!$A:$AT,MATCH($N$1,'Data qoq'!$A$1:$AT$1,),)</f>
        <v>1.514535194</v>
      </c>
      <c r="O29" s="25">
        <f>VLOOKUP(B29,'Data qoq'!$A:$AT,MATCH($C$1,'Data qoq'!$J$1:$AT$1,),)</f>
        <v>0.28698228999999997</v>
      </c>
      <c r="P29" s="25">
        <f>VLOOKUP(B29,'Data qoq'!$A:$AT,MATCH($P$1,'Data qoq'!$A$1:$AT$1,),)</f>
        <v>1.1804355769999999</v>
      </c>
      <c r="Q29" s="25">
        <f>VLOOKUP(B29,'Data qoq'!$A:$AT,MATCH($Q$1,'Data qoq'!$A$1:$AT$1,),)</f>
        <v>0.76557282100000001</v>
      </c>
      <c r="R29" s="25">
        <f>VLOOKUP(B29,'Data qoq'!$A:$AT,MATCH($E$1,'Data qoq'!$A$1:$AT$1,),)</f>
        <v>0.24168400000000001</v>
      </c>
      <c r="S29" s="25">
        <f>VLOOKUP(B29,'Data qoq'!$A:$AT,MATCH($S$1,'Data qoq'!$A$1:$AT$1,),)</f>
        <v>0.40558612900000002</v>
      </c>
      <c r="T29" s="25">
        <f>VLOOKUP(B29,'Data qoq'!$A:$AT,MATCH($T$1,'Data qoq'!$A$1:$AT$1,),)</f>
        <v>1.254194764</v>
      </c>
      <c r="U29" s="25">
        <f>VLOOKUP(B29,'Data qoq'!$A:$AT,MATCH($U$1,'Data qoq'!$A$1:$AT$1,),)</f>
        <v>1.334459386</v>
      </c>
      <c r="V29" s="25">
        <f>VLOOKUP(B29,'Data qoq'!$A:$AT,MATCH($V$1,'Data qoq'!$A$1:$AT$1,),)</f>
        <v>-0.54970470100000002</v>
      </c>
      <c r="W29" s="25">
        <f>VLOOKUP(B29,'Data qoq'!$A:$AT,MATCH($W$1,'Data qoq'!$A$1:$AT$1,),)</f>
        <v>1.1277305360000001</v>
      </c>
      <c r="X29" s="25">
        <f>VLOOKUP(B29,'Data qoq'!$A:$AT,MATCH($X$1,'Data qoq'!$A$1:$AT$1,),)</f>
        <v>1.570060767</v>
      </c>
      <c r="Y29" s="25">
        <f>VLOOKUP(B29,'Data qoq'!$A:$AT,MATCH($Y$1,'Data qoq'!$A$1:$AT$1,),)</f>
        <v>-0.503647752</v>
      </c>
      <c r="Z29" s="25">
        <f>VLOOKUP(B29,'Data qoq'!$A:$AU,MATCH($Z$1,'Data qoq'!$A$1:$AU$1,),)</f>
        <v>5.0138969160000002</v>
      </c>
      <c r="AA29" s="25">
        <f>VLOOKUP(B29,'Data qoq'!$A:$AU,MATCH($AA$1,'Data qoq'!$A$1:$AU$1,),)</f>
        <v>0.28698228999999997</v>
      </c>
      <c r="AC29" s="26" t="str">
        <f t="shared" si="6"/>
        <v>2004-Q3</v>
      </c>
      <c r="AD29" s="27">
        <f t="shared" si="7"/>
        <v>1.1272224130000001</v>
      </c>
      <c r="AE29" s="27">
        <f t="shared" si="8"/>
        <v>1.1272224130000001</v>
      </c>
    </row>
    <row r="30" spans="2:31" hidden="1" x14ac:dyDescent="0.2">
      <c r="B30" s="24" t="s">
        <v>296</v>
      </c>
      <c r="C30" s="25">
        <f>VLOOKUP(B30,'Data qoq'!$A:$AT,MATCH($C$1,'Data qoq'!$A$1:$AT$1,),)</f>
        <v>1.0220273689999999</v>
      </c>
      <c r="D30" s="25">
        <f>VLOOKUP(B30,'Data qoq'!$A:$AT,MATCH($D$1,'Data qoq'!$A$1:$AT$1,),)</f>
        <v>0</v>
      </c>
      <c r="E30" s="25">
        <f>VLOOKUP(B30,'Data qoq'!$A:$AT,MATCH($E$1,'Data qoq'!$A$1:$AT$1,),)</f>
        <v>0.36380099999999999</v>
      </c>
      <c r="F30" s="25">
        <f>VLOOKUP(B30,'Data qoq'!$A:$AT,MATCH($F$1,'Data qoq'!$A$1:$AT$1,),)</f>
        <v>-0.19428061799999999</v>
      </c>
      <c r="G30" s="25">
        <f>VLOOKUP(B30,'Data qoq'!$A:$AT,MATCH($G$1,'Data qoq'!$A$1:$AT$1,),)</f>
        <v>-0.104814134</v>
      </c>
      <c r="H30" s="25">
        <f>VLOOKUP(B30,'Data qoq'!$A:$AT,MATCH($H$1,'Data qoq'!$A$1:$AT$1,),)</f>
        <v>0.75298608499999997</v>
      </c>
      <c r="I30" s="25">
        <f>VLOOKUP(B30,'Data qoq'!$A:$AT,MATCH($I$1,'Data qoq'!$A$1:$AT$1,),)</f>
        <v>0.348659208</v>
      </c>
      <c r="J30" s="25">
        <f>VLOOKUP(B30,'Data qoq'!$A:$AT,MATCH($J$1,'Data qoq'!$A$1:$AT$1,),)</f>
        <v>0.26025499000000002</v>
      </c>
      <c r="K30" s="25">
        <f>VLOOKUP(B30,'Data qoq'!$A:$AT,MATCH($K$1,'Data qoq'!$A$1:$AT$1,),)</f>
        <v>0.68431095900000005</v>
      </c>
      <c r="L30" s="25">
        <f>VLOOKUP(B30,'Data qoq'!$A:$AT,MATCH($L$1,'Data qoq'!$A$1:$AT$1,),)</f>
        <v>0.84091231799999999</v>
      </c>
      <c r="M30" s="25">
        <f>VLOOKUP(B30,'Data qoq'!$A:$AT,MATCH($M$1,'Data qoq'!$A$1:$AT$1,),)</f>
        <v>1.3269936019999999</v>
      </c>
      <c r="N30" s="25">
        <f>VLOOKUP(B30,'Data qoq'!$A:$AT,MATCH($N$1,'Data qoq'!$A$1:$AT$1,),)</f>
        <v>1.1181707839999999</v>
      </c>
      <c r="O30" s="25">
        <f>VLOOKUP(B30,'Data qoq'!$A:$AT,MATCH($C$1,'Data qoq'!$J$1:$AT$1,),)</f>
        <v>0.35197629600000002</v>
      </c>
      <c r="P30" s="25">
        <f>VLOOKUP(B30,'Data qoq'!$A:$AT,MATCH($P$1,'Data qoq'!$A$1:$AT$1,),)</f>
        <v>0.71842654399999994</v>
      </c>
      <c r="Q30" s="25">
        <f>VLOOKUP(B30,'Data qoq'!$A:$AT,MATCH($Q$1,'Data qoq'!$A$1:$AT$1,),)</f>
        <v>0.76657427899999997</v>
      </c>
      <c r="R30" s="25">
        <f>VLOOKUP(B30,'Data qoq'!$A:$AT,MATCH($E$1,'Data qoq'!$A$1:$AT$1,),)</f>
        <v>0.36380099999999999</v>
      </c>
      <c r="S30" s="25">
        <f>VLOOKUP(B30,'Data qoq'!$A:$AT,MATCH($S$1,'Data qoq'!$A$1:$AT$1,),)</f>
        <v>0.75793377399999995</v>
      </c>
      <c r="T30" s="25">
        <f>VLOOKUP(B30,'Data qoq'!$A:$AT,MATCH($T$1,'Data qoq'!$A$1:$AT$1,),)</f>
        <v>0.76733521400000004</v>
      </c>
      <c r="U30" s="25">
        <f>VLOOKUP(B30,'Data qoq'!$A:$AT,MATCH($U$1,'Data qoq'!$A$1:$AT$1,),)</f>
        <v>-0.381337288</v>
      </c>
      <c r="V30" s="25">
        <f>VLOOKUP(B30,'Data qoq'!$A:$AT,MATCH($V$1,'Data qoq'!$A$1:$AT$1,),)</f>
        <v>2.3862262040000002</v>
      </c>
      <c r="W30" s="25">
        <f>VLOOKUP(B30,'Data qoq'!$A:$AT,MATCH($W$1,'Data qoq'!$A$1:$AT$1,),)</f>
        <v>1.622484668</v>
      </c>
      <c r="X30" s="25">
        <f>VLOOKUP(B30,'Data qoq'!$A:$AT,MATCH($X$1,'Data qoq'!$A$1:$AT$1,),)</f>
        <v>1.786929327</v>
      </c>
      <c r="Y30" s="25">
        <f>VLOOKUP(B30,'Data qoq'!$A:$AT,MATCH($Y$1,'Data qoq'!$A$1:$AT$1,),)</f>
        <v>1.0601208959999999</v>
      </c>
      <c r="Z30" s="25">
        <f>VLOOKUP(B30,'Data qoq'!$A:$AU,MATCH($Z$1,'Data qoq'!$A$1:$AU$1,),)</f>
        <v>1.4962008630000001</v>
      </c>
      <c r="AA30" s="25">
        <f>VLOOKUP(B30,'Data qoq'!$A:$AU,MATCH($AA$1,'Data qoq'!$A$1:$AU$1,),)</f>
        <v>0.35197629600000002</v>
      </c>
      <c r="AC30" s="26" t="str">
        <f t="shared" si="6"/>
        <v>2004-Q4</v>
      </c>
      <c r="AD30" s="27">
        <f t="shared" si="7"/>
        <v>1.1268415029999999</v>
      </c>
      <c r="AE30" s="27">
        <f t="shared" si="8"/>
        <v>1.1268415029999999</v>
      </c>
    </row>
    <row r="31" spans="2:31" hidden="1" x14ac:dyDescent="0.2">
      <c r="B31" s="24" t="s">
        <v>297</v>
      </c>
      <c r="C31" s="25">
        <f>VLOOKUP(B31,'Data qoq'!$A:$AT,MATCH($C$1,'Data qoq'!$A$1:$AT$1,),)</f>
        <v>1.110882508</v>
      </c>
      <c r="D31" s="25">
        <f>VLOOKUP(B31,'Data qoq'!$A:$AT,MATCH($D$1,'Data qoq'!$A$1:$AT$1,),)</f>
        <v>0</v>
      </c>
      <c r="E31" s="25">
        <f>VLOOKUP(B31,'Data qoq'!$A:$AT,MATCH($E$1,'Data qoq'!$A$1:$AT$1,),)</f>
        <v>0.237321</v>
      </c>
      <c r="F31" s="25">
        <f>VLOOKUP(B31,'Data qoq'!$A:$AT,MATCH($F$1,'Data qoq'!$A$1:$AT$1,),)</f>
        <v>0.51514019499999997</v>
      </c>
      <c r="G31" s="25">
        <f>VLOOKUP(B31,'Data qoq'!$A:$AT,MATCH($G$1,'Data qoq'!$A$1:$AT$1,),)</f>
        <v>2.8892190000000002E-3</v>
      </c>
      <c r="H31" s="25">
        <f>VLOOKUP(B31,'Data qoq'!$A:$AT,MATCH($H$1,'Data qoq'!$A$1:$AT$1,),)</f>
        <v>0.26948907100000002</v>
      </c>
      <c r="I31" s="25">
        <f>VLOOKUP(B31,'Data qoq'!$A:$AT,MATCH($I$1,'Data qoq'!$A$1:$AT$1,),)</f>
        <v>0.60775648900000001</v>
      </c>
      <c r="J31" s="25">
        <f>VLOOKUP(B31,'Data qoq'!$A:$AT,MATCH($J$1,'Data qoq'!$A$1:$AT$1,),)</f>
        <v>-0.20287101699999999</v>
      </c>
      <c r="K31" s="25">
        <f>VLOOKUP(B31,'Data qoq'!$A:$AT,MATCH($K$1,'Data qoq'!$A$1:$AT$1,),)</f>
        <v>0.97628954199999995</v>
      </c>
      <c r="L31" s="25">
        <f>VLOOKUP(B31,'Data qoq'!$A:$AT,MATCH($L$1,'Data qoq'!$A$1:$AT$1,),)</f>
        <v>0.41048685699999998</v>
      </c>
      <c r="M31" s="25">
        <f>VLOOKUP(B31,'Data qoq'!$A:$AT,MATCH($M$1,'Data qoq'!$A$1:$AT$1,),)</f>
        <v>0.16393977600000001</v>
      </c>
      <c r="N31" s="25">
        <f>VLOOKUP(B31,'Data qoq'!$A:$AT,MATCH($N$1,'Data qoq'!$A$1:$AT$1,),)</f>
        <v>1.7480820589999999</v>
      </c>
      <c r="O31" s="25">
        <f>VLOOKUP(B31,'Data qoq'!$A:$AT,MATCH($C$1,'Data qoq'!$J$1:$AT$1,),)</f>
        <v>1.165023929</v>
      </c>
      <c r="P31" s="25">
        <f>VLOOKUP(B31,'Data qoq'!$A:$AT,MATCH($P$1,'Data qoq'!$A$1:$AT$1,),)</f>
        <v>0.34606659499999998</v>
      </c>
      <c r="Q31" s="25">
        <f>VLOOKUP(B31,'Data qoq'!$A:$AT,MATCH($Q$1,'Data qoq'!$A$1:$AT$1,),)</f>
        <v>0.76986211900000001</v>
      </c>
      <c r="R31" s="25">
        <f>VLOOKUP(B31,'Data qoq'!$A:$AT,MATCH($E$1,'Data qoq'!$A$1:$AT$1,),)</f>
        <v>0.237321</v>
      </c>
      <c r="S31" s="25">
        <f>VLOOKUP(B31,'Data qoq'!$A:$AT,MATCH($S$1,'Data qoq'!$A$1:$AT$1,),)</f>
        <v>0.85090336899999997</v>
      </c>
      <c r="T31" s="25">
        <f>VLOOKUP(B31,'Data qoq'!$A:$AT,MATCH($T$1,'Data qoq'!$A$1:$AT$1,),)</f>
        <v>0.74801908100000003</v>
      </c>
      <c r="U31" s="25">
        <f>VLOOKUP(B31,'Data qoq'!$A:$AT,MATCH($U$1,'Data qoq'!$A$1:$AT$1,),)</f>
        <v>-0.588090483</v>
      </c>
      <c r="V31" s="25">
        <f>VLOOKUP(B31,'Data qoq'!$A:$AT,MATCH($V$1,'Data qoq'!$A$1:$AT$1,),)</f>
        <v>1.9292559460000001</v>
      </c>
      <c r="W31" s="25">
        <f>VLOOKUP(B31,'Data qoq'!$A:$AT,MATCH($W$1,'Data qoq'!$A$1:$AT$1,),)</f>
        <v>4.6099516109999996</v>
      </c>
      <c r="X31" s="25">
        <f>VLOOKUP(B31,'Data qoq'!$A:$AT,MATCH($X$1,'Data qoq'!$A$1:$AT$1,),)</f>
        <v>1.7874860459999999</v>
      </c>
      <c r="Y31" s="25">
        <f>VLOOKUP(B31,'Data qoq'!$A:$AT,MATCH($Y$1,'Data qoq'!$A$1:$AT$1,),)</f>
        <v>1.101891833</v>
      </c>
      <c r="Z31" s="25">
        <f>VLOOKUP(B31,'Data qoq'!$A:$AU,MATCH($Z$1,'Data qoq'!$A$1:$AU$1,),)</f>
        <v>2.8722044069999999</v>
      </c>
      <c r="AA31" s="25">
        <f>VLOOKUP(B31,'Data qoq'!$A:$AU,MATCH($AA$1,'Data qoq'!$A$1:$AU$1,),)</f>
        <v>1.165023929</v>
      </c>
      <c r="AC31" s="26" t="str">
        <f t="shared" si="6"/>
        <v>2005-Q1</v>
      </c>
      <c r="AD31" s="27">
        <f t="shared" si="7"/>
        <v>1.1079932889999999</v>
      </c>
      <c r="AE31" s="27">
        <f t="shared" si="8"/>
        <v>1.1079932889999999</v>
      </c>
    </row>
    <row r="32" spans="2:31" hidden="1" x14ac:dyDescent="0.2">
      <c r="B32" s="24" t="s">
        <v>298</v>
      </c>
      <c r="C32" s="25">
        <f>VLOOKUP(B32,'Data qoq'!$A:$AT,MATCH($C$1,'Data qoq'!$A$1:$AT$1,),)</f>
        <v>0.48660447800000001</v>
      </c>
      <c r="D32" s="25">
        <f>VLOOKUP(B32,'Data qoq'!$A:$AT,MATCH($D$1,'Data qoq'!$A$1:$AT$1,),)</f>
        <v>0</v>
      </c>
      <c r="E32" s="25">
        <f>VLOOKUP(B32,'Data qoq'!$A:$AT,MATCH($E$1,'Data qoq'!$A$1:$AT$1,),)</f>
        <v>0.56811900000000004</v>
      </c>
      <c r="F32" s="25">
        <f>VLOOKUP(B32,'Data qoq'!$A:$AT,MATCH($F$1,'Data qoq'!$A$1:$AT$1,),)</f>
        <v>0.78110204999999999</v>
      </c>
      <c r="G32" s="25">
        <f>VLOOKUP(B32,'Data qoq'!$A:$AT,MATCH($G$1,'Data qoq'!$A$1:$AT$1,),)</f>
        <v>0.52459768399999995</v>
      </c>
      <c r="H32" s="25">
        <f>VLOOKUP(B32,'Data qoq'!$A:$AT,MATCH($H$1,'Data qoq'!$A$1:$AT$1,),)</f>
        <v>0.185880403</v>
      </c>
      <c r="I32" s="25">
        <f>VLOOKUP(B32,'Data qoq'!$A:$AT,MATCH($I$1,'Data qoq'!$A$1:$AT$1,),)</f>
        <v>0.96331852299999998</v>
      </c>
      <c r="J32" s="25">
        <f>VLOOKUP(B32,'Data qoq'!$A:$AT,MATCH($J$1,'Data qoq'!$A$1:$AT$1,),)</f>
        <v>0.74462944200000003</v>
      </c>
      <c r="K32" s="25">
        <f>VLOOKUP(B32,'Data qoq'!$A:$AT,MATCH($K$1,'Data qoq'!$A$1:$AT$1,),)</f>
        <v>0.88207344399999998</v>
      </c>
      <c r="L32" s="25">
        <f>VLOOKUP(B32,'Data qoq'!$A:$AT,MATCH($L$1,'Data qoq'!$A$1:$AT$1,),)</f>
        <v>0.69275604700000004</v>
      </c>
      <c r="M32" s="25">
        <f>VLOOKUP(B32,'Data qoq'!$A:$AT,MATCH($M$1,'Data qoq'!$A$1:$AT$1,),)</f>
        <v>0.28841355499999999</v>
      </c>
      <c r="N32" s="25">
        <f>VLOOKUP(B32,'Data qoq'!$A:$AT,MATCH($N$1,'Data qoq'!$A$1:$AT$1,),)</f>
        <v>1.522295172</v>
      </c>
      <c r="O32" s="25">
        <f>VLOOKUP(B32,'Data qoq'!$A:$AT,MATCH($C$1,'Data qoq'!$J$1:$AT$1,),)</f>
        <v>1.59964777</v>
      </c>
      <c r="P32" s="25">
        <f>VLOOKUP(B32,'Data qoq'!$A:$AT,MATCH($P$1,'Data qoq'!$A$1:$AT$1,),)</f>
        <v>0.72552270699999999</v>
      </c>
      <c r="Q32" s="25">
        <f>VLOOKUP(B32,'Data qoq'!$A:$AT,MATCH($Q$1,'Data qoq'!$A$1:$AT$1,),)</f>
        <v>0.42359027100000002</v>
      </c>
      <c r="R32" s="25">
        <f>VLOOKUP(B32,'Data qoq'!$A:$AT,MATCH($E$1,'Data qoq'!$A$1:$AT$1,),)</f>
        <v>0.56811900000000004</v>
      </c>
      <c r="S32" s="25">
        <f>VLOOKUP(B32,'Data qoq'!$A:$AT,MATCH($S$1,'Data qoq'!$A$1:$AT$1,),)</f>
        <v>1.8870628620000001</v>
      </c>
      <c r="T32" s="25">
        <f>VLOOKUP(B32,'Data qoq'!$A:$AT,MATCH($T$1,'Data qoq'!$A$1:$AT$1,),)</f>
        <v>1.3748694480000001</v>
      </c>
      <c r="U32" s="25">
        <f>VLOOKUP(B32,'Data qoq'!$A:$AT,MATCH($U$1,'Data qoq'!$A$1:$AT$1,),)</f>
        <v>0.23781521799999999</v>
      </c>
      <c r="V32" s="25">
        <f>VLOOKUP(B32,'Data qoq'!$A:$AT,MATCH($V$1,'Data qoq'!$A$1:$AT$1,),)</f>
        <v>1.9382976009999999</v>
      </c>
      <c r="W32" s="25">
        <f>VLOOKUP(B32,'Data qoq'!$A:$AT,MATCH($W$1,'Data qoq'!$A$1:$AT$1,),)</f>
        <v>0.42215947599999998</v>
      </c>
      <c r="X32" s="25">
        <f>VLOOKUP(B32,'Data qoq'!$A:$AT,MATCH($X$1,'Data qoq'!$A$1:$AT$1,),)</f>
        <v>1.359003151</v>
      </c>
      <c r="Y32" s="25">
        <f>VLOOKUP(B32,'Data qoq'!$A:$AT,MATCH($Y$1,'Data qoq'!$A$1:$AT$1,),)</f>
        <v>0.14735269500000001</v>
      </c>
      <c r="Z32" s="25">
        <f>VLOOKUP(B32,'Data qoq'!$A:$AU,MATCH($Z$1,'Data qoq'!$A$1:$AU$1,),)</f>
        <v>2.0992295040000002</v>
      </c>
      <c r="AA32" s="25">
        <f>VLOOKUP(B32,'Data qoq'!$A:$AU,MATCH($AA$1,'Data qoq'!$A$1:$AU$1,),)</f>
        <v>1.59964777</v>
      </c>
      <c r="AC32" s="26" t="str">
        <f t="shared" si="6"/>
        <v>2005-Q2</v>
      </c>
      <c r="AD32" s="27">
        <f t="shared" si="7"/>
        <v>-3.7993205999999946E-2</v>
      </c>
      <c r="AE32" s="27">
        <f t="shared" si="8"/>
        <v>-3.7993205999999946E-2</v>
      </c>
    </row>
    <row r="33" spans="2:31" hidden="1" x14ac:dyDescent="0.2">
      <c r="B33" s="24" t="s">
        <v>299</v>
      </c>
      <c r="C33" s="25">
        <f>VLOOKUP(B33,'Data qoq'!$A:$AT,MATCH($C$1,'Data qoq'!$A$1:$AT$1,),)</f>
        <v>0.78562198000000005</v>
      </c>
      <c r="D33" s="25">
        <f>VLOOKUP(B33,'Data qoq'!$A:$AT,MATCH($D$1,'Data qoq'!$A$1:$AT$1,),)</f>
        <v>0</v>
      </c>
      <c r="E33" s="25">
        <f>VLOOKUP(B33,'Data qoq'!$A:$AT,MATCH($E$1,'Data qoq'!$A$1:$AT$1,),)</f>
        <v>0.74475899999999995</v>
      </c>
      <c r="F33" s="25">
        <f>VLOOKUP(B33,'Data qoq'!$A:$AT,MATCH($F$1,'Data qoq'!$A$1:$AT$1,),)</f>
        <v>1.0142539880000001</v>
      </c>
      <c r="G33" s="25">
        <f>VLOOKUP(B33,'Data qoq'!$A:$AT,MATCH($G$1,'Data qoq'!$A$1:$AT$1,),)</f>
        <v>0.85817236299999999</v>
      </c>
      <c r="H33" s="25">
        <f>VLOOKUP(B33,'Data qoq'!$A:$AT,MATCH($H$1,'Data qoq'!$A$1:$AT$1,),)</f>
        <v>0.49861406000000003</v>
      </c>
      <c r="I33" s="25">
        <f>VLOOKUP(B33,'Data qoq'!$A:$AT,MATCH($I$1,'Data qoq'!$A$1:$AT$1,),)</f>
        <v>0.88209292399999994</v>
      </c>
      <c r="J33" s="25">
        <f>VLOOKUP(B33,'Data qoq'!$A:$AT,MATCH($J$1,'Data qoq'!$A$1:$AT$1,),)</f>
        <v>0.62458956300000001</v>
      </c>
      <c r="K33" s="25">
        <f>VLOOKUP(B33,'Data qoq'!$A:$AT,MATCH($K$1,'Data qoq'!$A$1:$AT$1,),)</f>
        <v>0.96699551299999997</v>
      </c>
      <c r="L33" s="25">
        <f>VLOOKUP(B33,'Data qoq'!$A:$AT,MATCH($L$1,'Data qoq'!$A$1:$AT$1,),)</f>
        <v>1.1871178840000001</v>
      </c>
      <c r="M33" s="25">
        <f>VLOOKUP(B33,'Data qoq'!$A:$AT,MATCH($M$1,'Data qoq'!$A$1:$AT$1,),)</f>
        <v>0.83909611500000003</v>
      </c>
      <c r="N33" s="25">
        <f>VLOOKUP(B33,'Data qoq'!$A:$AT,MATCH($N$1,'Data qoq'!$A$1:$AT$1,),)</f>
        <v>1.762204946</v>
      </c>
      <c r="O33" s="25">
        <f>VLOOKUP(B33,'Data qoq'!$A:$AT,MATCH($C$1,'Data qoq'!$J$1:$AT$1,),)</f>
        <v>0.48698398199999998</v>
      </c>
      <c r="P33" s="25">
        <f>VLOOKUP(B33,'Data qoq'!$A:$AT,MATCH($P$1,'Data qoq'!$A$1:$AT$1,),)</f>
        <v>1.211374835</v>
      </c>
      <c r="Q33" s="25">
        <f>VLOOKUP(B33,'Data qoq'!$A:$AT,MATCH($Q$1,'Data qoq'!$A$1:$AT$1,),)</f>
        <v>1.1142474250000001</v>
      </c>
      <c r="R33" s="25">
        <f>VLOOKUP(B33,'Data qoq'!$A:$AT,MATCH($E$1,'Data qoq'!$A$1:$AT$1,),)</f>
        <v>0.74475899999999995</v>
      </c>
      <c r="S33" s="25">
        <f>VLOOKUP(B33,'Data qoq'!$A:$AT,MATCH($S$1,'Data qoq'!$A$1:$AT$1,),)</f>
        <v>1.5053308940000001</v>
      </c>
      <c r="T33" s="25">
        <f>VLOOKUP(B33,'Data qoq'!$A:$AT,MATCH($T$1,'Data qoq'!$A$1:$AT$1,),)</f>
        <v>-0.76230139100000005</v>
      </c>
      <c r="U33" s="25">
        <f>VLOOKUP(B33,'Data qoq'!$A:$AT,MATCH($U$1,'Data qoq'!$A$1:$AT$1,),)</f>
        <v>1.3908431649999999</v>
      </c>
      <c r="V33" s="25">
        <f>VLOOKUP(B33,'Data qoq'!$A:$AT,MATCH($V$1,'Data qoq'!$A$1:$AT$1,),)</f>
        <v>-0.96429209599999999</v>
      </c>
      <c r="W33" s="25">
        <f>VLOOKUP(B33,'Data qoq'!$A:$AT,MATCH($W$1,'Data qoq'!$A$1:$AT$1,),)</f>
        <v>1.4119712600000001</v>
      </c>
      <c r="X33" s="25">
        <f>VLOOKUP(B33,'Data qoq'!$A:$AT,MATCH($X$1,'Data qoq'!$A$1:$AT$1,),)</f>
        <v>1.6727000780000001</v>
      </c>
      <c r="Y33" s="25">
        <f>VLOOKUP(B33,'Data qoq'!$A:$AT,MATCH($Y$1,'Data qoq'!$A$1:$AT$1,),)</f>
        <v>1.9326150559999999</v>
      </c>
      <c r="Z33" s="25">
        <f>VLOOKUP(B33,'Data qoq'!$A:$AU,MATCH($Z$1,'Data qoq'!$A$1:$AU$1,),)</f>
        <v>0.68751951200000005</v>
      </c>
      <c r="AA33" s="25">
        <f>VLOOKUP(B33,'Data qoq'!$A:$AU,MATCH($AA$1,'Data qoq'!$A$1:$AU$1,),)</f>
        <v>0.48698398199999998</v>
      </c>
      <c r="AC33" s="26" t="str">
        <f t="shared" si="6"/>
        <v>2005-Q3</v>
      </c>
      <c r="AD33" s="27">
        <f t="shared" si="7"/>
        <v>-7.2550382999999941E-2</v>
      </c>
      <c r="AE33" s="27">
        <f t="shared" si="8"/>
        <v>-7.2550382999999941E-2</v>
      </c>
    </row>
    <row r="34" spans="2:31" hidden="1" x14ac:dyDescent="0.2">
      <c r="B34" s="24" t="s">
        <v>300</v>
      </c>
      <c r="C34" s="25">
        <f>VLOOKUP(B34,'Data qoq'!$A:$AT,MATCH($C$1,'Data qoq'!$A$1:$AT$1,),)</f>
        <v>0.56792823800000003</v>
      </c>
      <c r="D34" s="25">
        <f>VLOOKUP(B34,'Data qoq'!$A:$AT,MATCH($D$1,'Data qoq'!$A$1:$AT$1,),)</f>
        <v>0</v>
      </c>
      <c r="E34" s="25">
        <f>VLOOKUP(B34,'Data qoq'!$A:$AT,MATCH($E$1,'Data qoq'!$A$1:$AT$1,),)</f>
        <v>0.65134499999999995</v>
      </c>
      <c r="F34" s="25">
        <f>VLOOKUP(B34,'Data qoq'!$A:$AT,MATCH($F$1,'Data qoq'!$A$1:$AT$1,),)</f>
        <v>0.17283127300000001</v>
      </c>
      <c r="G34" s="25">
        <f>VLOOKUP(B34,'Data qoq'!$A:$AT,MATCH($G$1,'Data qoq'!$A$1:$AT$1,),)</f>
        <v>0.47142782</v>
      </c>
      <c r="H34" s="25">
        <f>VLOOKUP(B34,'Data qoq'!$A:$AT,MATCH($H$1,'Data qoq'!$A$1:$AT$1,),)</f>
        <v>0.78204129700000002</v>
      </c>
      <c r="I34" s="25">
        <f>VLOOKUP(B34,'Data qoq'!$A:$AT,MATCH($I$1,'Data qoq'!$A$1:$AT$1,),)</f>
        <v>1.092055496</v>
      </c>
      <c r="J34" s="25">
        <f>VLOOKUP(B34,'Data qoq'!$A:$AT,MATCH($J$1,'Data qoq'!$A$1:$AT$1,),)</f>
        <v>0.15086590999999999</v>
      </c>
      <c r="K34" s="25">
        <f>VLOOKUP(B34,'Data qoq'!$A:$AT,MATCH($K$1,'Data qoq'!$A$1:$AT$1,),)</f>
        <v>1.0138666300000001</v>
      </c>
      <c r="L34" s="25">
        <f>VLOOKUP(B34,'Data qoq'!$A:$AT,MATCH($L$1,'Data qoq'!$A$1:$AT$1,),)</f>
        <v>0.67817224300000001</v>
      </c>
      <c r="M34" s="25">
        <f>VLOOKUP(B34,'Data qoq'!$A:$AT,MATCH($M$1,'Data qoq'!$A$1:$AT$1,),)</f>
        <v>1.67173543</v>
      </c>
      <c r="N34" s="25">
        <f>VLOOKUP(B34,'Data qoq'!$A:$AT,MATCH($N$1,'Data qoq'!$A$1:$AT$1,),)</f>
        <v>2.0628404740000001</v>
      </c>
      <c r="O34" s="25">
        <f>VLOOKUP(B34,'Data qoq'!$A:$AT,MATCH($C$1,'Data qoq'!$J$1:$AT$1,),)</f>
        <v>-0.40259788800000001</v>
      </c>
      <c r="P34" s="25">
        <f>VLOOKUP(B34,'Data qoq'!$A:$AT,MATCH($P$1,'Data qoq'!$A$1:$AT$1,),)</f>
        <v>0.988734322</v>
      </c>
      <c r="Q34" s="25">
        <f>VLOOKUP(B34,'Data qoq'!$A:$AT,MATCH($Q$1,'Data qoq'!$A$1:$AT$1,),)</f>
        <v>0.78543664800000002</v>
      </c>
      <c r="R34" s="25">
        <f>VLOOKUP(B34,'Data qoq'!$A:$AT,MATCH($E$1,'Data qoq'!$A$1:$AT$1,),)</f>
        <v>0.65134499999999995</v>
      </c>
      <c r="S34" s="25">
        <f>VLOOKUP(B34,'Data qoq'!$A:$AT,MATCH($S$1,'Data qoq'!$A$1:$AT$1,),)</f>
        <v>1.0124646660000001</v>
      </c>
      <c r="T34" s="25">
        <f>VLOOKUP(B34,'Data qoq'!$A:$AT,MATCH($T$1,'Data qoq'!$A$1:$AT$1,),)</f>
        <v>1.2582766169999999</v>
      </c>
      <c r="U34" s="25">
        <f>VLOOKUP(B34,'Data qoq'!$A:$AT,MATCH($U$1,'Data qoq'!$A$1:$AT$1,),)</f>
        <v>0.50101551600000005</v>
      </c>
      <c r="V34" s="25">
        <f>VLOOKUP(B34,'Data qoq'!$A:$AT,MATCH($V$1,'Data qoq'!$A$1:$AT$1,),)</f>
        <v>3.1696264539999999</v>
      </c>
      <c r="W34" s="25">
        <f>VLOOKUP(B34,'Data qoq'!$A:$AT,MATCH($W$1,'Data qoq'!$A$1:$AT$1,),)</f>
        <v>3.3068041410000002</v>
      </c>
      <c r="X34" s="25">
        <f>VLOOKUP(B34,'Data qoq'!$A:$AT,MATCH($X$1,'Data qoq'!$A$1:$AT$1,),)</f>
        <v>1.8274858439999999</v>
      </c>
      <c r="Y34" s="25">
        <f>VLOOKUP(B34,'Data qoq'!$A:$AT,MATCH($Y$1,'Data qoq'!$A$1:$AT$1,),)</f>
        <v>1.8393972199999999</v>
      </c>
      <c r="Z34" s="25">
        <f>VLOOKUP(B34,'Data qoq'!$A:$AU,MATCH($Z$1,'Data qoq'!$A$1:$AU$1,),)</f>
        <v>2.0112729229999999</v>
      </c>
      <c r="AA34" s="25">
        <f>VLOOKUP(B34,'Data qoq'!$A:$AU,MATCH($AA$1,'Data qoq'!$A$1:$AU$1,),)</f>
        <v>-0.40259788800000001</v>
      </c>
      <c r="AC34" s="26" t="str">
        <f t="shared" si="6"/>
        <v>2005-Q4</v>
      </c>
      <c r="AD34" s="27">
        <f t="shared" si="7"/>
        <v>9.6500418000000032E-2</v>
      </c>
      <c r="AE34" s="27">
        <f t="shared" si="8"/>
        <v>9.6500418000000032E-2</v>
      </c>
    </row>
    <row r="35" spans="2:31" hidden="1" x14ac:dyDescent="0.2">
      <c r="B35" s="24" t="s">
        <v>301</v>
      </c>
      <c r="C35" s="25">
        <f>VLOOKUP(B35,'Data qoq'!$A:$AT,MATCH($C$1,'Data qoq'!$A$1:$AT$1,),)</f>
        <v>1.3486661200000001</v>
      </c>
      <c r="D35" s="25">
        <f>VLOOKUP(B35,'Data qoq'!$A:$AT,MATCH($D$1,'Data qoq'!$A$1:$AT$1,),)</f>
        <v>0</v>
      </c>
      <c r="E35" s="25">
        <f>VLOOKUP(B35,'Data qoq'!$A:$AT,MATCH($E$1,'Data qoq'!$A$1:$AT$1,),)</f>
        <v>0.87610900000000003</v>
      </c>
      <c r="F35" s="25">
        <f>VLOOKUP(B35,'Data qoq'!$A:$AT,MATCH($F$1,'Data qoq'!$A$1:$AT$1,),)</f>
        <v>0.153788747</v>
      </c>
      <c r="G35" s="25">
        <f>VLOOKUP(B35,'Data qoq'!$A:$AT,MATCH($G$1,'Data qoq'!$A$1:$AT$1,),)</f>
        <v>0.96704201899999997</v>
      </c>
      <c r="H35" s="25">
        <f>VLOOKUP(B35,'Data qoq'!$A:$AT,MATCH($H$1,'Data qoq'!$A$1:$AT$1,),)</f>
        <v>0.76596289900000003</v>
      </c>
      <c r="I35" s="25">
        <f>VLOOKUP(B35,'Data qoq'!$A:$AT,MATCH($I$1,'Data qoq'!$A$1:$AT$1,),)</f>
        <v>0.52996235000000003</v>
      </c>
      <c r="J35" s="25">
        <f>VLOOKUP(B35,'Data qoq'!$A:$AT,MATCH($J$1,'Data qoq'!$A$1:$AT$1,),)</f>
        <v>0.21930205799999999</v>
      </c>
      <c r="K35" s="25">
        <f>VLOOKUP(B35,'Data qoq'!$A:$AT,MATCH($K$1,'Data qoq'!$A$1:$AT$1,),)</f>
        <v>1.145103991</v>
      </c>
      <c r="L35" s="25">
        <f>VLOOKUP(B35,'Data qoq'!$A:$AT,MATCH($L$1,'Data qoq'!$A$1:$AT$1,),)</f>
        <v>1.5500443319999999</v>
      </c>
      <c r="M35" s="25">
        <f>VLOOKUP(B35,'Data qoq'!$A:$AT,MATCH($M$1,'Data qoq'!$A$1:$AT$1,),)</f>
        <v>1.7581899439999999</v>
      </c>
      <c r="N35" s="25">
        <f>VLOOKUP(B35,'Data qoq'!$A:$AT,MATCH($N$1,'Data qoq'!$A$1:$AT$1,),)</f>
        <v>1.930605205</v>
      </c>
      <c r="O35" s="25">
        <f>VLOOKUP(B35,'Data qoq'!$A:$AT,MATCH($C$1,'Data qoq'!$J$1:$AT$1,),)</f>
        <v>1.6441902530000001</v>
      </c>
      <c r="P35" s="25">
        <f>VLOOKUP(B35,'Data qoq'!$A:$AT,MATCH($P$1,'Data qoq'!$A$1:$AT$1,),)</f>
        <v>0.81099541100000005</v>
      </c>
      <c r="Q35" s="25">
        <f>VLOOKUP(B35,'Data qoq'!$A:$AT,MATCH($Q$1,'Data qoq'!$A$1:$AT$1,),)</f>
        <v>0.11866592099999999</v>
      </c>
      <c r="R35" s="25">
        <f>VLOOKUP(B35,'Data qoq'!$A:$AT,MATCH($E$1,'Data qoq'!$A$1:$AT$1,),)</f>
        <v>0.87610900000000003</v>
      </c>
      <c r="S35" s="25">
        <f>VLOOKUP(B35,'Data qoq'!$A:$AT,MATCH($S$1,'Data qoq'!$A$1:$AT$1,),)</f>
        <v>1.639117138</v>
      </c>
      <c r="T35" s="25">
        <f>VLOOKUP(B35,'Data qoq'!$A:$AT,MATCH($T$1,'Data qoq'!$A$1:$AT$1,),)</f>
        <v>1.7053686240000001</v>
      </c>
      <c r="U35" s="25">
        <f>VLOOKUP(B35,'Data qoq'!$A:$AT,MATCH($U$1,'Data qoq'!$A$1:$AT$1,),)</f>
        <v>3.2582208709999998</v>
      </c>
      <c r="V35" s="25">
        <f>VLOOKUP(B35,'Data qoq'!$A:$AT,MATCH($V$1,'Data qoq'!$A$1:$AT$1,),)</f>
        <v>1.755901189</v>
      </c>
      <c r="W35" s="25">
        <f>VLOOKUP(B35,'Data qoq'!$A:$AT,MATCH($W$1,'Data qoq'!$A$1:$AT$1,),)</f>
        <v>1.1451332700000001</v>
      </c>
      <c r="X35" s="25">
        <f>VLOOKUP(B35,'Data qoq'!$A:$AT,MATCH($X$1,'Data qoq'!$A$1:$AT$1,),)</f>
        <v>1.7578437170000001</v>
      </c>
      <c r="Y35" s="25">
        <f>VLOOKUP(B35,'Data qoq'!$A:$AT,MATCH($Y$1,'Data qoq'!$A$1:$AT$1,),)</f>
        <v>1.5033221489999999</v>
      </c>
      <c r="Z35" s="25">
        <f>VLOOKUP(B35,'Data qoq'!$A:$AU,MATCH($Z$1,'Data qoq'!$A$1:$AU$1,),)</f>
        <v>2.589388595</v>
      </c>
      <c r="AA35" s="25">
        <f>VLOOKUP(B35,'Data qoq'!$A:$AU,MATCH($AA$1,'Data qoq'!$A$1:$AU$1,),)</f>
        <v>1.6441902530000001</v>
      </c>
      <c r="AC35" s="26" t="str">
        <f t="shared" si="6"/>
        <v>2006-Q1</v>
      </c>
      <c r="AD35" s="27">
        <f t="shared" si="7"/>
        <v>0.3816241010000001</v>
      </c>
      <c r="AE35" s="27">
        <f t="shared" si="8"/>
        <v>0.3816241010000001</v>
      </c>
    </row>
    <row r="36" spans="2:31" hidden="1" x14ac:dyDescent="0.2">
      <c r="B36" s="24" t="s">
        <v>302</v>
      </c>
      <c r="C36" s="25">
        <f>VLOOKUP(B36,'Data qoq'!$A:$AT,MATCH($C$1,'Data qoq'!$A$1:$AT$1,),)</f>
        <v>0.245583731</v>
      </c>
      <c r="D36" s="25">
        <f>VLOOKUP(B36,'Data qoq'!$A:$AT,MATCH($D$1,'Data qoq'!$A$1:$AT$1,),)</f>
        <v>0</v>
      </c>
      <c r="E36" s="25">
        <f>VLOOKUP(B36,'Data qoq'!$A:$AT,MATCH($E$1,'Data qoq'!$A$1:$AT$1,),)</f>
        <v>1.098619</v>
      </c>
      <c r="F36" s="25">
        <f>VLOOKUP(B36,'Data qoq'!$A:$AT,MATCH($F$1,'Data qoq'!$A$1:$AT$1,),)</f>
        <v>0.16399309500000001</v>
      </c>
      <c r="G36" s="25">
        <f>VLOOKUP(B36,'Data qoq'!$A:$AT,MATCH($G$1,'Data qoq'!$A$1:$AT$1,),)</f>
        <v>1.722767803</v>
      </c>
      <c r="H36" s="25">
        <f>VLOOKUP(B36,'Data qoq'!$A:$AT,MATCH($H$1,'Data qoq'!$A$1:$AT$1,),)</f>
        <v>1.000540403</v>
      </c>
      <c r="I36" s="25">
        <f>VLOOKUP(B36,'Data qoq'!$A:$AT,MATCH($I$1,'Data qoq'!$A$1:$AT$1,),)</f>
        <v>0.34598097799999999</v>
      </c>
      <c r="J36" s="25">
        <f>VLOOKUP(B36,'Data qoq'!$A:$AT,MATCH($J$1,'Data qoq'!$A$1:$AT$1,),)</f>
        <v>0.67417679200000002</v>
      </c>
      <c r="K36" s="25">
        <f>VLOOKUP(B36,'Data qoq'!$A:$AT,MATCH($K$1,'Data qoq'!$A$1:$AT$1,),)</f>
        <v>0.96921473899999999</v>
      </c>
      <c r="L36" s="25">
        <f>VLOOKUP(B36,'Data qoq'!$A:$AT,MATCH($L$1,'Data qoq'!$A$1:$AT$1,),)</f>
        <v>1.619121204</v>
      </c>
      <c r="M36" s="25">
        <f>VLOOKUP(B36,'Data qoq'!$A:$AT,MATCH($M$1,'Data qoq'!$A$1:$AT$1,),)</f>
        <v>0.97261777100000002</v>
      </c>
      <c r="N36" s="25">
        <f>VLOOKUP(B36,'Data qoq'!$A:$AT,MATCH($N$1,'Data qoq'!$A$1:$AT$1,),)</f>
        <v>1.9251039539999999</v>
      </c>
      <c r="O36" s="25">
        <f>VLOOKUP(B36,'Data qoq'!$A:$AT,MATCH($C$1,'Data qoq'!$J$1:$AT$1,),)</f>
        <v>0.456446458</v>
      </c>
      <c r="P36" s="25">
        <f>VLOOKUP(B36,'Data qoq'!$A:$AT,MATCH($P$1,'Data qoq'!$A$1:$AT$1,),)</f>
        <v>5.1646385000000003E-2</v>
      </c>
      <c r="Q36" s="25">
        <f>VLOOKUP(B36,'Data qoq'!$A:$AT,MATCH($Q$1,'Data qoq'!$A$1:$AT$1,),)</f>
        <v>0.18747506999999999</v>
      </c>
      <c r="R36" s="25">
        <f>VLOOKUP(B36,'Data qoq'!$A:$AT,MATCH($E$1,'Data qoq'!$A$1:$AT$1,),)</f>
        <v>1.098619</v>
      </c>
      <c r="S36" s="25">
        <f>VLOOKUP(B36,'Data qoq'!$A:$AT,MATCH($S$1,'Data qoq'!$A$1:$AT$1,),)</f>
        <v>0.73060202799999996</v>
      </c>
      <c r="T36" s="25">
        <f>VLOOKUP(B36,'Data qoq'!$A:$AT,MATCH($T$1,'Data qoq'!$A$1:$AT$1,),)</f>
        <v>0.25076895100000002</v>
      </c>
      <c r="U36" s="25">
        <f>VLOOKUP(B36,'Data qoq'!$A:$AT,MATCH($U$1,'Data qoq'!$A$1:$AT$1,),)</f>
        <v>0.30705051100000003</v>
      </c>
      <c r="V36" s="25">
        <f>VLOOKUP(B36,'Data qoq'!$A:$AT,MATCH($V$1,'Data qoq'!$A$1:$AT$1,),)</f>
        <v>0.27969038000000002</v>
      </c>
      <c r="W36" s="25">
        <f>VLOOKUP(B36,'Data qoq'!$A:$AT,MATCH($W$1,'Data qoq'!$A$1:$AT$1,),)</f>
        <v>3.0461220990000002</v>
      </c>
      <c r="X36" s="25">
        <f>VLOOKUP(B36,'Data qoq'!$A:$AT,MATCH($X$1,'Data qoq'!$A$1:$AT$1,),)</f>
        <v>2.0356021279999998</v>
      </c>
      <c r="Y36" s="25">
        <f>VLOOKUP(B36,'Data qoq'!$A:$AT,MATCH($Y$1,'Data qoq'!$A$1:$AT$1,),)</f>
        <v>2.2997464619999999</v>
      </c>
      <c r="Z36" s="25">
        <f>VLOOKUP(B36,'Data qoq'!$A:$AU,MATCH($Z$1,'Data qoq'!$A$1:$AU$1,),)</f>
        <v>1.1917202819999999</v>
      </c>
      <c r="AA36" s="25">
        <f>VLOOKUP(B36,'Data qoq'!$A:$AU,MATCH($AA$1,'Data qoq'!$A$1:$AU$1,),)</f>
        <v>0.456446458</v>
      </c>
      <c r="AC36" s="26" t="str">
        <f t="shared" si="6"/>
        <v>2006-Q2</v>
      </c>
      <c r="AD36" s="27">
        <f t="shared" si="7"/>
        <v>-1.477184072</v>
      </c>
      <c r="AE36" s="27">
        <f t="shared" si="8"/>
        <v>-1.477184072</v>
      </c>
    </row>
    <row r="37" spans="2:31" hidden="1" x14ac:dyDescent="0.2">
      <c r="B37" s="24" t="s">
        <v>303</v>
      </c>
      <c r="C37" s="25">
        <f>VLOOKUP(B37,'Data qoq'!$A:$AT,MATCH($C$1,'Data qoq'!$A$1:$AT$1,),)</f>
        <v>0.15045618799999999</v>
      </c>
      <c r="D37" s="25">
        <f>VLOOKUP(B37,'Data qoq'!$A:$AT,MATCH($D$1,'Data qoq'!$A$1:$AT$1,),)</f>
        <v>0</v>
      </c>
      <c r="E37" s="25">
        <f>VLOOKUP(B37,'Data qoq'!$A:$AT,MATCH($E$1,'Data qoq'!$A$1:$AT$1,),)</f>
        <v>0.57858699999999996</v>
      </c>
      <c r="F37" s="25">
        <f>VLOOKUP(B37,'Data qoq'!$A:$AT,MATCH($F$1,'Data qoq'!$A$1:$AT$1,),)</f>
        <v>-0.19953090800000001</v>
      </c>
      <c r="G37" s="25">
        <f>VLOOKUP(B37,'Data qoq'!$A:$AT,MATCH($G$1,'Data qoq'!$A$1:$AT$1,),)</f>
        <v>0.76880583300000005</v>
      </c>
      <c r="H37" s="25">
        <f>VLOOKUP(B37,'Data qoq'!$A:$AT,MATCH($H$1,'Data qoq'!$A$1:$AT$1,),)</f>
        <v>1.1802567E-2</v>
      </c>
      <c r="I37" s="25">
        <f>VLOOKUP(B37,'Data qoq'!$A:$AT,MATCH($I$1,'Data qoq'!$A$1:$AT$1,),)</f>
        <v>0.23254629700000001</v>
      </c>
      <c r="J37" s="25">
        <f>VLOOKUP(B37,'Data qoq'!$A:$AT,MATCH($J$1,'Data qoq'!$A$1:$AT$1,),)</f>
        <v>0.42825275800000001</v>
      </c>
      <c r="K37" s="25">
        <f>VLOOKUP(B37,'Data qoq'!$A:$AT,MATCH($K$1,'Data qoq'!$A$1:$AT$1,),)</f>
        <v>0.92913994499999997</v>
      </c>
      <c r="L37" s="25">
        <f>VLOOKUP(B37,'Data qoq'!$A:$AT,MATCH($L$1,'Data qoq'!$A$1:$AT$1,),)</f>
        <v>1.187750146</v>
      </c>
      <c r="M37" s="25">
        <f>VLOOKUP(B37,'Data qoq'!$A:$AT,MATCH($M$1,'Data qoq'!$A$1:$AT$1,),)</f>
        <v>0.27687101600000003</v>
      </c>
      <c r="N37" s="25">
        <f>VLOOKUP(B37,'Data qoq'!$A:$AT,MATCH($N$1,'Data qoq'!$A$1:$AT$1,),)</f>
        <v>2.2961291660000001</v>
      </c>
      <c r="O37" s="25">
        <f>VLOOKUP(B37,'Data qoq'!$A:$AT,MATCH($C$1,'Data qoq'!$J$1:$AT$1,),)</f>
        <v>0.64170020400000005</v>
      </c>
      <c r="P37" s="25">
        <f>VLOOKUP(B37,'Data qoq'!$A:$AT,MATCH($P$1,'Data qoq'!$A$1:$AT$1,),)</f>
        <v>0.27924548500000002</v>
      </c>
      <c r="Q37" s="25">
        <f>VLOOKUP(B37,'Data qoq'!$A:$AT,MATCH($Q$1,'Data qoq'!$A$1:$AT$1,),)</f>
        <v>1.489031333</v>
      </c>
      <c r="R37" s="25">
        <f>VLOOKUP(B37,'Data qoq'!$A:$AT,MATCH($E$1,'Data qoq'!$A$1:$AT$1,),)</f>
        <v>0.57858699999999996</v>
      </c>
      <c r="S37" s="25">
        <f>VLOOKUP(B37,'Data qoq'!$A:$AT,MATCH($S$1,'Data qoq'!$A$1:$AT$1,),)</f>
        <v>1.613954951</v>
      </c>
      <c r="T37" s="25">
        <f>VLOOKUP(B37,'Data qoq'!$A:$AT,MATCH($T$1,'Data qoq'!$A$1:$AT$1,),)</f>
        <v>1.629846101</v>
      </c>
      <c r="U37" s="25">
        <f>VLOOKUP(B37,'Data qoq'!$A:$AT,MATCH($U$1,'Data qoq'!$A$1:$AT$1,),)</f>
        <v>0.47743896299999999</v>
      </c>
      <c r="V37" s="25">
        <f>VLOOKUP(B37,'Data qoq'!$A:$AT,MATCH($V$1,'Data qoq'!$A$1:$AT$1,),)</f>
        <v>1.181479108</v>
      </c>
      <c r="W37" s="25">
        <f>VLOOKUP(B37,'Data qoq'!$A:$AT,MATCH($W$1,'Data qoq'!$A$1:$AT$1,),)</f>
        <v>-0.75348610900000002</v>
      </c>
      <c r="X37" s="25">
        <f>VLOOKUP(B37,'Data qoq'!$A:$AT,MATCH($X$1,'Data qoq'!$A$1:$AT$1,),)</f>
        <v>1.269985656</v>
      </c>
      <c r="Y37" s="25">
        <f>VLOOKUP(B37,'Data qoq'!$A:$AT,MATCH($Y$1,'Data qoq'!$A$1:$AT$1,),)</f>
        <v>1.6510474669999999</v>
      </c>
      <c r="Z37" s="25">
        <f>VLOOKUP(B37,'Data qoq'!$A:$AU,MATCH($Z$1,'Data qoq'!$A$1:$AU$1,),)</f>
        <v>2.8024708180000002</v>
      </c>
      <c r="AA37" s="25">
        <f>VLOOKUP(B37,'Data qoq'!$A:$AU,MATCH($AA$1,'Data qoq'!$A$1:$AU$1,),)</f>
        <v>0.64170020400000005</v>
      </c>
      <c r="AC37" s="26" t="str">
        <f t="shared" si="6"/>
        <v>2006-Q3</v>
      </c>
      <c r="AD37" s="27">
        <f t="shared" si="7"/>
        <v>-0.61834964500000011</v>
      </c>
      <c r="AE37" s="27">
        <f t="shared" si="8"/>
        <v>-0.61834964500000011</v>
      </c>
    </row>
    <row r="38" spans="2:31" hidden="1" x14ac:dyDescent="0.2">
      <c r="B38" s="24" t="s">
        <v>304</v>
      </c>
      <c r="C38" s="25">
        <f>VLOOKUP(B38,'Data qoq'!$A:$AT,MATCH($C$1,'Data qoq'!$A$1:$AT$1,),)</f>
        <v>0.84371169599999996</v>
      </c>
      <c r="D38" s="25">
        <f>VLOOKUP(B38,'Data qoq'!$A:$AT,MATCH($D$1,'Data qoq'!$A$1:$AT$1,),)</f>
        <v>0</v>
      </c>
      <c r="E38" s="25">
        <f>VLOOKUP(B38,'Data qoq'!$A:$AT,MATCH($E$1,'Data qoq'!$A$1:$AT$1,),)</f>
        <v>1.176763</v>
      </c>
      <c r="F38" s="25">
        <f>VLOOKUP(B38,'Data qoq'!$A:$AT,MATCH($F$1,'Data qoq'!$A$1:$AT$1,),)</f>
        <v>1.338816172</v>
      </c>
      <c r="G38" s="25">
        <f>VLOOKUP(B38,'Data qoq'!$A:$AT,MATCH($G$1,'Data qoq'!$A$1:$AT$1,),)</f>
        <v>1.514812212</v>
      </c>
      <c r="H38" s="25">
        <f>VLOOKUP(B38,'Data qoq'!$A:$AT,MATCH($H$1,'Data qoq'!$A$1:$AT$1,),)</f>
        <v>0.79756266399999998</v>
      </c>
      <c r="I38" s="25">
        <f>VLOOKUP(B38,'Data qoq'!$A:$AT,MATCH($I$1,'Data qoq'!$A$1:$AT$1,),)</f>
        <v>0.63801862799999998</v>
      </c>
      <c r="J38" s="25">
        <f>VLOOKUP(B38,'Data qoq'!$A:$AT,MATCH($J$1,'Data qoq'!$A$1:$AT$1,),)</f>
        <v>1.271537183</v>
      </c>
      <c r="K38" s="25">
        <f>VLOOKUP(B38,'Data qoq'!$A:$AT,MATCH($K$1,'Data qoq'!$A$1:$AT$1,),)</f>
        <v>0.96148483600000001</v>
      </c>
      <c r="L38" s="25">
        <f>VLOOKUP(B38,'Data qoq'!$A:$AT,MATCH($L$1,'Data qoq'!$A$1:$AT$1,),)</f>
        <v>0.66287480899999995</v>
      </c>
      <c r="M38" s="25">
        <f>VLOOKUP(B38,'Data qoq'!$A:$AT,MATCH($M$1,'Data qoq'!$A$1:$AT$1,),)</f>
        <v>0.24962319299999999</v>
      </c>
      <c r="N38" s="25">
        <f>VLOOKUP(B38,'Data qoq'!$A:$AT,MATCH($N$1,'Data qoq'!$A$1:$AT$1,),)</f>
        <v>1.8992405130000001</v>
      </c>
      <c r="O38" s="25">
        <f>VLOOKUP(B38,'Data qoq'!$A:$AT,MATCH($C$1,'Data qoq'!$J$1:$AT$1,),)</f>
        <v>0.88199735499999998</v>
      </c>
      <c r="P38" s="25">
        <f>VLOOKUP(B38,'Data qoq'!$A:$AT,MATCH($P$1,'Data qoq'!$A$1:$AT$1,),)</f>
        <v>0.39859824199999999</v>
      </c>
      <c r="Q38" s="25">
        <f>VLOOKUP(B38,'Data qoq'!$A:$AT,MATCH($Q$1,'Data qoq'!$A$1:$AT$1,),)</f>
        <v>1.310266369</v>
      </c>
      <c r="R38" s="25">
        <f>VLOOKUP(B38,'Data qoq'!$A:$AT,MATCH($E$1,'Data qoq'!$A$1:$AT$1,),)</f>
        <v>1.176763</v>
      </c>
      <c r="S38" s="25">
        <f>VLOOKUP(B38,'Data qoq'!$A:$AT,MATCH($S$1,'Data qoq'!$A$1:$AT$1,),)</f>
        <v>0.779357615</v>
      </c>
      <c r="T38" s="25">
        <f>VLOOKUP(B38,'Data qoq'!$A:$AT,MATCH($T$1,'Data qoq'!$A$1:$AT$1,),)</f>
        <v>1.1868420449999999</v>
      </c>
      <c r="U38" s="25">
        <f>VLOOKUP(B38,'Data qoq'!$A:$AT,MATCH($U$1,'Data qoq'!$A$1:$AT$1,),)</f>
        <v>2.5429404259999999</v>
      </c>
      <c r="V38" s="25">
        <f>VLOOKUP(B38,'Data qoq'!$A:$AT,MATCH($V$1,'Data qoq'!$A$1:$AT$1,),)</f>
        <v>0.32291494199999998</v>
      </c>
      <c r="W38" s="25">
        <f>VLOOKUP(B38,'Data qoq'!$A:$AT,MATCH($W$1,'Data qoq'!$A$1:$AT$1,),)</f>
        <v>2.2587130449999999</v>
      </c>
      <c r="X38" s="25">
        <f>VLOOKUP(B38,'Data qoq'!$A:$AT,MATCH($X$1,'Data qoq'!$A$1:$AT$1,),)</f>
        <v>1.2799202460000001</v>
      </c>
      <c r="Y38" s="25">
        <f>VLOOKUP(B38,'Data qoq'!$A:$AT,MATCH($Y$1,'Data qoq'!$A$1:$AT$1,),)</f>
        <v>-1.4986589669999999</v>
      </c>
      <c r="Z38" s="25">
        <f>VLOOKUP(B38,'Data qoq'!$A:$AU,MATCH($Z$1,'Data qoq'!$A$1:$AU$1,),)</f>
        <v>2.1969164349999999</v>
      </c>
      <c r="AA38" s="25">
        <f>VLOOKUP(B38,'Data qoq'!$A:$AU,MATCH($AA$1,'Data qoq'!$A$1:$AU$1,),)</f>
        <v>0.88199735499999998</v>
      </c>
      <c r="AC38" s="26" t="str">
        <f t="shared" si="6"/>
        <v>2006-Q4</v>
      </c>
      <c r="AD38" s="27">
        <f t="shared" si="7"/>
        <v>-0.67110051600000009</v>
      </c>
      <c r="AE38" s="27">
        <f t="shared" si="8"/>
        <v>-0.67110051600000009</v>
      </c>
    </row>
    <row r="39" spans="2:31" hidden="1" x14ac:dyDescent="0.2">
      <c r="B39" s="24" t="s">
        <v>305</v>
      </c>
      <c r="C39" s="25">
        <f>VLOOKUP(B39,'Data qoq'!$A:$AT,MATCH($C$1,'Data qoq'!$A$1:$AT$1,),)</f>
        <v>0.29359886099999999</v>
      </c>
      <c r="D39" s="25">
        <f>VLOOKUP(B39,'Data qoq'!$A:$AT,MATCH($D$1,'Data qoq'!$A$1:$AT$1,),)</f>
        <v>0</v>
      </c>
      <c r="E39" s="25">
        <f>VLOOKUP(B39,'Data qoq'!$A:$AT,MATCH($E$1,'Data qoq'!$A$1:$AT$1,),)</f>
        <v>0.62617999999999996</v>
      </c>
      <c r="F39" s="25">
        <f>VLOOKUP(B39,'Data qoq'!$A:$AT,MATCH($F$1,'Data qoq'!$A$1:$AT$1,),)</f>
        <v>0.66234885300000002</v>
      </c>
      <c r="G39" s="25">
        <f>VLOOKUP(B39,'Data qoq'!$A:$AT,MATCH($G$1,'Data qoq'!$A$1:$AT$1,),)</f>
        <v>7.6329825000000004E-2</v>
      </c>
      <c r="H39" s="25">
        <f>VLOOKUP(B39,'Data qoq'!$A:$AT,MATCH($H$1,'Data qoq'!$A$1:$AT$1,),)</f>
        <v>0.74364022699999999</v>
      </c>
      <c r="I39" s="25">
        <f>VLOOKUP(B39,'Data qoq'!$A:$AT,MATCH($I$1,'Data qoq'!$A$1:$AT$1,),)</f>
        <v>0.78373796299999998</v>
      </c>
      <c r="J39" s="25">
        <f>VLOOKUP(B39,'Data qoq'!$A:$AT,MATCH($J$1,'Data qoq'!$A$1:$AT$1,),)</f>
        <v>-0.15455595699999999</v>
      </c>
      <c r="K39" s="25">
        <f>VLOOKUP(B39,'Data qoq'!$A:$AT,MATCH($K$1,'Data qoq'!$A$1:$AT$1,),)</f>
        <v>0.914765508</v>
      </c>
      <c r="L39" s="25">
        <f>VLOOKUP(B39,'Data qoq'!$A:$AT,MATCH($L$1,'Data qoq'!$A$1:$AT$1,),)</f>
        <v>0.97184540900000005</v>
      </c>
      <c r="M39" s="25">
        <f>VLOOKUP(B39,'Data qoq'!$A:$AT,MATCH($M$1,'Data qoq'!$A$1:$AT$1,),)</f>
        <v>0.70348122899999999</v>
      </c>
      <c r="N39" s="25">
        <f>VLOOKUP(B39,'Data qoq'!$A:$AT,MATCH($N$1,'Data qoq'!$A$1:$AT$1,),)</f>
        <v>1.8136509329999999</v>
      </c>
      <c r="O39" s="25">
        <f>VLOOKUP(B39,'Data qoq'!$A:$AT,MATCH($C$1,'Data qoq'!$J$1:$AT$1,),)</f>
        <v>1.230220189</v>
      </c>
      <c r="P39" s="25">
        <f>VLOOKUP(B39,'Data qoq'!$A:$AT,MATCH($P$1,'Data qoq'!$A$1:$AT$1,),)</f>
        <v>0.63962664400000002</v>
      </c>
      <c r="Q39" s="25">
        <f>VLOOKUP(B39,'Data qoq'!$A:$AT,MATCH($Q$1,'Data qoq'!$A$1:$AT$1,),)</f>
        <v>1.3909556080000001</v>
      </c>
      <c r="R39" s="25">
        <f>VLOOKUP(B39,'Data qoq'!$A:$AT,MATCH($E$1,'Data qoq'!$A$1:$AT$1,),)</f>
        <v>0.62617999999999996</v>
      </c>
      <c r="S39" s="25">
        <f>VLOOKUP(B39,'Data qoq'!$A:$AT,MATCH($S$1,'Data qoq'!$A$1:$AT$1,),)</f>
        <v>1.674043596</v>
      </c>
      <c r="T39" s="25">
        <f>VLOOKUP(B39,'Data qoq'!$A:$AT,MATCH($T$1,'Data qoq'!$A$1:$AT$1,),)</f>
        <v>1.9885962749999999</v>
      </c>
      <c r="U39" s="25">
        <f>VLOOKUP(B39,'Data qoq'!$A:$AT,MATCH($U$1,'Data qoq'!$A$1:$AT$1,),)</f>
        <v>-0.78528566200000005</v>
      </c>
      <c r="V39" s="25">
        <f>VLOOKUP(B39,'Data qoq'!$A:$AT,MATCH($V$1,'Data qoq'!$A$1:$AT$1,),)</f>
        <v>5.8484091190000003</v>
      </c>
      <c r="W39" s="25">
        <f>VLOOKUP(B39,'Data qoq'!$A:$AT,MATCH($W$1,'Data qoq'!$A$1:$AT$1,),)</f>
        <v>1.8230804439999999</v>
      </c>
      <c r="X39" s="25">
        <f>VLOOKUP(B39,'Data qoq'!$A:$AT,MATCH($X$1,'Data qoq'!$A$1:$AT$1,),)</f>
        <v>1.6834019280000001</v>
      </c>
      <c r="Y39" s="25">
        <f>VLOOKUP(B39,'Data qoq'!$A:$AT,MATCH($Y$1,'Data qoq'!$A$1:$AT$1,),)</f>
        <v>4.5899998440000003</v>
      </c>
      <c r="Z39" s="25">
        <f>VLOOKUP(B39,'Data qoq'!$A:$AU,MATCH($Z$1,'Data qoq'!$A$1:$AU$1,),)</f>
        <v>2.314156519</v>
      </c>
      <c r="AA39" s="25">
        <f>VLOOKUP(B39,'Data qoq'!$A:$AU,MATCH($AA$1,'Data qoq'!$A$1:$AU$1,),)</f>
        <v>1.230220189</v>
      </c>
      <c r="AC39" s="26" t="str">
        <f t="shared" si="6"/>
        <v>2007-Q1</v>
      </c>
      <c r="AD39" s="27">
        <f t="shared" si="7"/>
        <v>0.21726903599999997</v>
      </c>
      <c r="AE39" s="27">
        <f t="shared" si="8"/>
        <v>0.21726903599999997</v>
      </c>
    </row>
    <row r="40" spans="2:31" hidden="1" x14ac:dyDescent="0.2">
      <c r="B40" s="24" t="s">
        <v>306</v>
      </c>
      <c r="C40" s="25">
        <f>VLOOKUP(B40,'Data qoq'!$A:$AT,MATCH($C$1,'Data qoq'!$A$1:$AT$1,),)</f>
        <v>0.63843452999999994</v>
      </c>
      <c r="D40" s="25">
        <f>VLOOKUP(B40,'Data qoq'!$A:$AT,MATCH($D$1,'Data qoq'!$A$1:$AT$1,),)</f>
        <v>0</v>
      </c>
      <c r="E40" s="25">
        <f>VLOOKUP(B40,'Data qoq'!$A:$AT,MATCH($E$1,'Data qoq'!$A$1:$AT$1,),)</f>
        <v>0.71875699999999998</v>
      </c>
      <c r="F40" s="25">
        <f>VLOOKUP(B40,'Data qoq'!$A:$AT,MATCH($F$1,'Data qoq'!$A$1:$AT$1,),)</f>
        <v>4.6793480999999998E-2</v>
      </c>
      <c r="G40" s="25">
        <f>VLOOKUP(B40,'Data qoq'!$A:$AT,MATCH($G$1,'Data qoq'!$A$1:$AT$1,),)</f>
        <v>0.838052558</v>
      </c>
      <c r="H40" s="25">
        <f>VLOOKUP(B40,'Data qoq'!$A:$AT,MATCH($H$1,'Data qoq'!$A$1:$AT$1,),)</f>
        <v>0.75635786100000002</v>
      </c>
      <c r="I40" s="25">
        <f>VLOOKUP(B40,'Data qoq'!$A:$AT,MATCH($I$1,'Data qoq'!$A$1:$AT$1,),)</f>
        <v>0.46374754800000001</v>
      </c>
      <c r="J40" s="25">
        <f>VLOOKUP(B40,'Data qoq'!$A:$AT,MATCH($J$1,'Data qoq'!$A$1:$AT$1,),)</f>
        <v>0.17957493599999999</v>
      </c>
      <c r="K40" s="25">
        <f>VLOOKUP(B40,'Data qoq'!$A:$AT,MATCH($K$1,'Data qoq'!$A$1:$AT$1,),)</f>
        <v>0.89625550600000004</v>
      </c>
      <c r="L40" s="25">
        <f>VLOOKUP(B40,'Data qoq'!$A:$AT,MATCH($L$1,'Data qoq'!$A$1:$AT$1,),)</f>
        <v>0.49191658999999999</v>
      </c>
      <c r="M40" s="25">
        <f>VLOOKUP(B40,'Data qoq'!$A:$AT,MATCH($M$1,'Data qoq'!$A$1:$AT$1,),)</f>
        <v>0.76915931100000001</v>
      </c>
      <c r="N40" s="25">
        <f>VLOOKUP(B40,'Data qoq'!$A:$AT,MATCH($N$1,'Data qoq'!$A$1:$AT$1,),)</f>
        <v>2.5237981899999999</v>
      </c>
      <c r="O40" s="25">
        <f>VLOOKUP(B40,'Data qoq'!$A:$AT,MATCH($C$1,'Data qoq'!$J$1:$AT$1,),)</f>
        <v>0.91006397500000002</v>
      </c>
      <c r="P40" s="25">
        <f>VLOOKUP(B40,'Data qoq'!$A:$AT,MATCH($P$1,'Data qoq'!$A$1:$AT$1,),)</f>
        <v>0.96890726299999996</v>
      </c>
      <c r="Q40" s="25">
        <f>VLOOKUP(B40,'Data qoq'!$A:$AT,MATCH($Q$1,'Data qoq'!$A$1:$AT$1,),)</f>
        <v>0.60778167900000002</v>
      </c>
      <c r="R40" s="25">
        <f>VLOOKUP(B40,'Data qoq'!$A:$AT,MATCH($E$1,'Data qoq'!$A$1:$AT$1,),)</f>
        <v>0.71875699999999998</v>
      </c>
      <c r="S40" s="25">
        <f>VLOOKUP(B40,'Data qoq'!$A:$AT,MATCH($S$1,'Data qoq'!$A$1:$AT$1,),)</f>
        <v>1.730290857</v>
      </c>
      <c r="T40" s="25">
        <f>VLOOKUP(B40,'Data qoq'!$A:$AT,MATCH($T$1,'Data qoq'!$A$1:$AT$1,),)</f>
        <v>1.561620969</v>
      </c>
      <c r="U40" s="25">
        <f>VLOOKUP(B40,'Data qoq'!$A:$AT,MATCH($U$1,'Data qoq'!$A$1:$AT$1,),)</f>
        <v>2.9117218239999998</v>
      </c>
      <c r="V40" s="25">
        <f>VLOOKUP(B40,'Data qoq'!$A:$AT,MATCH($V$1,'Data qoq'!$A$1:$AT$1,),)</f>
        <v>-1.4970649229999999</v>
      </c>
      <c r="W40" s="25">
        <f>VLOOKUP(B40,'Data qoq'!$A:$AT,MATCH($W$1,'Data qoq'!$A$1:$AT$1,),)</f>
        <v>3.0535506E-2</v>
      </c>
      <c r="X40" s="25">
        <f>VLOOKUP(B40,'Data qoq'!$A:$AT,MATCH($X$1,'Data qoq'!$A$1:$AT$1,),)</f>
        <v>0.84880433200000005</v>
      </c>
      <c r="Y40" s="25">
        <f>VLOOKUP(B40,'Data qoq'!$A:$AT,MATCH($Y$1,'Data qoq'!$A$1:$AT$1,),)</f>
        <v>1.1397362209999999</v>
      </c>
      <c r="Z40" s="25">
        <f>VLOOKUP(B40,'Data qoq'!$A:$AU,MATCH($Z$1,'Data qoq'!$A$1:$AU$1,),)</f>
        <v>2.1545837300000001</v>
      </c>
      <c r="AA40" s="25">
        <f>VLOOKUP(B40,'Data qoq'!$A:$AU,MATCH($AA$1,'Data qoq'!$A$1:$AU$1,),)</f>
        <v>0.91006397500000002</v>
      </c>
      <c r="AC40" s="26" t="str">
        <f t="shared" si="6"/>
        <v>2007-Q2</v>
      </c>
      <c r="AD40" s="27">
        <f t="shared" si="7"/>
        <v>-0.19961802800000006</v>
      </c>
      <c r="AE40" s="27">
        <f t="shared" si="8"/>
        <v>-0.19961802800000006</v>
      </c>
    </row>
    <row r="41" spans="2:31" hidden="1" x14ac:dyDescent="0.2">
      <c r="B41" s="24" t="s">
        <v>307</v>
      </c>
      <c r="C41" s="25">
        <f>VLOOKUP(B41,'Data qoq'!$A:$AT,MATCH($C$1,'Data qoq'!$A$1:$AT$1,),)</f>
        <v>0.60230665699999997</v>
      </c>
      <c r="D41" s="25">
        <f>VLOOKUP(B41,'Data qoq'!$A:$AT,MATCH($D$1,'Data qoq'!$A$1:$AT$1,),)</f>
        <v>0</v>
      </c>
      <c r="E41" s="25">
        <f>VLOOKUP(B41,'Data qoq'!$A:$AT,MATCH($E$1,'Data qoq'!$A$1:$AT$1,),)</f>
        <v>0.42925000000000002</v>
      </c>
      <c r="F41" s="25">
        <f>VLOOKUP(B41,'Data qoq'!$A:$AT,MATCH($F$1,'Data qoq'!$A$1:$AT$1,),)</f>
        <v>-0.54156882299999998</v>
      </c>
      <c r="G41" s="25">
        <f>VLOOKUP(B41,'Data qoq'!$A:$AT,MATCH($G$1,'Data qoq'!$A$1:$AT$1,),)</f>
        <v>0.49649168999999999</v>
      </c>
      <c r="H41" s="25">
        <f>VLOOKUP(B41,'Data qoq'!$A:$AT,MATCH($H$1,'Data qoq'!$A$1:$AT$1,),)</f>
        <v>0.35775045900000002</v>
      </c>
      <c r="I41" s="25">
        <f>VLOOKUP(B41,'Data qoq'!$A:$AT,MATCH($I$1,'Data qoq'!$A$1:$AT$1,),)</f>
        <v>0.68243858099999999</v>
      </c>
      <c r="J41" s="25">
        <f>VLOOKUP(B41,'Data qoq'!$A:$AT,MATCH($J$1,'Data qoq'!$A$1:$AT$1,),)</f>
        <v>0.225514768</v>
      </c>
      <c r="K41" s="25">
        <f>VLOOKUP(B41,'Data qoq'!$A:$AT,MATCH($K$1,'Data qoq'!$A$1:$AT$1,),)</f>
        <v>0.76676854100000003</v>
      </c>
      <c r="L41" s="25">
        <f>VLOOKUP(B41,'Data qoq'!$A:$AT,MATCH($L$1,'Data qoq'!$A$1:$AT$1,),)</f>
        <v>0.78529924399999995</v>
      </c>
      <c r="M41" s="25">
        <f>VLOOKUP(B41,'Data qoq'!$A:$AT,MATCH($M$1,'Data qoq'!$A$1:$AT$1,),)</f>
        <v>0.62843288900000005</v>
      </c>
      <c r="N41" s="25">
        <f>VLOOKUP(B41,'Data qoq'!$A:$AT,MATCH($N$1,'Data qoq'!$A$1:$AT$1,),)</f>
        <v>2.2051103799999998</v>
      </c>
      <c r="O41" s="25">
        <f>VLOOKUP(B41,'Data qoq'!$A:$AT,MATCH($C$1,'Data qoq'!$J$1:$AT$1,),)</f>
        <v>0.74351636600000004</v>
      </c>
      <c r="P41" s="25">
        <f>VLOOKUP(B41,'Data qoq'!$A:$AT,MATCH($P$1,'Data qoq'!$A$1:$AT$1,),)</f>
        <v>0.41985457500000001</v>
      </c>
      <c r="Q41" s="25">
        <f>VLOOKUP(B41,'Data qoq'!$A:$AT,MATCH($Q$1,'Data qoq'!$A$1:$AT$1,),)</f>
        <v>1.1412473190000001</v>
      </c>
      <c r="R41" s="25">
        <f>VLOOKUP(B41,'Data qoq'!$A:$AT,MATCH($E$1,'Data qoq'!$A$1:$AT$1,),)</f>
        <v>0.42925000000000002</v>
      </c>
      <c r="S41" s="25">
        <f>VLOOKUP(B41,'Data qoq'!$A:$AT,MATCH($S$1,'Data qoq'!$A$1:$AT$1,),)</f>
        <v>1.173831453</v>
      </c>
      <c r="T41" s="25">
        <f>VLOOKUP(B41,'Data qoq'!$A:$AT,MATCH($T$1,'Data qoq'!$A$1:$AT$1,),)</f>
        <v>1.0300955009999999</v>
      </c>
      <c r="U41" s="25">
        <f>VLOOKUP(B41,'Data qoq'!$A:$AT,MATCH($U$1,'Data qoq'!$A$1:$AT$1,),)</f>
        <v>-0.62311345799999995</v>
      </c>
      <c r="V41" s="25">
        <f>VLOOKUP(B41,'Data qoq'!$A:$AT,MATCH($V$1,'Data qoq'!$A$1:$AT$1,),)</f>
        <v>-2.5773351959999999</v>
      </c>
      <c r="W41" s="25">
        <f>VLOOKUP(B41,'Data qoq'!$A:$AT,MATCH($W$1,'Data qoq'!$A$1:$AT$1,),)</f>
        <v>0.58639459900000002</v>
      </c>
      <c r="X41" s="25">
        <f>VLOOKUP(B41,'Data qoq'!$A:$AT,MATCH($X$1,'Data qoq'!$A$1:$AT$1,),)</f>
        <v>1.4618810390000001</v>
      </c>
      <c r="Y41" s="25">
        <f>VLOOKUP(B41,'Data qoq'!$A:$AT,MATCH($Y$1,'Data qoq'!$A$1:$AT$1,),)</f>
        <v>1.6971430679999999</v>
      </c>
      <c r="Z41" s="25">
        <f>VLOOKUP(B41,'Data qoq'!$A:$AU,MATCH($Z$1,'Data qoq'!$A$1:$AU$1,),)</f>
        <v>1.357201525</v>
      </c>
      <c r="AA41" s="25">
        <f>VLOOKUP(B41,'Data qoq'!$A:$AU,MATCH($AA$1,'Data qoq'!$A$1:$AU$1,),)</f>
        <v>0.74351636600000004</v>
      </c>
      <c r="AC41" s="26" t="str">
        <f t="shared" si="6"/>
        <v>2007-Q3</v>
      </c>
      <c r="AD41" s="27">
        <f t="shared" si="7"/>
        <v>0.10581496699999998</v>
      </c>
      <c r="AE41" s="27">
        <f t="shared" si="8"/>
        <v>0.10581496699999998</v>
      </c>
    </row>
    <row r="42" spans="2:31" hidden="1" x14ac:dyDescent="0.2">
      <c r="B42" s="24" t="s">
        <v>308</v>
      </c>
      <c r="C42" s="25">
        <f>VLOOKUP(B42,'Data qoq'!$A:$AT,MATCH($C$1,'Data qoq'!$A$1:$AT$1,),)</f>
        <v>0.60964400299999999</v>
      </c>
      <c r="D42" s="25">
        <f>VLOOKUP(B42,'Data qoq'!$A:$AT,MATCH($D$1,'Data qoq'!$A$1:$AT$1,),)</f>
        <v>0</v>
      </c>
      <c r="E42" s="25">
        <f>VLOOKUP(B42,'Data qoq'!$A:$AT,MATCH($E$1,'Data qoq'!$A$1:$AT$1,),)</f>
        <v>0.53760799999999997</v>
      </c>
      <c r="F42" s="25">
        <f>VLOOKUP(B42,'Data qoq'!$A:$AT,MATCH($F$1,'Data qoq'!$A$1:$AT$1,),)</f>
        <v>0.422474291</v>
      </c>
      <c r="G42" s="25">
        <f>VLOOKUP(B42,'Data qoq'!$A:$AT,MATCH($G$1,'Data qoq'!$A$1:$AT$1,),)</f>
        <v>0.66588292599999999</v>
      </c>
      <c r="H42" s="25">
        <f>VLOOKUP(B42,'Data qoq'!$A:$AT,MATCH($H$1,'Data qoq'!$A$1:$AT$1,),)</f>
        <v>0.23675620999999999</v>
      </c>
      <c r="I42" s="25">
        <f>VLOOKUP(B42,'Data qoq'!$A:$AT,MATCH($I$1,'Data qoq'!$A$1:$AT$1,),)</f>
        <v>0.38522883699999999</v>
      </c>
      <c r="J42" s="25">
        <f>VLOOKUP(B42,'Data qoq'!$A:$AT,MATCH($J$1,'Data qoq'!$A$1:$AT$1,),)</f>
        <v>-0.34155758899999999</v>
      </c>
      <c r="K42" s="25">
        <f>VLOOKUP(B42,'Data qoq'!$A:$AT,MATCH($K$1,'Data qoq'!$A$1:$AT$1,),)</f>
        <v>0.64284560599999996</v>
      </c>
      <c r="L42" s="25">
        <f>VLOOKUP(B42,'Data qoq'!$A:$AT,MATCH($L$1,'Data qoq'!$A$1:$AT$1,),)</f>
        <v>1.1485055660000001</v>
      </c>
      <c r="M42" s="25">
        <f>VLOOKUP(B42,'Data qoq'!$A:$AT,MATCH($M$1,'Data qoq'!$A$1:$AT$1,),)</f>
        <v>0.39353964699999999</v>
      </c>
      <c r="N42" s="25">
        <f>VLOOKUP(B42,'Data qoq'!$A:$AT,MATCH($N$1,'Data qoq'!$A$1:$AT$1,),)</f>
        <v>3.193832161</v>
      </c>
      <c r="O42" s="25">
        <f>VLOOKUP(B42,'Data qoq'!$A:$AT,MATCH($C$1,'Data qoq'!$J$1:$AT$1,),)</f>
        <v>0.16428367399999999</v>
      </c>
      <c r="P42" s="25">
        <f>VLOOKUP(B42,'Data qoq'!$A:$AT,MATCH($P$1,'Data qoq'!$A$1:$AT$1,),)</f>
        <v>0.113617046</v>
      </c>
      <c r="Q42" s="25">
        <f>VLOOKUP(B42,'Data qoq'!$A:$AT,MATCH($Q$1,'Data qoq'!$A$1:$AT$1,),)</f>
        <v>0.43885517000000002</v>
      </c>
      <c r="R42" s="25">
        <f>VLOOKUP(B42,'Data qoq'!$A:$AT,MATCH($E$1,'Data qoq'!$A$1:$AT$1,),)</f>
        <v>0.53760799999999997</v>
      </c>
      <c r="S42" s="25">
        <f>VLOOKUP(B42,'Data qoq'!$A:$AT,MATCH($S$1,'Data qoq'!$A$1:$AT$1,),)</f>
        <v>2.156948555</v>
      </c>
      <c r="T42" s="25">
        <f>VLOOKUP(B42,'Data qoq'!$A:$AT,MATCH($T$1,'Data qoq'!$A$1:$AT$1,),)</f>
        <v>1.5490564389999999</v>
      </c>
      <c r="U42" s="25">
        <f>VLOOKUP(B42,'Data qoq'!$A:$AT,MATCH($U$1,'Data qoq'!$A$1:$AT$1,),)</f>
        <v>-0.49587677200000002</v>
      </c>
      <c r="V42" s="25">
        <f>VLOOKUP(B42,'Data qoq'!$A:$AT,MATCH($V$1,'Data qoq'!$A$1:$AT$1,),)</f>
        <v>4.162954804</v>
      </c>
      <c r="W42" s="25">
        <f>VLOOKUP(B42,'Data qoq'!$A:$AT,MATCH($W$1,'Data qoq'!$A$1:$AT$1,),)</f>
        <v>3.432599138</v>
      </c>
      <c r="X42" s="25">
        <f>VLOOKUP(B42,'Data qoq'!$A:$AT,MATCH($X$1,'Data qoq'!$A$1:$AT$1,),)</f>
        <v>1.1864127360000001</v>
      </c>
      <c r="Y42" s="25">
        <f>VLOOKUP(B42,'Data qoq'!$A:$AT,MATCH($Y$1,'Data qoq'!$A$1:$AT$1,),)</f>
        <v>1.343504923</v>
      </c>
      <c r="Z42" s="25">
        <f>VLOOKUP(B42,'Data qoq'!$A:$AU,MATCH($Z$1,'Data qoq'!$A$1:$AU$1,),)</f>
        <v>3.073699301</v>
      </c>
      <c r="AA42" s="25">
        <f>VLOOKUP(B42,'Data qoq'!$A:$AU,MATCH($AA$1,'Data qoq'!$A$1:$AU$1,),)</f>
        <v>0.16428367399999999</v>
      </c>
      <c r="AC42" s="26" t="str">
        <f t="shared" si="6"/>
        <v>2007-Q4</v>
      </c>
      <c r="AD42" s="27">
        <f t="shared" si="7"/>
        <v>-5.6238922999999996E-2</v>
      </c>
      <c r="AE42" s="27">
        <f t="shared" si="8"/>
        <v>-5.6238922999999996E-2</v>
      </c>
    </row>
    <row r="43" spans="2:31" hidden="1" x14ac:dyDescent="0.2">
      <c r="B43" s="24" t="s">
        <v>309</v>
      </c>
      <c r="C43" s="25">
        <f>VLOOKUP(B43,'Data qoq'!$A:$AT,MATCH($C$1,'Data qoq'!$A$1:$AT$1,),)</f>
        <v>-0.40742947400000001</v>
      </c>
      <c r="D43" s="25">
        <f>VLOOKUP(B43,'Data qoq'!$A:$AT,MATCH($D$1,'Data qoq'!$A$1:$AT$1,),)</f>
        <v>0</v>
      </c>
      <c r="E43" s="25">
        <f>VLOOKUP(B43,'Data qoq'!$A:$AT,MATCH($E$1,'Data qoq'!$A$1:$AT$1,),)</f>
        <v>0.474136</v>
      </c>
      <c r="F43" s="25">
        <f>VLOOKUP(B43,'Data qoq'!$A:$AT,MATCH($F$1,'Data qoq'!$A$1:$AT$1,),)</f>
        <v>0.35373684500000002</v>
      </c>
      <c r="G43" s="25">
        <f>VLOOKUP(B43,'Data qoq'!$A:$AT,MATCH($G$1,'Data qoq'!$A$1:$AT$1,),)</f>
        <v>0.62947670200000005</v>
      </c>
      <c r="H43" s="25">
        <f>VLOOKUP(B43,'Data qoq'!$A:$AT,MATCH($H$1,'Data qoq'!$A$1:$AT$1,),)</f>
        <v>0.39385276299999999</v>
      </c>
      <c r="I43" s="25">
        <f>VLOOKUP(B43,'Data qoq'!$A:$AT,MATCH($I$1,'Data qoq'!$A$1:$AT$1,),)</f>
        <v>0.60327143699999997</v>
      </c>
      <c r="J43" s="25">
        <f>VLOOKUP(B43,'Data qoq'!$A:$AT,MATCH($J$1,'Data qoq'!$A$1:$AT$1,),)</f>
        <v>1.115394904</v>
      </c>
      <c r="K43" s="25">
        <f>VLOOKUP(B43,'Data qoq'!$A:$AT,MATCH($K$1,'Data qoq'!$A$1:$AT$1,),)</f>
        <v>0.21576627300000001</v>
      </c>
      <c r="L43" s="25">
        <f>VLOOKUP(B43,'Data qoq'!$A:$AT,MATCH($L$1,'Data qoq'!$A$1:$AT$1,),)</f>
        <v>-0.80477233000000004</v>
      </c>
      <c r="M43" s="25">
        <f>VLOOKUP(B43,'Data qoq'!$A:$AT,MATCH($M$1,'Data qoq'!$A$1:$AT$1,),)</f>
        <v>-0.201721816</v>
      </c>
      <c r="N43" s="25">
        <f>VLOOKUP(B43,'Data qoq'!$A:$AT,MATCH($N$1,'Data qoq'!$A$1:$AT$1,),)</f>
        <v>2.653171822</v>
      </c>
      <c r="O43" s="25">
        <f>VLOOKUP(B43,'Data qoq'!$A:$AT,MATCH($C$1,'Data qoq'!$J$1:$AT$1,),)</f>
        <v>-0.31361867700000001</v>
      </c>
      <c r="P43" s="25">
        <f>VLOOKUP(B43,'Data qoq'!$A:$AT,MATCH($P$1,'Data qoq'!$A$1:$AT$1,),)</f>
        <v>7.6640567000000007E-2</v>
      </c>
      <c r="Q43" s="25">
        <f>VLOOKUP(B43,'Data qoq'!$A:$AT,MATCH($Q$1,'Data qoq'!$A$1:$AT$1,),)</f>
        <v>1.0350911380000001</v>
      </c>
      <c r="R43" s="25">
        <f>VLOOKUP(B43,'Data qoq'!$A:$AT,MATCH($E$1,'Data qoq'!$A$1:$AT$1,),)</f>
        <v>0.474136</v>
      </c>
      <c r="S43" s="25">
        <f>VLOOKUP(B43,'Data qoq'!$A:$AT,MATCH($S$1,'Data qoq'!$A$1:$AT$1,),)</f>
        <v>0.40239485800000002</v>
      </c>
      <c r="T43" s="25">
        <f>VLOOKUP(B43,'Data qoq'!$A:$AT,MATCH($T$1,'Data qoq'!$A$1:$AT$1,),)</f>
        <v>1.133942088</v>
      </c>
      <c r="U43" s="25">
        <f>VLOOKUP(B43,'Data qoq'!$A:$AT,MATCH($U$1,'Data qoq'!$A$1:$AT$1,),)</f>
        <v>0.61159760600000002</v>
      </c>
      <c r="V43" s="25">
        <f>VLOOKUP(B43,'Data qoq'!$A:$AT,MATCH($V$1,'Data qoq'!$A$1:$AT$1,),)</f>
        <v>-2.6864973989999998</v>
      </c>
      <c r="W43" s="25">
        <f>VLOOKUP(B43,'Data qoq'!$A:$AT,MATCH($W$1,'Data qoq'!$A$1:$AT$1,),)</f>
        <v>2.1064921079999999</v>
      </c>
      <c r="X43" s="25">
        <f>VLOOKUP(B43,'Data qoq'!$A:$AT,MATCH($X$1,'Data qoq'!$A$1:$AT$1,),)</f>
        <v>0.530801089</v>
      </c>
      <c r="Y43" s="25">
        <f>VLOOKUP(B43,'Data qoq'!$A:$AT,MATCH($Y$1,'Data qoq'!$A$1:$AT$1,),)</f>
        <v>1.9177107309999999</v>
      </c>
      <c r="Z43" s="25">
        <f>VLOOKUP(B43,'Data qoq'!$A:$AU,MATCH($Z$1,'Data qoq'!$A$1:$AU$1,),)</f>
        <v>0.90049579800000001</v>
      </c>
      <c r="AA43" s="25">
        <f>VLOOKUP(B43,'Data qoq'!$A:$AU,MATCH($AA$1,'Data qoq'!$A$1:$AU$1,),)</f>
        <v>-0.31361867700000001</v>
      </c>
      <c r="AC43" s="26" t="str">
        <f t="shared" ref="AC43:AC74" si="9">B43</f>
        <v>2008-Q1</v>
      </c>
      <c r="AD43" s="27">
        <f t="shared" ref="AD43:AD74" si="10">(VLOOKUP(AC43,B:Y,MATCH($AE$6,$B$1:$Y$1,),))-(VLOOKUP(AC43,B:Y,MATCH($AE$7,$B$1:$Y$1,),))</f>
        <v>-1.036906176</v>
      </c>
      <c r="AE43" s="27">
        <f t="shared" ref="AE43:AE74" si="11">C43-G43</f>
        <v>-1.036906176</v>
      </c>
    </row>
    <row r="44" spans="2:31" hidden="1" x14ac:dyDescent="0.2">
      <c r="B44" s="24" t="s">
        <v>310</v>
      </c>
      <c r="C44" s="25">
        <f>VLOOKUP(B44,'Data qoq'!$A:$AT,MATCH($C$1,'Data qoq'!$A$1:$AT$1,),)</f>
        <v>0.57229534500000001</v>
      </c>
      <c r="D44" s="25">
        <f>VLOOKUP(B44,'Data qoq'!$A:$AT,MATCH($D$1,'Data qoq'!$A$1:$AT$1,),)</f>
        <v>0</v>
      </c>
      <c r="E44" s="25">
        <f>VLOOKUP(B44,'Data qoq'!$A:$AT,MATCH($E$1,'Data qoq'!$A$1:$AT$1,),)</f>
        <v>-0.32591199999999998</v>
      </c>
      <c r="F44" s="25">
        <f>VLOOKUP(B44,'Data qoq'!$A:$AT,MATCH($F$1,'Data qoq'!$A$1:$AT$1,),)</f>
        <v>-0.56748557600000005</v>
      </c>
      <c r="G44" s="25">
        <f>VLOOKUP(B44,'Data qoq'!$A:$AT,MATCH($G$1,'Data qoq'!$A$1:$AT$1,),)</f>
        <v>-0.23324228799999999</v>
      </c>
      <c r="H44" s="25">
        <f>VLOOKUP(B44,'Data qoq'!$A:$AT,MATCH($H$1,'Data qoq'!$A$1:$AT$1,),)</f>
        <v>-0.42714137000000002</v>
      </c>
      <c r="I44" s="25">
        <f>VLOOKUP(B44,'Data qoq'!$A:$AT,MATCH($I$1,'Data qoq'!$A$1:$AT$1,),)</f>
        <v>-0.45050658999999998</v>
      </c>
      <c r="J44" s="25">
        <f>VLOOKUP(B44,'Data qoq'!$A:$AT,MATCH($J$1,'Data qoq'!$A$1:$AT$1,),)</f>
        <v>-0.94614965100000004</v>
      </c>
      <c r="K44" s="25">
        <f>VLOOKUP(B44,'Data qoq'!$A:$AT,MATCH($K$1,'Data qoq'!$A$1:$AT$1,),)</f>
        <v>0.10925227999999999</v>
      </c>
      <c r="L44" s="25">
        <f>VLOOKUP(B44,'Data qoq'!$A:$AT,MATCH($L$1,'Data qoq'!$A$1:$AT$1,),)</f>
        <v>-2.2136724E-2</v>
      </c>
      <c r="M44" s="25">
        <f>VLOOKUP(B44,'Data qoq'!$A:$AT,MATCH($M$1,'Data qoq'!$A$1:$AT$1,),)</f>
        <v>0.76590120900000003</v>
      </c>
      <c r="N44" s="25">
        <f>VLOOKUP(B44,'Data qoq'!$A:$AT,MATCH($N$1,'Data qoq'!$A$1:$AT$1,),)</f>
        <v>0.62160239399999995</v>
      </c>
      <c r="O44" s="25">
        <f>VLOOKUP(B44,'Data qoq'!$A:$AT,MATCH($C$1,'Data qoq'!$J$1:$AT$1,),)</f>
        <v>-0.30126133500000002</v>
      </c>
      <c r="P44" s="25">
        <f>VLOOKUP(B44,'Data qoq'!$A:$AT,MATCH($P$1,'Data qoq'!$A$1:$AT$1,),)</f>
        <v>0.36167189700000002</v>
      </c>
      <c r="Q44" s="25">
        <f>VLOOKUP(B44,'Data qoq'!$A:$AT,MATCH($Q$1,'Data qoq'!$A$1:$AT$1,),)</f>
        <v>0.28584184699999998</v>
      </c>
      <c r="R44" s="25">
        <f>VLOOKUP(B44,'Data qoq'!$A:$AT,MATCH($E$1,'Data qoq'!$A$1:$AT$1,),)</f>
        <v>-0.32591199999999998</v>
      </c>
      <c r="S44" s="25">
        <f>VLOOKUP(B44,'Data qoq'!$A:$AT,MATCH($S$1,'Data qoq'!$A$1:$AT$1,),)</f>
        <v>0.52347300299999999</v>
      </c>
      <c r="T44" s="25">
        <f>VLOOKUP(B44,'Data qoq'!$A:$AT,MATCH($T$1,'Data qoq'!$A$1:$AT$1,),)</f>
        <v>2.3221262070000002</v>
      </c>
      <c r="U44" s="25">
        <f>VLOOKUP(B44,'Data qoq'!$A:$AT,MATCH($U$1,'Data qoq'!$A$1:$AT$1,),)</f>
        <v>-0.63973648299999997</v>
      </c>
      <c r="V44" s="25">
        <f>VLOOKUP(B44,'Data qoq'!$A:$AT,MATCH($V$1,'Data qoq'!$A$1:$AT$1,),)</f>
        <v>-2.4756453490000001</v>
      </c>
      <c r="W44" s="25">
        <f>VLOOKUP(B44,'Data qoq'!$A:$AT,MATCH($W$1,'Data qoq'!$A$1:$AT$1,),)</f>
        <v>-3.5485985709999999</v>
      </c>
      <c r="X44" s="25">
        <f>VLOOKUP(B44,'Data qoq'!$A:$AT,MATCH($X$1,'Data qoq'!$A$1:$AT$1,),)</f>
        <v>0.68159132499999997</v>
      </c>
      <c r="Y44" s="25">
        <f>VLOOKUP(B44,'Data qoq'!$A:$AT,MATCH($Y$1,'Data qoq'!$A$1:$AT$1,),)</f>
        <v>0.243077399</v>
      </c>
      <c r="Z44" s="25">
        <f>VLOOKUP(B44,'Data qoq'!$A:$AU,MATCH($Z$1,'Data qoq'!$A$1:$AU$1,),)</f>
        <v>0.57904735900000004</v>
      </c>
      <c r="AA44" s="25">
        <f>VLOOKUP(B44,'Data qoq'!$A:$AU,MATCH($AA$1,'Data qoq'!$A$1:$AU$1,),)</f>
        <v>-0.30126133500000002</v>
      </c>
      <c r="AC44" s="26" t="str">
        <f t="shared" si="9"/>
        <v>2008-Q2</v>
      </c>
      <c r="AD44" s="27">
        <f t="shared" si="10"/>
        <v>0.80553763300000003</v>
      </c>
      <c r="AE44" s="27">
        <f t="shared" si="11"/>
        <v>0.80553763300000003</v>
      </c>
    </row>
    <row r="45" spans="2:31" hidden="1" x14ac:dyDescent="0.2">
      <c r="B45" s="24" t="s">
        <v>311</v>
      </c>
      <c r="C45" s="25">
        <f>VLOOKUP(B45,'Data qoq'!$A:$AT,MATCH($C$1,'Data qoq'!$A$1:$AT$1,),)</f>
        <v>-0.52689290200000005</v>
      </c>
      <c r="D45" s="25">
        <f>VLOOKUP(B45,'Data qoq'!$A:$AT,MATCH($D$1,'Data qoq'!$A$1:$AT$1,),)</f>
        <v>0</v>
      </c>
      <c r="E45" s="25">
        <f>VLOOKUP(B45,'Data qoq'!$A:$AT,MATCH($E$1,'Data qoq'!$A$1:$AT$1,),)</f>
        <v>-0.53543499999999999</v>
      </c>
      <c r="F45" s="25">
        <f>VLOOKUP(B45,'Data qoq'!$A:$AT,MATCH($F$1,'Data qoq'!$A$1:$AT$1,),)</f>
        <v>-1.245119968</v>
      </c>
      <c r="G45" s="25">
        <f>VLOOKUP(B45,'Data qoq'!$A:$AT,MATCH($G$1,'Data qoq'!$A$1:$AT$1,),)</f>
        <v>-0.64824918200000003</v>
      </c>
      <c r="H45" s="25">
        <f>VLOOKUP(B45,'Data qoq'!$A:$AT,MATCH($H$1,'Data qoq'!$A$1:$AT$1,),)</f>
        <v>-0.27680655500000001</v>
      </c>
      <c r="I45" s="25">
        <f>VLOOKUP(B45,'Data qoq'!$A:$AT,MATCH($I$1,'Data qoq'!$A$1:$AT$1,),)</f>
        <v>-1.490218453</v>
      </c>
      <c r="J45" s="25">
        <f>VLOOKUP(B45,'Data qoq'!$A:$AT,MATCH($J$1,'Data qoq'!$A$1:$AT$1,),)</f>
        <v>-1.232084951</v>
      </c>
      <c r="K45" s="25">
        <f>VLOOKUP(B45,'Data qoq'!$A:$AT,MATCH($K$1,'Data qoq'!$A$1:$AT$1,),)</f>
        <v>-0.18413980399999999</v>
      </c>
      <c r="L45" s="25">
        <f>VLOOKUP(B45,'Data qoq'!$A:$AT,MATCH($L$1,'Data qoq'!$A$1:$AT$1,),)</f>
        <v>-0.521936768</v>
      </c>
      <c r="M45" s="25">
        <f>VLOOKUP(B45,'Data qoq'!$A:$AT,MATCH($M$1,'Data qoq'!$A$1:$AT$1,),)</f>
        <v>0.32127206400000002</v>
      </c>
      <c r="N45" s="25">
        <f>VLOOKUP(B45,'Data qoq'!$A:$AT,MATCH($N$1,'Data qoq'!$A$1:$AT$1,),)</f>
        <v>-1.490668597</v>
      </c>
      <c r="O45" s="25">
        <f>VLOOKUP(B45,'Data qoq'!$A:$AT,MATCH($C$1,'Data qoq'!$J$1:$AT$1,),)</f>
        <v>-0.33961140899999998</v>
      </c>
      <c r="P45" s="25">
        <f>VLOOKUP(B45,'Data qoq'!$A:$AT,MATCH($P$1,'Data qoq'!$A$1:$AT$1,),)</f>
        <v>0.82004401199999999</v>
      </c>
      <c r="Q45" s="25">
        <f>VLOOKUP(B45,'Data qoq'!$A:$AT,MATCH($Q$1,'Data qoq'!$A$1:$AT$1,),)</f>
        <v>0.70914325899999997</v>
      </c>
      <c r="R45" s="25">
        <f>VLOOKUP(B45,'Data qoq'!$A:$AT,MATCH($E$1,'Data qoq'!$A$1:$AT$1,),)</f>
        <v>-0.53543499999999999</v>
      </c>
      <c r="S45" s="25">
        <f>VLOOKUP(B45,'Data qoq'!$A:$AT,MATCH($S$1,'Data qoq'!$A$1:$AT$1,),)</f>
        <v>0.81588104299999997</v>
      </c>
      <c r="T45" s="25">
        <f>VLOOKUP(B45,'Data qoq'!$A:$AT,MATCH($T$1,'Data qoq'!$A$1:$AT$1,),)</f>
        <v>1.4619277829999999</v>
      </c>
      <c r="U45" s="25">
        <f>VLOOKUP(B45,'Data qoq'!$A:$AT,MATCH($U$1,'Data qoq'!$A$1:$AT$1,),)</f>
        <v>-9.7483140999999995E-2</v>
      </c>
      <c r="V45" s="25">
        <f>VLOOKUP(B45,'Data qoq'!$A:$AT,MATCH($V$1,'Data qoq'!$A$1:$AT$1,),)</f>
        <v>-0.84192080899999999</v>
      </c>
      <c r="W45" s="25">
        <f>VLOOKUP(B45,'Data qoq'!$A:$AT,MATCH($W$1,'Data qoq'!$A$1:$AT$1,),)</f>
        <v>-1.8168699740000001</v>
      </c>
      <c r="X45" s="25">
        <f>VLOOKUP(B45,'Data qoq'!$A:$AT,MATCH($X$1,'Data qoq'!$A$1:$AT$1,),)</f>
        <v>0.163162275</v>
      </c>
      <c r="Y45" s="25">
        <f>VLOOKUP(B45,'Data qoq'!$A:$AT,MATCH($Y$1,'Data qoq'!$A$1:$AT$1,),)</f>
        <v>-0.33656979199999998</v>
      </c>
      <c r="Z45" s="25">
        <f>VLOOKUP(B45,'Data qoq'!$A:$AU,MATCH($Z$1,'Data qoq'!$A$1:$AU$1,),)</f>
        <v>0.79534051500000003</v>
      </c>
      <c r="AA45" s="25">
        <f>VLOOKUP(B45,'Data qoq'!$A:$AU,MATCH($AA$1,'Data qoq'!$A$1:$AU$1,),)</f>
        <v>-0.33961140899999998</v>
      </c>
      <c r="AC45" s="26" t="str">
        <f t="shared" si="9"/>
        <v>2008-Q3</v>
      </c>
      <c r="AD45" s="27">
        <f t="shared" si="10"/>
        <v>0.12135627999999998</v>
      </c>
      <c r="AE45" s="27">
        <f t="shared" si="11"/>
        <v>0.12135627999999998</v>
      </c>
    </row>
    <row r="46" spans="2:31" hidden="1" x14ac:dyDescent="0.2">
      <c r="B46" s="24" t="s">
        <v>312</v>
      </c>
      <c r="C46" s="25">
        <f>VLOOKUP(B46,'Data qoq'!$A:$AT,MATCH($C$1,'Data qoq'!$A$1:$AT$1,),)</f>
        <v>-2.1830971479999999</v>
      </c>
      <c r="D46" s="25">
        <f>VLOOKUP(B46,'Data qoq'!$A:$AT,MATCH($D$1,'Data qoq'!$A$1:$AT$1,),)</f>
        <v>0</v>
      </c>
      <c r="E46" s="25">
        <f>VLOOKUP(B46,'Data qoq'!$A:$AT,MATCH($E$1,'Data qoq'!$A$1:$AT$1,),)</f>
        <v>-1.781544</v>
      </c>
      <c r="F46" s="25">
        <f>VLOOKUP(B46,'Data qoq'!$A:$AT,MATCH($F$1,'Data qoq'!$A$1:$AT$1,),)</f>
        <v>-2.4762532660000001</v>
      </c>
      <c r="G46" s="25">
        <f>VLOOKUP(B46,'Data qoq'!$A:$AT,MATCH($G$1,'Data qoq'!$A$1:$AT$1,),)</f>
        <v>-1.593756296</v>
      </c>
      <c r="H46" s="25">
        <f>VLOOKUP(B46,'Data qoq'!$A:$AT,MATCH($H$1,'Data qoq'!$A$1:$AT$1,),)</f>
        <v>-1.4515173649999999</v>
      </c>
      <c r="I46" s="25">
        <f>VLOOKUP(B46,'Data qoq'!$A:$AT,MATCH($I$1,'Data qoq'!$A$1:$AT$1,),)</f>
        <v>-2.0052793539999998</v>
      </c>
      <c r="J46" s="25">
        <f>VLOOKUP(B46,'Data qoq'!$A:$AT,MATCH($J$1,'Data qoq'!$A$1:$AT$1,),)</f>
        <v>-2.62005395</v>
      </c>
      <c r="K46" s="25">
        <f>VLOOKUP(B46,'Data qoq'!$A:$AT,MATCH($K$1,'Data qoq'!$A$1:$AT$1,),)</f>
        <v>-1.614017593</v>
      </c>
      <c r="L46" s="25">
        <f>VLOOKUP(B46,'Data qoq'!$A:$AT,MATCH($L$1,'Data qoq'!$A$1:$AT$1,),)</f>
        <v>-3.5367068160000001</v>
      </c>
      <c r="M46" s="25">
        <f>VLOOKUP(B46,'Data qoq'!$A:$AT,MATCH($M$1,'Data qoq'!$A$1:$AT$1,),)</f>
        <v>-1.631412171</v>
      </c>
      <c r="N46" s="25">
        <f>VLOOKUP(B46,'Data qoq'!$A:$AT,MATCH($N$1,'Data qoq'!$A$1:$AT$1,),)</f>
        <v>-3.252211484</v>
      </c>
      <c r="O46" s="25">
        <f>VLOOKUP(B46,'Data qoq'!$A:$AT,MATCH($C$1,'Data qoq'!$J$1:$AT$1,),)</f>
        <v>-0.67111844399999998</v>
      </c>
      <c r="P46" s="25">
        <f>VLOOKUP(B46,'Data qoq'!$A:$AT,MATCH($P$1,'Data qoq'!$A$1:$AT$1,),)</f>
        <v>-1.1595184890000001</v>
      </c>
      <c r="Q46" s="25">
        <f>VLOOKUP(B46,'Data qoq'!$A:$AT,MATCH($Q$1,'Data qoq'!$A$1:$AT$1,),)</f>
        <v>-0.445194282</v>
      </c>
      <c r="R46" s="25">
        <f>VLOOKUP(B46,'Data qoq'!$A:$AT,MATCH($E$1,'Data qoq'!$A$1:$AT$1,),)</f>
        <v>-1.781544</v>
      </c>
      <c r="S46" s="25">
        <f>VLOOKUP(B46,'Data qoq'!$A:$AT,MATCH($S$1,'Data qoq'!$A$1:$AT$1,),)</f>
        <v>-3.2838893470000001</v>
      </c>
      <c r="T46" s="25">
        <f>VLOOKUP(B46,'Data qoq'!$A:$AT,MATCH($T$1,'Data qoq'!$A$1:$AT$1,),)</f>
        <v>-3.7817746749999999</v>
      </c>
      <c r="U46" s="25">
        <f>VLOOKUP(B46,'Data qoq'!$A:$AT,MATCH($U$1,'Data qoq'!$A$1:$AT$1,),)</f>
        <v>-1.397015176</v>
      </c>
      <c r="V46" s="25">
        <f>VLOOKUP(B46,'Data qoq'!$A:$AT,MATCH($V$1,'Data qoq'!$A$1:$AT$1,),)</f>
        <v>-4.1459802809999999</v>
      </c>
      <c r="W46" s="25">
        <f>VLOOKUP(B46,'Data qoq'!$A:$AT,MATCH($W$1,'Data qoq'!$A$1:$AT$1,),)</f>
        <v>-2.5400315510000002</v>
      </c>
      <c r="X46" s="25">
        <f>VLOOKUP(B46,'Data qoq'!$A:$AT,MATCH($X$1,'Data qoq'!$A$1:$AT$1,),)</f>
        <v>-1.8149627370000001</v>
      </c>
      <c r="Y46" s="25">
        <f>VLOOKUP(B46,'Data qoq'!$A:$AT,MATCH($Y$1,'Data qoq'!$A$1:$AT$1,),)</f>
        <v>0.40487954399999998</v>
      </c>
      <c r="Z46" s="25">
        <f>VLOOKUP(B46,'Data qoq'!$A:$AU,MATCH($Z$1,'Data qoq'!$A$1:$AU$1,),)</f>
        <v>-4.744838434</v>
      </c>
      <c r="AA46" s="25">
        <f>VLOOKUP(B46,'Data qoq'!$A:$AU,MATCH($AA$1,'Data qoq'!$A$1:$AU$1,),)</f>
        <v>-0.67111844399999998</v>
      </c>
      <c r="AC46" s="26" t="str">
        <f t="shared" si="9"/>
        <v>2008-Q4</v>
      </c>
      <c r="AD46" s="27">
        <f t="shared" si="10"/>
        <v>-0.58934085199999986</v>
      </c>
      <c r="AE46" s="27">
        <f t="shared" si="11"/>
        <v>-0.58934085199999986</v>
      </c>
    </row>
    <row r="47" spans="2:31" hidden="1" x14ac:dyDescent="0.2">
      <c r="B47" s="24" t="s">
        <v>313</v>
      </c>
      <c r="C47" s="25">
        <f>VLOOKUP(B47,'Data qoq'!$A:$AT,MATCH($C$1,'Data qoq'!$A$1:$AT$1,),)</f>
        <v>-1.1657225309999999</v>
      </c>
      <c r="D47" s="25">
        <f>VLOOKUP(B47,'Data qoq'!$A:$AT,MATCH($D$1,'Data qoq'!$A$1:$AT$1,),)</f>
        <v>0</v>
      </c>
      <c r="E47" s="25">
        <f>VLOOKUP(B47,'Data qoq'!$A:$AT,MATCH($E$1,'Data qoq'!$A$1:$AT$1,),)</f>
        <v>-3.110198</v>
      </c>
      <c r="F47" s="25">
        <f>VLOOKUP(B47,'Data qoq'!$A:$AT,MATCH($F$1,'Data qoq'!$A$1:$AT$1,),)</f>
        <v>-4.8074887930000001</v>
      </c>
      <c r="G47" s="25">
        <f>VLOOKUP(B47,'Data qoq'!$A:$AT,MATCH($G$1,'Data qoq'!$A$1:$AT$1,),)</f>
        <v>-4.6822270550000002</v>
      </c>
      <c r="H47" s="25">
        <f>VLOOKUP(B47,'Data qoq'!$A:$AT,MATCH($H$1,'Data qoq'!$A$1:$AT$1,),)</f>
        <v>-1.645240416</v>
      </c>
      <c r="I47" s="25">
        <f>VLOOKUP(B47,'Data qoq'!$A:$AT,MATCH($I$1,'Data qoq'!$A$1:$AT$1,),)</f>
        <v>-1.802244248</v>
      </c>
      <c r="J47" s="25">
        <f>VLOOKUP(B47,'Data qoq'!$A:$AT,MATCH($J$1,'Data qoq'!$A$1:$AT$1,),)</f>
        <v>-2.6937437559999999</v>
      </c>
      <c r="K47" s="25">
        <f>VLOOKUP(B47,'Data qoq'!$A:$AT,MATCH($K$1,'Data qoq'!$A$1:$AT$1,),)</f>
        <v>-2.6055354049999999</v>
      </c>
      <c r="L47" s="25">
        <f>VLOOKUP(B47,'Data qoq'!$A:$AT,MATCH($L$1,'Data qoq'!$A$1:$AT$1,),)</f>
        <v>-1.4901369149999999</v>
      </c>
      <c r="M47" s="25">
        <f>VLOOKUP(B47,'Data qoq'!$A:$AT,MATCH($M$1,'Data qoq'!$A$1:$AT$1,),)</f>
        <v>-5.1181951979999996</v>
      </c>
      <c r="N47" s="25">
        <f>VLOOKUP(B47,'Data qoq'!$A:$AT,MATCH($N$1,'Data qoq'!$A$1:$AT$1,),)</f>
        <v>-3.5269817579999998</v>
      </c>
      <c r="O47" s="25">
        <f>VLOOKUP(B47,'Data qoq'!$A:$AT,MATCH($C$1,'Data qoq'!$J$1:$AT$1,),)</f>
        <v>-1.0083474029999999</v>
      </c>
      <c r="P47" s="25">
        <f>VLOOKUP(B47,'Data qoq'!$A:$AT,MATCH($P$1,'Data qoq'!$A$1:$AT$1,),)</f>
        <v>-2.2596861829999999</v>
      </c>
      <c r="Q47" s="25">
        <f>VLOOKUP(B47,'Data qoq'!$A:$AT,MATCH($Q$1,'Data qoq'!$A$1:$AT$1,),)</f>
        <v>0.91171115300000005</v>
      </c>
      <c r="R47" s="25">
        <f>VLOOKUP(B47,'Data qoq'!$A:$AT,MATCH($E$1,'Data qoq'!$A$1:$AT$1,),)</f>
        <v>-3.110198</v>
      </c>
      <c r="S47" s="25">
        <f>VLOOKUP(B47,'Data qoq'!$A:$AT,MATCH($S$1,'Data qoq'!$A$1:$AT$1,),)</f>
        <v>8.9986722000000005E-2</v>
      </c>
      <c r="T47" s="25">
        <f>VLOOKUP(B47,'Data qoq'!$A:$AT,MATCH($T$1,'Data qoq'!$A$1:$AT$1,),)</f>
        <v>-1.3838447410000001</v>
      </c>
      <c r="U47" s="25">
        <f>VLOOKUP(B47,'Data qoq'!$A:$AT,MATCH($U$1,'Data qoq'!$A$1:$AT$1,),)</f>
        <v>-4.7477806170000001</v>
      </c>
      <c r="V47" s="25">
        <f>VLOOKUP(B47,'Data qoq'!$A:$AT,MATCH($V$1,'Data qoq'!$A$1:$AT$1,),)</f>
        <v>0.43010388599999999</v>
      </c>
      <c r="W47" s="25">
        <f>VLOOKUP(B47,'Data qoq'!$A:$AT,MATCH($W$1,'Data qoq'!$A$1:$AT$1,),)</f>
        <v>-5.6640195660000003</v>
      </c>
      <c r="X47" s="25">
        <f>VLOOKUP(B47,'Data qoq'!$A:$AT,MATCH($X$1,'Data qoq'!$A$1:$AT$1,),)</f>
        <v>-3.3816703659999998</v>
      </c>
      <c r="Y47" s="25">
        <f>VLOOKUP(B47,'Data qoq'!$A:$AT,MATCH($Y$1,'Data qoq'!$A$1:$AT$1,),)</f>
        <v>1.5787565480000001</v>
      </c>
      <c r="Z47" s="25">
        <f>VLOOKUP(B47,'Data qoq'!$A:$AU,MATCH($Z$1,'Data qoq'!$A$1:$AU$1,),)</f>
        <v>-3.654868564</v>
      </c>
      <c r="AA47" s="25">
        <f>VLOOKUP(B47,'Data qoq'!$A:$AU,MATCH($AA$1,'Data qoq'!$A$1:$AU$1,),)</f>
        <v>-1.0083474029999999</v>
      </c>
      <c r="AC47" s="26" t="str">
        <f t="shared" si="9"/>
        <v>2009-Q1</v>
      </c>
      <c r="AD47" s="27">
        <f t="shared" si="10"/>
        <v>3.5165045240000001</v>
      </c>
      <c r="AE47" s="27">
        <f t="shared" si="11"/>
        <v>3.5165045240000001</v>
      </c>
    </row>
    <row r="48" spans="2:31" hidden="1" x14ac:dyDescent="0.2">
      <c r="B48" s="24" t="s">
        <v>314</v>
      </c>
      <c r="C48" s="25">
        <f>VLOOKUP(B48,'Data qoq'!$A:$AT,MATCH($C$1,'Data qoq'!$A$1:$AT$1,),)</f>
        <v>-0.16923813900000001</v>
      </c>
      <c r="D48" s="25">
        <f>VLOOKUP(B48,'Data qoq'!$A:$AT,MATCH($D$1,'Data qoq'!$A$1:$AT$1,),)</f>
        <v>0</v>
      </c>
      <c r="E48" s="25">
        <f>VLOOKUP(B48,'Data qoq'!$A:$AT,MATCH($E$1,'Data qoq'!$A$1:$AT$1,),)</f>
        <v>-2.0164000000000001E-2</v>
      </c>
      <c r="F48" s="25">
        <f>VLOOKUP(B48,'Data qoq'!$A:$AT,MATCH($F$1,'Data qoq'!$A$1:$AT$1,),)</f>
        <v>1.963306588</v>
      </c>
      <c r="G48" s="25">
        <f>VLOOKUP(B48,'Data qoq'!$A:$AT,MATCH($G$1,'Data qoq'!$A$1:$AT$1,),)</f>
        <v>0.159652865</v>
      </c>
      <c r="H48" s="25">
        <f>VLOOKUP(B48,'Data qoq'!$A:$AT,MATCH($H$1,'Data qoq'!$A$1:$AT$1,),)</f>
        <v>-0.100864069</v>
      </c>
      <c r="I48" s="25">
        <f>VLOOKUP(B48,'Data qoq'!$A:$AT,MATCH($I$1,'Data qoq'!$A$1:$AT$1,),)</f>
        <v>-0.31393367599999999</v>
      </c>
      <c r="J48" s="25">
        <f>VLOOKUP(B48,'Data qoq'!$A:$AT,MATCH($J$1,'Data qoq'!$A$1:$AT$1,),)</f>
        <v>-0.31826114999999999</v>
      </c>
      <c r="K48" s="25">
        <f>VLOOKUP(B48,'Data qoq'!$A:$AT,MATCH($K$1,'Data qoq'!$A$1:$AT$1,),)</f>
        <v>-1.0778265E-2</v>
      </c>
      <c r="L48" s="25">
        <f>VLOOKUP(B48,'Data qoq'!$A:$AT,MATCH($L$1,'Data qoq'!$A$1:$AT$1,),)</f>
        <v>7.3371684000000006E-2</v>
      </c>
      <c r="M48" s="25">
        <f>VLOOKUP(B48,'Data qoq'!$A:$AT,MATCH($M$1,'Data qoq'!$A$1:$AT$1,),)</f>
        <v>-1.4856778079999999</v>
      </c>
      <c r="N48" s="25">
        <f>VLOOKUP(B48,'Data qoq'!$A:$AT,MATCH($N$1,'Data qoq'!$A$1:$AT$1,),)</f>
        <v>-1.4588607810000001</v>
      </c>
      <c r="O48" s="25">
        <f>VLOOKUP(B48,'Data qoq'!$A:$AT,MATCH($C$1,'Data qoq'!$J$1:$AT$1,),)</f>
        <v>-5.3875932000000001E-2</v>
      </c>
      <c r="P48" s="25">
        <f>VLOOKUP(B48,'Data qoq'!$A:$AT,MATCH($P$1,'Data qoq'!$A$1:$AT$1,),)</f>
        <v>-1.0912585960000001</v>
      </c>
      <c r="Q48" s="25">
        <f>VLOOKUP(B48,'Data qoq'!$A:$AT,MATCH($Q$1,'Data qoq'!$A$1:$AT$1,),)</f>
        <v>0.74725377699999995</v>
      </c>
      <c r="R48" s="25">
        <f>VLOOKUP(B48,'Data qoq'!$A:$AT,MATCH($E$1,'Data qoq'!$A$1:$AT$1,),)</f>
        <v>-2.0164000000000001E-2</v>
      </c>
      <c r="S48" s="25">
        <f>VLOOKUP(B48,'Data qoq'!$A:$AT,MATCH($S$1,'Data qoq'!$A$1:$AT$1,),)</f>
        <v>1.332777638</v>
      </c>
      <c r="T48" s="25">
        <f>VLOOKUP(B48,'Data qoq'!$A:$AT,MATCH($T$1,'Data qoq'!$A$1:$AT$1,),)</f>
        <v>1.804567832</v>
      </c>
      <c r="U48" s="25">
        <f>VLOOKUP(B48,'Data qoq'!$A:$AT,MATCH($U$1,'Data qoq'!$A$1:$AT$1,),)</f>
        <v>2.7768419029999998</v>
      </c>
      <c r="V48" s="25">
        <f>VLOOKUP(B48,'Data qoq'!$A:$AT,MATCH($V$1,'Data qoq'!$A$1:$AT$1,),)</f>
        <v>-0.50110859600000002</v>
      </c>
      <c r="W48" s="25">
        <f>VLOOKUP(B48,'Data qoq'!$A:$AT,MATCH($W$1,'Data qoq'!$A$1:$AT$1,),)</f>
        <v>4.0069981370000001</v>
      </c>
      <c r="X48" s="25">
        <f>VLOOKUP(B48,'Data qoq'!$A:$AT,MATCH($X$1,'Data qoq'!$A$1:$AT$1,),)</f>
        <v>-0.38789759499999998</v>
      </c>
      <c r="Y48" s="25">
        <f>VLOOKUP(B48,'Data qoq'!$A:$AT,MATCH($Y$1,'Data qoq'!$A$1:$AT$1,),)</f>
        <v>4.6117185999999998E-2</v>
      </c>
      <c r="Z48" s="25">
        <f>VLOOKUP(B48,'Data qoq'!$A:$AU,MATCH($Z$1,'Data qoq'!$A$1:$AU$1,),)</f>
        <v>-2.1967382639999999</v>
      </c>
      <c r="AA48" s="25">
        <f>VLOOKUP(B48,'Data qoq'!$A:$AU,MATCH($AA$1,'Data qoq'!$A$1:$AU$1,),)</f>
        <v>-5.3875932000000001E-2</v>
      </c>
      <c r="AC48" s="26" t="str">
        <f t="shared" si="9"/>
        <v>2009-Q2</v>
      </c>
      <c r="AD48" s="27">
        <f t="shared" si="10"/>
        <v>-0.32889100400000004</v>
      </c>
      <c r="AE48" s="27">
        <f t="shared" si="11"/>
        <v>-0.32889100400000004</v>
      </c>
    </row>
    <row r="49" spans="2:31" hidden="1" x14ac:dyDescent="0.2">
      <c r="B49" s="24" t="s">
        <v>315</v>
      </c>
      <c r="C49" s="25">
        <f>VLOOKUP(B49,'Data qoq'!$A:$AT,MATCH($C$1,'Data qoq'!$A$1:$AT$1,),)</f>
        <v>0.36192999100000001</v>
      </c>
      <c r="D49" s="25">
        <f>VLOOKUP(B49,'Data qoq'!$A:$AT,MATCH($D$1,'Data qoq'!$A$1:$AT$1,),)</f>
        <v>0</v>
      </c>
      <c r="E49" s="25">
        <f>VLOOKUP(B49,'Data qoq'!$A:$AT,MATCH($E$1,'Data qoq'!$A$1:$AT$1,),)</f>
        <v>0.38960499999999998</v>
      </c>
      <c r="F49" s="25">
        <f>VLOOKUP(B49,'Data qoq'!$A:$AT,MATCH($F$1,'Data qoq'!$A$1:$AT$1,),)</f>
        <v>-4.3083684999999997E-2</v>
      </c>
      <c r="G49" s="25">
        <f>VLOOKUP(B49,'Data qoq'!$A:$AT,MATCH($G$1,'Data qoq'!$A$1:$AT$1,),)</f>
        <v>0.55789132299999999</v>
      </c>
      <c r="H49" s="25">
        <f>VLOOKUP(B49,'Data qoq'!$A:$AT,MATCH($H$1,'Data qoq'!$A$1:$AT$1,),)</f>
        <v>0.16352517499999999</v>
      </c>
      <c r="I49" s="25">
        <f>VLOOKUP(B49,'Data qoq'!$A:$AT,MATCH($I$1,'Data qoq'!$A$1:$AT$1,),)</f>
        <v>6.3201651999999997E-2</v>
      </c>
      <c r="J49" s="25">
        <f>VLOOKUP(B49,'Data qoq'!$A:$AT,MATCH($J$1,'Data qoq'!$A$1:$AT$1,),)</f>
        <v>0.58184775399999999</v>
      </c>
      <c r="K49" s="25">
        <f>VLOOKUP(B49,'Data qoq'!$A:$AT,MATCH($K$1,'Data qoq'!$A$1:$AT$1,),)</f>
        <v>0.21112808599999999</v>
      </c>
      <c r="L49" s="25">
        <f>VLOOKUP(B49,'Data qoq'!$A:$AT,MATCH($L$1,'Data qoq'!$A$1:$AT$1,),)</f>
        <v>-5.0712373999999998E-2</v>
      </c>
      <c r="M49" s="25">
        <f>VLOOKUP(B49,'Data qoq'!$A:$AT,MATCH($M$1,'Data qoq'!$A$1:$AT$1,),)</f>
        <v>3.2989516210000001</v>
      </c>
      <c r="N49" s="25">
        <f>VLOOKUP(B49,'Data qoq'!$A:$AT,MATCH($N$1,'Data qoq'!$A$1:$AT$1,),)</f>
        <v>0.41042516099999998</v>
      </c>
      <c r="O49" s="25">
        <f>VLOOKUP(B49,'Data qoq'!$A:$AT,MATCH($C$1,'Data qoq'!$J$1:$AT$1,),)</f>
        <v>0.49520266800000001</v>
      </c>
      <c r="P49" s="25">
        <f>VLOOKUP(B49,'Data qoq'!$A:$AT,MATCH($P$1,'Data qoq'!$A$1:$AT$1,),)</f>
        <v>0.44993852000000001</v>
      </c>
      <c r="Q49" s="25">
        <f>VLOOKUP(B49,'Data qoq'!$A:$AT,MATCH($Q$1,'Data qoq'!$A$1:$AT$1,),)</f>
        <v>0.28376272499999999</v>
      </c>
      <c r="R49" s="25">
        <f>VLOOKUP(B49,'Data qoq'!$A:$AT,MATCH($E$1,'Data qoq'!$A$1:$AT$1,),)</f>
        <v>0.38960499999999998</v>
      </c>
      <c r="S49" s="25">
        <f>VLOOKUP(B49,'Data qoq'!$A:$AT,MATCH($S$1,'Data qoq'!$A$1:$AT$1,),)</f>
        <v>2.9926747850000002</v>
      </c>
      <c r="T49" s="25">
        <f>VLOOKUP(B49,'Data qoq'!$A:$AT,MATCH($T$1,'Data qoq'!$A$1:$AT$1,),)</f>
        <v>2.345837446</v>
      </c>
      <c r="U49" s="25">
        <f>VLOOKUP(B49,'Data qoq'!$A:$AT,MATCH($U$1,'Data qoq'!$A$1:$AT$1,),)</f>
        <v>-0.72543689099999997</v>
      </c>
      <c r="V49" s="25">
        <f>VLOOKUP(B49,'Data qoq'!$A:$AT,MATCH($V$1,'Data qoq'!$A$1:$AT$1,),)</f>
        <v>-1.3863991229999999</v>
      </c>
      <c r="W49" s="25">
        <f>VLOOKUP(B49,'Data qoq'!$A:$AT,MATCH($W$1,'Data qoq'!$A$1:$AT$1,),)</f>
        <v>2.3957610740000002</v>
      </c>
      <c r="X49" s="25">
        <f>VLOOKUP(B49,'Data qoq'!$A:$AT,MATCH($X$1,'Data qoq'!$A$1:$AT$1,),)</f>
        <v>0.44110371599999998</v>
      </c>
      <c r="Y49" s="25">
        <f>VLOOKUP(B49,'Data qoq'!$A:$AT,MATCH($Y$1,'Data qoq'!$A$1:$AT$1,),)</f>
        <v>0.57832618999999996</v>
      </c>
      <c r="Z49" s="25">
        <f>VLOOKUP(B49,'Data qoq'!$A:$AU,MATCH($Z$1,'Data qoq'!$A$1:$AU$1,),)</f>
        <v>3.9251900129999999</v>
      </c>
      <c r="AA49" s="25">
        <f>VLOOKUP(B49,'Data qoq'!$A:$AU,MATCH($AA$1,'Data qoq'!$A$1:$AU$1,),)</f>
        <v>0.49520266800000001</v>
      </c>
      <c r="AC49" s="26" t="str">
        <f t="shared" si="9"/>
        <v>2009-Q3</v>
      </c>
      <c r="AD49" s="27">
        <f t="shared" si="10"/>
        <v>-0.19596133199999999</v>
      </c>
      <c r="AE49" s="27">
        <f t="shared" si="11"/>
        <v>-0.19596133199999999</v>
      </c>
    </row>
    <row r="50" spans="2:31" hidden="1" x14ac:dyDescent="0.2">
      <c r="B50" s="24" t="s">
        <v>316</v>
      </c>
      <c r="C50" s="25">
        <f>VLOOKUP(B50,'Data qoq'!$A:$AT,MATCH($C$1,'Data qoq'!$A$1:$AT$1,),)</f>
        <v>1.0679619499999999</v>
      </c>
      <c r="D50" s="25">
        <f>VLOOKUP(B50,'Data qoq'!$A:$AT,MATCH($D$1,'Data qoq'!$A$1:$AT$1,),)</f>
        <v>0</v>
      </c>
      <c r="E50" s="25">
        <f>VLOOKUP(B50,'Data qoq'!$A:$AT,MATCH($E$1,'Data qoq'!$A$1:$AT$1,),)</f>
        <v>0.45674300000000001</v>
      </c>
      <c r="F50" s="25">
        <f>VLOOKUP(B50,'Data qoq'!$A:$AT,MATCH($F$1,'Data qoq'!$A$1:$AT$1,),)</f>
        <v>1.231975606</v>
      </c>
      <c r="G50" s="25">
        <f>VLOOKUP(B50,'Data qoq'!$A:$AT,MATCH($G$1,'Data qoq'!$A$1:$AT$1,),)</f>
        <v>0.73596276800000004</v>
      </c>
      <c r="H50" s="25">
        <f>VLOOKUP(B50,'Data qoq'!$A:$AT,MATCH($H$1,'Data qoq'!$A$1:$AT$1,),)</f>
        <v>0.698887433</v>
      </c>
      <c r="I50" s="25">
        <f>VLOOKUP(B50,'Data qoq'!$A:$AT,MATCH($I$1,'Data qoq'!$A$1:$AT$1,),)</f>
        <v>0.3103824</v>
      </c>
      <c r="J50" s="25">
        <f>VLOOKUP(B50,'Data qoq'!$A:$AT,MATCH($J$1,'Data qoq'!$A$1:$AT$1,),)</f>
        <v>0.32450437700000001</v>
      </c>
      <c r="K50" s="25">
        <f>VLOOKUP(B50,'Data qoq'!$A:$AT,MATCH($K$1,'Data qoq'!$A$1:$AT$1,),)</f>
        <v>-2.0400669E-2</v>
      </c>
      <c r="L50" s="25">
        <f>VLOOKUP(B50,'Data qoq'!$A:$AT,MATCH($L$1,'Data qoq'!$A$1:$AT$1,),)</f>
        <v>0.45794391600000001</v>
      </c>
      <c r="M50" s="25">
        <f>VLOOKUP(B50,'Data qoq'!$A:$AT,MATCH($M$1,'Data qoq'!$A$1:$AT$1,),)</f>
        <v>1.660506126</v>
      </c>
      <c r="N50" s="25">
        <f>VLOOKUP(B50,'Data qoq'!$A:$AT,MATCH($N$1,'Data qoq'!$A$1:$AT$1,),)</f>
        <v>1.0817084560000001</v>
      </c>
      <c r="O50" s="25">
        <f>VLOOKUP(B50,'Data qoq'!$A:$AT,MATCH($C$1,'Data qoq'!$J$1:$AT$1,),)</f>
        <v>1.269581198</v>
      </c>
      <c r="P50" s="25">
        <f>VLOOKUP(B50,'Data qoq'!$A:$AT,MATCH($P$1,'Data qoq'!$A$1:$AT$1,),)</f>
        <v>1.1661570240000001</v>
      </c>
      <c r="Q50" s="25">
        <f>VLOOKUP(B50,'Data qoq'!$A:$AT,MATCH($Q$1,'Data qoq'!$A$1:$AT$1,),)</f>
        <v>0.78754564599999999</v>
      </c>
      <c r="R50" s="25">
        <f>VLOOKUP(B50,'Data qoq'!$A:$AT,MATCH($E$1,'Data qoq'!$A$1:$AT$1,),)</f>
        <v>0.45674300000000001</v>
      </c>
      <c r="S50" s="25">
        <f>VLOOKUP(B50,'Data qoq'!$A:$AT,MATCH($S$1,'Data qoq'!$A$1:$AT$1,),)</f>
        <v>0.74686754499999997</v>
      </c>
      <c r="T50" s="25">
        <f>VLOOKUP(B50,'Data qoq'!$A:$AT,MATCH($T$1,'Data qoq'!$A$1:$AT$1,),)</f>
        <v>2.5310211250000001</v>
      </c>
      <c r="U50" s="25">
        <f>VLOOKUP(B50,'Data qoq'!$A:$AT,MATCH($U$1,'Data qoq'!$A$1:$AT$1,),)</f>
        <v>0.128217041</v>
      </c>
      <c r="V50" s="25">
        <f>VLOOKUP(B50,'Data qoq'!$A:$AT,MATCH($V$1,'Data qoq'!$A$1:$AT$1,),)</f>
        <v>-1.278050814</v>
      </c>
      <c r="W50" s="25">
        <f>VLOOKUP(B50,'Data qoq'!$A:$AT,MATCH($W$1,'Data qoq'!$A$1:$AT$1,),)</f>
        <v>1.9523571850000001</v>
      </c>
      <c r="X50" s="25">
        <f>VLOOKUP(B50,'Data qoq'!$A:$AT,MATCH($X$1,'Data qoq'!$A$1:$AT$1,),)</f>
        <v>9.6491573999999997E-2</v>
      </c>
      <c r="Y50" s="25">
        <f>VLOOKUP(B50,'Data qoq'!$A:$AT,MATCH($Y$1,'Data qoq'!$A$1:$AT$1,),)</f>
        <v>2.3966442799999998</v>
      </c>
      <c r="Z50" s="25">
        <f>VLOOKUP(B50,'Data qoq'!$A:$AU,MATCH($Z$1,'Data qoq'!$A$1:$AU$1,),)</f>
        <v>1.8725336610000001</v>
      </c>
      <c r="AA50" s="25">
        <f>VLOOKUP(B50,'Data qoq'!$A:$AU,MATCH($AA$1,'Data qoq'!$A$1:$AU$1,),)</f>
        <v>1.269581198</v>
      </c>
      <c r="AC50" s="26" t="str">
        <f t="shared" si="9"/>
        <v>2009-Q4</v>
      </c>
      <c r="AD50" s="27">
        <f t="shared" si="10"/>
        <v>0.33199918199999989</v>
      </c>
      <c r="AE50" s="27">
        <f t="shared" si="11"/>
        <v>0.33199918199999989</v>
      </c>
    </row>
    <row r="51" spans="2:31" hidden="1" x14ac:dyDescent="0.2">
      <c r="B51" s="24" t="s">
        <v>317</v>
      </c>
      <c r="C51" s="25">
        <f>VLOOKUP(B51,'Data qoq'!$A:$AT,MATCH($C$1,'Data qoq'!$A$1:$AT$1,),)</f>
        <v>0.50005348100000002</v>
      </c>
      <c r="D51" s="25">
        <f>VLOOKUP(B51,'Data qoq'!$A:$AT,MATCH($D$1,'Data qoq'!$A$1:$AT$1,),)</f>
        <v>0</v>
      </c>
      <c r="E51" s="25">
        <f>VLOOKUP(B51,'Data qoq'!$A:$AT,MATCH($E$1,'Data qoq'!$A$1:$AT$1,),)</f>
        <v>0.40082899999999999</v>
      </c>
      <c r="F51" s="25">
        <f>VLOOKUP(B51,'Data qoq'!$A:$AT,MATCH($F$1,'Data qoq'!$A$1:$AT$1,),)</f>
        <v>1.0530243239999999</v>
      </c>
      <c r="G51" s="25">
        <f>VLOOKUP(B51,'Data qoq'!$A:$AT,MATCH($G$1,'Data qoq'!$A$1:$AT$1,),)</f>
        <v>0.80651542499999995</v>
      </c>
      <c r="H51" s="25">
        <f>VLOOKUP(B51,'Data qoq'!$A:$AT,MATCH($H$1,'Data qoq'!$A$1:$AT$1,),)</f>
        <v>0.355262099</v>
      </c>
      <c r="I51" s="25">
        <f>VLOOKUP(B51,'Data qoq'!$A:$AT,MATCH($I$1,'Data qoq'!$A$1:$AT$1,),)</f>
        <v>0.69847149900000005</v>
      </c>
      <c r="J51" s="25">
        <f>VLOOKUP(B51,'Data qoq'!$A:$AT,MATCH($J$1,'Data qoq'!$A$1:$AT$1,),)</f>
        <v>0.26818113799999999</v>
      </c>
      <c r="K51" s="25">
        <f>VLOOKUP(B51,'Data qoq'!$A:$AT,MATCH($K$1,'Data qoq'!$A$1:$AT$1,),)</f>
        <v>-2.8195768E-2</v>
      </c>
      <c r="L51" s="25">
        <f>VLOOKUP(B51,'Data qoq'!$A:$AT,MATCH($L$1,'Data qoq'!$A$1:$AT$1,),)</f>
        <v>2.6685926329999998</v>
      </c>
      <c r="M51" s="25">
        <f>VLOOKUP(B51,'Data qoq'!$A:$AT,MATCH($M$1,'Data qoq'!$A$1:$AT$1,),)</f>
        <v>1.051174117</v>
      </c>
      <c r="N51" s="25">
        <f>VLOOKUP(B51,'Data qoq'!$A:$AT,MATCH($N$1,'Data qoq'!$A$1:$AT$1,),)</f>
        <v>2.138462021</v>
      </c>
      <c r="O51" s="25">
        <f>VLOOKUP(B51,'Data qoq'!$A:$AT,MATCH($C$1,'Data qoq'!$J$1:$AT$1,),)</f>
        <v>0.32901532100000003</v>
      </c>
      <c r="P51" s="25">
        <f>VLOOKUP(B51,'Data qoq'!$A:$AT,MATCH($P$1,'Data qoq'!$A$1:$AT$1,),)</f>
        <v>1.206341487</v>
      </c>
      <c r="Q51" s="25">
        <f>VLOOKUP(B51,'Data qoq'!$A:$AT,MATCH($Q$1,'Data qoq'!$A$1:$AT$1,),)</f>
        <v>0.43441908299999998</v>
      </c>
      <c r="R51" s="25">
        <f>VLOOKUP(B51,'Data qoq'!$A:$AT,MATCH($E$1,'Data qoq'!$A$1:$AT$1,),)</f>
        <v>0.40082899999999999</v>
      </c>
      <c r="S51" s="25">
        <f>VLOOKUP(B51,'Data qoq'!$A:$AT,MATCH($S$1,'Data qoq'!$A$1:$AT$1,),)</f>
        <v>1.9590767389999999</v>
      </c>
      <c r="T51" s="25">
        <f>VLOOKUP(B51,'Data qoq'!$A:$AT,MATCH($T$1,'Data qoq'!$A$1:$AT$1,),)</f>
        <v>2.2799799119999999</v>
      </c>
      <c r="U51" s="25">
        <f>VLOOKUP(B51,'Data qoq'!$A:$AT,MATCH($U$1,'Data qoq'!$A$1:$AT$1,),)</f>
        <v>-5.5628861660000002</v>
      </c>
      <c r="V51" s="25">
        <f>VLOOKUP(B51,'Data qoq'!$A:$AT,MATCH($V$1,'Data qoq'!$A$1:$AT$1,),)</f>
        <v>2.9633958250000001</v>
      </c>
      <c r="W51" s="25">
        <f>VLOOKUP(B51,'Data qoq'!$A:$AT,MATCH($W$1,'Data qoq'!$A$1:$AT$1,),)</f>
        <v>-0.29499498200000002</v>
      </c>
      <c r="X51" s="25">
        <f>VLOOKUP(B51,'Data qoq'!$A:$AT,MATCH($X$1,'Data qoq'!$A$1:$AT$1,),)</f>
        <v>0.69997078199999996</v>
      </c>
      <c r="Y51" s="25">
        <f>VLOOKUP(B51,'Data qoq'!$A:$AT,MATCH($Y$1,'Data qoq'!$A$1:$AT$1,),)</f>
        <v>-0.422457627</v>
      </c>
      <c r="Z51" s="25">
        <f>VLOOKUP(B51,'Data qoq'!$A:$AU,MATCH($Z$1,'Data qoq'!$A$1:$AU$1,),)</f>
        <v>3.0374449270000001</v>
      </c>
      <c r="AA51" s="25">
        <f>VLOOKUP(B51,'Data qoq'!$A:$AU,MATCH($AA$1,'Data qoq'!$A$1:$AU$1,),)</f>
        <v>0.32901532100000003</v>
      </c>
      <c r="AC51" s="26" t="str">
        <f t="shared" si="9"/>
        <v>2010-Q1</v>
      </c>
      <c r="AD51" s="27">
        <f t="shared" si="10"/>
        <v>-0.30646194399999993</v>
      </c>
      <c r="AE51" s="27">
        <f t="shared" si="11"/>
        <v>-0.30646194399999993</v>
      </c>
    </row>
    <row r="52" spans="2:31" hidden="1" x14ac:dyDescent="0.2">
      <c r="B52" s="24" t="s">
        <v>318</v>
      </c>
      <c r="C52" s="25">
        <f>VLOOKUP(B52,'Data qoq'!$A:$AT,MATCH($C$1,'Data qoq'!$A$1:$AT$1,),)</f>
        <v>0.96770463900000003</v>
      </c>
      <c r="D52" s="25">
        <f>VLOOKUP(B52,'Data qoq'!$A:$AT,MATCH($D$1,'Data qoq'!$A$1:$AT$1,),)</f>
        <v>0</v>
      </c>
      <c r="E52" s="25">
        <f>VLOOKUP(B52,'Data qoq'!$A:$AT,MATCH($E$1,'Data qoq'!$A$1:$AT$1,),)</f>
        <v>0.97059099999999998</v>
      </c>
      <c r="F52" s="25">
        <f>VLOOKUP(B52,'Data qoq'!$A:$AT,MATCH($F$1,'Data qoq'!$A$1:$AT$1,),)</f>
        <v>1.201058483</v>
      </c>
      <c r="G52" s="25">
        <f>VLOOKUP(B52,'Data qoq'!$A:$AT,MATCH($G$1,'Data qoq'!$A$1:$AT$1,),)</f>
        <v>2.2410465359999998</v>
      </c>
      <c r="H52" s="25">
        <f>VLOOKUP(B52,'Data qoq'!$A:$AT,MATCH($H$1,'Data qoq'!$A$1:$AT$1,),)</f>
        <v>0.51105726100000004</v>
      </c>
      <c r="I52" s="25">
        <f>VLOOKUP(B52,'Data qoq'!$A:$AT,MATCH($I$1,'Data qoq'!$A$1:$AT$1,),)</f>
        <v>1.133482316</v>
      </c>
      <c r="J52" s="25">
        <f>VLOOKUP(B52,'Data qoq'!$A:$AT,MATCH($J$1,'Data qoq'!$A$1:$AT$1,),)</f>
        <v>0.74752535799999997</v>
      </c>
      <c r="K52" s="25">
        <f>VLOOKUP(B52,'Data qoq'!$A:$AT,MATCH($K$1,'Data qoq'!$A$1:$AT$1,),)</f>
        <v>0.14992503700000001</v>
      </c>
      <c r="L52" s="25">
        <f>VLOOKUP(B52,'Data qoq'!$A:$AT,MATCH($L$1,'Data qoq'!$A$1:$AT$1,),)</f>
        <v>2.079150952</v>
      </c>
      <c r="M52" s="25">
        <f>VLOOKUP(B52,'Data qoq'!$A:$AT,MATCH($M$1,'Data qoq'!$A$1:$AT$1,),)</f>
        <v>1.098761831</v>
      </c>
      <c r="N52" s="25">
        <f>VLOOKUP(B52,'Data qoq'!$A:$AT,MATCH($N$1,'Data qoq'!$A$1:$AT$1,),)</f>
        <v>0.95009906200000005</v>
      </c>
      <c r="O52" s="25">
        <f>VLOOKUP(B52,'Data qoq'!$A:$AT,MATCH($C$1,'Data qoq'!$J$1:$AT$1,),)</f>
        <v>0.70765978900000004</v>
      </c>
      <c r="P52" s="25">
        <f>VLOOKUP(B52,'Data qoq'!$A:$AT,MATCH($P$1,'Data qoq'!$A$1:$AT$1,),)</f>
        <v>0.523260909</v>
      </c>
      <c r="Q52" s="25">
        <f>VLOOKUP(B52,'Data qoq'!$A:$AT,MATCH($Q$1,'Data qoq'!$A$1:$AT$1,),)</f>
        <v>0.64053605400000002</v>
      </c>
      <c r="R52" s="25">
        <f>VLOOKUP(B52,'Data qoq'!$A:$AT,MATCH($E$1,'Data qoq'!$A$1:$AT$1,),)</f>
        <v>0.97059099999999998</v>
      </c>
      <c r="S52" s="25">
        <f>VLOOKUP(B52,'Data qoq'!$A:$AT,MATCH($S$1,'Data qoq'!$A$1:$AT$1,),)</f>
        <v>1.899801372</v>
      </c>
      <c r="T52" s="25">
        <f>VLOOKUP(B52,'Data qoq'!$A:$AT,MATCH($T$1,'Data qoq'!$A$1:$AT$1,),)</f>
        <v>0.97376628200000004</v>
      </c>
      <c r="U52" s="25">
        <f>VLOOKUP(B52,'Data qoq'!$A:$AT,MATCH($U$1,'Data qoq'!$A$1:$AT$1,),)</f>
        <v>-3.7538336060000002</v>
      </c>
      <c r="V52" s="25">
        <f>VLOOKUP(B52,'Data qoq'!$A:$AT,MATCH($V$1,'Data qoq'!$A$1:$AT$1,),)</f>
        <v>5.9786493000000003E-2</v>
      </c>
      <c r="W52" s="25">
        <f>VLOOKUP(B52,'Data qoq'!$A:$AT,MATCH($W$1,'Data qoq'!$A$1:$AT$1,),)</f>
        <v>3.8007093269999999</v>
      </c>
      <c r="X52" s="25">
        <f>VLOOKUP(B52,'Data qoq'!$A:$AT,MATCH($X$1,'Data qoq'!$A$1:$AT$1,),)</f>
        <v>1.123545104</v>
      </c>
      <c r="Y52" s="25">
        <f>VLOOKUP(B52,'Data qoq'!$A:$AT,MATCH($Y$1,'Data qoq'!$A$1:$AT$1,),)</f>
        <v>1.525976413</v>
      </c>
      <c r="Z52" s="25">
        <f>VLOOKUP(B52,'Data qoq'!$A:$AU,MATCH($Z$1,'Data qoq'!$A$1:$AU$1,),)</f>
        <v>4.4675876939999997</v>
      </c>
      <c r="AA52" s="25">
        <f>VLOOKUP(B52,'Data qoq'!$A:$AU,MATCH($AA$1,'Data qoq'!$A$1:$AU$1,),)</f>
        <v>0.70765978900000004</v>
      </c>
      <c r="AC52" s="26" t="str">
        <f t="shared" si="9"/>
        <v>2010-Q2</v>
      </c>
      <c r="AD52" s="27">
        <f t="shared" si="10"/>
        <v>-1.2733418969999999</v>
      </c>
      <c r="AE52" s="27">
        <f t="shared" si="11"/>
        <v>-1.2733418969999999</v>
      </c>
    </row>
    <row r="53" spans="2:31" hidden="1" x14ac:dyDescent="0.2">
      <c r="B53" s="24" t="s">
        <v>319</v>
      </c>
      <c r="C53" s="25">
        <f>VLOOKUP(B53,'Data qoq'!$A:$AT,MATCH($C$1,'Data qoq'!$A$1:$AT$1,),)</f>
        <v>0.77314415000000003</v>
      </c>
      <c r="D53" s="25">
        <f>VLOOKUP(B53,'Data qoq'!$A:$AT,MATCH($D$1,'Data qoq'!$A$1:$AT$1,),)</f>
        <v>0</v>
      </c>
      <c r="E53" s="25">
        <f>VLOOKUP(B53,'Data qoq'!$A:$AT,MATCH($E$1,'Data qoq'!$A$1:$AT$1,),)</f>
        <v>0.44033099999999997</v>
      </c>
      <c r="F53" s="25">
        <f>VLOOKUP(B53,'Data qoq'!$A:$AT,MATCH($F$1,'Data qoq'!$A$1:$AT$1,),)</f>
        <v>1.8151274449999999</v>
      </c>
      <c r="G53" s="25">
        <f>VLOOKUP(B53,'Data qoq'!$A:$AT,MATCH($G$1,'Data qoq'!$A$1:$AT$1,),)</f>
        <v>0.83969932899999999</v>
      </c>
      <c r="H53" s="25">
        <f>VLOOKUP(B53,'Data qoq'!$A:$AT,MATCH($H$1,'Data qoq'!$A$1:$AT$1,),)</f>
        <v>0.65556736100000002</v>
      </c>
      <c r="I53" s="25">
        <f>VLOOKUP(B53,'Data qoq'!$A:$AT,MATCH($I$1,'Data qoq'!$A$1:$AT$1,),)</f>
        <v>0.70093805399999998</v>
      </c>
      <c r="J53" s="25">
        <f>VLOOKUP(B53,'Data qoq'!$A:$AT,MATCH($J$1,'Data qoq'!$A$1:$AT$1,),)</f>
        <v>0.47804548800000002</v>
      </c>
      <c r="K53" s="25">
        <f>VLOOKUP(B53,'Data qoq'!$A:$AT,MATCH($K$1,'Data qoq'!$A$1:$AT$1,),)</f>
        <v>-5.1135353000000001E-2</v>
      </c>
      <c r="L53" s="25">
        <f>VLOOKUP(B53,'Data qoq'!$A:$AT,MATCH($L$1,'Data qoq'!$A$1:$AT$1,),)</f>
        <v>1.2119299530000001</v>
      </c>
      <c r="M53" s="25">
        <f>VLOOKUP(B53,'Data qoq'!$A:$AT,MATCH($M$1,'Data qoq'!$A$1:$AT$1,),)</f>
        <v>0.94086116600000003</v>
      </c>
      <c r="N53" s="25">
        <f>VLOOKUP(B53,'Data qoq'!$A:$AT,MATCH($N$1,'Data qoq'!$A$1:$AT$1,),)</f>
        <v>0.52351252500000001</v>
      </c>
      <c r="O53" s="25">
        <f>VLOOKUP(B53,'Data qoq'!$A:$AT,MATCH($C$1,'Data qoq'!$J$1:$AT$1,),)</f>
        <v>-0.24866028200000001</v>
      </c>
      <c r="P53" s="25">
        <f>VLOOKUP(B53,'Data qoq'!$A:$AT,MATCH($P$1,'Data qoq'!$A$1:$AT$1,),)</f>
        <v>0.70869492199999995</v>
      </c>
      <c r="Q53" s="25">
        <f>VLOOKUP(B53,'Data qoq'!$A:$AT,MATCH($Q$1,'Data qoq'!$A$1:$AT$1,),)</f>
        <v>0.70045938399999996</v>
      </c>
      <c r="R53" s="25">
        <f>VLOOKUP(B53,'Data qoq'!$A:$AT,MATCH($E$1,'Data qoq'!$A$1:$AT$1,),)</f>
        <v>0.44033099999999997</v>
      </c>
      <c r="S53" s="25">
        <f>VLOOKUP(B53,'Data qoq'!$A:$AT,MATCH($S$1,'Data qoq'!$A$1:$AT$1,),)</f>
        <v>1.1552150800000001</v>
      </c>
      <c r="T53" s="25">
        <f>VLOOKUP(B53,'Data qoq'!$A:$AT,MATCH($T$1,'Data qoq'!$A$1:$AT$1,),)</f>
        <v>1.0243579869999999</v>
      </c>
      <c r="U53" s="25">
        <f>VLOOKUP(B53,'Data qoq'!$A:$AT,MATCH($U$1,'Data qoq'!$A$1:$AT$1,),)</f>
        <v>-3.336596347</v>
      </c>
      <c r="V53" s="25">
        <f>VLOOKUP(B53,'Data qoq'!$A:$AT,MATCH($V$1,'Data qoq'!$A$1:$AT$1,),)</f>
        <v>0.44045518700000003</v>
      </c>
      <c r="W53" s="25">
        <f>VLOOKUP(B53,'Data qoq'!$A:$AT,MATCH($W$1,'Data qoq'!$A$1:$AT$1,),)</f>
        <v>2.7707017839999999</v>
      </c>
      <c r="X53" s="25">
        <f>VLOOKUP(B53,'Data qoq'!$A:$AT,MATCH($X$1,'Data qoq'!$A$1:$AT$1,),)</f>
        <v>0.83801545399999999</v>
      </c>
      <c r="Y53" s="25">
        <f>VLOOKUP(B53,'Data qoq'!$A:$AT,MATCH($Y$1,'Data qoq'!$A$1:$AT$1,),)</f>
        <v>1.3186837629999999</v>
      </c>
      <c r="Z53" s="25">
        <f>VLOOKUP(B53,'Data qoq'!$A:$AU,MATCH($Z$1,'Data qoq'!$A$1:$AU$1,),)</f>
        <v>0.54169387300000005</v>
      </c>
      <c r="AA53" s="25">
        <f>VLOOKUP(B53,'Data qoq'!$A:$AU,MATCH($AA$1,'Data qoq'!$A$1:$AU$1,),)</f>
        <v>-0.24866028200000001</v>
      </c>
      <c r="AC53" s="26" t="str">
        <f t="shared" si="9"/>
        <v>2010-Q3</v>
      </c>
      <c r="AD53" s="27">
        <f t="shared" si="10"/>
        <v>-6.6555178999999964E-2</v>
      </c>
      <c r="AE53" s="27">
        <f t="shared" si="11"/>
        <v>-6.6555178999999964E-2</v>
      </c>
    </row>
    <row r="54" spans="2:31" hidden="1" x14ac:dyDescent="0.2">
      <c r="B54" s="24" t="s">
        <v>320</v>
      </c>
      <c r="C54" s="25">
        <f>VLOOKUP(B54,'Data qoq'!$A:$AT,MATCH($C$1,'Data qoq'!$A$1:$AT$1,),)</f>
        <v>0.51959515899999997</v>
      </c>
      <c r="D54" s="25">
        <f>VLOOKUP(B54,'Data qoq'!$A:$AT,MATCH($D$1,'Data qoq'!$A$1:$AT$1,),)</f>
        <v>0</v>
      </c>
      <c r="E54" s="25">
        <f>VLOOKUP(B54,'Data qoq'!$A:$AT,MATCH($E$1,'Data qoq'!$A$1:$AT$1,),)</f>
        <v>0.62605100000000002</v>
      </c>
      <c r="F54" s="25">
        <f>VLOOKUP(B54,'Data qoq'!$A:$AT,MATCH($F$1,'Data qoq'!$A$1:$AT$1,),)</f>
        <v>-0.81789274300000003</v>
      </c>
      <c r="G54" s="25">
        <f>VLOOKUP(B54,'Data qoq'!$A:$AT,MATCH($G$1,'Data qoq'!$A$1:$AT$1,),)</f>
        <v>0.811076295</v>
      </c>
      <c r="H54" s="25">
        <f>VLOOKUP(B54,'Data qoq'!$A:$AT,MATCH($H$1,'Data qoq'!$A$1:$AT$1,),)</f>
        <v>0.709680537</v>
      </c>
      <c r="I54" s="25">
        <f>VLOOKUP(B54,'Data qoq'!$A:$AT,MATCH($I$1,'Data qoq'!$A$1:$AT$1,),)</f>
        <v>0.120686818</v>
      </c>
      <c r="J54" s="25">
        <f>VLOOKUP(B54,'Data qoq'!$A:$AT,MATCH($J$1,'Data qoq'!$A$1:$AT$1,),)</f>
        <v>0.54873710499999995</v>
      </c>
      <c r="K54" s="25">
        <f>VLOOKUP(B54,'Data qoq'!$A:$AT,MATCH($K$1,'Data qoq'!$A$1:$AT$1,),)</f>
        <v>6.7103146000000002E-2</v>
      </c>
      <c r="L54" s="25">
        <f>VLOOKUP(B54,'Data qoq'!$A:$AT,MATCH($L$1,'Data qoq'!$A$1:$AT$1,),)</f>
        <v>1.605291555</v>
      </c>
      <c r="M54" s="25">
        <f>VLOOKUP(B54,'Data qoq'!$A:$AT,MATCH($M$1,'Data qoq'!$A$1:$AT$1,),)</f>
        <v>0.77532659599999998</v>
      </c>
      <c r="N54" s="25">
        <f>VLOOKUP(B54,'Data qoq'!$A:$AT,MATCH($N$1,'Data qoq'!$A$1:$AT$1,),)</f>
        <v>1.25698003</v>
      </c>
      <c r="O54" s="25">
        <f>VLOOKUP(B54,'Data qoq'!$A:$AT,MATCH($C$1,'Data qoq'!$J$1:$AT$1,),)</f>
        <v>-0.51938833699999998</v>
      </c>
      <c r="P54" s="25">
        <f>VLOOKUP(B54,'Data qoq'!$A:$AT,MATCH($P$1,'Data qoq'!$A$1:$AT$1,),)</f>
        <v>1.1175051540000001</v>
      </c>
      <c r="Q54" s="25">
        <f>VLOOKUP(B54,'Data qoq'!$A:$AT,MATCH($Q$1,'Data qoq'!$A$1:$AT$1,),)</f>
        <v>0.91865725799999998</v>
      </c>
      <c r="R54" s="25">
        <f>VLOOKUP(B54,'Data qoq'!$A:$AT,MATCH($E$1,'Data qoq'!$A$1:$AT$1,),)</f>
        <v>0.62605100000000002</v>
      </c>
      <c r="S54" s="25">
        <f>VLOOKUP(B54,'Data qoq'!$A:$AT,MATCH($S$1,'Data qoq'!$A$1:$AT$1,),)</f>
        <v>1.2193187110000001</v>
      </c>
      <c r="T54" s="25">
        <f>VLOOKUP(B54,'Data qoq'!$A:$AT,MATCH($T$1,'Data qoq'!$A$1:$AT$1,),)</f>
        <v>1.355199772</v>
      </c>
      <c r="U54" s="25">
        <f>VLOOKUP(B54,'Data qoq'!$A:$AT,MATCH($U$1,'Data qoq'!$A$1:$AT$1,),)</f>
        <v>-0.79406454400000004</v>
      </c>
      <c r="V54" s="25">
        <f>VLOOKUP(B54,'Data qoq'!$A:$AT,MATCH($V$1,'Data qoq'!$A$1:$AT$1,),)</f>
        <v>-0.44666342399999998</v>
      </c>
      <c r="W54" s="25">
        <f>VLOOKUP(B54,'Data qoq'!$A:$AT,MATCH($W$1,'Data qoq'!$A$1:$AT$1,),)</f>
        <v>3.0231894029999999</v>
      </c>
      <c r="X54" s="25">
        <f>VLOOKUP(B54,'Data qoq'!$A:$AT,MATCH($X$1,'Data qoq'!$A$1:$AT$1,),)</f>
        <v>0.37569987399999999</v>
      </c>
      <c r="Y54" s="25">
        <f>VLOOKUP(B54,'Data qoq'!$A:$AT,MATCH($Y$1,'Data qoq'!$A$1:$AT$1,),)</f>
        <v>0.97755078900000003</v>
      </c>
      <c r="Z54" s="25">
        <f>VLOOKUP(B54,'Data qoq'!$A:$AU,MATCH($Z$1,'Data qoq'!$A$1:$AU$1,),)</f>
        <v>1.3616163880000001</v>
      </c>
      <c r="AA54" s="25">
        <f>VLOOKUP(B54,'Data qoq'!$A:$AU,MATCH($AA$1,'Data qoq'!$A$1:$AU$1,),)</f>
        <v>-0.51938833699999998</v>
      </c>
      <c r="AC54" s="26" t="str">
        <f t="shared" si="9"/>
        <v>2010-Q4</v>
      </c>
      <c r="AD54" s="27">
        <f t="shared" si="10"/>
        <v>-0.29148113600000003</v>
      </c>
      <c r="AE54" s="27">
        <f t="shared" si="11"/>
        <v>-0.29148113600000003</v>
      </c>
    </row>
    <row r="55" spans="2:31" hidden="1" x14ac:dyDescent="0.2">
      <c r="B55" s="24" t="s">
        <v>321</v>
      </c>
      <c r="C55" s="25">
        <f>VLOOKUP(B55,'Data qoq'!$A:$AT,MATCH($C$1,'Data qoq'!$A$1:$AT$1,),)</f>
        <v>-0.24091606800000001</v>
      </c>
      <c r="D55" s="25">
        <f>VLOOKUP(B55,'Data qoq'!$A:$AT,MATCH($D$1,'Data qoq'!$A$1:$AT$1,),)</f>
        <v>2.5</v>
      </c>
      <c r="E55" s="25">
        <f>VLOOKUP(B55,'Data qoq'!$A:$AT,MATCH($E$1,'Data qoq'!$A$1:$AT$1,),)</f>
        <v>0.84554799999999997</v>
      </c>
      <c r="F55" s="25">
        <f>VLOOKUP(B55,'Data qoq'!$A:$AT,MATCH($F$1,'Data qoq'!$A$1:$AT$1,),)</f>
        <v>-1.059338737</v>
      </c>
      <c r="G55" s="25">
        <f>VLOOKUP(B55,'Data qoq'!$A:$AT,MATCH($G$1,'Data qoq'!$A$1:$AT$1,),)</f>
        <v>1.9310182810000001</v>
      </c>
      <c r="H55" s="25">
        <f>VLOOKUP(B55,'Data qoq'!$A:$AT,MATCH($H$1,'Data qoq'!$A$1:$AT$1,),)</f>
        <v>0.98455502100000003</v>
      </c>
      <c r="I55" s="25">
        <f>VLOOKUP(B55,'Data qoq'!$A:$AT,MATCH($I$1,'Data qoq'!$A$1:$AT$1,),)</f>
        <v>0.46235611999999998</v>
      </c>
      <c r="J55" s="25">
        <f>VLOOKUP(B55,'Data qoq'!$A:$AT,MATCH($J$1,'Data qoq'!$A$1:$AT$1,),)</f>
        <v>0.47672184499999998</v>
      </c>
      <c r="K55" s="25">
        <f>VLOOKUP(B55,'Data qoq'!$A:$AT,MATCH($K$1,'Data qoq'!$A$1:$AT$1,),)</f>
        <v>-0.15597502899999999</v>
      </c>
      <c r="L55" s="25">
        <f>VLOOKUP(B55,'Data qoq'!$A:$AT,MATCH($L$1,'Data qoq'!$A$1:$AT$1,),)</f>
        <v>0.36242332799999999</v>
      </c>
      <c r="M55" s="25">
        <f>VLOOKUP(B55,'Data qoq'!$A:$AT,MATCH($M$1,'Data qoq'!$A$1:$AT$1,),)</f>
        <v>0.76178206000000004</v>
      </c>
      <c r="N55" s="25">
        <f>VLOOKUP(B55,'Data qoq'!$A:$AT,MATCH($N$1,'Data qoq'!$A$1:$AT$1,),)</f>
        <v>1.155158313</v>
      </c>
      <c r="O55" s="25">
        <f>VLOOKUP(B55,'Data qoq'!$A:$AT,MATCH($C$1,'Data qoq'!$J$1:$AT$1,),)</f>
        <v>1.091780073</v>
      </c>
      <c r="P55" s="25">
        <f>VLOOKUP(B55,'Data qoq'!$A:$AT,MATCH($P$1,'Data qoq'!$A$1:$AT$1,),)</f>
        <v>0.75534704399999997</v>
      </c>
      <c r="Q55" s="25">
        <f>VLOOKUP(B55,'Data qoq'!$A:$AT,MATCH($Q$1,'Data qoq'!$A$1:$AT$1,),)</f>
        <v>-0.30218699700000001</v>
      </c>
      <c r="R55" s="25">
        <f>VLOOKUP(B55,'Data qoq'!$A:$AT,MATCH($E$1,'Data qoq'!$A$1:$AT$1,),)</f>
        <v>0.84554799999999997</v>
      </c>
      <c r="S55" s="25">
        <f>VLOOKUP(B55,'Data qoq'!$A:$AT,MATCH($S$1,'Data qoq'!$A$1:$AT$1,),)</f>
        <v>0.933130719</v>
      </c>
      <c r="T55" s="25">
        <f>VLOOKUP(B55,'Data qoq'!$A:$AT,MATCH($T$1,'Data qoq'!$A$1:$AT$1,),)</f>
        <v>1.4493505040000001</v>
      </c>
      <c r="U55" s="25">
        <f>VLOOKUP(B55,'Data qoq'!$A:$AT,MATCH($U$1,'Data qoq'!$A$1:$AT$1,),)</f>
        <v>-3.796685412</v>
      </c>
      <c r="V55" s="25">
        <f>VLOOKUP(B55,'Data qoq'!$A:$AT,MATCH($V$1,'Data qoq'!$A$1:$AT$1,),)</f>
        <v>0.80925183300000003</v>
      </c>
      <c r="W55" s="25">
        <f>VLOOKUP(B55,'Data qoq'!$A:$AT,MATCH($W$1,'Data qoq'!$A$1:$AT$1,),)</f>
        <v>2.2538581770000001</v>
      </c>
      <c r="X55" s="25">
        <f>VLOOKUP(B55,'Data qoq'!$A:$AT,MATCH($X$1,'Data qoq'!$A$1:$AT$1,),)</f>
        <v>0.59780682900000004</v>
      </c>
      <c r="Y55" s="25">
        <f>VLOOKUP(B55,'Data qoq'!$A:$AT,MATCH($Y$1,'Data qoq'!$A$1:$AT$1,),)</f>
        <v>1.128087042</v>
      </c>
      <c r="Z55" s="25">
        <f>VLOOKUP(B55,'Data qoq'!$A:$AU,MATCH($Z$1,'Data qoq'!$A$1:$AU$1,),)</f>
        <v>2.3955278529999999</v>
      </c>
      <c r="AA55" s="25">
        <f>VLOOKUP(B55,'Data qoq'!$A:$AU,MATCH($AA$1,'Data qoq'!$A$1:$AU$1,),)</f>
        <v>1.091780073</v>
      </c>
      <c r="AC55" s="26" t="str">
        <f t="shared" si="9"/>
        <v>2011-Q1</v>
      </c>
      <c r="AD55" s="27">
        <f t="shared" si="10"/>
        <v>-2.1719343490000003</v>
      </c>
      <c r="AE55" s="27">
        <f t="shared" si="11"/>
        <v>-2.1719343490000003</v>
      </c>
    </row>
    <row r="56" spans="2:31" hidden="1" x14ac:dyDescent="0.2">
      <c r="B56" s="24" t="s">
        <v>322</v>
      </c>
      <c r="C56" s="25">
        <f>VLOOKUP(B56,'Data qoq'!$A:$AT,MATCH($C$1,'Data qoq'!$A$1:$AT$1,),)</f>
        <v>0.67805075100000001</v>
      </c>
      <c r="D56" s="25">
        <f>VLOOKUP(B56,'Data qoq'!$A:$AT,MATCH($D$1,'Data qoq'!$A$1:$AT$1,),)</f>
        <v>2.2000000000000002</v>
      </c>
      <c r="E56" s="25">
        <f>VLOOKUP(B56,'Data qoq'!$A:$AT,MATCH($E$1,'Data qoq'!$A$1:$AT$1,),)</f>
        <v>-2.2169999999999998E-3</v>
      </c>
      <c r="F56" s="25">
        <f>VLOOKUP(B56,'Data qoq'!$A:$AT,MATCH($F$1,'Data qoq'!$A$1:$AT$1,),)</f>
        <v>-0.85778418599999995</v>
      </c>
      <c r="G56" s="25">
        <f>VLOOKUP(B56,'Data qoq'!$A:$AT,MATCH($G$1,'Data qoq'!$A$1:$AT$1,),)</f>
        <v>8.4194172999999997E-2</v>
      </c>
      <c r="H56" s="25">
        <f>VLOOKUP(B56,'Data qoq'!$A:$AT,MATCH($H$1,'Data qoq'!$A$1:$AT$1,),)</f>
        <v>2.6992348999999999E-2</v>
      </c>
      <c r="I56" s="25">
        <f>VLOOKUP(B56,'Data qoq'!$A:$AT,MATCH($I$1,'Data qoq'!$A$1:$AT$1,),)</f>
        <v>0.10110756799999999</v>
      </c>
      <c r="J56" s="25">
        <f>VLOOKUP(B56,'Data qoq'!$A:$AT,MATCH($J$1,'Data qoq'!$A$1:$AT$1,),)</f>
        <v>4.4972402000000002E-2</v>
      </c>
      <c r="K56" s="25">
        <f>VLOOKUP(B56,'Data qoq'!$A:$AT,MATCH($K$1,'Data qoq'!$A$1:$AT$1,),)</f>
        <v>-0.31689017200000003</v>
      </c>
      <c r="L56" s="25">
        <f>VLOOKUP(B56,'Data qoq'!$A:$AT,MATCH($L$1,'Data qoq'!$A$1:$AT$1,),)</f>
        <v>0.32003904900000002</v>
      </c>
      <c r="M56" s="25">
        <f>VLOOKUP(B56,'Data qoq'!$A:$AT,MATCH($M$1,'Data qoq'!$A$1:$AT$1,),)</f>
        <v>0.53108416899999999</v>
      </c>
      <c r="N56" s="25">
        <f>VLOOKUP(B56,'Data qoq'!$A:$AT,MATCH($N$1,'Data qoq'!$A$1:$AT$1,),)</f>
        <v>0.94769094300000001</v>
      </c>
      <c r="O56" s="25">
        <f>VLOOKUP(B56,'Data qoq'!$A:$AT,MATCH($C$1,'Data qoq'!$J$1:$AT$1,),)</f>
        <v>0.50551757500000005</v>
      </c>
      <c r="P56" s="25">
        <f>VLOOKUP(B56,'Data qoq'!$A:$AT,MATCH($P$1,'Data qoq'!$A$1:$AT$1,),)</f>
        <v>0.19480650999999999</v>
      </c>
      <c r="Q56" s="25">
        <f>VLOOKUP(B56,'Data qoq'!$A:$AT,MATCH($Q$1,'Data qoq'!$A$1:$AT$1,),)</f>
        <v>1.270086187</v>
      </c>
      <c r="R56" s="25">
        <f>VLOOKUP(B56,'Data qoq'!$A:$AT,MATCH($E$1,'Data qoq'!$A$1:$AT$1,),)</f>
        <v>-2.2169999999999998E-3</v>
      </c>
      <c r="S56" s="25">
        <f>VLOOKUP(B56,'Data qoq'!$A:$AT,MATCH($S$1,'Data qoq'!$A$1:$AT$1,),)</f>
        <v>0.49079106099999997</v>
      </c>
      <c r="T56" s="25">
        <f>VLOOKUP(B56,'Data qoq'!$A:$AT,MATCH($T$1,'Data qoq'!$A$1:$AT$1,),)</f>
        <v>0.96677943700000002</v>
      </c>
      <c r="U56" s="25">
        <f>VLOOKUP(B56,'Data qoq'!$A:$AT,MATCH($U$1,'Data qoq'!$A$1:$AT$1,),)</f>
        <v>-1.817049481</v>
      </c>
      <c r="V56" s="25">
        <f>VLOOKUP(B56,'Data qoq'!$A:$AT,MATCH($V$1,'Data qoq'!$A$1:$AT$1,),)</f>
        <v>1.379710956</v>
      </c>
      <c r="W56" s="25">
        <f>VLOOKUP(B56,'Data qoq'!$A:$AT,MATCH($W$1,'Data qoq'!$A$1:$AT$1,),)</f>
        <v>2.7476908170000001</v>
      </c>
      <c r="X56" s="25">
        <f>VLOOKUP(B56,'Data qoq'!$A:$AT,MATCH($X$1,'Data qoq'!$A$1:$AT$1,),)</f>
        <v>0.26102327400000003</v>
      </c>
      <c r="Y56" s="25">
        <f>VLOOKUP(B56,'Data qoq'!$A:$AT,MATCH($Y$1,'Data qoq'!$A$1:$AT$1,),)</f>
        <v>1.334879658</v>
      </c>
      <c r="Z56" s="25">
        <f>VLOOKUP(B56,'Data qoq'!$A:$AU,MATCH($Z$1,'Data qoq'!$A$1:$AU$1,),)</f>
        <v>0.89866430600000002</v>
      </c>
      <c r="AA56" s="25">
        <f>VLOOKUP(B56,'Data qoq'!$A:$AU,MATCH($AA$1,'Data qoq'!$A$1:$AU$1,),)</f>
        <v>0.50551757500000005</v>
      </c>
      <c r="AC56" s="26" t="str">
        <f t="shared" si="9"/>
        <v>2011-Q2</v>
      </c>
      <c r="AD56" s="27">
        <f t="shared" si="10"/>
        <v>0.59385657800000002</v>
      </c>
      <c r="AE56" s="27">
        <f t="shared" si="11"/>
        <v>0.59385657800000002</v>
      </c>
    </row>
    <row r="57" spans="2:31" hidden="1" x14ac:dyDescent="0.2">
      <c r="B57" s="24" t="s">
        <v>323</v>
      </c>
      <c r="C57" s="25">
        <f>VLOOKUP(B57,'Data qoq'!$A:$AT,MATCH($C$1,'Data qoq'!$A$1:$AT$1,),)</f>
        <v>-3.8767163E-2</v>
      </c>
      <c r="D57" s="25">
        <f>VLOOKUP(B57,'Data qoq'!$A:$AT,MATCH($D$1,'Data qoq'!$A$1:$AT$1,),)</f>
        <v>1.9</v>
      </c>
      <c r="E57" s="25">
        <f>VLOOKUP(B57,'Data qoq'!$A:$AT,MATCH($E$1,'Data qoq'!$A$1:$AT$1,),)</f>
        <v>0.12449399999999999</v>
      </c>
      <c r="F57" s="25">
        <f>VLOOKUP(B57,'Data qoq'!$A:$AT,MATCH($F$1,'Data qoq'!$A$1:$AT$1,),)</f>
        <v>2.4308672819999999</v>
      </c>
      <c r="G57" s="25">
        <f>VLOOKUP(B57,'Data qoq'!$A:$AT,MATCH($G$1,'Data qoq'!$A$1:$AT$1,),)</f>
        <v>0.89379265900000004</v>
      </c>
      <c r="H57" s="25">
        <f>VLOOKUP(B57,'Data qoq'!$A:$AT,MATCH($H$1,'Data qoq'!$A$1:$AT$1,),)</f>
        <v>0.37342009100000001</v>
      </c>
      <c r="I57" s="25">
        <f>VLOOKUP(B57,'Data qoq'!$A:$AT,MATCH($I$1,'Data qoq'!$A$1:$AT$1,),)</f>
        <v>0.31936161200000002</v>
      </c>
      <c r="J57" s="25">
        <f>VLOOKUP(B57,'Data qoq'!$A:$AT,MATCH($J$1,'Data qoq'!$A$1:$AT$1,),)</f>
        <v>-0.52265853100000004</v>
      </c>
      <c r="K57" s="25">
        <f>VLOOKUP(B57,'Data qoq'!$A:$AT,MATCH($K$1,'Data qoq'!$A$1:$AT$1,),)</f>
        <v>-0.64807921400000001</v>
      </c>
      <c r="L57" s="25">
        <f>VLOOKUP(B57,'Data qoq'!$A:$AT,MATCH($L$1,'Data qoq'!$A$1:$AT$1,),)</f>
        <v>1.32518728</v>
      </c>
      <c r="M57" s="25">
        <f>VLOOKUP(B57,'Data qoq'!$A:$AT,MATCH($M$1,'Data qoq'!$A$1:$AT$1,),)</f>
        <v>1.944165023</v>
      </c>
      <c r="N57" s="25">
        <f>VLOOKUP(B57,'Data qoq'!$A:$AT,MATCH($N$1,'Data qoq'!$A$1:$AT$1,),)</f>
        <v>1.151337174</v>
      </c>
      <c r="O57" s="25">
        <f>VLOOKUP(B57,'Data qoq'!$A:$AT,MATCH($C$1,'Data qoq'!$J$1:$AT$1,),)</f>
        <v>1.0307435599999999</v>
      </c>
      <c r="P57" s="25">
        <f>VLOOKUP(B57,'Data qoq'!$A:$AT,MATCH($P$1,'Data qoq'!$A$1:$AT$1,),)</f>
        <v>1.3796395619999999</v>
      </c>
      <c r="Q57" s="25">
        <f>VLOOKUP(B57,'Data qoq'!$A:$AT,MATCH($Q$1,'Data qoq'!$A$1:$AT$1,),)</f>
        <v>1.3461173390000001</v>
      </c>
      <c r="R57" s="25">
        <f>VLOOKUP(B57,'Data qoq'!$A:$AT,MATCH($E$1,'Data qoq'!$A$1:$AT$1,),)</f>
        <v>0.12449399999999999</v>
      </c>
      <c r="S57" s="25">
        <f>VLOOKUP(B57,'Data qoq'!$A:$AT,MATCH($S$1,'Data qoq'!$A$1:$AT$1,),)</f>
        <v>0.52632363800000004</v>
      </c>
      <c r="T57" s="25">
        <f>VLOOKUP(B57,'Data qoq'!$A:$AT,MATCH($T$1,'Data qoq'!$A$1:$AT$1,),)</f>
        <v>-0.210243348</v>
      </c>
      <c r="U57" s="25">
        <f>VLOOKUP(B57,'Data qoq'!$A:$AT,MATCH($U$1,'Data qoq'!$A$1:$AT$1,),)</f>
        <v>-2.0014831229999999</v>
      </c>
      <c r="V57" s="25">
        <f>VLOOKUP(B57,'Data qoq'!$A:$AT,MATCH($V$1,'Data qoq'!$A$1:$AT$1,),)</f>
        <v>-1.809263568</v>
      </c>
      <c r="W57" s="25">
        <f>VLOOKUP(B57,'Data qoq'!$A:$AT,MATCH($W$1,'Data qoq'!$A$1:$AT$1,),)</f>
        <v>2.6588431219999999</v>
      </c>
      <c r="X57" s="25">
        <f>VLOOKUP(B57,'Data qoq'!$A:$AT,MATCH($X$1,'Data qoq'!$A$1:$AT$1,),)</f>
        <v>-8.1080056999999997E-2</v>
      </c>
      <c r="Y57" s="25">
        <f>VLOOKUP(B57,'Data qoq'!$A:$AT,MATCH($Y$1,'Data qoq'!$A$1:$AT$1,),)</f>
        <v>1.288387714</v>
      </c>
      <c r="Z57" s="25">
        <f>VLOOKUP(B57,'Data qoq'!$A:$AU,MATCH($Z$1,'Data qoq'!$A$1:$AU$1,),)</f>
        <v>0.83982964500000001</v>
      </c>
      <c r="AA57" s="25">
        <f>VLOOKUP(B57,'Data qoq'!$A:$AU,MATCH($AA$1,'Data qoq'!$A$1:$AU$1,),)</f>
        <v>1.0307435599999999</v>
      </c>
      <c r="AC57" s="26" t="str">
        <f t="shared" si="9"/>
        <v>2011-Q3</v>
      </c>
      <c r="AD57" s="27">
        <f t="shared" si="10"/>
        <v>-0.93255982200000009</v>
      </c>
      <c r="AE57" s="27">
        <f t="shared" si="11"/>
        <v>-0.93255982200000009</v>
      </c>
    </row>
    <row r="58" spans="2:31" hidden="1" x14ac:dyDescent="0.2">
      <c r="B58" s="24" t="s">
        <v>324</v>
      </c>
      <c r="C58" s="25">
        <f>VLOOKUP(B58,'Data qoq'!$A:$AT,MATCH($C$1,'Data qoq'!$A$1:$AT$1,),)</f>
        <v>1.121678183</v>
      </c>
      <c r="D58" s="25">
        <f>VLOOKUP(B58,'Data qoq'!$A:$AT,MATCH($D$1,'Data qoq'!$A$1:$AT$1,),)</f>
        <v>1.5</v>
      </c>
      <c r="E58" s="25">
        <f>VLOOKUP(B58,'Data qoq'!$A:$AT,MATCH($E$1,'Data qoq'!$A$1:$AT$1,),)</f>
        <v>-0.40896100000000002</v>
      </c>
      <c r="F58" s="25">
        <f>VLOOKUP(B58,'Data qoq'!$A:$AT,MATCH($F$1,'Data qoq'!$A$1:$AT$1,),)</f>
        <v>-0.14284211399999999</v>
      </c>
      <c r="G58" s="25">
        <f>VLOOKUP(B58,'Data qoq'!$A:$AT,MATCH($G$1,'Data qoq'!$A$1:$AT$1,),)</f>
        <v>-0.312652447</v>
      </c>
      <c r="H58" s="25">
        <f>VLOOKUP(B58,'Data qoq'!$A:$AT,MATCH($H$1,'Data qoq'!$A$1:$AT$1,),)</f>
        <v>0.17512902699999999</v>
      </c>
      <c r="I58" s="25">
        <f>VLOOKUP(B58,'Data qoq'!$A:$AT,MATCH($I$1,'Data qoq'!$A$1:$AT$1,),)</f>
        <v>0.12721264400000001</v>
      </c>
      <c r="J58" s="25">
        <f>VLOOKUP(B58,'Data qoq'!$A:$AT,MATCH($J$1,'Data qoq'!$A$1:$AT$1,),)</f>
        <v>-0.94821376099999999</v>
      </c>
      <c r="K58" s="25">
        <f>VLOOKUP(B58,'Data qoq'!$A:$AT,MATCH($K$1,'Data qoq'!$A$1:$AT$1,),)</f>
        <v>-0.648559942</v>
      </c>
      <c r="L58" s="25">
        <f>VLOOKUP(B58,'Data qoq'!$A:$AT,MATCH($L$1,'Data qoq'!$A$1:$AT$1,),)</f>
        <v>-1.422921678</v>
      </c>
      <c r="M58" s="25">
        <f>VLOOKUP(B58,'Data qoq'!$A:$AT,MATCH($M$1,'Data qoq'!$A$1:$AT$1,),)</f>
        <v>0.657098026</v>
      </c>
      <c r="N58" s="25">
        <f>VLOOKUP(B58,'Data qoq'!$A:$AT,MATCH($N$1,'Data qoq'!$A$1:$AT$1,),)</f>
        <v>1.2076822229999999</v>
      </c>
      <c r="O58" s="25">
        <f>VLOOKUP(B58,'Data qoq'!$A:$AT,MATCH($C$1,'Data qoq'!$J$1:$AT$1,),)</f>
        <v>0.57356492599999997</v>
      </c>
      <c r="P58" s="25">
        <f>VLOOKUP(B58,'Data qoq'!$A:$AT,MATCH($P$1,'Data qoq'!$A$1:$AT$1,),)</f>
        <v>0.78751324</v>
      </c>
      <c r="Q58" s="25">
        <f>VLOOKUP(B58,'Data qoq'!$A:$AT,MATCH($Q$1,'Data qoq'!$A$1:$AT$1,),)</f>
        <v>1.110027222</v>
      </c>
      <c r="R58" s="25">
        <f>VLOOKUP(B58,'Data qoq'!$A:$AT,MATCH($E$1,'Data qoq'!$A$1:$AT$1,),)</f>
        <v>-0.40896100000000002</v>
      </c>
      <c r="S58" s="25">
        <f>VLOOKUP(B58,'Data qoq'!$A:$AT,MATCH($S$1,'Data qoq'!$A$1:$AT$1,),)</f>
        <v>0.47229806800000002</v>
      </c>
      <c r="T58" s="25">
        <f>VLOOKUP(B58,'Data qoq'!$A:$AT,MATCH($T$1,'Data qoq'!$A$1:$AT$1,),)</f>
        <v>0.82022515299999998</v>
      </c>
      <c r="U58" s="25">
        <f>VLOOKUP(B58,'Data qoq'!$A:$AT,MATCH($U$1,'Data qoq'!$A$1:$AT$1,),)</f>
        <v>-4.4240506860000002</v>
      </c>
      <c r="V58" s="25">
        <f>VLOOKUP(B58,'Data qoq'!$A:$AT,MATCH($V$1,'Data qoq'!$A$1:$AT$1,),)</f>
        <v>0.35465026700000002</v>
      </c>
      <c r="W58" s="25">
        <f>VLOOKUP(B58,'Data qoq'!$A:$AT,MATCH($W$1,'Data qoq'!$A$1:$AT$1,),)</f>
        <v>1.357311969</v>
      </c>
      <c r="X58" s="25">
        <f>VLOOKUP(B58,'Data qoq'!$A:$AT,MATCH($X$1,'Data qoq'!$A$1:$AT$1,),)</f>
        <v>8.3829122000000006E-2</v>
      </c>
      <c r="Y58" s="25">
        <f>VLOOKUP(B58,'Data qoq'!$A:$AT,MATCH($Y$1,'Data qoq'!$A$1:$AT$1,),)</f>
        <v>0.633576743</v>
      </c>
      <c r="Z58" s="25">
        <f>VLOOKUP(B58,'Data qoq'!$A:$AU,MATCH($Z$1,'Data qoq'!$A$1:$AU$1,),)</f>
        <v>8.6993614999999996E-2</v>
      </c>
      <c r="AA58" s="25">
        <f>VLOOKUP(B58,'Data qoq'!$A:$AU,MATCH($AA$1,'Data qoq'!$A$1:$AU$1,),)</f>
        <v>0.57356492599999997</v>
      </c>
      <c r="AC58" s="26" t="str">
        <f t="shared" si="9"/>
        <v>2011-Q4</v>
      </c>
      <c r="AD58" s="27">
        <f t="shared" si="10"/>
        <v>1.4343306300000001</v>
      </c>
      <c r="AE58" s="27">
        <f t="shared" si="11"/>
        <v>1.4343306300000001</v>
      </c>
    </row>
    <row r="59" spans="2:31" hidden="1" x14ac:dyDescent="0.2">
      <c r="B59" s="24" t="s">
        <v>325</v>
      </c>
      <c r="C59" s="25">
        <f>VLOOKUP(B59,'Data qoq'!$A:$AT,MATCH($C$1,'Data qoq'!$A$1:$AT$1,),)</f>
        <v>0.81792284500000001</v>
      </c>
      <c r="D59" s="25">
        <f>VLOOKUP(B59,'Data qoq'!$A:$AT,MATCH($D$1,'Data qoq'!$A$1:$AT$1,),)</f>
        <v>1.7</v>
      </c>
      <c r="E59" s="25">
        <f>VLOOKUP(B59,'Data qoq'!$A:$AT,MATCH($E$1,'Data qoq'!$A$1:$AT$1,),)</f>
        <v>-0.211088</v>
      </c>
      <c r="F59" s="25">
        <f>VLOOKUP(B59,'Data qoq'!$A:$AT,MATCH($F$1,'Data qoq'!$A$1:$AT$1,),)</f>
        <v>1.3748018630000001</v>
      </c>
      <c r="G59" s="25">
        <f>VLOOKUP(B59,'Data qoq'!$A:$AT,MATCH($G$1,'Data qoq'!$A$1:$AT$1,),)</f>
        <v>0.21171714999999999</v>
      </c>
      <c r="H59" s="25">
        <f>VLOOKUP(B59,'Data qoq'!$A:$AT,MATCH($H$1,'Data qoq'!$A$1:$AT$1,),)</f>
        <v>8.5804951000000004E-2</v>
      </c>
      <c r="I59" s="25">
        <f>VLOOKUP(B59,'Data qoq'!$A:$AT,MATCH($I$1,'Data qoq'!$A$1:$AT$1,),)</f>
        <v>0.67760543299999998</v>
      </c>
      <c r="J59" s="25">
        <f>VLOOKUP(B59,'Data qoq'!$A:$AT,MATCH($J$1,'Data qoq'!$A$1:$AT$1,),)</f>
        <v>-1.0857037190000001</v>
      </c>
      <c r="K59" s="25">
        <f>VLOOKUP(B59,'Data qoq'!$A:$AT,MATCH($K$1,'Data qoq'!$A$1:$AT$1,),)</f>
        <v>-0.93714173700000003</v>
      </c>
      <c r="L59" s="25">
        <f>VLOOKUP(B59,'Data qoq'!$A:$AT,MATCH($L$1,'Data qoq'!$A$1:$AT$1,),)</f>
        <v>0.19999816200000001</v>
      </c>
      <c r="M59" s="25">
        <f>VLOOKUP(B59,'Data qoq'!$A:$AT,MATCH($M$1,'Data qoq'!$A$1:$AT$1,),)</f>
        <v>0.64477286300000003</v>
      </c>
      <c r="N59" s="25">
        <f>VLOOKUP(B59,'Data qoq'!$A:$AT,MATCH($N$1,'Data qoq'!$A$1:$AT$1,),)</f>
        <v>1.570296481</v>
      </c>
      <c r="O59" s="25">
        <f>VLOOKUP(B59,'Data qoq'!$A:$AT,MATCH($C$1,'Data qoq'!$J$1:$AT$1,),)</f>
        <v>0.61755109100000005</v>
      </c>
      <c r="P59" s="25">
        <f>VLOOKUP(B59,'Data qoq'!$A:$AT,MATCH($P$1,'Data qoq'!$A$1:$AT$1,),)</f>
        <v>6.4087343000000005E-2</v>
      </c>
      <c r="Q59" s="25">
        <f>VLOOKUP(B59,'Data qoq'!$A:$AT,MATCH($Q$1,'Data qoq'!$A$1:$AT$1,),)</f>
        <v>0.947949398</v>
      </c>
      <c r="R59" s="25">
        <f>VLOOKUP(B59,'Data qoq'!$A:$AT,MATCH($E$1,'Data qoq'!$A$1:$AT$1,),)</f>
        <v>-0.211088</v>
      </c>
      <c r="S59" s="25">
        <f>VLOOKUP(B59,'Data qoq'!$A:$AT,MATCH($S$1,'Data qoq'!$A$1:$AT$1,),)</f>
        <v>0.86566595300000004</v>
      </c>
      <c r="T59" s="25">
        <f>VLOOKUP(B59,'Data qoq'!$A:$AT,MATCH($T$1,'Data qoq'!$A$1:$AT$1,),)</f>
        <v>-1.287669897</v>
      </c>
      <c r="U59" s="25">
        <f>VLOOKUP(B59,'Data qoq'!$A:$AT,MATCH($U$1,'Data qoq'!$A$1:$AT$1,),)</f>
        <v>-0.42809316200000003</v>
      </c>
      <c r="V59" s="25">
        <f>VLOOKUP(B59,'Data qoq'!$A:$AT,MATCH($V$1,'Data qoq'!$A$1:$AT$1,),)</f>
        <v>-0.67212348099999997</v>
      </c>
      <c r="W59" s="25">
        <f>VLOOKUP(B59,'Data qoq'!$A:$AT,MATCH($W$1,'Data qoq'!$A$1:$AT$1,),)</f>
        <v>-0.88977375700000005</v>
      </c>
      <c r="X59" s="25">
        <f>VLOOKUP(B59,'Data qoq'!$A:$AT,MATCH($X$1,'Data qoq'!$A$1:$AT$1,),)</f>
        <v>-0.23528302400000001</v>
      </c>
      <c r="Y59" s="25">
        <f>VLOOKUP(B59,'Data qoq'!$A:$AT,MATCH($Y$1,'Data qoq'!$A$1:$AT$1,),)</f>
        <v>6.9182549999999995E-2</v>
      </c>
      <c r="Z59" s="25">
        <f>VLOOKUP(B59,'Data qoq'!$A:$AU,MATCH($Z$1,'Data qoq'!$A$1:$AU$1,),)</f>
        <v>-1.0763412320000001</v>
      </c>
      <c r="AA59" s="25">
        <f>VLOOKUP(B59,'Data qoq'!$A:$AU,MATCH($AA$1,'Data qoq'!$A$1:$AU$1,),)</f>
        <v>0.61755109100000005</v>
      </c>
      <c r="AC59" s="26" t="str">
        <f t="shared" si="9"/>
        <v>2012-Q1</v>
      </c>
      <c r="AD59" s="27">
        <f t="shared" si="10"/>
        <v>0.60620569499999999</v>
      </c>
      <c r="AE59" s="27">
        <f t="shared" si="11"/>
        <v>0.60620569499999999</v>
      </c>
    </row>
    <row r="60" spans="2:31" hidden="1" x14ac:dyDescent="0.2">
      <c r="B60" s="24" t="s">
        <v>326</v>
      </c>
      <c r="C60" s="25">
        <f>VLOOKUP(B60,'Data qoq'!$A:$AT,MATCH($C$1,'Data qoq'!$A$1:$AT$1,),)</f>
        <v>0.45585998700000002</v>
      </c>
      <c r="D60" s="25">
        <f>VLOOKUP(B60,'Data qoq'!$A:$AT,MATCH($D$1,'Data qoq'!$A$1:$AT$1,),)</f>
        <v>2.2999999999999998</v>
      </c>
      <c r="E60" s="25">
        <f>VLOOKUP(B60,'Data qoq'!$A:$AT,MATCH($E$1,'Data qoq'!$A$1:$AT$1,),)</f>
        <v>-0.26491599999999998</v>
      </c>
      <c r="F60" s="25">
        <f>VLOOKUP(B60,'Data qoq'!$A:$AT,MATCH($F$1,'Data qoq'!$A$1:$AT$1,),)</f>
        <v>-0.89634116399999997</v>
      </c>
      <c r="G60" s="25">
        <f>VLOOKUP(B60,'Data qoq'!$A:$AT,MATCH($G$1,'Data qoq'!$A$1:$AT$1,),)</f>
        <v>0.18778914499999999</v>
      </c>
      <c r="H60" s="25">
        <f>VLOOKUP(B60,'Data qoq'!$A:$AT,MATCH($H$1,'Data qoq'!$A$1:$AT$1,),)</f>
        <v>-0.15805544599999999</v>
      </c>
      <c r="I60" s="25">
        <f>VLOOKUP(B60,'Data qoq'!$A:$AT,MATCH($I$1,'Data qoq'!$A$1:$AT$1,),)</f>
        <v>-5.8849980000000003E-2</v>
      </c>
      <c r="J60" s="25">
        <f>VLOOKUP(B60,'Data qoq'!$A:$AT,MATCH($J$1,'Data qoq'!$A$1:$AT$1,),)</f>
        <v>-0.738444078</v>
      </c>
      <c r="K60" s="25">
        <f>VLOOKUP(B60,'Data qoq'!$A:$AT,MATCH($K$1,'Data qoq'!$A$1:$AT$1,),)</f>
        <v>-0.96123464400000003</v>
      </c>
      <c r="L60" s="25">
        <f>VLOOKUP(B60,'Data qoq'!$A:$AT,MATCH($L$1,'Data qoq'!$A$1:$AT$1,),)</f>
        <v>0.121080256</v>
      </c>
      <c r="M60" s="25">
        <f>VLOOKUP(B60,'Data qoq'!$A:$AT,MATCH($M$1,'Data qoq'!$A$1:$AT$1,),)</f>
        <v>0.875214716</v>
      </c>
      <c r="N60" s="25">
        <f>VLOOKUP(B60,'Data qoq'!$A:$AT,MATCH($N$1,'Data qoq'!$A$1:$AT$1,),)</f>
        <v>0.38707392299999999</v>
      </c>
      <c r="O60" s="25">
        <f>VLOOKUP(B60,'Data qoq'!$A:$AT,MATCH($C$1,'Data qoq'!$J$1:$AT$1,),)</f>
        <v>0.33682548099999998</v>
      </c>
      <c r="P60" s="25">
        <f>VLOOKUP(B60,'Data qoq'!$A:$AT,MATCH($P$1,'Data qoq'!$A$1:$AT$1,),)</f>
        <v>0.32616373700000001</v>
      </c>
      <c r="Q60" s="25">
        <f>VLOOKUP(B60,'Data qoq'!$A:$AT,MATCH($Q$1,'Data qoq'!$A$1:$AT$1,),)</f>
        <v>0.71787098299999996</v>
      </c>
      <c r="R60" s="25">
        <f>VLOOKUP(B60,'Data qoq'!$A:$AT,MATCH($E$1,'Data qoq'!$A$1:$AT$1,),)</f>
        <v>-0.26491599999999998</v>
      </c>
      <c r="S60" s="25">
        <f>VLOOKUP(B60,'Data qoq'!$A:$AT,MATCH($S$1,'Data qoq'!$A$1:$AT$1,),)</f>
        <v>0.56597461800000004</v>
      </c>
      <c r="T60" s="25">
        <f>VLOOKUP(B60,'Data qoq'!$A:$AT,MATCH($T$1,'Data qoq'!$A$1:$AT$1,),)</f>
        <v>1.717889639</v>
      </c>
      <c r="U60" s="25">
        <f>VLOOKUP(B60,'Data qoq'!$A:$AT,MATCH($U$1,'Data qoq'!$A$1:$AT$1,),)</f>
        <v>-1.6306120099999999</v>
      </c>
      <c r="V60" s="25">
        <f>VLOOKUP(B60,'Data qoq'!$A:$AT,MATCH($V$1,'Data qoq'!$A$1:$AT$1,),)</f>
        <v>2.008754846</v>
      </c>
      <c r="W60" s="25">
        <f>VLOOKUP(B60,'Data qoq'!$A:$AT,MATCH($W$1,'Data qoq'!$A$1:$AT$1,),)</f>
        <v>1.727526866</v>
      </c>
      <c r="X60" s="25">
        <f>VLOOKUP(B60,'Data qoq'!$A:$AT,MATCH($X$1,'Data qoq'!$A$1:$AT$1,),)</f>
        <v>-0.46222377100000001</v>
      </c>
      <c r="Y60" s="25">
        <f>VLOOKUP(B60,'Data qoq'!$A:$AT,MATCH($Y$1,'Data qoq'!$A$1:$AT$1,),)</f>
        <v>-0.24556246500000001</v>
      </c>
      <c r="Z60" s="25">
        <f>VLOOKUP(B60,'Data qoq'!$A:$AU,MATCH($Z$1,'Data qoq'!$A$1:$AU$1,),)</f>
        <v>-3.5037687260000001</v>
      </c>
      <c r="AA60" s="25">
        <f>VLOOKUP(B60,'Data qoq'!$A:$AU,MATCH($AA$1,'Data qoq'!$A$1:$AU$1,),)</f>
        <v>0.33682548099999998</v>
      </c>
      <c r="AC60" s="26" t="str">
        <f t="shared" si="9"/>
        <v>2012-Q2</v>
      </c>
      <c r="AD60" s="27">
        <f t="shared" si="10"/>
        <v>0.26807084200000003</v>
      </c>
      <c r="AE60" s="27">
        <f t="shared" si="11"/>
        <v>0.26807084200000003</v>
      </c>
    </row>
    <row r="61" spans="2:31" hidden="1" x14ac:dyDescent="0.2">
      <c r="B61" s="24" t="s">
        <v>327</v>
      </c>
      <c r="C61" s="25">
        <f>VLOOKUP(B61,'Data qoq'!$A:$AT,MATCH($C$1,'Data qoq'!$A$1:$AT$1,),)</f>
        <v>0.17488297799999999</v>
      </c>
      <c r="D61" s="25">
        <f>VLOOKUP(B61,'Data qoq'!$A:$AT,MATCH($D$1,'Data qoq'!$A$1:$AT$1,),)</f>
        <v>1.9</v>
      </c>
      <c r="E61" s="25">
        <f>VLOOKUP(B61,'Data qoq'!$A:$AT,MATCH($E$1,'Data qoq'!$A$1:$AT$1,),)</f>
        <v>-0.115701</v>
      </c>
      <c r="F61" s="25">
        <f>VLOOKUP(B61,'Data qoq'!$A:$AT,MATCH($F$1,'Data qoq'!$A$1:$AT$1,),)</f>
        <v>-0.377305585</v>
      </c>
      <c r="G61" s="25">
        <f>VLOOKUP(B61,'Data qoq'!$A:$AT,MATCH($G$1,'Data qoq'!$A$1:$AT$1,),)</f>
        <v>0.29157197200000001</v>
      </c>
      <c r="H61" s="25">
        <f>VLOOKUP(B61,'Data qoq'!$A:$AT,MATCH($H$1,'Data qoq'!$A$1:$AT$1,),)</f>
        <v>0.20029353699999999</v>
      </c>
      <c r="I61" s="25">
        <f>VLOOKUP(B61,'Data qoq'!$A:$AT,MATCH($I$1,'Data qoq'!$A$1:$AT$1,),)</f>
        <v>1.224551575</v>
      </c>
      <c r="J61" s="25">
        <f>VLOOKUP(B61,'Data qoq'!$A:$AT,MATCH($J$1,'Data qoq'!$A$1:$AT$1,),)</f>
        <v>-0.51814583199999997</v>
      </c>
      <c r="K61" s="25">
        <f>VLOOKUP(B61,'Data qoq'!$A:$AT,MATCH($K$1,'Data qoq'!$A$1:$AT$1,),)</f>
        <v>-0.50969026500000003</v>
      </c>
      <c r="L61" s="25">
        <f>VLOOKUP(B61,'Data qoq'!$A:$AT,MATCH($L$1,'Data qoq'!$A$1:$AT$1,),)</f>
        <v>-0.11827694900000001</v>
      </c>
      <c r="M61" s="25">
        <f>VLOOKUP(B61,'Data qoq'!$A:$AT,MATCH($M$1,'Data qoq'!$A$1:$AT$1,),)</f>
        <v>0.56790853900000005</v>
      </c>
      <c r="N61" s="25">
        <f>VLOOKUP(B61,'Data qoq'!$A:$AT,MATCH($N$1,'Data qoq'!$A$1:$AT$1,),)</f>
        <v>0.51614756399999995</v>
      </c>
      <c r="O61" s="25">
        <f>VLOOKUP(B61,'Data qoq'!$A:$AT,MATCH($C$1,'Data qoq'!$J$1:$AT$1,),)</f>
        <v>0.25216558500000003</v>
      </c>
      <c r="P61" s="25">
        <f>VLOOKUP(B61,'Data qoq'!$A:$AT,MATCH($P$1,'Data qoq'!$A$1:$AT$1,),)</f>
        <v>0.136217106</v>
      </c>
      <c r="Q61" s="25">
        <f>VLOOKUP(B61,'Data qoq'!$A:$AT,MATCH($Q$1,'Data qoq'!$A$1:$AT$1,),)</f>
        <v>0.59112228</v>
      </c>
      <c r="R61" s="25">
        <f>VLOOKUP(B61,'Data qoq'!$A:$AT,MATCH($E$1,'Data qoq'!$A$1:$AT$1,),)</f>
        <v>-0.115701</v>
      </c>
      <c r="S61" s="25">
        <f>VLOOKUP(B61,'Data qoq'!$A:$AT,MATCH($S$1,'Data qoq'!$A$1:$AT$1,),)</f>
        <v>0.45177694000000002</v>
      </c>
      <c r="T61" s="25">
        <f>VLOOKUP(B61,'Data qoq'!$A:$AT,MATCH($T$1,'Data qoq'!$A$1:$AT$1,),)</f>
        <v>1.7433480619999999</v>
      </c>
      <c r="U61" s="25">
        <f>VLOOKUP(B61,'Data qoq'!$A:$AT,MATCH($U$1,'Data qoq'!$A$1:$AT$1,),)</f>
        <v>-1.42355955</v>
      </c>
      <c r="V61" s="25">
        <f>VLOOKUP(B61,'Data qoq'!$A:$AT,MATCH($V$1,'Data qoq'!$A$1:$AT$1,),)</f>
        <v>-1.947462112</v>
      </c>
      <c r="W61" s="25">
        <f>VLOOKUP(B61,'Data qoq'!$A:$AT,MATCH($W$1,'Data qoq'!$A$1:$AT$1,),)</f>
        <v>1.7647938809999999</v>
      </c>
      <c r="X61" s="25">
        <f>VLOOKUP(B61,'Data qoq'!$A:$AT,MATCH($X$1,'Data qoq'!$A$1:$AT$1,),)</f>
        <v>-0.306104494</v>
      </c>
      <c r="Y61" s="25">
        <f>VLOOKUP(B61,'Data qoq'!$A:$AT,MATCH($Y$1,'Data qoq'!$A$1:$AT$1,),)</f>
        <v>0.43825233299999999</v>
      </c>
      <c r="Z61" s="25">
        <f>VLOOKUP(B61,'Data qoq'!$A:$AU,MATCH($Z$1,'Data qoq'!$A$1:$AU$1,),)</f>
        <v>3.2180864740000001</v>
      </c>
      <c r="AA61" s="25">
        <f>VLOOKUP(B61,'Data qoq'!$A:$AU,MATCH($AA$1,'Data qoq'!$A$1:$AU$1,),)</f>
        <v>0.25216558500000003</v>
      </c>
      <c r="AC61" s="26" t="str">
        <f t="shared" si="9"/>
        <v>2012-Q3</v>
      </c>
      <c r="AD61" s="27">
        <f t="shared" si="10"/>
        <v>-0.11668899400000002</v>
      </c>
      <c r="AE61" s="27">
        <f t="shared" si="11"/>
        <v>-0.11668899400000002</v>
      </c>
    </row>
    <row r="62" spans="2:31" hidden="1" x14ac:dyDescent="0.2">
      <c r="B62" s="24" t="s">
        <v>328</v>
      </c>
      <c r="C62" s="25">
        <f>VLOOKUP(B62,'Data qoq'!$A:$AT,MATCH($C$1,'Data qoq'!$A$1:$AT$1,),)</f>
        <v>0.109838067</v>
      </c>
      <c r="D62" s="25">
        <f>VLOOKUP(B62,'Data qoq'!$A:$AT,MATCH($D$1,'Data qoq'!$A$1:$AT$1,),)</f>
        <v>1.9</v>
      </c>
      <c r="E62" s="25">
        <f>VLOOKUP(B62,'Data qoq'!$A:$AT,MATCH($E$1,'Data qoq'!$A$1:$AT$1,),)</f>
        <v>-0.41719499999999998</v>
      </c>
      <c r="F62" s="25">
        <f>VLOOKUP(B62,'Data qoq'!$A:$AT,MATCH($F$1,'Data qoq'!$A$1:$AT$1,),)</f>
        <v>-7.2691914999999996E-2</v>
      </c>
      <c r="G62" s="25">
        <f>VLOOKUP(B62,'Data qoq'!$A:$AT,MATCH($G$1,'Data qoq'!$A$1:$AT$1,),)</f>
        <v>-0.44647446200000002</v>
      </c>
      <c r="H62" s="25">
        <f>VLOOKUP(B62,'Data qoq'!$A:$AT,MATCH($H$1,'Data qoq'!$A$1:$AT$1,),)</f>
        <v>-7.3992558999999999E-2</v>
      </c>
      <c r="I62" s="25">
        <f>VLOOKUP(B62,'Data qoq'!$A:$AT,MATCH($I$1,'Data qoq'!$A$1:$AT$1,),)</f>
        <v>-0.246822544</v>
      </c>
      <c r="J62" s="25">
        <f>VLOOKUP(B62,'Data qoq'!$A:$AT,MATCH($J$1,'Data qoq'!$A$1:$AT$1,),)</f>
        <v>-0.75207808200000004</v>
      </c>
      <c r="K62" s="25">
        <f>VLOOKUP(B62,'Data qoq'!$A:$AT,MATCH($K$1,'Data qoq'!$A$1:$AT$1,),)</f>
        <v>-0.76265685900000002</v>
      </c>
      <c r="L62" s="25">
        <f>VLOOKUP(B62,'Data qoq'!$A:$AT,MATCH($L$1,'Data qoq'!$A$1:$AT$1,),)</f>
        <v>-0.73517608899999998</v>
      </c>
      <c r="M62" s="25">
        <f>VLOOKUP(B62,'Data qoq'!$A:$AT,MATCH($M$1,'Data qoq'!$A$1:$AT$1,),)</f>
        <v>0.85435309199999998</v>
      </c>
      <c r="N62" s="25">
        <f>VLOOKUP(B62,'Data qoq'!$A:$AT,MATCH($N$1,'Data qoq'!$A$1:$AT$1,),)</f>
        <v>6.7384631E-2</v>
      </c>
      <c r="O62" s="25">
        <f>VLOOKUP(B62,'Data qoq'!$A:$AT,MATCH($C$1,'Data qoq'!$J$1:$AT$1,),)</f>
        <v>1.5368666849999999</v>
      </c>
      <c r="P62" s="25">
        <f>VLOOKUP(B62,'Data qoq'!$A:$AT,MATCH($P$1,'Data qoq'!$A$1:$AT$1,),)</f>
        <v>0.20678147</v>
      </c>
      <c r="Q62" s="25">
        <f>VLOOKUP(B62,'Data qoq'!$A:$AT,MATCH($Q$1,'Data qoq'!$A$1:$AT$1,),)</f>
        <v>0.51566278700000001</v>
      </c>
      <c r="R62" s="25">
        <f>VLOOKUP(B62,'Data qoq'!$A:$AT,MATCH($E$1,'Data qoq'!$A$1:$AT$1,),)</f>
        <v>-0.41719499999999998</v>
      </c>
      <c r="S62" s="25">
        <f>VLOOKUP(B62,'Data qoq'!$A:$AT,MATCH($S$1,'Data qoq'!$A$1:$AT$1,),)</f>
        <v>0.50224872499999995</v>
      </c>
      <c r="T62" s="25">
        <f>VLOOKUP(B62,'Data qoq'!$A:$AT,MATCH($T$1,'Data qoq'!$A$1:$AT$1,),)</f>
        <v>-2.6279712E-2</v>
      </c>
      <c r="U62" s="25">
        <f>VLOOKUP(B62,'Data qoq'!$A:$AT,MATCH($U$1,'Data qoq'!$A$1:$AT$1,),)</f>
        <v>-0.88333547599999995</v>
      </c>
      <c r="V62" s="25">
        <f>VLOOKUP(B62,'Data qoq'!$A:$AT,MATCH($V$1,'Data qoq'!$A$1:$AT$1,),)</f>
        <v>1.3011401460000001</v>
      </c>
      <c r="W62" s="25">
        <f>VLOOKUP(B62,'Data qoq'!$A:$AT,MATCH($W$1,'Data qoq'!$A$1:$AT$1,),)</f>
        <v>1.602891829</v>
      </c>
      <c r="X62" s="25">
        <f>VLOOKUP(B62,'Data qoq'!$A:$AT,MATCH($X$1,'Data qoq'!$A$1:$AT$1,),)</f>
        <v>-0.235886278</v>
      </c>
      <c r="Y62" s="25">
        <f>VLOOKUP(B62,'Data qoq'!$A:$AT,MATCH($Y$1,'Data qoq'!$A$1:$AT$1,),)</f>
        <v>-0.52682288200000005</v>
      </c>
      <c r="Z62" s="25">
        <f>VLOOKUP(B62,'Data qoq'!$A:$AU,MATCH($Z$1,'Data qoq'!$A$1:$AU$1,),)</f>
        <v>1.7004042850000001</v>
      </c>
      <c r="AA62" s="25">
        <f>VLOOKUP(B62,'Data qoq'!$A:$AU,MATCH($AA$1,'Data qoq'!$A$1:$AU$1,),)</f>
        <v>1.5368666849999999</v>
      </c>
      <c r="AC62" s="26" t="str">
        <f t="shared" si="9"/>
        <v>2012-Q4</v>
      </c>
      <c r="AD62" s="27">
        <f t="shared" si="10"/>
        <v>0.55631252900000006</v>
      </c>
      <c r="AE62" s="27">
        <f t="shared" si="11"/>
        <v>0.55631252900000006</v>
      </c>
    </row>
    <row r="63" spans="2:31" hidden="1" x14ac:dyDescent="0.2">
      <c r="B63" s="24" t="s">
        <v>329</v>
      </c>
      <c r="C63" s="25">
        <f>VLOOKUP(B63,'Data qoq'!$A:$AT,MATCH($C$1,'Data qoq'!$A$1:$AT$1,),)</f>
        <v>0.86778954799999997</v>
      </c>
      <c r="D63" s="25">
        <f>VLOOKUP(B63,'Data qoq'!$A:$AT,MATCH($D$1,'Data qoq'!$A$1:$AT$1,),)</f>
        <v>1.9</v>
      </c>
      <c r="E63" s="25">
        <f>VLOOKUP(B63,'Data qoq'!$A:$AT,MATCH($E$1,'Data qoq'!$A$1:$AT$1,),)</f>
        <v>-0.378471</v>
      </c>
      <c r="F63" s="25">
        <f>VLOOKUP(B63,'Data qoq'!$A:$AT,MATCH($F$1,'Data qoq'!$A$1:$AT$1,),)</f>
        <v>1.3773790459999999</v>
      </c>
      <c r="G63" s="25">
        <f>VLOOKUP(B63,'Data qoq'!$A:$AT,MATCH($G$1,'Data qoq'!$A$1:$AT$1,),)</f>
        <v>-0.46675698900000001</v>
      </c>
      <c r="H63" s="25">
        <f>VLOOKUP(B63,'Data qoq'!$A:$AT,MATCH($H$1,'Data qoq'!$A$1:$AT$1,),)</f>
        <v>-1.4167222E-2</v>
      </c>
      <c r="I63" s="25">
        <f>VLOOKUP(B63,'Data qoq'!$A:$AT,MATCH($I$1,'Data qoq'!$A$1:$AT$1,),)</f>
        <v>0.45913757700000002</v>
      </c>
      <c r="J63" s="25">
        <f>VLOOKUP(B63,'Data qoq'!$A:$AT,MATCH($J$1,'Data qoq'!$A$1:$AT$1,),)</f>
        <v>-0.93276396800000005</v>
      </c>
      <c r="K63" s="25">
        <f>VLOOKUP(B63,'Data qoq'!$A:$AT,MATCH($K$1,'Data qoq'!$A$1:$AT$1,),)</f>
        <v>-0.31963185900000002</v>
      </c>
      <c r="L63" s="25">
        <f>VLOOKUP(B63,'Data qoq'!$A:$AT,MATCH($L$1,'Data qoq'!$A$1:$AT$1,),)</f>
        <v>1.41609684</v>
      </c>
      <c r="M63" s="25">
        <f>VLOOKUP(B63,'Data qoq'!$A:$AT,MATCH($M$1,'Data qoq'!$A$1:$AT$1,),)</f>
        <v>0.246798767</v>
      </c>
      <c r="N63" s="25">
        <f>VLOOKUP(B63,'Data qoq'!$A:$AT,MATCH($N$1,'Data qoq'!$A$1:$AT$1,),)</f>
        <v>0.74066342200000002</v>
      </c>
      <c r="O63" s="25">
        <f>VLOOKUP(B63,'Data qoq'!$A:$AT,MATCH($C$1,'Data qoq'!$J$1:$AT$1,),)</f>
        <v>-0.31359279600000001</v>
      </c>
      <c r="P63" s="25">
        <f>VLOOKUP(B63,'Data qoq'!$A:$AT,MATCH($P$1,'Data qoq'!$A$1:$AT$1,),)</f>
        <v>0.89700485500000005</v>
      </c>
      <c r="Q63" s="25">
        <f>VLOOKUP(B63,'Data qoq'!$A:$AT,MATCH($Q$1,'Data qoq'!$A$1:$AT$1,),)</f>
        <v>0.42501802100000002</v>
      </c>
      <c r="R63" s="25">
        <f>VLOOKUP(B63,'Data qoq'!$A:$AT,MATCH($E$1,'Data qoq'!$A$1:$AT$1,),)</f>
        <v>-0.378471</v>
      </c>
      <c r="S63" s="25">
        <f>VLOOKUP(B63,'Data qoq'!$A:$AT,MATCH($S$1,'Data qoq'!$A$1:$AT$1,),)</f>
        <v>0.86312085000000005</v>
      </c>
      <c r="T63" s="25">
        <f>VLOOKUP(B63,'Data qoq'!$A:$AT,MATCH($T$1,'Data qoq'!$A$1:$AT$1,),)</f>
        <v>0.454677675</v>
      </c>
      <c r="U63" s="25">
        <f>VLOOKUP(B63,'Data qoq'!$A:$AT,MATCH($U$1,'Data qoq'!$A$1:$AT$1,),)</f>
        <v>-0.93926455099999995</v>
      </c>
      <c r="V63" s="25">
        <f>VLOOKUP(B63,'Data qoq'!$A:$AT,MATCH($V$1,'Data qoq'!$A$1:$AT$1,),)</f>
        <v>-1.977205629</v>
      </c>
      <c r="W63" s="25">
        <f>VLOOKUP(B63,'Data qoq'!$A:$AT,MATCH($W$1,'Data qoq'!$A$1:$AT$1,),)</f>
        <v>2.9298856400000002</v>
      </c>
      <c r="X63" s="25">
        <f>VLOOKUP(B63,'Data qoq'!$A:$AT,MATCH($X$1,'Data qoq'!$A$1:$AT$1,),)</f>
        <v>-0.36177993899999999</v>
      </c>
      <c r="Y63" s="25">
        <f>VLOOKUP(B63,'Data qoq'!$A:$AT,MATCH($Y$1,'Data qoq'!$A$1:$AT$1,),)</f>
        <v>6.4151400999999997E-2</v>
      </c>
      <c r="Z63" s="25">
        <f>VLOOKUP(B63,'Data qoq'!$A:$AU,MATCH($Z$1,'Data qoq'!$A$1:$AU$1,),)</f>
        <v>-2.2278414E-2</v>
      </c>
      <c r="AA63" s="25">
        <f>VLOOKUP(B63,'Data qoq'!$A:$AU,MATCH($AA$1,'Data qoq'!$A$1:$AU$1,),)</f>
        <v>-0.31359279600000001</v>
      </c>
      <c r="AC63" s="26" t="str">
        <f t="shared" si="9"/>
        <v>2013-Q1</v>
      </c>
      <c r="AD63" s="27">
        <f t="shared" si="10"/>
        <v>1.334546537</v>
      </c>
      <c r="AE63" s="27">
        <f t="shared" si="11"/>
        <v>1.334546537</v>
      </c>
    </row>
    <row r="64" spans="2:31" hidden="1" x14ac:dyDescent="0.2">
      <c r="B64" s="24" t="s">
        <v>330</v>
      </c>
      <c r="C64" s="25">
        <f>VLOOKUP(B64,'Data qoq'!$A:$AT,MATCH($C$1,'Data qoq'!$A$1:$AT$1,),)</f>
        <v>0.13938522</v>
      </c>
      <c r="D64" s="25">
        <f>VLOOKUP(B64,'Data qoq'!$A:$AT,MATCH($D$1,'Data qoq'!$A$1:$AT$1,),)</f>
        <v>1.8</v>
      </c>
      <c r="E64" s="25">
        <f>VLOOKUP(B64,'Data qoq'!$A:$AT,MATCH($E$1,'Data qoq'!$A$1:$AT$1,),)</f>
        <v>0.53636700000000004</v>
      </c>
      <c r="F64" s="25">
        <f>VLOOKUP(B64,'Data qoq'!$A:$AT,MATCH($F$1,'Data qoq'!$A$1:$AT$1,),)</f>
        <v>0.90487737099999999</v>
      </c>
      <c r="G64" s="25">
        <f>VLOOKUP(B64,'Data qoq'!$A:$AT,MATCH($G$1,'Data qoq'!$A$1:$AT$1,),)</f>
        <v>1.068846451</v>
      </c>
      <c r="H64" s="25">
        <f>VLOOKUP(B64,'Data qoq'!$A:$AT,MATCH($H$1,'Data qoq'!$A$1:$AT$1,),)</f>
        <v>0.65688548999999996</v>
      </c>
      <c r="I64" s="25">
        <f>VLOOKUP(B64,'Data qoq'!$A:$AT,MATCH($I$1,'Data qoq'!$A$1:$AT$1,),)</f>
        <v>0.65714706199999995</v>
      </c>
      <c r="J64" s="25">
        <f>VLOOKUP(B64,'Data qoq'!$A:$AT,MATCH($J$1,'Data qoq'!$A$1:$AT$1,),)</f>
        <v>1.957188E-2</v>
      </c>
      <c r="K64" s="25">
        <f>VLOOKUP(B64,'Data qoq'!$A:$AT,MATCH($K$1,'Data qoq'!$A$1:$AT$1,),)</f>
        <v>-8.7487355000000003E-2</v>
      </c>
      <c r="L64" s="25">
        <f>VLOOKUP(B64,'Data qoq'!$A:$AT,MATCH($L$1,'Data qoq'!$A$1:$AT$1,),)</f>
        <v>-0.10250336</v>
      </c>
      <c r="M64" s="25">
        <f>VLOOKUP(B64,'Data qoq'!$A:$AT,MATCH($M$1,'Data qoq'!$A$1:$AT$1,),)</f>
        <v>-0.55907723499999995</v>
      </c>
      <c r="N64" s="25">
        <f>VLOOKUP(B64,'Data qoq'!$A:$AT,MATCH($N$1,'Data qoq'!$A$1:$AT$1,),)</f>
        <v>0.34051066600000002</v>
      </c>
      <c r="O64" s="25">
        <f>VLOOKUP(B64,'Data qoq'!$A:$AT,MATCH($C$1,'Data qoq'!$J$1:$AT$1,),)</f>
        <v>1.1742543480000001</v>
      </c>
      <c r="P64" s="25">
        <f>VLOOKUP(B64,'Data qoq'!$A:$AT,MATCH($P$1,'Data qoq'!$A$1:$AT$1,),)</f>
        <v>0.58035719100000005</v>
      </c>
      <c r="Q64" s="25">
        <f>VLOOKUP(B64,'Data qoq'!$A:$AT,MATCH($Q$1,'Data qoq'!$A$1:$AT$1,),)</f>
        <v>0.39944813699999998</v>
      </c>
      <c r="R64" s="25">
        <f>VLOOKUP(B64,'Data qoq'!$A:$AT,MATCH($E$1,'Data qoq'!$A$1:$AT$1,),)</f>
        <v>0.53636700000000004</v>
      </c>
      <c r="S64" s="25">
        <f>VLOOKUP(B64,'Data qoq'!$A:$AT,MATCH($S$1,'Data qoq'!$A$1:$AT$1,),)</f>
        <v>1.165850338</v>
      </c>
      <c r="T64" s="25">
        <f>VLOOKUP(B64,'Data qoq'!$A:$AT,MATCH($T$1,'Data qoq'!$A$1:$AT$1,),)</f>
        <v>1.6891800050000001</v>
      </c>
      <c r="U64" s="25">
        <f>VLOOKUP(B64,'Data qoq'!$A:$AT,MATCH($U$1,'Data qoq'!$A$1:$AT$1,),)</f>
        <v>0.159070501</v>
      </c>
      <c r="V64" s="25">
        <f>VLOOKUP(B64,'Data qoq'!$A:$AT,MATCH($V$1,'Data qoq'!$A$1:$AT$1,),)</f>
        <v>2.880424391</v>
      </c>
      <c r="W64" s="25">
        <f>VLOOKUP(B64,'Data qoq'!$A:$AT,MATCH($W$1,'Data qoq'!$A$1:$AT$1,),)</f>
        <v>2.9357761130000002</v>
      </c>
      <c r="X64" s="25">
        <f>VLOOKUP(B64,'Data qoq'!$A:$AT,MATCH($X$1,'Data qoq'!$A$1:$AT$1,),)</f>
        <v>0.360650994</v>
      </c>
      <c r="Y64" s="25">
        <f>VLOOKUP(B64,'Data qoq'!$A:$AT,MATCH($Y$1,'Data qoq'!$A$1:$AT$1,),)</f>
        <v>1.076102095</v>
      </c>
      <c r="Z64" s="25">
        <f>VLOOKUP(B64,'Data qoq'!$A:$AU,MATCH($Z$1,'Data qoq'!$A$1:$AU$1,),)</f>
        <v>0.49821324</v>
      </c>
      <c r="AA64" s="25">
        <f>VLOOKUP(B64,'Data qoq'!$A:$AU,MATCH($AA$1,'Data qoq'!$A$1:$AU$1,),)</f>
        <v>1.1742543480000001</v>
      </c>
      <c r="AC64" s="26" t="str">
        <f t="shared" si="9"/>
        <v>2013-Q2</v>
      </c>
      <c r="AD64" s="27">
        <f t="shared" si="10"/>
        <v>-0.929461231</v>
      </c>
      <c r="AE64" s="27">
        <f t="shared" si="11"/>
        <v>-0.929461231</v>
      </c>
    </row>
    <row r="65" spans="2:31" hidden="1" x14ac:dyDescent="0.2">
      <c r="B65" s="24" t="s">
        <v>331</v>
      </c>
      <c r="C65" s="25">
        <f>VLOOKUP(B65,'Data qoq'!$A:$AT,MATCH($C$1,'Data qoq'!$A$1:$AT$1,),)</f>
        <v>0.79165341099999997</v>
      </c>
      <c r="D65" s="25">
        <f>VLOOKUP(B65,'Data qoq'!$A:$AT,MATCH($D$1,'Data qoq'!$A$1:$AT$1,),)</f>
        <v>2.1</v>
      </c>
      <c r="E65" s="25">
        <f>VLOOKUP(B65,'Data qoq'!$A:$AT,MATCH($E$1,'Data qoq'!$A$1:$AT$1,),)</f>
        <v>0.31308999999999998</v>
      </c>
      <c r="F65" s="25">
        <f>VLOOKUP(B65,'Data qoq'!$A:$AT,MATCH($F$1,'Data qoq'!$A$1:$AT$1,),)</f>
        <v>0.95837502900000004</v>
      </c>
      <c r="G65" s="25">
        <f>VLOOKUP(B65,'Data qoq'!$A:$AT,MATCH($G$1,'Data qoq'!$A$1:$AT$1,),)</f>
        <v>0.58060600600000001</v>
      </c>
      <c r="H65" s="25">
        <f>VLOOKUP(B65,'Data qoq'!$A:$AT,MATCH($H$1,'Data qoq'!$A$1:$AT$1,),)</f>
        <v>1.8581324999999999E-2</v>
      </c>
      <c r="I65" s="25">
        <f>VLOOKUP(B65,'Data qoq'!$A:$AT,MATCH($I$1,'Data qoq'!$A$1:$AT$1,),)</f>
        <v>0.76718292799999999</v>
      </c>
      <c r="J65" s="25">
        <f>VLOOKUP(B65,'Data qoq'!$A:$AT,MATCH($J$1,'Data qoq'!$A$1:$AT$1,),)</f>
        <v>0.23043024400000001</v>
      </c>
      <c r="K65" s="25">
        <f>VLOOKUP(B65,'Data qoq'!$A:$AT,MATCH($K$1,'Data qoq'!$A$1:$AT$1,),)</f>
        <v>-5.4727476999999997E-2</v>
      </c>
      <c r="L65" s="25">
        <f>VLOOKUP(B65,'Data qoq'!$A:$AT,MATCH($L$1,'Data qoq'!$A$1:$AT$1,),)</f>
        <v>0.45968624600000002</v>
      </c>
      <c r="M65" s="25">
        <f>VLOOKUP(B65,'Data qoq'!$A:$AT,MATCH($M$1,'Data qoq'!$A$1:$AT$1,),)</f>
        <v>0.94312232699999998</v>
      </c>
      <c r="N65" s="25">
        <f>VLOOKUP(B65,'Data qoq'!$A:$AT,MATCH($N$1,'Data qoq'!$A$1:$AT$1,),)</f>
        <v>4.0528552000000002E-2</v>
      </c>
      <c r="O65" s="25">
        <f>VLOOKUP(B65,'Data qoq'!$A:$AT,MATCH($C$1,'Data qoq'!$J$1:$AT$1,),)</f>
        <v>0.574960107</v>
      </c>
      <c r="P65" s="25">
        <f>VLOOKUP(B65,'Data qoq'!$A:$AT,MATCH($P$1,'Data qoq'!$A$1:$AT$1,),)</f>
        <v>0.81497340200000001</v>
      </c>
      <c r="Q65" s="25">
        <f>VLOOKUP(B65,'Data qoq'!$A:$AT,MATCH($Q$1,'Data qoq'!$A$1:$AT$1,),)</f>
        <v>0.78504013399999995</v>
      </c>
      <c r="R65" s="25">
        <f>VLOOKUP(B65,'Data qoq'!$A:$AT,MATCH($E$1,'Data qoq'!$A$1:$AT$1,),)</f>
        <v>0.31308999999999998</v>
      </c>
      <c r="S65" s="25">
        <f>VLOOKUP(B65,'Data qoq'!$A:$AT,MATCH($S$1,'Data qoq'!$A$1:$AT$1,),)</f>
        <v>0.89904854700000003</v>
      </c>
      <c r="T65" s="25">
        <f>VLOOKUP(B65,'Data qoq'!$A:$AT,MATCH($T$1,'Data qoq'!$A$1:$AT$1,),)</f>
        <v>0.32234491100000001</v>
      </c>
      <c r="U65" s="25">
        <f>VLOOKUP(B65,'Data qoq'!$A:$AT,MATCH($U$1,'Data qoq'!$A$1:$AT$1,),)</f>
        <v>-6.997797E-3</v>
      </c>
      <c r="V65" s="25">
        <f>VLOOKUP(B65,'Data qoq'!$A:$AT,MATCH($V$1,'Data qoq'!$A$1:$AT$1,),)</f>
        <v>1.8133359609999999</v>
      </c>
      <c r="W65" s="25">
        <f>VLOOKUP(B65,'Data qoq'!$A:$AT,MATCH($W$1,'Data qoq'!$A$1:$AT$1,),)</f>
        <v>1.4659761549999999</v>
      </c>
      <c r="X65" s="25">
        <f>VLOOKUP(B65,'Data qoq'!$A:$AT,MATCH($X$1,'Data qoq'!$A$1:$AT$1,),)</f>
        <v>0.35242810299999999</v>
      </c>
      <c r="Y65" s="25">
        <f>VLOOKUP(B65,'Data qoq'!$A:$AT,MATCH($Y$1,'Data qoq'!$A$1:$AT$1,),)</f>
        <v>0.75695857799999999</v>
      </c>
      <c r="Z65" s="25">
        <f>VLOOKUP(B65,'Data qoq'!$A:$AU,MATCH($Z$1,'Data qoq'!$A$1:$AU$1,),)</f>
        <v>0.67301236600000003</v>
      </c>
      <c r="AA65" s="25">
        <f>VLOOKUP(B65,'Data qoq'!$A:$AU,MATCH($AA$1,'Data qoq'!$A$1:$AU$1,),)</f>
        <v>0.574960107</v>
      </c>
      <c r="AC65" s="26" t="str">
        <f t="shared" si="9"/>
        <v>2013-Q3</v>
      </c>
      <c r="AD65" s="27">
        <f t="shared" si="10"/>
        <v>0.21104740499999997</v>
      </c>
      <c r="AE65" s="27">
        <f t="shared" si="11"/>
        <v>0.21104740499999997</v>
      </c>
    </row>
    <row r="66" spans="2:31" hidden="1" x14ac:dyDescent="0.2">
      <c r="B66" s="24" t="s">
        <v>332</v>
      </c>
      <c r="C66" s="25">
        <f>VLOOKUP(B66,'Data qoq'!$A:$AT,MATCH($C$1,'Data qoq'!$A$1:$AT$1,),)</f>
        <v>0.71117100200000005</v>
      </c>
      <c r="D66" s="25">
        <f>VLOOKUP(B66,'Data qoq'!$A:$AT,MATCH($D$1,'Data qoq'!$A$1:$AT$1,),)</f>
        <v>1.5</v>
      </c>
      <c r="E66" s="25">
        <f>VLOOKUP(B66,'Data qoq'!$A:$AT,MATCH($E$1,'Data qoq'!$A$1:$AT$1,),)</f>
        <v>0.27479999999999999</v>
      </c>
      <c r="F66" s="25">
        <f>VLOOKUP(B66,'Data qoq'!$A:$AT,MATCH($F$1,'Data qoq'!$A$1:$AT$1,),)</f>
        <v>-0.114616539</v>
      </c>
      <c r="G66" s="25">
        <f>VLOOKUP(B66,'Data qoq'!$A:$AT,MATCH($G$1,'Data qoq'!$A$1:$AT$1,),)</f>
        <v>0.29894409</v>
      </c>
      <c r="H66" s="25">
        <f>VLOOKUP(B66,'Data qoq'!$A:$AT,MATCH($H$1,'Data qoq'!$A$1:$AT$1,),)</f>
        <v>0.484150635</v>
      </c>
      <c r="I66" s="25">
        <f>VLOOKUP(B66,'Data qoq'!$A:$AT,MATCH($I$1,'Data qoq'!$A$1:$AT$1,),)</f>
        <v>0.52596684199999999</v>
      </c>
      <c r="J66" s="25">
        <f>VLOOKUP(B66,'Data qoq'!$A:$AT,MATCH($J$1,'Data qoq'!$A$1:$AT$1,),)</f>
        <v>-0.22126949000000001</v>
      </c>
      <c r="K66" s="25">
        <f>VLOOKUP(B66,'Data qoq'!$A:$AT,MATCH($K$1,'Data qoq'!$A$1:$AT$1,),)</f>
        <v>0.16661908</v>
      </c>
      <c r="L66" s="25">
        <f>VLOOKUP(B66,'Data qoq'!$A:$AT,MATCH($L$1,'Data qoq'!$A$1:$AT$1,),)</f>
        <v>0.68346891300000001</v>
      </c>
      <c r="M66" s="25">
        <f>VLOOKUP(B66,'Data qoq'!$A:$AT,MATCH($M$1,'Data qoq'!$A$1:$AT$1,),)</f>
        <v>0.55351560700000002</v>
      </c>
      <c r="N66" s="25">
        <f>VLOOKUP(B66,'Data qoq'!$A:$AT,MATCH($N$1,'Data qoq'!$A$1:$AT$1,),)</f>
        <v>0.57735481700000002</v>
      </c>
      <c r="O66" s="25">
        <f>VLOOKUP(B66,'Data qoq'!$A:$AT,MATCH($C$1,'Data qoq'!$J$1:$AT$1,),)</f>
        <v>0.241534835</v>
      </c>
      <c r="P66" s="25">
        <f>VLOOKUP(B66,'Data qoq'!$A:$AT,MATCH($P$1,'Data qoq'!$A$1:$AT$1,),)</f>
        <v>1.050559545</v>
      </c>
      <c r="Q66" s="25">
        <f>VLOOKUP(B66,'Data qoq'!$A:$AT,MATCH($Q$1,'Data qoq'!$A$1:$AT$1,),)</f>
        <v>0.83258864799999999</v>
      </c>
      <c r="R66" s="25">
        <f>VLOOKUP(B66,'Data qoq'!$A:$AT,MATCH($E$1,'Data qoq'!$A$1:$AT$1,),)</f>
        <v>0.27479999999999999</v>
      </c>
      <c r="S66" s="25">
        <f>VLOOKUP(B66,'Data qoq'!$A:$AT,MATCH($S$1,'Data qoq'!$A$1:$AT$1,),)</f>
        <v>0.77583265899999998</v>
      </c>
      <c r="T66" s="25">
        <f>VLOOKUP(B66,'Data qoq'!$A:$AT,MATCH($T$1,'Data qoq'!$A$1:$AT$1,),)</f>
        <v>0.108972442</v>
      </c>
      <c r="U66" s="25">
        <f>VLOOKUP(B66,'Data qoq'!$A:$AT,MATCH($U$1,'Data qoq'!$A$1:$AT$1,),)</f>
        <v>0.67491105600000001</v>
      </c>
      <c r="V66" s="25">
        <f>VLOOKUP(B66,'Data qoq'!$A:$AT,MATCH($V$1,'Data qoq'!$A$1:$AT$1,),)</f>
        <v>0.17625289799999999</v>
      </c>
      <c r="W66" s="25">
        <f>VLOOKUP(B66,'Data qoq'!$A:$AT,MATCH($W$1,'Data qoq'!$A$1:$AT$1,),)</f>
        <v>0.19382951800000001</v>
      </c>
      <c r="X66" s="25">
        <f>VLOOKUP(B66,'Data qoq'!$A:$AT,MATCH($X$1,'Data qoq'!$A$1:$AT$1,),)</f>
        <v>1.2759451829999999</v>
      </c>
      <c r="Y66" s="25">
        <f>VLOOKUP(B66,'Data qoq'!$A:$AT,MATCH($Y$1,'Data qoq'!$A$1:$AT$1,),)</f>
        <v>0.263685579</v>
      </c>
      <c r="Z66" s="25">
        <f>VLOOKUP(B66,'Data qoq'!$A:$AU,MATCH($Z$1,'Data qoq'!$A$1:$AU$1,),)</f>
        <v>-0.99796299799999999</v>
      </c>
      <c r="AA66" s="25">
        <f>VLOOKUP(B66,'Data qoq'!$A:$AU,MATCH($AA$1,'Data qoq'!$A$1:$AU$1,),)</f>
        <v>0.241534835</v>
      </c>
      <c r="AC66" s="26" t="str">
        <f t="shared" si="9"/>
        <v>2013-Q4</v>
      </c>
      <c r="AD66" s="27">
        <f t="shared" si="10"/>
        <v>0.41222691200000006</v>
      </c>
      <c r="AE66" s="27">
        <f t="shared" si="11"/>
        <v>0.41222691200000006</v>
      </c>
    </row>
    <row r="67" spans="2:31" hidden="1" x14ac:dyDescent="0.2">
      <c r="B67" s="24" t="s">
        <v>333</v>
      </c>
      <c r="C67" s="25">
        <f>VLOOKUP(B67,'Data qoq'!$A:$AT,MATCH($C$1,'Data qoq'!$A$1:$AT$1,),)</f>
        <v>-0.35010973699999998</v>
      </c>
      <c r="D67" s="25">
        <f>VLOOKUP(B67,'Data qoq'!$A:$AT,MATCH($D$1,'Data qoq'!$A$1:$AT$1,),)</f>
        <v>1.9</v>
      </c>
      <c r="E67" s="25">
        <f>VLOOKUP(B67,'Data qoq'!$A:$AT,MATCH($E$1,'Data qoq'!$A$1:$AT$1,),)</f>
        <v>0.40032600000000002</v>
      </c>
      <c r="F67" s="25">
        <f>VLOOKUP(B67,'Data qoq'!$A:$AT,MATCH($F$1,'Data qoq'!$A$1:$AT$1,),)</f>
        <v>0.81489550899999996</v>
      </c>
      <c r="G67" s="25">
        <f>VLOOKUP(B67,'Data qoq'!$A:$AT,MATCH($G$1,'Data qoq'!$A$1:$AT$1,),)</f>
        <v>0.93519777199999998</v>
      </c>
      <c r="H67" s="25">
        <f>VLOOKUP(B67,'Data qoq'!$A:$AT,MATCH($H$1,'Data qoq'!$A$1:$AT$1,),)</f>
        <v>6.9471420000000006E-2</v>
      </c>
      <c r="I67" s="25">
        <f>VLOOKUP(B67,'Data qoq'!$A:$AT,MATCH($I$1,'Data qoq'!$A$1:$AT$1,),)</f>
        <v>0.93276588199999999</v>
      </c>
      <c r="J67" s="25">
        <f>VLOOKUP(B67,'Data qoq'!$A:$AT,MATCH($J$1,'Data qoq'!$A$1:$AT$1,),)</f>
        <v>0.15806595700000001</v>
      </c>
      <c r="K67" s="25">
        <f>VLOOKUP(B67,'Data qoq'!$A:$AT,MATCH($K$1,'Data qoq'!$A$1:$AT$1,),)</f>
        <v>0.367436031</v>
      </c>
      <c r="L67" s="25">
        <f>VLOOKUP(B67,'Data qoq'!$A:$AT,MATCH($L$1,'Data qoq'!$A$1:$AT$1,),)</f>
        <v>0.84150309099999998</v>
      </c>
      <c r="M67" s="25">
        <f>VLOOKUP(B67,'Data qoq'!$A:$AT,MATCH($M$1,'Data qoq'!$A$1:$AT$1,),)</f>
        <v>0.68984197400000002</v>
      </c>
      <c r="N67" s="25">
        <f>VLOOKUP(B67,'Data qoq'!$A:$AT,MATCH($N$1,'Data qoq'!$A$1:$AT$1,),)</f>
        <v>-7.460833E-3</v>
      </c>
      <c r="O67" s="25">
        <f>VLOOKUP(B67,'Data qoq'!$A:$AT,MATCH($C$1,'Data qoq'!$J$1:$AT$1,),)</f>
        <v>1.4948976860000001</v>
      </c>
      <c r="P67" s="25">
        <f>VLOOKUP(B67,'Data qoq'!$A:$AT,MATCH($P$1,'Data qoq'!$A$1:$AT$1,),)</f>
        <v>0.163447761</v>
      </c>
      <c r="Q67" s="25">
        <f>VLOOKUP(B67,'Data qoq'!$A:$AT,MATCH($Q$1,'Data qoq'!$A$1:$AT$1,),)</f>
        <v>0.757646704</v>
      </c>
      <c r="R67" s="25">
        <f>VLOOKUP(B67,'Data qoq'!$A:$AT,MATCH($E$1,'Data qoq'!$A$1:$AT$1,),)</f>
        <v>0.40032600000000002</v>
      </c>
      <c r="S67" s="25">
        <f>VLOOKUP(B67,'Data qoq'!$A:$AT,MATCH($S$1,'Data qoq'!$A$1:$AT$1,),)</f>
        <v>0.93068836200000005</v>
      </c>
      <c r="T67" s="25">
        <f>VLOOKUP(B67,'Data qoq'!$A:$AT,MATCH($T$1,'Data qoq'!$A$1:$AT$1,),)</f>
        <v>0.90430059600000001</v>
      </c>
      <c r="U67" s="25">
        <f>VLOOKUP(B67,'Data qoq'!$A:$AT,MATCH($U$1,'Data qoq'!$A$1:$AT$1,),)</f>
        <v>-1.9152175E-2</v>
      </c>
      <c r="V67" s="25">
        <f>VLOOKUP(B67,'Data qoq'!$A:$AT,MATCH($V$1,'Data qoq'!$A$1:$AT$1,),)</f>
        <v>3.1753616459999998</v>
      </c>
      <c r="W67" s="25">
        <f>VLOOKUP(B67,'Data qoq'!$A:$AT,MATCH($W$1,'Data qoq'!$A$1:$AT$1,),)</f>
        <v>2.901075638</v>
      </c>
      <c r="X67" s="25">
        <f>VLOOKUP(B67,'Data qoq'!$A:$AT,MATCH($X$1,'Data qoq'!$A$1:$AT$1,),)</f>
        <v>-0.59157428000000001</v>
      </c>
      <c r="Y67" s="25">
        <f>VLOOKUP(B67,'Data qoq'!$A:$AT,MATCH($Y$1,'Data qoq'!$A$1:$AT$1,),)</f>
        <v>1.0337073960000001</v>
      </c>
      <c r="Z67" s="25">
        <f>VLOOKUP(B67,'Data qoq'!$A:$AU,MATCH($Z$1,'Data qoq'!$A$1:$AU$1,),)</f>
        <v>-1.4947273809999999</v>
      </c>
      <c r="AA67" s="25">
        <f>VLOOKUP(B67,'Data qoq'!$A:$AU,MATCH($AA$1,'Data qoq'!$A$1:$AU$1,),)</f>
        <v>1.4948976860000001</v>
      </c>
      <c r="AC67" s="26" t="str">
        <f t="shared" si="9"/>
        <v>2014-Q1</v>
      </c>
      <c r="AD67" s="27">
        <f t="shared" si="10"/>
        <v>-1.2853075089999999</v>
      </c>
      <c r="AE67" s="27">
        <f t="shared" si="11"/>
        <v>-1.2853075089999999</v>
      </c>
    </row>
    <row r="68" spans="2:31" hidden="1" x14ac:dyDescent="0.2">
      <c r="B68" s="24" t="s">
        <v>334</v>
      </c>
      <c r="C68" s="25">
        <f>VLOOKUP(B68,'Data qoq'!$A:$AT,MATCH($C$1,'Data qoq'!$A$1:$AT$1,),)</f>
        <v>1.2841289069999999</v>
      </c>
      <c r="D68" s="25">
        <f>VLOOKUP(B68,'Data qoq'!$A:$AT,MATCH($D$1,'Data qoq'!$A$1:$AT$1,),)</f>
        <v>1.8</v>
      </c>
      <c r="E68" s="25">
        <f>VLOOKUP(B68,'Data qoq'!$A:$AT,MATCH($E$1,'Data qoq'!$A$1:$AT$1,),)</f>
        <v>0.226051</v>
      </c>
      <c r="F68" s="25">
        <f>VLOOKUP(B68,'Data qoq'!$A:$AT,MATCH($F$1,'Data qoq'!$A$1:$AT$1,),)</f>
        <v>-1.818330703</v>
      </c>
      <c r="G68" s="25">
        <f>VLOOKUP(B68,'Data qoq'!$A:$AT,MATCH($G$1,'Data qoq'!$A$1:$AT$1,),)</f>
        <v>0</v>
      </c>
      <c r="H68" s="25">
        <f>VLOOKUP(B68,'Data qoq'!$A:$AT,MATCH($H$1,'Data qoq'!$A$1:$AT$1,),)</f>
        <v>0.12093071900000001</v>
      </c>
      <c r="I68" s="25">
        <f>VLOOKUP(B68,'Data qoq'!$A:$AT,MATCH($I$1,'Data qoq'!$A$1:$AT$1,),)</f>
        <v>0.80616971100000001</v>
      </c>
      <c r="J68" s="25">
        <f>VLOOKUP(B68,'Data qoq'!$A:$AT,MATCH($J$1,'Data qoq'!$A$1:$AT$1,),)</f>
        <v>-3.1894163000000003E-2</v>
      </c>
      <c r="K68" s="25">
        <f>VLOOKUP(B68,'Data qoq'!$A:$AT,MATCH($K$1,'Data qoq'!$A$1:$AT$1,),)</f>
        <v>0.46335200700000001</v>
      </c>
      <c r="L68" s="25">
        <f>VLOOKUP(B68,'Data qoq'!$A:$AT,MATCH($L$1,'Data qoq'!$A$1:$AT$1,),)</f>
        <v>0.811320755</v>
      </c>
      <c r="M68" s="25">
        <f>VLOOKUP(B68,'Data qoq'!$A:$AT,MATCH($M$1,'Data qoq'!$A$1:$AT$1,),)</f>
        <v>1.2585473380000001</v>
      </c>
      <c r="N68" s="25">
        <f>VLOOKUP(B68,'Data qoq'!$A:$AT,MATCH($N$1,'Data qoq'!$A$1:$AT$1,),)</f>
        <v>0.48161520000000002</v>
      </c>
      <c r="O68" s="25">
        <f>VLOOKUP(B68,'Data qoq'!$A:$AT,MATCH($C$1,'Data qoq'!$J$1:$AT$1,),)</f>
        <v>0.51716771699999997</v>
      </c>
      <c r="P68" s="25">
        <f>VLOOKUP(B68,'Data qoq'!$A:$AT,MATCH($P$1,'Data qoq'!$A$1:$AT$1,),)</f>
        <v>0.913329104</v>
      </c>
      <c r="Q68" s="25">
        <f>VLOOKUP(B68,'Data qoq'!$A:$AT,MATCH($Q$1,'Data qoq'!$A$1:$AT$1,),)</f>
        <v>0.433215452</v>
      </c>
      <c r="R68" s="25">
        <f>VLOOKUP(B68,'Data qoq'!$A:$AT,MATCH($E$1,'Data qoq'!$A$1:$AT$1,),)</f>
        <v>0.226051</v>
      </c>
      <c r="S68" s="25">
        <f>VLOOKUP(B68,'Data qoq'!$A:$AT,MATCH($S$1,'Data qoq'!$A$1:$AT$1,),)</f>
        <v>0.84974263400000005</v>
      </c>
      <c r="T68" s="25">
        <f>VLOOKUP(B68,'Data qoq'!$A:$AT,MATCH($T$1,'Data qoq'!$A$1:$AT$1,),)</f>
        <v>-1.518497488</v>
      </c>
      <c r="U68" s="25">
        <f>VLOOKUP(B68,'Data qoq'!$A:$AT,MATCH($U$1,'Data qoq'!$A$1:$AT$1,),)</f>
        <v>-0.283336808</v>
      </c>
      <c r="V68" s="25">
        <f>VLOOKUP(B68,'Data qoq'!$A:$AT,MATCH($V$1,'Data qoq'!$A$1:$AT$1,),)</f>
        <v>4.127528624</v>
      </c>
      <c r="W68" s="25">
        <f>VLOOKUP(B68,'Data qoq'!$A:$AT,MATCH($W$1,'Data qoq'!$A$1:$AT$1,),)</f>
        <v>-1.62240622</v>
      </c>
      <c r="X68" s="25">
        <f>VLOOKUP(B68,'Data qoq'!$A:$AT,MATCH($X$1,'Data qoq'!$A$1:$AT$1,),)</f>
        <v>1.0075751120000001</v>
      </c>
      <c r="Y68" s="25">
        <f>VLOOKUP(B68,'Data qoq'!$A:$AT,MATCH($Y$1,'Data qoq'!$A$1:$AT$1,),)</f>
        <v>1.136911695</v>
      </c>
      <c r="Z68" s="25">
        <f>VLOOKUP(B68,'Data qoq'!$A:$AU,MATCH($Z$1,'Data qoq'!$A$1:$AU$1,),)</f>
        <v>-0.61859165800000004</v>
      </c>
      <c r="AA68" s="25">
        <f>VLOOKUP(B68,'Data qoq'!$A:$AU,MATCH($AA$1,'Data qoq'!$A$1:$AU$1,),)</f>
        <v>0.51716771699999997</v>
      </c>
      <c r="AC68" s="26" t="str">
        <f t="shared" si="9"/>
        <v>2014-Q2</v>
      </c>
      <c r="AD68" s="27">
        <f t="shared" si="10"/>
        <v>1.2841289069999999</v>
      </c>
      <c r="AE68" s="27">
        <f t="shared" si="11"/>
        <v>1.2841289069999999</v>
      </c>
    </row>
    <row r="69" spans="2:31" hidden="1" x14ac:dyDescent="0.2">
      <c r="B69" s="24" t="s">
        <v>335</v>
      </c>
      <c r="C69" s="25">
        <f>VLOOKUP(B69,'Data qoq'!$A:$AT,MATCH($C$1,'Data qoq'!$A$1:$AT$1,),)</f>
        <v>1.1649616439999999</v>
      </c>
      <c r="D69" s="25">
        <f>VLOOKUP(B69,'Data qoq'!$A:$AT,MATCH($D$1,'Data qoq'!$A$1:$AT$1,),)</f>
        <v>1.8</v>
      </c>
      <c r="E69" s="25">
        <f>VLOOKUP(B69,'Data qoq'!$A:$AT,MATCH($E$1,'Data qoq'!$A$1:$AT$1,),)</f>
        <v>0.44990999999999998</v>
      </c>
      <c r="F69" s="25">
        <f>VLOOKUP(B69,'Data qoq'!$A:$AT,MATCH($F$1,'Data qoq'!$A$1:$AT$1,),)</f>
        <v>8.8076786000000004E-2</v>
      </c>
      <c r="G69" s="25">
        <f>VLOOKUP(B69,'Data qoq'!$A:$AT,MATCH($G$1,'Data qoq'!$A$1:$AT$1,),)</f>
        <v>0.53965720100000003</v>
      </c>
      <c r="H69" s="25">
        <f>VLOOKUP(B69,'Data qoq'!$A:$AT,MATCH($H$1,'Data qoq'!$A$1:$AT$1,),)</f>
        <v>0.50401497100000003</v>
      </c>
      <c r="I69" s="25">
        <f>VLOOKUP(B69,'Data qoq'!$A:$AT,MATCH($I$1,'Data qoq'!$A$1:$AT$1,),)</f>
        <v>0.67717332799999996</v>
      </c>
      <c r="J69" s="25">
        <f>VLOOKUP(B69,'Data qoq'!$A:$AT,MATCH($J$1,'Data qoq'!$A$1:$AT$1,),)</f>
        <v>0.102746085</v>
      </c>
      <c r="K69" s="25">
        <f>VLOOKUP(B69,'Data qoq'!$A:$AT,MATCH($K$1,'Data qoq'!$A$1:$AT$1,),)</f>
        <v>0.74003508500000004</v>
      </c>
      <c r="L69" s="25">
        <f>VLOOKUP(B69,'Data qoq'!$A:$AT,MATCH($L$1,'Data qoq'!$A$1:$AT$1,),)</f>
        <v>0.73108013100000002</v>
      </c>
      <c r="M69" s="25">
        <f>VLOOKUP(B69,'Data qoq'!$A:$AT,MATCH($M$1,'Data qoq'!$A$1:$AT$1,),)</f>
        <v>0.37695521799999998</v>
      </c>
      <c r="N69" s="25">
        <f>VLOOKUP(B69,'Data qoq'!$A:$AT,MATCH($N$1,'Data qoq'!$A$1:$AT$1,),)</f>
        <v>-0.318118911</v>
      </c>
      <c r="O69" s="25">
        <f>VLOOKUP(B69,'Data qoq'!$A:$AT,MATCH($C$1,'Data qoq'!$J$1:$AT$1,),)</f>
        <v>1.2737677919999999</v>
      </c>
      <c r="P69" s="25">
        <f>VLOOKUP(B69,'Data qoq'!$A:$AT,MATCH($P$1,'Data qoq'!$A$1:$AT$1,),)</f>
        <v>0.95905130800000005</v>
      </c>
      <c r="Q69" s="25">
        <f>VLOOKUP(B69,'Data qoq'!$A:$AT,MATCH($Q$1,'Data qoq'!$A$1:$AT$1,),)</f>
        <v>0.475136051</v>
      </c>
      <c r="R69" s="25">
        <f>VLOOKUP(B69,'Data qoq'!$A:$AT,MATCH($E$1,'Data qoq'!$A$1:$AT$1,),)</f>
        <v>0.44990999999999998</v>
      </c>
      <c r="S69" s="25">
        <f>VLOOKUP(B69,'Data qoq'!$A:$AT,MATCH($S$1,'Data qoq'!$A$1:$AT$1,),)</f>
        <v>0.34353096500000002</v>
      </c>
      <c r="T69" s="25">
        <f>VLOOKUP(B69,'Data qoq'!$A:$AT,MATCH($T$1,'Data qoq'!$A$1:$AT$1,),)</f>
        <v>-2.7568312000000001E-2</v>
      </c>
      <c r="U69" s="25">
        <f>VLOOKUP(B69,'Data qoq'!$A:$AT,MATCH($U$1,'Data qoq'!$A$1:$AT$1,),)</f>
        <v>1.077720303</v>
      </c>
      <c r="V69" s="25">
        <f>VLOOKUP(B69,'Data qoq'!$A:$AT,MATCH($V$1,'Data qoq'!$A$1:$AT$1,),)</f>
        <v>0.10055478700000001</v>
      </c>
      <c r="W69" s="25">
        <f>VLOOKUP(B69,'Data qoq'!$A:$AT,MATCH($W$1,'Data qoq'!$A$1:$AT$1,),)</f>
        <v>2.4581843989999999</v>
      </c>
      <c r="X69" s="25">
        <f>VLOOKUP(B69,'Data qoq'!$A:$AT,MATCH($X$1,'Data qoq'!$A$1:$AT$1,),)</f>
        <v>1.085489897</v>
      </c>
      <c r="Y69" s="25">
        <f>VLOOKUP(B69,'Data qoq'!$A:$AT,MATCH($Y$1,'Data qoq'!$A$1:$AT$1,),)</f>
        <v>0.83714922599999997</v>
      </c>
      <c r="Z69" s="25">
        <f>VLOOKUP(B69,'Data qoq'!$A:$AU,MATCH($Z$1,'Data qoq'!$A$1:$AU$1,),)</f>
        <v>-0.79731533200000004</v>
      </c>
      <c r="AA69" s="25">
        <f>VLOOKUP(B69,'Data qoq'!$A:$AU,MATCH($AA$1,'Data qoq'!$A$1:$AU$1,),)</f>
        <v>1.2737677919999999</v>
      </c>
      <c r="AC69" s="26" t="str">
        <f t="shared" si="9"/>
        <v>2014-Q3</v>
      </c>
      <c r="AD69" s="27">
        <f t="shared" si="10"/>
        <v>0.62530444299999988</v>
      </c>
      <c r="AE69" s="27">
        <f t="shared" si="11"/>
        <v>0.62530444299999988</v>
      </c>
    </row>
    <row r="70" spans="2:31" hidden="1" x14ac:dyDescent="0.2">
      <c r="B70" s="24" t="s">
        <v>336</v>
      </c>
      <c r="C70" s="25">
        <f>VLOOKUP(B70,'Data qoq'!$A:$AT,MATCH($C$1,'Data qoq'!$A$1:$AT$1,),)</f>
        <v>0.44899340199999999</v>
      </c>
      <c r="D70" s="25">
        <f>VLOOKUP(B70,'Data qoq'!$A:$AT,MATCH($D$1,'Data qoq'!$A$1:$AT$1,),)</f>
        <v>1.7</v>
      </c>
      <c r="E70" s="25">
        <f>VLOOKUP(B70,'Data qoq'!$A:$AT,MATCH($E$1,'Data qoq'!$A$1:$AT$1,),)</f>
        <v>0.41628100000000001</v>
      </c>
      <c r="F70" s="25">
        <f>VLOOKUP(B70,'Data qoq'!$A:$AT,MATCH($F$1,'Data qoq'!$A$1:$AT$1,),)</f>
        <v>0.47786493600000002</v>
      </c>
      <c r="G70" s="25">
        <f>VLOOKUP(B70,'Data qoq'!$A:$AT,MATCH($G$1,'Data qoq'!$A$1:$AT$1,),)</f>
        <v>0.81021354599999995</v>
      </c>
      <c r="H70" s="25">
        <f>VLOOKUP(B70,'Data qoq'!$A:$AT,MATCH($H$1,'Data qoq'!$A$1:$AT$1,),)</f>
        <v>9.5512578000000001E-2</v>
      </c>
      <c r="I70" s="25">
        <f>VLOOKUP(B70,'Data qoq'!$A:$AT,MATCH($I$1,'Data qoq'!$A$1:$AT$1,),)</f>
        <v>0.56048282900000002</v>
      </c>
      <c r="J70" s="25">
        <f>VLOOKUP(B70,'Data qoq'!$A:$AT,MATCH($J$1,'Data qoq'!$A$1:$AT$1,),)</f>
        <v>-0.26851390600000002</v>
      </c>
      <c r="K70" s="25">
        <f>VLOOKUP(B70,'Data qoq'!$A:$AT,MATCH($K$1,'Data qoq'!$A$1:$AT$1,),)</f>
        <v>0.85837734799999998</v>
      </c>
      <c r="L70" s="25">
        <f>VLOOKUP(B70,'Data qoq'!$A:$AT,MATCH($L$1,'Data qoq'!$A$1:$AT$1,),)</f>
        <v>0.76328685299999999</v>
      </c>
      <c r="M70" s="25">
        <f>VLOOKUP(B70,'Data qoq'!$A:$AT,MATCH($M$1,'Data qoq'!$A$1:$AT$1,),)</f>
        <v>1.033172269</v>
      </c>
      <c r="N70" s="25">
        <f>VLOOKUP(B70,'Data qoq'!$A:$AT,MATCH($N$1,'Data qoq'!$A$1:$AT$1,),)</f>
        <v>-0.23528992500000001</v>
      </c>
      <c r="O70" s="25">
        <f>VLOOKUP(B70,'Data qoq'!$A:$AT,MATCH($C$1,'Data qoq'!$J$1:$AT$1,),)</f>
        <v>1.6224258119999999</v>
      </c>
      <c r="P70" s="25">
        <f>VLOOKUP(B70,'Data qoq'!$A:$AT,MATCH($P$1,'Data qoq'!$A$1:$AT$1,),)</f>
        <v>0.69197566799999999</v>
      </c>
      <c r="Q70" s="25">
        <f>VLOOKUP(B70,'Data qoq'!$A:$AT,MATCH($Q$1,'Data qoq'!$A$1:$AT$1,),)</f>
        <v>0.39358757799999999</v>
      </c>
      <c r="R70" s="25">
        <f>VLOOKUP(B70,'Data qoq'!$A:$AT,MATCH($E$1,'Data qoq'!$A$1:$AT$1,),)</f>
        <v>0.41628100000000001</v>
      </c>
      <c r="S70" s="25">
        <f>VLOOKUP(B70,'Data qoq'!$A:$AT,MATCH($S$1,'Data qoq'!$A$1:$AT$1,),)</f>
        <v>0.42744270699999998</v>
      </c>
      <c r="T70" s="25">
        <f>VLOOKUP(B70,'Data qoq'!$A:$AT,MATCH($T$1,'Data qoq'!$A$1:$AT$1,),)</f>
        <v>0.497685673</v>
      </c>
      <c r="U70" s="25">
        <f>VLOOKUP(B70,'Data qoq'!$A:$AT,MATCH($U$1,'Data qoq'!$A$1:$AT$1,),)</f>
        <v>-1.04971496</v>
      </c>
      <c r="V70" s="25">
        <f>VLOOKUP(B70,'Data qoq'!$A:$AT,MATCH($V$1,'Data qoq'!$A$1:$AT$1,),)</f>
        <v>0.69410845399999999</v>
      </c>
      <c r="W70" s="25">
        <f>VLOOKUP(B70,'Data qoq'!$A:$AT,MATCH($W$1,'Data qoq'!$A$1:$AT$1,),)</f>
        <v>1.3475593850000001</v>
      </c>
      <c r="X70" s="25">
        <f>VLOOKUP(B70,'Data qoq'!$A:$AT,MATCH($X$1,'Data qoq'!$A$1:$AT$1,),)</f>
        <v>1.2736460700000001</v>
      </c>
      <c r="Y70" s="25">
        <f>VLOOKUP(B70,'Data qoq'!$A:$AT,MATCH($Y$1,'Data qoq'!$A$1:$AT$1,),)</f>
        <v>0.65347968999999995</v>
      </c>
      <c r="Z70" s="25">
        <f>VLOOKUP(B70,'Data qoq'!$A:$AU,MATCH($Z$1,'Data qoq'!$A$1:$AU$1,),)</f>
        <v>0.47796888700000001</v>
      </c>
      <c r="AA70" s="25">
        <f>VLOOKUP(B70,'Data qoq'!$A:$AU,MATCH($AA$1,'Data qoq'!$A$1:$AU$1,),)</f>
        <v>1.6224258119999999</v>
      </c>
      <c r="AC70" s="26" t="str">
        <f t="shared" si="9"/>
        <v>2014-Q4</v>
      </c>
      <c r="AD70" s="27">
        <f t="shared" si="10"/>
        <v>-0.36122014399999997</v>
      </c>
      <c r="AE70" s="27">
        <f t="shared" si="11"/>
        <v>-0.36122014399999997</v>
      </c>
    </row>
    <row r="71" spans="2:31" x14ac:dyDescent="0.2">
      <c r="B71" s="24" t="s">
        <v>337</v>
      </c>
      <c r="C71" s="25">
        <f>IF(VLOOKUP(B71,'Data qoq'!$A:$AT,MATCH($C$1,'Data qoq'!$A$1:$AT$1,),)=0,#N/A,VLOOKUP(B71,'Data qoq'!$A:$AT,MATCH($C$1,'Data qoq'!$A$1:$AT$1,),))</f>
        <v>0.81331362600000001</v>
      </c>
      <c r="D71" s="25">
        <f>IF(VLOOKUP(B71,'Data qoq'!$A:$AT,MATCH($D$1,'Data qoq'!$A$1:$AT$1,),)=0,#N/A,VLOOKUP(B71,'Data qoq'!$A:$AT,MATCH($D$1,'Data qoq'!$A$1:$AT$1,),))</f>
        <v>1.9</v>
      </c>
      <c r="E71" s="25">
        <f>IF(VLOOKUP(B71,'Data qoq'!$A:$AT,MATCH($E$1,'Data qoq'!$A$1:$AT$1,),)=0,#N/A,VLOOKUP(B71,'Data qoq'!$A:$AT,MATCH($E$1,'Data qoq'!$A$1:$AT$1,),))</f>
        <v>0.65130100000000002</v>
      </c>
      <c r="F71" s="25">
        <f>IF(VLOOKUP(B71,'Data qoq'!$A:$AT,MATCH($F$1,'Data qoq'!$A$1:$AT$1,),)=0,#N/A,VLOOKUP(B71,'Data qoq'!$A:$AT,MATCH($F$1,'Data qoq'!$A$1:$AT$1,),))</f>
        <v>1.5444137979999999</v>
      </c>
      <c r="G71" s="25">
        <f>IF(VLOOKUP(B71,'Data qoq'!$A:$AT,MATCH($G$1,'Data qoq'!$A$1:$AT$1,),)=0,#N/A,VLOOKUP(B71,'Data qoq'!$A:$AT,MATCH($G$1,'Data qoq'!$A$1:$AT$1,),))</f>
        <v>-0.52742190799999999</v>
      </c>
      <c r="H71" s="25">
        <f>IF(VLOOKUP(B71,'Data qoq'!$A:$AT,MATCH($H$1,'Data qoq'!$A$1:$AT$1,),)=0,#N/A,VLOOKUP(B71,'Data qoq'!$A:$AT,MATCH($H$1,'Data qoq'!$A$1:$AT$1,),))</f>
        <v>0.46821354399999998</v>
      </c>
      <c r="I71" s="25">
        <f>IF(VLOOKUP(B71,'Data qoq'!$A:$AT,MATCH($I$1,'Data qoq'!$A$1:$AT$1,),)=0,#N/A,VLOOKUP(B71,'Data qoq'!$A:$AT,MATCH($I$1,'Data qoq'!$A$1:$AT$1,),))</f>
        <v>0.644738174</v>
      </c>
      <c r="J71" s="25">
        <f>IF(VLOOKUP(B71,'Data qoq'!$A:$AT,MATCH($J$1,'Data qoq'!$A$1:$AT$1,),)=0,#N/A,VLOOKUP(B71,'Data qoq'!$A:$AT,MATCH($J$1,'Data qoq'!$A$1:$AT$1,),))</f>
        <v>0.264507832</v>
      </c>
      <c r="K71" s="25">
        <f>IF(VLOOKUP(B71,'Data qoq'!$A:$AT,MATCH($K$1,'Data qoq'!$A$1:$AT$1,),)=0,#N/A,VLOOKUP(B71,'Data qoq'!$A:$AT,MATCH($K$1,'Data qoq'!$A$1:$AT$1,),))</f>
        <v>1.1475940920000001</v>
      </c>
      <c r="L71" s="25">
        <f>IF(VLOOKUP(B71,'Data qoq'!$A:$AT,MATCH($L$1,'Data qoq'!$A$1:$AT$1,),)=0,#N/A,VLOOKUP(B71,'Data qoq'!$A:$AT,MATCH($L$1,'Data qoq'!$A$1:$AT$1,),))</f>
        <v>1.4083928539999999</v>
      </c>
      <c r="M71" s="25">
        <f>IF(VLOOKUP(B71,'Data qoq'!$A:$AT,MATCH($M$1,'Data qoq'!$A$1:$AT$1,),)=0,#N/A,VLOOKUP(B71,'Data qoq'!$A:$AT,MATCH($M$1,'Data qoq'!$A$1:$AT$1,),))</f>
        <v>0.54671339900000004</v>
      </c>
      <c r="N71" s="25">
        <f>IF(VLOOKUP(B71,'Data qoq'!$A:$AT,MATCH($N$1,'Data qoq'!$A$1:$AT$1,),)=0,#N/A,VLOOKUP(B71,'Data qoq'!$A:$AT,MATCH($N$1,'Data qoq'!$A$1:$AT$1,),))</f>
        <v>-1.0172225079999999</v>
      </c>
      <c r="O71" s="25">
        <f>IF(VLOOKUP(B71,'Data qoq'!$A:$AT,MATCH($O$1,'Data qoq'!$J$1:$AT$1,),)=0,#N/A,VLOOKUP(B71,'Data qoq'!$A:$AT,MATCH($O$1,'Data qoq'!$J$1:$AT$1,),))</f>
        <v>1.1475940920000001</v>
      </c>
      <c r="P71" s="25">
        <f>IF(VLOOKUP(B71,'Data qoq'!$A:$AT,MATCH($P$1,'Data qoq'!$A$1:$AT$1,),)=0,#N/A,VLOOKUP(B71,'Data qoq'!$A:$AT,MATCH($P$1,'Data qoq'!$A$1:$AT$1,),))</f>
        <v>-0.54951940799999999</v>
      </c>
      <c r="Q71" s="25">
        <f>IF(VLOOKUP(B71,'Data qoq'!$A:$AT,MATCH($Q$1,'Data qoq'!$A$1:$AT$1,),)=0,#N/A,VLOOKUP(B71,'Data qoq'!$A:$AT,MATCH($Q$1,'Data qoq'!$A$1:$AT$1,),))</f>
        <v>0.90671488200000006</v>
      </c>
      <c r="R71" s="25">
        <f>IF(VLOOKUP(B71,'Data qoq'!$A:$AT,MATCH($R$1,'Data qoq'!$A$1:$AT$1,),)=0,#N/A,VLOOKUP(B71,'Data qoq'!$A:$AT,MATCH($R$1,'Data qoq'!$A$1:$AT$1,),))</f>
        <v>-0.151062847</v>
      </c>
      <c r="S71" s="25">
        <f>IF(VLOOKUP(B71,'Data qoq'!$A:$AT,MATCH($S$1,'Data qoq'!$A$1:$AT$1,),)=0,#N/A,VLOOKUP(B71,'Data qoq'!$A:$AT,MATCH($S$1,'Data qoq'!$A$1:$AT$1,),))</f>
        <v>0.83787297199999999</v>
      </c>
      <c r="T71" s="25">
        <f>IF(VLOOKUP(B71,'Data qoq'!$A:$AT,MATCH($T$1,'Data qoq'!$A$1:$AT$1,),)=0,#N/A,VLOOKUP(B71,'Data qoq'!$A:$AT,MATCH($T$1,'Data qoq'!$A$1:$AT$1,),))</f>
        <v>-0.65905179800000002</v>
      </c>
      <c r="U71" s="25">
        <f>IF(VLOOKUP(B71,'Data qoq'!$A:$AT,MATCH($U$1,'Data qoq'!$A$1:$AT$1,),)=0,#N/A,VLOOKUP(B71,'Data qoq'!$A:$AT,MATCH($U$1,'Data qoq'!$A$1:$AT$1,),))</f>
        <v>0.56988678500000001</v>
      </c>
      <c r="V71" s="25">
        <f>IF(VLOOKUP(B71,'Data qoq'!$A:$AT,MATCH($V$1,'Data qoq'!$A$1:$AT$1,),)=0,#N/A,VLOOKUP(B71,'Data qoq'!$A:$AT,MATCH($V$1,'Data qoq'!$A$1:$AT$1,),))</f>
        <v>23.375033261999999</v>
      </c>
      <c r="W71" s="25">
        <f>IF(VLOOKUP(B71,'Data qoq'!$A:$AT,MATCH($W$1,'Data qoq'!$A$1:$AT$1,),)=0,#N/A,VLOOKUP(B71,'Data qoq'!$A:$AT,MATCH($W$1,'Data qoq'!$A$1:$AT$1,),))</f>
        <v>1.890749754</v>
      </c>
      <c r="X71" s="25">
        <f>IF(VLOOKUP(B71,'Data qoq'!$A:$AT,MATCH($X$1,'Data qoq'!$A$1:$AT$1,),)=0,#N/A,VLOOKUP(B71,'Data qoq'!$A:$AT,MATCH($X$1,'Data qoq'!$A$1:$AT$1,),))</f>
        <v>1.81529995</v>
      </c>
      <c r="Y71" s="25">
        <f>IF(VLOOKUP(B71,'Data qoq'!$A:$AT,MATCH($Y$1,'Data qoq'!$A$1:$AT$1,),)=0,#N/A,VLOOKUP(B71,'Data qoq'!$A:$AT,MATCH($Y$1,'Data qoq'!$A$1:$AT$1,),))</f>
        <v>1.418384342</v>
      </c>
      <c r="Z71" s="25">
        <f>IF(VLOOKUP(B71,'Data qoq'!$A:$AU,MATCH($Z$1,'Data qoq'!$A$1:$AU$1,),)=0,#N/A,VLOOKUP(B71,'Data qoq'!$A:$AU,MATCH($Z$1,'Data qoq'!$A$1:$AU$1,),))</f>
        <v>1.488691121</v>
      </c>
      <c r="AA71" s="25">
        <f>IF(VLOOKUP(B71,'Data qoq'!$A:$AU,MATCH($AA$1,'Data qoq'!$A$1:$AU$1,),)=0,#N/A,VLOOKUP(B71,'Data qoq'!$A:$AU,MATCH($AA$1,'Data qoq'!$A$1:$AU$1,),))</f>
        <v>0.31616919100000002</v>
      </c>
      <c r="AC71" s="26" t="str">
        <f t="shared" si="9"/>
        <v>2015-Q1</v>
      </c>
      <c r="AD71" s="27">
        <f t="shared" si="10"/>
        <v>1.340735534</v>
      </c>
      <c r="AE71" s="27">
        <f t="shared" si="11"/>
        <v>1.340735534</v>
      </c>
    </row>
    <row r="72" spans="2:31" x14ac:dyDescent="0.2">
      <c r="B72" s="24" t="s">
        <v>338</v>
      </c>
      <c r="C72" s="25">
        <f>IF(VLOOKUP(B72,'Data qoq'!$A:$AT,MATCH($C$1,'Data qoq'!$A$1:$AT$1,),)=0,#N/A,VLOOKUP(B72,'Data qoq'!$A:$AT,MATCH($C$1,'Data qoq'!$A$1:$AT$1,),))</f>
        <v>0.58000143199999998</v>
      </c>
      <c r="D72" s="25">
        <f>IF(VLOOKUP(B72,'Data qoq'!$A:$AT,MATCH($D$1,'Data qoq'!$A$1:$AT$1,),)=0,#N/A,VLOOKUP(B72,'Data qoq'!$A:$AT,MATCH($D$1,'Data qoq'!$A$1:$AT$1,),))</f>
        <v>1.8</v>
      </c>
      <c r="E72" s="25">
        <f>IF(VLOOKUP(B72,'Data qoq'!$A:$AT,MATCH($E$1,'Data qoq'!$A$1:$AT$1,),)=0,#N/A,VLOOKUP(B72,'Data qoq'!$A:$AT,MATCH($E$1,'Data qoq'!$A$1:$AT$1,),))</f>
        <v>0.44246999999999997</v>
      </c>
      <c r="F72" s="25">
        <f>IF(VLOOKUP(B72,'Data qoq'!$A:$AT,MATCH($F$1,'Data qoq'!$A$1:$AT$1,),)=0,#N/A,VLOOKUP(B72,'Data qoq'!$A:$AT,MATCH($F$1,'Data qoq'!$A$1:$AT$1,),))</f>
        <v>0.13865654399999999</v>
      </c>
      <c r="G72" s="25">
        <f>IF(VLOOKUP(B72,'Data qoq'!$A:$AT,MATCH($G$1,'Data qoq'!$A$1:$AT$1,),)=0,#N/A,VLOOKUP(B72,'Data qoq'!$A:$AT,MATCH($G$1,'Data qoq'!$A$1:$AT$1,),))</f>
        <v>0.70693694699999998</v>
      </c>
      <c r="H72" s="25">
        <f>IF(VLOOKUP(B72,'Data qoq'!$A:$AT,MATCH($H$1,'Data qoq'!$A$1:$AT$1,),)=0,#N/A,VLOOKUP(B72,'Data qoq'!$A:$AT,MATCH($H$1,'Data qoq'!$A$1:$AT$1,),))</f>
        <v>1.0327568000000001E-2</v>
      </c>
      <c r="I72" s="25">
        <f>IF(VLOOKUP(B72,'Data qoq'!$A:$AT,MATCH($I$1,'Data qoq'!$A$1:$AT$1,),)=0,#N/A,VLOOKUP(B72,'Data qoq'!$A:$AT,MATCH($I$1,'Data qoq'!$A$1:$AT$1,),))</f>
        <v>0.738449044</v>
      </c>
      <c r="J72" s="25">
        <f>IF(VLOOKUP(B72,'Data qoq'!$A:$AT,MATCH($J$1,'Data qoq'!$A$1:$AT$1,),)=0,#N/A,VLOOKUP(B72,'Data qoq'!$A:$AT,MATCH($J$1,'Data qoq'!$A$1:$AT$1,),))</f>
        <v>0.39626207099999999</v>
      </c>
      <c r="K72" s="25">
        <f>IF(VLOOKUP(B72,'Data qoq'!$A:$AT,MATCH($K$1,'Data qoq'!$A$1:$AT$1,),)=0,#N/A,VLOOKUP(B72,'Data qoq'!$A:$AT,MATCH($K$1,'Data qoq'!$A$1:$AT$1,),))</f>
        <v>1.072777012</v>
      </c>
      <c r="L72" s="25">
        <f>IF(VLOOKUP(B72,'Data qoq'!$A:$AT,MATCH($L$1,'Data qoq'!$A$1:$AT$1,),)=0,#N/A,VLOOKUP(B72,'Data qoq'!$A:$AT,MATCH($L$1,'Data qoq'!$A$1:$AT$1,),))</f>
        <v>0.99543346700000002</v>
      </c>
      <c r="M72" s="25">
        <f>IF(VLOOKUP(B72,'Data qoq'!$A:$AT,MATCH($M$1,'Data qoq'!$A$1:$AT$1,),)=0,#N/A,VLOOKUP(B72,'Data qoq'!$A:$AT,MATCH($M$1,'Data qoq'!$A$1:$AT$1,),))</f>
        <v>1.1582836219999999</v>
      </c>
      <c r="N72" s="25">
        <f>IF(VLOOKUP(B72,'Data qoq'!$A:$AT,MATCH($N$1,'Data qoq'!$A$1:$AT$1,),)=0,#N/A,VLOOKUP(B72,'Data qoq'!$A:$AT,MATCH($N$1,'Data qoq'!$A$1:$AT$1,),))</f>
        <v>-0.66980761700000002</v>
      </c>
      <c r="O72" s="25">
        <f>IF(VLOOKUP(B72,'Data qoq'!$A:$AT,MATCH($O$1,'Data qoq'!$J$1:$AT$1,),)=0,#N/A,VLOOKUP(B72,'Data qoq'!$A:$AT,MATCH($O$1,'Data qoq'!$J$1:$AT$1,),))</f>
        <v>1.072777012</v>
      </c>
      <c r="P72" s="25">
        <f>IF(VLOOKUP(B72,'Data qoq'!$A:$AT,MATCH($P$1,'Data qoq'!$A$1:$AT$1,),)=0,#N/A,VLOOKUP(B72,'Data qoq'!$A:$AT,MATCH($P$1,'Data qoq'!$A$1:$AT$1,),))</f>
        <v>-0.27217208300000001</v>
      </c>
      <c r="Q72" s="25">
        <f>IF(VLOOKUP(B72,'Data qoq'!$A:$AT,MATCH($Q$1,'Data qoq'!$A$1:$AT$1,),)=0,#N/A,VLOOKUP(B72,'Data qoq'!$A:$AT,MATCH($Q$1,'Data qoq'!$A$1:$AT$1,),))</f>
        <v>8.5155453000000006E-2</v>
      </c>
      <c r="R72" s="25">
        <f>IF(VLOOKUP(B72,'Data qoq'!$A:$AT,MATCH($R$1,'Data qoq'!$A$1:$AT$1,),)=0,#N/A,VLOOKUP(B72,'Data qoq'!$A:$AT,MATCH($R$1,'Data qoq'!$A$1:$AT$1,),))</f>
        <v>0.72113179100000002</v>
      </c>
      <c r="S72" s="25">
        <f>IF(VLOOKUP(B72,'Data qoq'!$A:$AT,MATCH($S$1,'Data qoq'!$A$1:$AT$1,),)=0,#N/A,VLOOKUP(B72,'Data qoq'!$A:$AT,MATCH($S$1,'Data qoq'!$A$1:$AT$1,),))</f>
        <v>0.41966879299999998</v>
      </c>
      <c r="T72" s="25">
        <f>IF(VLOOKUP(B72,'Data qoq'!$A:$AT,MATCH($T$1,'Data qoq'!$A$1:$AT$1,),)=0,#N/A,VLOOKUP(B72,'Data qoq'!$A:$AT,MATCH($T$1,'Data qoq'!$A$1:$AT$1,),))</f>
        <v>-2.606049847</v>
      </c>
      <c r="U72" s="25">
        <f>IF(VLOOKUP(B72,'Data qoq'!$A:$AT,MATCH($U$1,'Data qoq'!$A$1:$AT$1,),)=0,#N/A,VLOOKUP(B72,'Data qoq'!$A:$AT,MATCH($U$1,'Data qoq'!$A$1:$AT$1,),))</f>
        <v>-7.5210904999999995E-2</v>
      </c>
      <c r="V72" s="25">
        <f>IF(VLOOKUP(B72,'Data qoq'!$A:$AT,MATCH($V$1,'Data qoq'!$A$1:$AT$1,),)=0,#N/A,VLOOKUP(B72,'Data qoq'!$A:$AT,MATCH($V$1,'Data qoq'!$A$1:$AT$1,),))</f>
        <v>-2.2281222509999998</v>
      </c>
      <c r="W72" s="25">
        <f>IF(VLOOKUP(B72,'Data qoq'!$A:$AT,MATCH($W$1,'Data qoq'!$A$1:$AT$1,),)=0,#N/A,VLOOKUP(B72,'Data qoq'!$A:$AT,MATCH($W$1,'Data qoq'!$A$1:$AT$1,),))</f>
        <v>1.5237694049999999</v>
      </c>
      <c r="X72" s="25">
        <f>IF(VLOOKUP(B72,'Data qoq'!$A:$AT,MATCH($X$1,'Data qoq'!$A$1:$AT$1,),)=0,#N/A,VLOOKUP(B72,'Data qoq'!$A:$AT,MATCH($X$1,'Data qoq'!$A$1:$AT$1,),))</f>
        <v>1.4529242849999999</v>
      </c>
      <c r="Y72" s="25">
        <f>IF(VLOOKUP(B72,'Data qoq'!$A:$AT,MATCH($Y$1,'Data qoq'!$A$1:$AT$1,),)=0,#N/A,VLOOKUP(B72,'Data qoq'!$A:$AT,MATCH($Y$1,'Data qoq'!$A$1:$AT$1,),))</f>
        <v>0.78308910399999998</v>
      </c>
      <c r="Z72" s="25">
        <f>IF(VLOOKUP(B72,'Data qoq'!$A:$AU,MATCH($Z$1,'Data qoq'!$A$1:$AU$1,),)=0,#N/A,VLOOKUP(B72,'Data qoq'!$A:$AU,MATCH($Z$1,'Data qoq'!$A$1:$AU$1,),))</f>
        <v>2.3502018379999998</v>
      </c>
      <c r="AA72" s="25">
        <f>IF(VLOOKUP(B72,'Data qoq'!$A:$AU,MATCH($AA$1,'Data qoq'!$A$1:$AU$1,),)=0,#N/A,VLOOKUP(B72,'Data qoq'!$A:$AU,MATCH($AA$1,'Data qoq'!$A$1:$AU$1,),))</f>
        <v>0.71954186899999995</v>
      </c>
      <c r="AC72" s="26" t="str">
        <f t="shared" si="9"/>
        <v>2015-Q2</v>
      </c>
      <c r="AD72" s="27">
        <f t="shared" si="10"/>
        <v>-0.126935515</v>
      </c>
      <c r="AE72" s="27">
        <f t="shared" si="11"/>
        <v>-0.126935515</v>
      </c>
    </row>
    <row r="73" spans="2:31" x14ac:dyDescent="0.2">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0.445934</v>
      </c>
      <c r="F73" s="25">
        <f>IF(VLOOKUP(B73,'Data qoq'!$A:$AT,MATCH($F$1,'Data qoq'!$A$1:$AT$1,),)=0,#N/A,VLOOKUP(B73,'Data qoq'!$A:$AT,MATCH($F$1,'Data qoq'!$A$1:$AT$1,),))</f>
        <v>7.7007323000000003E-2</v>
      </c>
      <c r="G73" s="25">
        <f>IF(VLOOKUP(B73,'Data qoq'!$A:$AT,MATCH($G$1,'Data qoq'!$A$1:$AT$1,),)=0,#N/A,VLOOKUP(B73,'Data qoq'!$A:$AT,MATCH($G$1,'Data qoq'!$A$1:$AT$1,),))</f>
        <v>0.501395916</v>
      </c>
      <c r="H73" s="25">
        <f>IF(VLOOKUP(B73,'Data qoq'!$A:$AT,MATCH($H$1,'Data qoq'!$A$1:$AT$1,),)=0,#N/A,VLOOKUP(B73,'Data qoq'!$A:$AT,MATCH($H$1,'Data qoq'!$A$1:$AT$1,),))</f>
        <v>0.340036954</v>
      </c>
      <c r="I73" s="25">
        <f>IF(VLOOKUP(B73,'Data qoq'!$A:$AT,MATCH($I$1,'Data qoq'!$A$1:$AT$1,),)=0,#N/A,VLOOKUP(B73,'Data qoq'!$A:$AT,MATCH($I$1,'Data qoq'!$A$1:$AT$1,),))</f>
        <v>0.53725258399999998</v>
      </c>
      <c r="J73" s="25">
        <f>IF(VLOOKUP(B73,'Data qoq'!$A:$AT,MATCH($J$1,'Data qoq'!$A$1:$AT$1,),)=0,#N/A,VLOOKUP(B73,'Data qoq'!$A:$AT,MATCH($J$1,'Data qoq'!$A$1:$AT$1,),))</f>
        <v>0.24007830499999999</v>
      </c>
      <c r="K73" s="25">
        <f>IF(VLOOKUP(B73,'Data qoq'!$A:$AT,MATCH($K$1,'Data qoq'!$A$1:$AT$1,),)=0,#N/A,VLOOKUP(B73,'Data qoq'!$A:$AT,MATCH($K$1,'Data qoq'!$A$1:$AT$1,),))</f>
        <v>0.91002971300000002</v>
      </c>
      <c r="L73" s="25">
        <f>IF(VLOOKUP(B73,'Data qoq'!$A:$AT,MATCH($L$1,'Data qoq'!$A$1:$AT$1,),)=0,#N/A,VLOOKUP(B73,'Data qoq'!$A:$AT,MATCH($L$1,'Data qoq'!$A$1:$AT$1,),))</f>
        <v>1.3946840739999999</v>
      </c>
      <c r="M73" s="25">
        <f>IF(VLOOKUP(B73,'Data qoq'!$A:$AT,MATCH($M$1,'Data qoq'!$A$1:$AT$1,),)=0,#N/A,VLOOKUP(B73,'Data qoq'!$A:$AT,MATCH($M$1,'Data qoq'!$A$1:$AT$1,),))</f>
        <v>1.3445255439999999</v>
      </c>
      <c r="N73" s="25">
        <f>IF(VLOOKUP(B73,'Data qoq'!$A:$AT,MATCH($N$1,'Data qoq'!$A$1:$AT$1,),)=0,#N/A,VLOOKUP(B73,'Data qoq'!$A:$AT,MATCH($N$1,'Data qoq'!$A$1:$AT$1,),))</f>
        <v>0.19352587500000001</v>
      </c>
      <c r="O73" s="25">
        <f>IF(VLOOKUP(B73,'Data qoq'!$A:$AT,MATCH($O$1,'Data qoq'!$J$1:$AT$1,),)=0,#N/A,VLOOKUP(B73,'Data qoq'!$A:$AT,MATCH($O$1,'Data qoq'!$J$1:$AT$1,),))</f>
        <v>0.91002971300000002</v>
      </c>
      <c r="P73" s="25">
        <f>IF(VLOOKUP(B73,'Data qoq'!$A:$AT,MATCH($P$1,'Data qoq'!$A$1:$AT$1,),)=0,#N/A,VLOOKUP(B73,'Data qoq'!$A:$AT,MATCH($P$1,'Data qoq'!$A$1:$AT$1,),))</f>
        <v>0.35370182900000002</v>
      </c>
      <c r="Q73" s="25">
        <f>IF(VLOOKUP(B73,'Data qoq'!$A:$AT,MATCH($Q$1,'Data qoq'!$A$1:$AT$1,),)=0,#N/A,VLOOKUP(B73,'Data qoq'!$A:$AT,MATCH($Q$1,'Data qoq'!$A$1:$AT$1,),))</f>
        <v>1.0424883229999999</v>
      </c>
      <c r="R73" s="25">
        <f>IF(VLOOKUP(B73,'Data qoq'!$A:$AT,MATCH($R$1,'Data qoq'!$A$1:$AT$1,),)=0,#N/A,VLOOKUP(B73,'Data qoq'!$A:$AT,MATCH($R$1,'Data qoq'!$A$1:$AT$1,),))</f>
        <v>0.62718421199999996</v>
      </c>
      <c r="S73" s="25">
        <f>IF(VLOOKUP(B73,'Data qoq'!$A:$AT,MATCH($S$1,'Data qoq'!$A$1:$AT$1,),)=0,#N/A,VLOOKUP(B73,'Data qoq'!$A:$AT,MATCH($S$1,'Data qoq'!$A$1:$AT$1,),))</f>
        <v>1.513074861</v>
      </c>
      <c r="T73" s="25">
        <f>IF(VLOOKUP(B73,'Data qoq'!$A:$AT,MATCH($T$1,'Data qoq'!$A$1:$AT$1,),)=0,#N/A,VLOOKUP(B73,'Data qoq'!$A:$AT,MATCH($T$1,'Data qoq'!$A$1:$AT$1,),))</f>
        <v>-1.494041827</v>
      </c>
      <c r="U73" s="25">
        <f>IF(VLOOKUP(B73,'Data qoq'!$A:$AT,MATCH($U$1,'Data qoq'!$A$1:$AT$1,),)=0,#N/A,VLOOKUP(B73,'Data qoq'!$A:$AT,MATCH($U$1,'Data qoq'!$A$1:$AT$1,),))</f>
        <v>-1.9513673579999999</v>
      </c>
      <c r="V73" s="25">
        <f>IF(VLOOKUP(B73,'Data qoq'!$A:$AT,MATCH($V$1,'Data qoq'!$A$1:$AT$1,),)=0,#N/A,VLOOKUP(B73,'Data qoq'!$A:$AT,MATCH($V$1,'Data qoq'!$A$1:$AT$1,),))</f>
        <v>2.712317359</v>
      </c>
      <c r="W73" s="25">
        <f>IF(VLOOKUP(B73,'Data qoq'!$A:$AT,MATCH($W$1,'Data qoq'!$A$1:$AT$1,),)=0,#N/A,VLOOKUP(B73,'Data qoq'!$A:$AT,MATCH($W$1,'Data qoq'!$A$1:$AT$1,),))</f>
        <v>1.401513902</v>
      </c>
      <c r="X73" s="25">
        <f>IF(VLOOKUP(B73,'Data qoq'!$A:$AT,MATCH($X$1,'Data qoq'!$A$1:$AT$1,),)=0,#N/A,VLOOKUP(B73,'Data qoq'!$A:$AT,MATCH($X$1,'Data qoq'!$A$1:$AT$1,),))</f>
        <v>1.0965971830000001</v>
      </c>
      <c r="Y73" s="25">
        <f>IF(VLOOKUP(B73,'Data qoq'!$A:$AT,MATCH($Y$1,'Data qoq'!$A$1:$AT$1,),)=0,#N/A,VLOOKUP(B73,'Data qoq'!$A:$AT,MATCH($Y$1,'Data qoq'!$A$1:$AT$1,),))</f>
        <v>1.26877576</v>
      </c>
      <c r="Z73" s="25">
        <f>IF(VLOOKUP(B73,'Data qoq'!$A:$AU,MATCH($Z$1,'Data qoq'!$A$1:$AU$1,),)=0,#N/A,VLOOKUP(B73,'Data qoq'!$A:$AU,MATCH($Z$1,'Data qoq'!$A$1:$AU$1,),))</f>
        <v>-8.1822489999999998E-2</v>
      </c>
      <c r="AA73" s="25">
        <f>IF(VLOOKUP(B73,'Data qoq'!$A:$AU,MATCH($AA$1,'Data qoq'!$A$1:$AU$1,),)=0,#N/A,VLOOKUP(B73,'Data qoq'!$A:$AU,MATCH($AA$1,'Data qoq'!$A$1:$AU$1,),))</f>
        <v>1.088063212</v>
      </c>
      <c r="AC73" s="26" t="str">
        <f t="shared" si="9"/>
        <v>2015-Q3</v>
      </c>
      <c r="AD73" s="27">
        <f t="shared" si="10"/>
        <v>-0.178023243</v>
      </c>
      <c r="AE73" s="27">
        <f t="shared" si="11"/>
        <v>-0.178023243</v>
      </c>
    </row>
    <row r="74" spans="2:31" x14ac:dyDescent="0.2">
      <c r="B74" s="24" t="s">
        <v>340</v>
      </c>
      <c r="C74" s="25">
        <f>IF(VLOOKUP(B74,'Data qoq'!$A:$AT,MATCH($C$1,'Data qoq'!$A$1:$AT$1,),)=0,#N/A,VLOOKUP(B74,'Data qoq'!$A:$AT,MATCH($C$1,'Data qoq'!$A$1:$AT$1,),))</f>
        <v>0.14623434699999999</v>
      </c>
      <c r="D74" s="25">
        <f>IF(VLOOKUP(B74,'Data qoq'!$A:$AT,MATCH($D$1,'Data qoq'!$A$1:$AT$1,),)=0,#N/A,VLOOKUP(B74,'Data qoq'!$A:$AT,MATCH($D$1,'Data qoq'!$A$1:$AT$1,),))</f>
        <v>1.7</v>
      </c>
      <c r="E74" s="25">
        <f>IF(VLOOKUP(B74,'Data qoq'!$A:$AT,MATCH($E$1,'Data qoq'!$A$1:$AT$1,),)=0,#N/A,VLOOKUP(B74,'Data qoq'!$A:$AT,MATCH($E$1,'Data qoq'!$A$1:$AT$1,),))</f>
        <v>0.46111400000000002</v>
      </c>
      <c r="F74" s="25">
        <f>IF(VLOOKUP(B74,'Data qoq'!$A:$AT,MATCH($F$1,'Data qoq'!$A$1:$AT$1,),)=0,#N/A,VLOOKUP(B74,'Data qoq'!$A:$AT,MATCH($F$1,'Data qoq'!$A$1:$AT$1,),))</f>
        <v>-0.133772683</v>
      </c>
      <c r="G74" s="25">
        <f>IF(VLOOKUP(B74,'Data qoq'!$A:$AT,MATCH($G$1,'Data qoq'!$A$1:$AT$1,),)=0,#N/A,VLOOKUP(B74,'Data qoq'!$A:$AT,MATCH($G$1,'Data qoq'!$A$1:$AT$1,),))</f>
        <v>0.42905977699999998</v>
      </c>
      <c r="H74" s="25">
        <f>IF(VLOOKUP(B74,'Data qoq'!$A:$AT,MATCH($H$1,'Data qoq'!$A$1:$AT$1,),)=0,#N/A,VLOOKUP(B74,'Data qoq'!$A:$AT,MATCH($H$1,'Data qoq'!$A$1:$AT$1,),))</f>
        <v>0.15786436500000001</v>
      </c>
      <c r="I74" s="25">
        <f>IF(VLOOKUP(B74,'Data qoq'!$A:$AT,MATCH($I$1,'Data qoq'!$A$1:$AT$1,),)=0,#N/A,VLOOKUP(B74,'Data qoq'!$A:$AT,MATCH($I$1,'Data qoq'!$A$1:$AT$1,),))</f>
        <v>0.67986169799999996</v>
      </c>
      <c r="J74" s="25">
        <f>IF(VLOOKUP(B74,'Data qoq'!$A:$AT,MATCH($J$1,'Data qoq'!$A$1:$AT$1,),)=0,#N/A,VLOOKUP(B74,'Data qoq'!$A:$AT,MATCH($J$1,'Data qoq'!$A$1:$AT$1,),))</f>
        <v>0.528458231</v>
      </c>
      <c r="K74" s="25">
        <f>IF(VLOOKUP(B74,'Data qoq'!$A:$AT,MATCH($K$1,'Data qoq'!$A$1:$AT$1,),)=0,#N/A,VLOOKUP(B74,'Data qoq'!$A:$AT,MATCH($K$1,'Data qoq'!$A$1:$AT$1,),))</f>
        <v>0.96906241500000001</v>
      </c>
      <c r="L74" s="25">
        <f>IF(VLOOKUP(B74,'Data qoq'!$A:$AT,MATCH($L$1,'Data qoq'!$A$1:$AT$1,),)=0,#N/A,VLOOKUP(B74,'Data qoq'!$A:$AT,MATCH($L$1,'Data qoq'!$A$1:$AT$1,),))</f>
        <v>0.75469475200000002</v>
      </c>
      <c r="M74" s="25">
        <f>IF(VLOOKUP(B74,'Data qoq'!$A:$AT,MATCH($M$1,'Data qoq'!$A$1:$AT$1,),)=0,#N/A,VLOOKUP(B74,'Data qoq'!$A:$AT,MATCH($M$1,'Data qoq'!$A$1:$AT$1,),))</f>
        <v>-0.36044803800000003</v>
      </c>
      <c r="N74" s="25">
        <f>IF(VLOOKUP(B74,'Data qoq'!$A:$AT,MATCH($N$1,'Data qoq'!$A$1:$AT$1,),)=0,#N/A,VLOOKUP(B74,'Data qoq'!$A:$AT,MATCH($N$1,'Data qoq'!$A$1:$AT$1,),))</f>
        <v>-0.25779131700000002</v>
      </c>
      <c r="O74" s="25">
        <f>IF(VLOOKUP(B74,'Data qoq'!$A:$AT,MATCH($O$1,'Data qoq'!$J$1:$AT$1,),)=0,#N/A,VLOOKUP(B74,'Data qoq'!$A:$AT,MATCH($O$1,'Data qoq'!$J$1:$AT$1,),))</f>
        <v>0.96906241500000001</v>
      </c>
      <c r="P74" s="25">
        <f>IF(VLOOKUP(B74,'Data qoq'!$A:$AT,MATCH($P$1,'Data qoq'!$A$1:$AT$1,),)=0,#N/A,VLOOKUP(B74,'Data qoq'!$A:$AT,MATCH($P$1,'Data qoq'!$A$1:$AT$1,),))</f>
        <v>7.4877375999999995E-2</v>
      </c>
      <c r="Q74" s="25">
        <f>IF(VLOOKUP(B74,'Data qoq'!$A:$AT,MATCH($Q$1,'Data qoq'!$A$1:$AT$1,),)=0,#N/A,VLOOKUP(B74,'Data qoq'!$A:$AT,MATCH($Q$1,'Data qoq'!$A$1:$AT$1,),))</f>
        <v>0.62715309799999996</v>
      </c>
      <c r="R74" s="25">
        <f>IF(VLOOKUP(B74,'Data qoq'!$A:$AT,MATCH($R$1,'Data qoq'!$A$1:$AT$1,),)=0,#N/A,VLOOKUP(B74,'Data qoq'!$A:$AT,MATCH($R$1,'Data qoq'!$A$1:$AT$1,),))</f>
        <v>0.38640235299999998</v>
      </c>
      <c r="S74" s="25">
        <f>IF(VLOOKUP(B74,'Data qoq'!$A:$AT,MATCH($S$1,'Data qoq'!$A$1:$AT$1,),)=0,#N/A,VLOOKUP(B74,'Data qoq'!$A:$AT,MATCH($S$1,'Data qoq'!$A$1:$AT$1,),))</f>
        <v>0.65931548799999995</v>
      </c>
      <c r="T74" s="25">
        <f>IF(VLOOKUP(B74,'Data qoq'!$A:$AT,MATCH($T$1,'Data qoq'!$A$1:$AT$1,),)=0,#N/A,VLOOKUP(B74,'Data qoq'!$A:$AT,MATCH($T$1,'Data qoq'!$A$1:$AT$1,),))</f>
        <v>-0.785998694</v>
      </c>
      <c r="U74" s="25">
        <f>IF(VLOOKUP(B74,'Data qoq'!$A:$AT,MATCH($U$1,'Data qoq'!$A$1:$AT$1,),)=0,#N/A,VLOOKUP(B74,'Data qoq'!$A:$AT,MATCH($U$1,'Data qoq'!$A$1:$AT$1,),))</f>
        <v>1.7960908369999999</v>
      </c>
      <c r="V74" s="25">
        <f>IF(VLOOKUP(B74,'Data qoq'!$A:$AT,MATCH($V$1,'Data qoq'!$A$1:$AT$1,),)=0,#N/A,VLOOKUP(B74,'Data qoq'!$A:$AT,MATCH($V$1,'Data qoq'!$A$1:$AT$1,),))</f>
        <v>1.508858362</v>
      </c>
      <c r="W74" s="25">
        <f>IF(VLOOKUP(B74,'Data qoq'!$A:$AT,MATCH($W$1,'Data qoq'!$A$1:$AT$1,),)=0,#N/A,VLOOKUP(B74,'Data qoq'!$A:$AT,MATCH($W$1,'Data qoq'!$A$1:$AT$1,),))</f>
        <v>1.166866867</v>
      </c>
      <c r="X74" s="25">
        <f>IF(VLOOKUP(B74,'Data qoq'!$A:$AT,MATCH($X$1,'Data qoq'!$A$1:$AT$1,),)=0,#N/A,VLOOKUP(B74,'Data qoq'!$A:$AT,MATCH($X$1,'Data qoq'!$A$1:$AT$1,),))</f>
        <v>0.64299632500000004</v>
      </c>
      <c r="Y74" s="25">
        <f>IF(VLOOKUP(B74,'Data qoq'!$A:$AT,MATCH($Y$1,'Data qoq'!$A$1:$AT$1,),)=0,#N/A,VLOOKUP(B74,'Data qoq'!$A:$AT,MATCH($Y$1,'Data qoq'!$A$1:$AT$1,),))</f>
        <v>1.2420405130000001</v>
      </c>
      <c r="Z74" s="25">
        <f>IF(VLOOKUP(B74,'Data qoq'!$A:$AU,MATCH($Z$1,'Data qoq'!$A$1:$AU$1,),)=0,#N/A,VLOOKUP(B74,'Data qoq'!$A:$AU,MATCH($Z$1,'Data qoq'!$A$1:$AU$1,),))</f>
        <v>-1.1530723119999999</v>
      </c>
      <c r="AA74" s="25">
        <f>IF(VLOOKUP(B74,'Data qoq'!$A:$AU,MATCH($AA$1,'Data qoq'!$A$1:$AU$1,),)=0,#N/A,VLOOKUP(B74,'Data qoq'!$A:$AU,MATCH($AA$1,'Data qoq'!$A$1:$AU$1,),))</f>
        <v>1.0341307470000001</v>
      </c>
      <c r="AC74" s="26" t="str">
        <f t="shared" si="9"/>
        <v>2015-Q4</v>
      </c>
      <c r="AD74" s="27">
        <f t="shared" si="10"/>
        <v>-0.28282542999999999</v>
      </c>
      <c r="AE74" s="27">
        <f t="shared" si="11"/>
        <v>-0.28282542999999999</v>
      </c>
    </row>
    <row r="75" spans="2:31" x14ac:dyDescent="0.2">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0.55174500000000004</v>
      </c>
      <c r="F75" s="25">
        <f>IF(VLOOKUP(B75,'Data qoq'!$A:$AT,MATCH($F$1,'Data qoq'!$A$1:$AT$1,),)=0,#N/A,VLOOKUP(B75,'Data qoq'!$A:$AT,MATCH($F$1,'Data qoq'!$A$1:$AT$1,),))</f>
        <v>0.73097273699999998</v>
      </c>
      <c r="G75" s="25">
        <f>IF(VLOOKUP(B75,'Data qoq'!$A:$AT,MATCH($G$1,'Data qoq'!$A$1:$AT$1,),)=0,#N/A,VLOOKUP(B75,'Data qoq'!$A:$AT,MATCH($G$1,'Data qoq'!$A$1:$AT$1,),))</f>
        <v>0.81722940200000005</v>
      </c>
      <c r="H75" s="25">
        <f>IF(VLOOKUP(B75,'Data qoq'!$A:$AT,MATCH($H$1,'Data qoq'!$A$1:$AT$1,),)=0,#N/A,VLOOKUP(B75,'Data qoq'!$A:$AT,MATCH($H$1,'Data qoq'!$A$1:$AT$1,),))</f>
        <v>0.61798505299999995</v>
      </c>
      <c r="I75" s="25">
        <f>IF(VLOOKUP(B75,'Data qoq'!$A:$AT,MATCH($I$1,'Data qoq'!$A$1:$AT$1,),)=0,#N/A,VLOOKUP(B75,'Data qoq'!$A:$AT,MATCH($I$1,'Data qoq'!$A$1:$AT$1,),))</f>
        <v>0.44164719800000002</v>
      </c>
      <c r="J75" s="25">
        <f>IF(VLOOKUP(B75,'Data qoq'!$A:$AT,MATCH($J$1,'Data qoq'!$A$1:$AT$1,),)=0,#N/A,VLOOKUP(B75,'Data qoq'!$A:$AT,MATCH($J$1,'Data qoq'!$A$1:$AT$1,),))</f>
        <v>0.27258472500000003</v>
      </c>
      <c r="K75" s="25">
        <f>IF(VLOOKUP(B75,'Data qoq'!$A:$AT,MATCH($K$1,'Data qoq'!$A$1:$AT$1,),)=0,#N/A,VLOOKUP(B75,'Data qoq'!$A:$AT,MATCH($K$1,'Data qoq'!$A$1:$AT$1,),))</f>
        <v>0.67765105400000003</v>
      </c>
      <c r="L75" s="25">
        <f>IF(VLOOKUP(B75,'Data qoq'!$A:$AT,MATCH($L$1,'Data qoq'!$A$1:$AT$1,),)=0,#N/A,VLOOKUP(B75,'Data qoq'!$A:$AT,MATCH($L$1,'Data qoq'!$A$1:$AT$1,),))</f>
        <v>-0.109165655</v>
      </c>
      <c r="M75" s="25">
        <f>IF(VLOOKUP(B75,'Data qoq'!$A:$AT,MATCH($M$1,'Data qoq'!$A$1:$AT$1,),)=0,#N/A,VLOOKUP(B75,'Data qoq'!$A:$AT,MATCH($M$1,'Data qoq'!$A$1:$AT$1,),))</f>
        <v>0.56966510299999995</v>
      </c>
      <c r="N75" s="25">
        <f>IF(VLOOKUP(B75,'Data qoq'!$A:$AT,MATCH($N$1,'Data qoq'!$A$1:$AT$1,),)=0,#N/A,VLOOKUP(B75,'Data qoq'!$A:$AT,MATCH($N$1,'Data qoq'!$A$1:$AT$1,),))</f>
        <v>0.19005752400000001</v>
      </c>
      <c r="O75" s="25">
        <f>IF(VLOOKUP(B75,'Data qoq'!$A:$AT,MATCH($O$1,'Data qoq'!$J$1:$AT$1,),)=0,#N/A,VLOOKUP(B75,'Data qoq'!$A:$AT,MATCH($O$1,'Data qoq'!$J$1:$AT$1,),))</f>
        <v>0.67765105400000003</v>
      </c>
      <c r="P75" s="25">
        <f>IF(VLOOKUP(B75,'Data qoq'!$A:$AT,MATCH($P$1,'Data qoq'!$A$1:$AT$1,),)=0,#N/A,VLOOKUP(B75,'Data qoq'!$A:$AT,MATCH($P$1,'Data qoq'!$A$1:$AT$1,),))</f>
        <v>0.54850083999999999</v>
      </c>
      <c r="Q75" s="25">
        <f>IF(VLOOKUP(B75,'Data qoq'!$A:$AT,MATCH($Q$1,'Data qoq'!$A$1:$AT$1,),)=0,#N/A,VLOOKUP(B75,'Data qoq'!$A:$AT,MATCH($Q$1,'Data qoq'!$A$1:$AT$1,),))</f>
        <v>0.85728792799999998</v>
      </c>
      <c r="R75" s="25">
        <f>IF(VLOOKUP(B75,'Data qoq'!$A:$AT,MATCH($R$1,'Data qoq'!$A$1:$AT$1,),)=0,#N/A,VLOOKUP(B75,'Data qoq'!$A:$AT,MATCH($R$1,'Data qoq'!$A$1:$AT$1,),))</f>
        <v>0.44650357099999999</v>
      </c>
      <c r="S75" s="25">
        <f>IF(VLOOKUP(B75,'Data qoq'!$A:$AT,MATCH($S$1,'Data qoq'!$A$1:$AT$1,),)=0,#N/A,VLOOKUP(B75,'Data qoq'!$A:$AT,MATCH($S$1,'Data qoq'!$A$1:$AT$1,),))</f>
        <v>0.30727754299999999</v>
      </c>
      <c r="T75" s="25">
        <f>IF(VLOOKUP(B75,'Data qoq'!$A:$AT,MATCH($T$1,'Data qoq'!$A$1:$AT$1,),)=0,#N/A,VLOOKUP(B75,'Data qoq'!$A:$AT,MATCH($T$1,'Data qoq'!$A$1:$AT$1,),))</f>
        <v>-1.5932201050000001</v>
      </c>
      <c r="U75" s="25">
        <f>IF(VLOOKUP(B75,'Data qoq'!$A:$AT,MATCH($U$1,'Data qoq'!$A$1:$AT$1,),)=0,#N/A,VLOOKUP(B75,'Data qoq'!$A:$AT,MATCH($U$1,'Data qoq'!$A$1:$AT$1,),))</f>
        <v>-0.87706350099999997</v>
      </c>
      <c r="V75" s="25">
        <f>IF(VLOOKUP(B75,'Data qoq'!$A:$AT,MATCH($V$1,'Data qoq'!$A$1:$AT$1,),)=0,#N/A,VLOOKUP(B75,'Data qoq'!$A:$AT,MATCH($V$1,'Data qoq'!$A$1:$AT$1,),))</f>
        <v>-2.9844787689999999</v>
      </c>
      <c r="W75" s="25">
        <f>IF(VLOOKUP(B75,'Data qoq'!$A:$AT,MATCH($W$1,'Data qoq'!$A$1:$AT$1,),)=0,#N/A,VLOOKUP(B75,'Data qoq'!$A:$AT,MATCH($W$1,'Data qoq'!$A$1:$AT$1,),))</f>
        <v>0.36153796799999999</v>
      </c>
      <c r="X75" s="25">
        <f>IF(VLOOKUP(B75,'Data qoq'!$A:$AT,MATCH($X$1,'Data qoq'!$A$1:$AT$1,),)=0,#N/A,VLOOKUP(B75,'Data qoq'!$A:$AT,MATCH($X$1,'Data qoq'!$A$1:$AT$1,),))</f>
        <v>0.16334534000000001</v>
      </c>
      <c r="Y75" s="25">
        <f>IF(VLOOKUP(B75,'Data qoq'!$A:$AT,MATCH($Y$1,'Data qoq'!$A$1:$AT$1,),)=0,#N/A,VLOOKUP(B75,'Data qoq'!$A:$AT,MATCH($Y$1,'Data qoq'!$A$1:$AT$1,),))</f>
        <v>-0.29561784200000002</v>
      </c>
      <c r="Z75" s="25">
        <f>IF(VLOOKUP(B75,'Data qoq'!$A:$AU,MATCH($Z$1,'Data qoq'!$A$1:$AU$1,),)=0,#N/A,VLOOKUP(B75,'Data qoq'!$A:$AU,MATCH($Z$1,'Data qoq'!$A$1:$AU$1,),))</f>
        <v>-0.87405405199999997</v>
      </c>
      <c r="AA75" s="25">
        <f>IF(VLOOKUP(B75,'Data qoq'!$A:$AU,MATCH($AA$1,'Data qoq'!$A$1:$AU$1,),)=0,#N/A,VLOOKUP(B75,'Data qoq'!$A:$AU,MATCH($AA$1,'Data qoq'!$A$1:$AU$1,),))</f>
        <v>1.157228852</v>
      </c>
      <c r="AC75" s="26" t="str">
        <f t="shared" ref="AC75:AC97" si="12">B75</f>
        <v>2016-Q1</v>
      </c>
      <c r="AD75" s="27">
        <f t="shared" ref="AD75:AD106" si="13">(VLOOKUP(AC75,B:Y,MATCH($AE$6,$B$1:$Y$1,),))-(VLOOKUP(AC75,B:Y,MATCH($AE$7,$B$1:$Y$1,),))</f>
        <v>-0.22804953300000008</v>
      </c>
      <c r="AE75" s="27">
        <f t="shared" ref="AE75:AE97" si="14">C75-G75</f>
        <v>-0.22804953300000008</v>
      </c>
    </row>
    <row r="76" spans="2:31" x14ac:dyDescent="0.2">
      <c r="B76" s="24" t="s">
        <v>342</v>
      </c>
      <c r="C76" s="25">
        <f>IF(VLOOKUP(B76,'Data qoq'!$A:$AT,MATCH($C$1,'Data qoq'!$A$1:$AT$1,),)=0,#N/A,VLOOKUP(B76,'Data qoq'!$A:$AT,MATCH($C$1,'Data qoq'!$A$1:$AT$1,),))</f>
        <v>0.30238880699999998</v>
      </c>
      <c r="D76" s="25">
        <f>IF(VLOOKUP(B76,'Data qoq'!$A:$AT,MATCH($D$1,'Data qoq'!$A$1:$AT$1,),)=0,#N/A,VLOOKUP(B76,'Data qoq'!$A:$AT,MATCH($D$1,'Data qoq'!$A$1:$AT$1,),))</f>
        <v>2</v>
      </c>
      <c r="E76" s="25">
        <f>IF(VLOOKUP(B76,'Data qoq'!$A:$AT,MATCH($E$1,'Data qoq'!$A$1:$AT$1,),)=0,#N/A,VLOOKUP(B76,'Data qoq'!$A:$AT,MATCH($E$1,'Data qoq'!$A$1:$AT$1,),))</f>
        <v>0.25132900000000002</v>
      </c>
      <c r="F76" s="25">
        <f>IF(VLOOKUP(B76,'Data qoq'!$A:$AT,MATCH($F$1,'Data qoq'!$A$1:$AT$1,),)=0,#N/A,VLOOKUP(B76,'Data qoq'!$A:$AT,MATCH($F$1,'Data qoq'!$A$1:$AT$1,),))</f>
        <v>-0.14741088899999999</v>
      </c>
      <c r="G76" s="25">
        <f>IF(VLOOKUP(B76,'Data qoq'!$A:$AT,MATCH($G$1,'Data qoq'!$A$1:$AT$1,),)=0,#N/A,VLOOKUP(B76,'Data qoq'!$A:$AT,MATCH($G$1,'Data qoq'!$A$1:$AT$1,),))</f>
        <v>0.41391166099999999</v>
      </c>
      <c r="H76" s="25">
        <f>IF(VLOOKUP(B76,'Data qoq'!$A:$AT,MATCH($H$1,'Data qoq'!$A$1:$AT$1,),)=0,#N/A,VLOOKUP(B76,'Data qoq'!$A:$AT,MATCH($H$1,'Data qoq'!$A$1:$AT$1,),))</f>
        <v>-0.15974761300000001</v>
      </c>
      <c r="I76" s="25">
        <f>IF(VLOOKUP(B76,'Data qoq'!$A:$AT,MATCH($I$1,'Data qoq'!$A$1:$AT$1,),)=0,#N/A,VLOOKUP(B76,'Data qoq'!$A:$AT,MATCH($I$1,'Data qoq'!$A$1:$AT$1,),))</f>
        <v>0.57733733799999998</v>
      </c>
      <c r="J76" s="25">
        <f>IF(VLOOKUP(B76,'Data qoq'!$A:$AT,MATCH($J$1,'Data qoq'!$A$1:$AT$1,),)=0,#N/A,VLOOKUP(B76,'Data qoq'!$A:$AT,MATCH($J$1,'Data qoq'!$A$1:$AT$1,),))</f>
        <v>0.20562630000000001</v>
      </c>
      <c r="K76" s="25">
        <f>IF(VLOOKUP(B76,'Data qoq'!$A:$AT,MATCH($K$1,'Data qoq'!$A$1:$AT$1,),)=0,#N/A,VLOOKUP(B76,'Data qoq'!$A:$AT,MATCH($K$1,'Data qoq'!$A$1:$AT$1,),))</f>
        <v>0.41940912000000002</v>
      </c>
      <c r="L76" s="25">
        <f>IF(VLOOKUP(B76,'Data qoq'!$A:$AT,MATCH($L$1,'Data qoq'!$A$1:$AT$1,),)=0,#N/A,VLOOKUP(B76,'Data qoq'!$A:$AT,MATCH($L$1,'Data qoq'!$A$1:$AT$1,),))</f>
        <v>9.0387940999999999E-2</v>
      </c>
      <c r="M76" s="25">
        <f>IF(VLOOKUP(B76,'Data qoq'!$A:$AT,MATCH($M$1,'Data qoq'!$A$1:$AT$1,),)=0,#N/A,VLOOKUP(B76,'Data qoq'!$A:$AT,MATCH($M$1,'Data qoq'!$A$1:$AT$1,),))</f>
        <v>0.42717574400000002</v>
      </c>
      <c r="N76" s="25">
        <f>IF(VLOOKUP(B76,'Data qoq'!$A:$AT,MATCH($N$1,'Data qoq'!$A$1:$AT$1,),)=0,#N/A,VLOOKUP(B76,'Data qoq'!$A:$AT,MATCH($N$1,'Data qoq'!$A$1:$AT$1,),))</f>
        <v>5.3848740999999999E-2</v>
      </c>
      <c r="O76" s="25">
        <f>IF(VLOOKUP(B76,'Data qoq'!$A:$AT,MATCH($O$1,'Data qoq'!$J$1:$AT$1,),)=0,#N/A,VLOOKUP(B76,'Data qoq'!$A:$AT,MATCH($O$1,'Data qoq'!$J$1:$AT$1,),))</f>
        <v>0.41940912000000002</v>
      </c>
      <c r="P76" s="25">
        <f>IF(VLOOKUP(B76,'Data qoq'!$A:$AT,MATCH($P$1,'Data qoq'!$A$1:$AT$1,),)=0,#N/A,VLOOKUP(B76,'Data qoq'!$A:$AT,MATCH($P$1,'Data qoq'!$A$1:$AT$1,),))</f>
        <v>-0.49171172400000002</v>
      </c>
      <c r="Q76" s="25">
        <f>IF(VLOOKUP(B76,'Data qoq'!$A:$AT,MATCH($Q$1,'Data qoq'!$A$1:$AT$1,),)=0,#N/A,VLOOKUP(B76,'Data qoq'!$A:$AT,MATCH($Q$1,'Data qoq'!$A$1:$AT$1,),))</f>
        <v>0.63026254100000001</v>
      </c>
      <c r="R76" s="25">
        <f>IF(VLOOKUP(B76,'Data qoq'!$A:$AT,MATCH($R$1,'Data qoq'!$A$1:$AT$1,),)=0,#N/A,VLOOKUP(B76,'Data qoq'!$A:$AT,MATCH($R$1,'Data qoq'!$A$1:$AT$1,),))</f>
        <v>0.52085381500000005</v>
      </c>
      <c r="S76" s="25">
        <f>IF(VLOOKUP(B76,'Data qoq'!$A:$AT,MATCH($S$1,'Data qoq'!$A$1:$AT$1,),)=0,#N/A,VLOOKUP(B76,'Data qoq'!$A:$AT,MATCH($S$1,'Data qoq'!$A$1:$AT$1,),))</f>
        <v>1.146251409</v>
      </c>
      <c r="T76" s="25">
        <f>IF(VLOOKUP(B76,'Data qoq'!$A:$AT,MATCH($T$1,'Data qoq'!$A$1:$AT$1,),)=0,#N/A,VLOOKUP(B76,'Data qoq'!$A:$AT,MATCH($T$1,'Data qoq'!$A$1:$AT$1,),))</f>
        <v>0.56254214300000005</v>
      </c>
      <c r="U76" s="25">
        <f>IF(VLOOKUP(B76,'Data qoq'!$A:$AT,MATCH($U$1,'Data qoq'!$A$1:$AT$1,),)=0,#N/A,VLOOKUP(B76,'Data qoq'!$A:$AT,MATCH($U$1,'Data qoq'!$A$1:$AT$1,),))</f>
        <v>-0.335377168</v>
      </c>
      <c r="V76" s="25">
        <f>IF(VLOOKUP(B76,'Data qoq'!$A:$AT,MATCH($V$1,'Data qoq'!$A$1:$AT$1,),)=0,#N/A,VLOOKUP(B76,'Data qoq'!$A:$AT,MATCH($V$1,'Data qoq'!$A$1:$AT$1,),))</f>
        <v>1.5716849150000001</v>
      </c>
      <c r="W76" s="25">
        <f>IF(VLOOKUP(B76,'Data qoq'!$A:$AT,MATCH($W$1,'Data qoq'!$A$1:$AT$1,),)=0,#N/A,VLOOKUP(B76,'Data qoq'!$A:$AT,MATCH($W$1,'Data qoq'!$A$1:$AT$1,),))</f>
        <v>1.4308864020000001</v>
      </c>
      <c r="X76" s="25">
        <f>IF(VLOOKUP(B76,'Data qoq'!$A:$AT,MATCH($X$1,'Data qoq'!$A$1:$AT$1,),)=0,#N/A,VLOOKUP(B76,'Data qoq'!$A:$AT,MATCH($X$1,'Data qoq'!$A$1:$AT$1,),))</f>
        <v>0.33620140100000001</v>
      </c>
      <c r="Y76" s="25">
        <f>IF(VLOOKUP(B76,'Data qoq'!$A:$AT,MATCH($Y$1,'Data qoq'!$A$1:$AT$1,),)=0,#N/A,VLOOKUP(B76,'Data qoq'!$A:$AT,MATCH($Y$1,'Data qoq'!$A$1:$AT$1,),))</f>
        <v>1.3049256849999999</v>
      </c>
      <c r="Z76" s="25">
        <f>IF(VLOOKUP(B76,'Data qoq'!$A:$AU,MATCH($Z$1,'Data qoq'!$A$1:$AU$1,),)=0,#N/A,VLOOKUP(B76,'Data qoq'!$A:$AU,MATCH($Z$1,'Data qoq'!$A$1:$AU$1,),))</f>
        <v>-1.5570118770000001</v>
      </c>
      <c r="AA76" s="25">
        <f>IF(VLOOKUP(B76,'Data qoq'!$A:$AU,MATCH($AA$1,'Data qoq'!$A$1:$AU$1,),)=0,#N/A,VLOOKUP(B76,'Data qoq'!$A:$AU,MATCH($AA$1,'Data qoq'!$A$1:$AU$1,),))</f>
        <v>0.938104151</v>
      </c>
      <c r="AC76" s="26" t="str">
        <f t="shared" si="12"/>
        <v>2016-Q2</v>
      </c>
      <c r="AD76" s="27">
        <f t="shared" si="13"/>
        <v>-0.111522854</v>
      </c>
      <c r="AE76" s="27">
        <f t="shared" si="14"/>
        <v>-0.111522854</v>
      </c>
    </row>
    <row r="77" spans="2:31" x14ac:dyDescent="0.2">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0.45554699999999998</v>
      </c>
      <c r="F77" s="25">
        <f>IF(VLOOKUP(B77,'Data qoq'!$A:$AT,MATCH($F$1,'Data qoq'!$A$1:$AT$1,),)=0,#N/A,VLOOKUP(B77,'Data qoq'!$A:$AT,MATCH($F$1,'Data qoq'!$A$1:$AT$1,),))</f>
        <v>0.156573451</v>
      </c>
      <c r="G77" s="25">
        <f>IF(VLOOKUP(B77,'Data qoq'!$A:$AT,MATCH($G$1,'Data qoq'!$A$1:$AT$1,),)=0,#N/A,VLOOKUP(B77,'Data qoq'!$A:$AT,MATCH($G$1,'Data qoq'!$A$1:$AT$1,),))</f>
        <v>0.34351193000000002</v>
      </c>
      <c r="H77" s="25">
        <f>IF(VLOOKUP(B77,'Data qoq'!$A:$AT,MATCH($H$1,'Data qoq'!$A$1:$AT$1,),)=0,#N/A,VLOOKUP(B77,'Data qoq'!$A:$AT,MATCH($H$1,'Data qoq'!$A$1:$AT$1,),))</f>
        <v>0.193245892</v>
      </c>
      <c r="I77" s="25">
        <f>IF(VLOOKUP(B77,'Data qoq'!$A:$AT,MATCH($I$1,'Data qoq'!$A$1:$AT$1,),)=0,#N/A,VLOOKUP(B77,'Data qoq'!$A:$AT,MATCH($I$1,'Data qoq'!$A$1:$AT$1,),))</f>
        <v>0.445252857</v>
      </c>
      <c r="J77" s="25">
        <f>IF(VLOOKUP(B77,'Data qoq'!$A:$AT,MATCH($J$1,'Data qoq'!$A$1:$AT$1,),)=0,#N/A,VLOOKUP(B77,'Data qoq'!$A:$AT,MATCH($J$1,'Data qoq'!$A$1:$AT$1,),))</f>
        <v>0.56670361000000002</v>
      </c>
      <c r="K77" s="25">
        <f>IF(VLOOKUP(B77,'Data qoq'!$A:$AT,MATCH($K$1,'Data qoq'!$A$1:$AT$1,),)=0,#N/A,VLOOKUP(B77,'Data qoq'!$A:$AT,MATCH($K$1,'Data qoq'!$A$1:$AT$1,),))</f>
        <v>0.88706963000000005</v>
      </c>
      <c r="L77" s="25">
        <f>IF(VLOOKUP(B77,'Data qoq'!$A:$AT,MATCH($L$1,'Data qoq'!$A$1:$AT$1,),)=0,#N/A,VLOOKUP(B77,'Data qoq'!$A:$AT,MATCH($L$1,'Data qoq'!$A$1:$AT$1,),))</f>
        <v>0.301912138</v>
      </c>
      <c r="M77" s="25">
        <f>IF(VLOOKUP(B77,'Data qoq'!$A:$AT,MATCH($M$1,'Data qoq'!$A$1:$AT$1,),)=0,#N/A,VLOOKUP(B77,'Data qoq'!$A:$AT,MATCH($M$1,'Data qoq'!$A$1:$AT$1,),))</f>
        <v>1.094739524</v>
      </c>
      <c r="N77" s="25">
        <f>IF(VLOOKUP(B77,'Data qoq'!$A:$AT,MATCH($N$1,'Data qoq'!$A$1:$AT$1,),)=0,#N/A,VLOOKUP(B77,'Data qoq'!$A:$AT,MATCH($N$1,'Data qoq'!$A$1:$AT$1,),))</f>
        <v>0.10071646400000001</v>
      </c>
      <c r="O77" s="25">
        <f>IF(VLOOKUP(B77,'Data qoq'!$A:$AT,MATCH($O$1,'Data qoq'!$J$1:$AT$1,),)=0,#N/A,VLOOKUP(B77,'Data qoq'!$A:$AT,MATCH($O$1,'Data qoq'!$J$1:$AT$1,),))</f>
        <v>0.88706963000000005</v>
      </c>
      <c r="P77" s="25">
        <f>IF(VLOOKUP(B77,'Data qoq'!$A:$AT,MATCH($P$1,'Data qoq'!$A$1:$AT$1,),)=0,#N/A,VLOOKUP(B77,'Data qoq'!$A:$AT,MATCH($P$1,'Data qoq'!$A$1:$AT$1,),))</f>
        <v>1.031213682</v>
      </c>
      <c r="Q77" s="25">
        <f>IF(VLOOKUP(B77,'Data qoq'!$A:$AT,MATCH($Q$1,'Data qoq'!$A$1:$AT$1,),)=0,#N/A,VLOOKUP(B77,'Data qoq'!$A:$AT,MATCH($Q$1,'Data qoq'!$A$1:$AT$1,),))</f>
        <v>0.13183321200000001</v>
      </c>
      <c r="R77" s="25">
        <f>IF(VLOOKUP(B77,'Data qoq'!$A:$AT,MATCH($R$1,'Data qoq'!$A$1:$AT$1,),)=0,#N/A,VLOOKUP(B77,'Data qoq'!$A:$AT,MATCH($R$1,'Data qoq'!$A$1:$AT$1,),))</f>
        <v>0.547473459</v>
      </c>
      <c r="S77" s="25">
        <f>IF(VLOOKUP(B77,'Data qoq'!$A:$AT,MATCH($S$1,'Data qoq'!$A$1:$AT$1,),)=0,#N/A,VLOOKUP(B77,'Data qoq'!$A:$AT,MATCH($S$1,'Data qoq'!$A$1:$AT$1,),))</f>
        <v>0.494029045</v>
      </c>
      <c r="T77" s="25">
        <f>IF(VLOOKUP(B77,'Data qoq'!$A:$AT,MATCH($T$1,'Data qoq'!$A$1:$AT$1,),)=0,#N/A,VLOOKUP(B77,'Data qoq'!$A:$AT,MATCH($T$1,'Data qoq'!$A$1:$AT$1,),))</f>
        <v>-0.62908175</v>
      </c>
      <c r="U77" s="25">
        <f>IF(VLOOKUP(B77,'Data qoq'!$A:$AT,MATCH($U$1,'Data qoq'!$A$1:$AT$1,),)=0,#N/A,VLOOKUP(B77,'Data qoq'!$A:$AT,MATCH($U$1,'Data qoq'!$A$1:$AT$1,),))</f>
        <v>0.33502098699999999</v>
      </c>
      <c r="V77" s="25">
        <f>IF(VLOOKUP(B77,'Data qoq'!$A:$AT,MATCH($V$1,'Data qoq'!$A$1:$AT$1,),)=0,#N/A,VLOOKUP(B77,'Data qoq'!$A:$AT,MATCH($V$1,'Data qoq'!$A$1:$AT$1,),))</f>
        <v>-1.1940470329999999</v>
      </c>
      <c r="W77" s="25">
        <f>IF(VLOOKUP(B77,'Data qoq'!$A:$AT,MATCH($W$1,'Data qoq'!$A$1:$AT$1,),)=0,#N/A,VLOOKUP(B77,'Data qoq'!$A:$AT,MATCH($W$1,'Data qoq'!$A$1:$AT$1,),))</f>
        <v>-2.8676734260000001</v>
      </c>
      <c r="X77" s="25">
        <f>IF(VLOOKUP(B77,'Data qoq'!$A:$AT,MATCH($X$1,'Data qoq'!$A$1:$AT$1,),)=0,#N/A,VLOOKUP(B77,'Data qoq'!$A:$AT,MATCH($X$1,'Data qoq'!$A$1:$AT$1,),))</f>
        <v>0.80409486900000005</v>
      </c>
      <c r="Y77" s="25">
        <f>IF(VLOOKUP(B77,'Data qoq'!$A:$AT,MATCH($Y$1,'Data qoq'!$A$1:$AT$1,),)=0,#N/A,VLOOKUP(B77,'Data qoq'!$A:$AT,MATCH($Y$1,'Data qoq'!$A$1:$AT$1,),))</f>
        <v>0.25830257499999998</v>
      </c>
      <c r="Z77" s="25">
        <f>IF(VLOOKUP(B77,'Data qoq'!$A:$AU,MATCH($Z$1,'Data qoq'!$A$1:$AU$1,),)=0,#N/A,VLOOKUP(B77,'Data qoq'!$A:$AU,MATCH($Z$1,'Data qoq'!$A$1:$AU$1,),))</f>
        <v>0.27568399199999999</v>
      </c>
      <c r="AA77" s="25">
        <f>IF(VLOOKUP(B77,'Data qoq'!$A:$AU,MATCH($AA$1,'Data qoq'!$A$1:$AU$1,),)=0,#N/A,VLOOKUP(B77,'Data qoq'!$A:$AU,MATCH($AA$1,'Data qoq'!$A$1:$AU$1,),))</f>
        <v>0.9453416</v>
      </c>
      <c r="AC77" s="26" t="str">
        <f t="shared" si="12"/>
        <v>2016-Q3</v>
      </c>
      <c r="AD77" s="27">
        <f t="shared" si="13"/>
        <v>0.25760344899999998</v>
      </c>
      <c r="AE77" s="27">
        <f t="shared" si="14"/>
        <v>0.25760344899999998</v>
      </c>
    </row>
    <row r="78" spans="2:31" x14ac:dyDescent="0.2">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0.74787499999999996</v>
      </c>
      <c r="F78" s="25">
        <f>IF(VLOOKUP(B78,'Data qoq'!$A:$AT,MATCH($F$1,'Data qoq'!$A$1:$AT$1,),)=0,#N/A,VLOOKUP(B78,'Data qoq'!$A:$AT,MATCH($F$1,'Data qoq'!$A$1:$AT$1,),))</f>
        <v>0.18996739600000001</v>
      </c>
      <c r="G78" s="25">
        <f>IF(VLOOKUP(B78,'Data qoq'!$A:$AT,MATCH($G$1,'Data qoq'!$A$1:$AT$1,),)=0,#N/A,VLOOKUP(B78,'Data qoq'!$A:$AT,MATCH($G$1,'Data qoq'!$A$1:$AT$1,),))</f>
        <v>0.31298723099999998</v>
      </c>
      <c r="H78" s="25">
        <f>IF(VLOOKUP(B78,'Data qoq'!$A:$AT,MATCH($H$1,'Data qoq'!$A$1:$AT$1,),)=0,#N/A,VLOOKUP(B78,'Data qoq'!$A:$AT,MATCH($H$1,'Data qoq'!$A$1:$AT$1,),))</f>
        <v>0.54890465200000005</v>
      </c>
      <c r="I78" s="25">
        <f>IF(VLOOKUP(B78,'Data qoq'!$A:$AT,MATCH($I$1,'Data qoq'!$A$1:$AT$1,),)=0,#N/A,VLOOKUP(B78,'Data qoq'!$A:$AT,MATCH($I$1,'Data qoq'!$A$1:$AT$1,),))</f>
        <v>0.73929692000000002</v>
      </c>
      <c r="J78" s="25">
        <f>IF(VLOOKUP(B78,'Data qoq'!$A:$AT,MATCH($J$1,'Data qoq'!$A$1:$AT$1,),)=0,#N/A,VLOOKUP(B78,'Data qoq'!$A:$AT,MATCH($J$1,'Data qoq'!$A$1:$AT$1,),))</f>
        <v>0.28654712500000001</v>
      </c>
      <c r="K78" s="25">
        <f>IF(VLOOKUP(B78,'Data qoq'!$A:$AT,MATCH($K$1,'Data qoq'!$A$1:$AT$1,),)=0,#N/A,VLOOKUP(B78,'Data qoq'!$A:$AT,MATCH($K$1,'Data qoq'!$A$1:$AT$1,),))</f>
        <v>0.46456732499999998</v>
      </c>
      <c r="L78" s="25">
        <f>IF(VLOOKUP(B78,'Data qoq'!$A:$AT,MATCH($L$1,'Data qoq'!$A$1:$AT$1,),)=0,#N/A,VLOOKUP(B78,'Data qoq'!$A:$AT,MATCH($L$1,'Data qoq'!$A$1:$AT$1,),))</f>
        <v>0.91325455899999997</v>
      </c>
      <c r="M78" s="25">
        <f>IF(VLOOKUP(B78,'Data qoq'!$A:$AT,MATCH($M$1,'Data qoq'!$A$1:$AT$1,),)=0,#N/A,VLOOKUP(B78,'Data qoq'!$A:$AT,MATCH($M$1,'Data qoq'!$A$1:$AT$1,),))</f>
        <v>1.0048415959999999</v>
      </c>
      <c r="N78" s="25">
        <f>IF(VLOOKUP(B78,'Data qoq'!$A:$AT,MATCH($N$1,'Data qoq'!$A$1:$AT$1,),)=0,#N/A,VLOOKUP(B78,'Data qoq'!$A:$AT,MATCH($N$1,'Data qoq'!$A$1:$AT$1,),))</f>
        <v>0.82510593799999998</v>
      </c>
      <c r="O78" s="25">
        <f>IF(VLOOKUP(B78,'Data qoq'!$A:$AT,MATCH($O$1,'Data qoq'!$J$1:$AT$1,),)=0,#N/A,VLOOKUP(B78,'Data qoq'!$A:$AT,MATCH($O$1,'Data qoq'!$J$1:$AT$1,),))</f>
        <v>0.46456732499999998</v>
      </c>
      <c r="P78" s="25">
        <f>IF(VLOOKUP(B78,'Data qoq'!$A:$AT,MATCH($P$1,'Data qoq'!$A$1:$AT$1,),)=0,#N/A,VLOOKUP(B78,'Data qoq'!$A:$AT,MATCH($P$1,'Data qoq'!$A$1:$AT$1,),))</f>
        <v>0.56148308700000005</v>
      </c>
      <c r="Q78" s="25">
        <f>IF(VLOOKUP(B78,'Data qoq'!$A:$AT,MATCH($Q$1,'Data qoq'!$A$1:$AT$1,),)=0,#N/A,VLOOKUP(B78,'Data qoq'!$A:$AT,MATCH($Q$1,'Data qoq'!$A$1:$AT$1,),))</f>
        <v>1.0772932150000001</v>
      </c>
      <c r="R78" s="25">
        <f>IF(VLOOKUP(B78,'Data qoq'!$A:$AT,MATCH($R$1,'Data qoq'!$A$1:$AT$1,),)=0,#N/A,VLOOKUP(B78,'Data qoq'!$A:$AT,MATCH($R$1,'Data qoq'!$A$1:$AT$1,),))</f>
        <v>0.31527579999999999</v>
      </c>
      <c r="S78" s="25">
        <f>IF(VLOOKUP(B78,'Data qoq'!$A:$AT,MATCH($S$1,'Data qoq'!$A$1:$AT$1,),)=0,#N/A,VLOOKUP(B78,'Data qoq'!$A:$AT,MATCH($S$1,'Data qoq'!$A$1:$AT$1,),))</f>
        <v>0.60212118699999995</v>
      </c>
      <c r="T78" s="25">
        <f>IF(VLOOKUP(B78,'Data qoq'!$A:$AT,MATCH($T$1,'Data qoq'!$A$1:$AT$1,),)=0,#N/A,VLOOKUP(B78,'Data qoq'!$A:$AT,MATCH($T$1,'Data qoq'!$A$1:$AT$1,),))</f>
        <v>-0.181624691</v>
      </c>
      <c r="U78" s="25">
        <f>IF(VLOOKUP(B78,'Data qoq'!$A:$AT,MATCH($U$1,'Data qoq'!$A$1:$AT$1,),)=0,#N/A,VLOOKUP(B78,'Data qoq'!$A:$AT,MATCH($U$1,'Data qoq'!$A$1:$AT$1,),))</f>
        <v>0.65535944999999995</v>
      </c>
      <c r="V78" s="25">
        <f>IF(VLOOKUP(B78,'Data qoq'!$A:$AT,MATCH($V$1,'Data qoq'!$A$1:$AT$1,),)=0,#N/A,VLOOKUP(B78,'Data qoq'!$A:$AT,MATCH($V$1,'Data qoq'!$A$1:$AT$1,),))</f>
        <v>11.784117294</v>
      </c>
      <c r="W78" s="25">
        <f>IF(VLOOKUP(B78,'Data qoq'!$A:$AT,MATCH($W$1,'Data qoq'!$A$1:$AT$1,),)=0,#N/A,VLOOKUP(B78,'Data qoq'!$A:$AT,MATCH($W$1,'Data qoq'!$A$1:$AT$1,),))</f>
        <v>5.5096115960000001</v>
      </c>
      <c r="X78" s="25">
        <f>IF(VLOOKUP(B78,'Data qoq'!$A:$AT,MATCH($X$1,'Data qoq'!$A$1:$AT$1,),)=0,#N/A,VLOOKUP(B78,'Data qoq'!$A:$AT,MATCH($X$1,'Data qoq'!$A$1:$AT$1,),))</f>
        <v>0.85128584900000004</v>
      </c>
      <c r="Y78" s="25">
        <f>IF(VLOOKUP(B78,'Data qoq'!$A:$AT,MATCH($Y$1,'Data qoq'!$A$1:$AT$1,),)=0,#N/A,VLOOKUP(B78,'Data qoq'!$A:$AT,MATCH($Y$1,'Data qoq'!$A$1:$AT$1,),))</f>
        <v>2.2926702130000001</v>
      </c>
      <c r="Z78" s="25">
        <f>IF(VLOOKUP(B78,'Data qoq'!$A:$AU,MATCH($Z$1,'Data qoq'!$A$1:$AU$1,),)=0,#N/A,VLOOKUP(B78,'Data qoq'!$A:$AU,MATCH($Z$1,'Data qoq'!$A$1:$AU$1,),))</f>
        <v>0.59224981700000001</v>
      </c>
      <c r="AA78" s="25">
        <f>IF(VLOOKUP(B78,'Data qoq'!$A:$AU,MATCH($AA$1,'Data qoq'!$A$1:$AU$1,),)=0,#N/A,VLOOKUP(B78,'Data qoq'!$A:$AU,MATCH($AA$1,'Data qoq'!$A$1:$AU$1,),))</f>
        <v>0.33839502300000002</v>
      </c>
      <c r="AC78" s="26" t="str">
        <f t="shared" si="12"/>
        <v>2016-Q4</v>
      </c>
      <c r="AD78" s="27">
        <f t="shared" si="13"/>
        <v>0.18390156500000004</v>
      </c>
      <c r="AE78" s="27">
        <f t="shared" si="14"/>
        <v>0.18390156500000004</v>
      </c>
    </row>
    <row r="79" spans="2:31" x14ac:dyDescent="0.2">
      <c r="B79" s="24" t="s">
        <v>345</v>
      </c>
      <c r="C79" s="25">
        <f>IF(VLOOKUP(B79,'Data qoq'!$A:$AT,MATCH($C$1,'Data qoq'!$A$1:$AT$1,),)=0,#N/A,VLOOKUP(B79,'Data qoq'!$A:$AT,MATCH($C$1,'Data qoq'!$A$1:$AT$1,),))</f>
        <v>0.47193104200000002</v>
      </c>
      <c r="D79" s="25">
        <f>IF(VLOOKUP(B79,'Data qoq'!$A:$AT,MATCH($D$1,'Data qoq'!$A$1:$AT$1,),)=0,#N/A,VLOOKUP(B79,'Data qoq'!$A:$AT,MATCH($D$1,'Data qoq'!$A$1:$AT$1,),))</f>
        <v>1.8</v>
      </c>
      <c r="E79" s="25">
        <f>IF(VLOOKUP(B79,'Data qoq'!$A:$AT,MATCH($E$1,'Data qoq'!$A$1:$AT$1,),)=0,#N/A,VLOOKUP(B79,'Data qoq'!$A:$AT,MATCH($E$1,'Data qoq'!$A$1:$AT$1,),))</f>
        <v>0.70815399999999995</v>
      </c>
      <c r="F79" s="25">
        <f>IF(VLOOKUP(B79,'Data qoq'!$A:$AT,MATCH($F$1,'Data qoq'!$A$1:$AT$1,),)=0,#N/A,VLOOKUP(B79,'Data qoq'!$A:$AT,MATCH($F$1,'Data qoq'!$A$1:$AT$1,),))</f>
        <v>0.80813740000000001</v>
      </c>
      <c r="G79" s="25">
        <f>IF(VLOOKUP(B79,'Data qoq'!$A:$AT,MATCH($G$1,'Data qoq'!$A$1:$AT$1,),)=0,#N/A,VLOOKUP(B79,'Data qoq'!$A:$AT,MATCH($G$1,'Data qoq'!$A$1:$AT$1,),))</f>
        <v>1.218802299</v>
      </c>
      <c r="H79" s="25">
        <f>IF(VLOOKUP(B79,'Data qoq'!$A:$AT,MATCH($H$1,'Data qoq'!$A$1:$AT$1,),)=0,#N/A,VLOOKUP(B79,'Data qoq'!$A:$AT,MATCH($H$1,'Data qoq'!$A$1:$AT$1,),))</f>
        <v>0.80027848400000001</v>
      </c>
      <c r="I79" s="25">
        <f>IF(VLOOKUP(B79,'Data qoq'!$A:$AT,MATCH($I$1,'Data qoq'!$A$1:$AT$1,),)=0,#N/A,VLOOKUP(B79,'Data qoq'!$A:$AT,MATCH($I$1,'Data qoq'!$A$1:$AT$1,),))</f>
        <v>0.64983610300000005</v>
      </c>
      <c r="J79" s="25">
        <f>IF(VLOOKUP(B79,'Data qoq'!$A:$AT,MATCH($J$1,'Data qoq'!$A$1:$AT$1,),)=0,#N/A,VLOOKUP(B79,'Data qoq'!$A:$AT,MATCH($J$1,'Data qoq'!$A$1:$AT$1,),))</f>
        <v>0.54926057800000005</v>
      </c>
      <c r="K79" s="25">
        <f>IF(VLOOKUP(B79,'Data qoq'!$A:$AT,MATCH($K$1,'Data qoq'!$A$1:$AT$1,),)=0,#N/A,VLOOKUP(B79,'Data qoq'!$A:$AT,MATCH($K$1,'Data qoq'!$A$1:$AT$1,),))</f>
        <v>0.79378965800000001</v>
      </c>
      <c r="L79" s="25">
        <f>IF(VLOOKUP(B79,'Data qoq'!$A:$AT,MATCH($L$1,'Data qoq'!$A$1:$AT$1,),)=0,#N/A,VLOOKUP(B79,'Data qoq'!$A:$AT,MATCH($L$1,'Data qoq'!$A$1:$AT$1,),))</f>
        <v>0.41721139400000001</v>
      </c>
      <c r="M79" s="25">
        <f>IF(VLOOKUP(B79,'Data qoq'!$A:$AT,MATCH($M$1,'Data qoq'!$A$1:$AT$1,),)=0,#N/A,VLOOKUP(B79,'Data qoq'!$A:$AT,MATCH($M$1,'Data qoq'!$A$1:$AT$1,),))</f>
        <v>0.45629989599999998</v>
      </c>
      <c r="N79" s="25">
        <f>IF(VLOOKUP(B79,'Data qoq'!$A:$AT,MATCH($N$1,'Data qoq'!$A$1:$AT$1,),)=0,#N/A,VLOOKUP(B79,'Data qoq'!$A:$AT,MATCH($N$1,'Data qoq'!$A$1:$AT$1,),))</f>
        <v>0.20168498200000001</v>
      </c>
      <c r="O79" s="25">
        <f>IF(VLOOKUP(B79,'Data qoq'!$A:$AT,MATCH($O$1,'Data qoq'!$J$1:$AT$1,),)=0,#N/A,VLOOKUP(B79,'Data qoq'!$A:$AT,MATCH($O$1,'Data qoq'!$J$1:$AT$1,),))</f>
        <v>0.79378965800000001</v>
      </c>
      <c r="P79" s="25">
        <f>IF(VLOOKUP(B79,'Data qoq'!$A:$AT,MATCH($P$1,'Data qoq'!$A$1:$AT$1,),)=0,#N/A,VLOOKUP(B79,'Data qoq'!$A:$AT,MATCH($P$1,'Data qoq'!$A$1:$AT$1,),))</f>
        <v>1.08691958</v>
      </c>
      <c r="Q79" s="25">
        <f>IF(VLOOKUP(B79,'Data qoq'!$A:$AT,MATCH($Q$1,'Data qoq'!$A$1:$AT$1,),)=0,#N/A,VLOOKUP(B79,'Data qoq'!$A:$AT,MATCH($Q$1,'Data qoq'!$A$1:$AT$1,),))</f>
        <v>0.23738910199999999</v>
      </c>
      <c r="R79" s="25">
        <f>IF(VLOOKUP(B79,'Data qoq'!$A:$AT,MATCH($R$1,'Data qoq'!$A$1:$AT$1,),)=0,#N/A,VLOOKUP(B79,'Data qoq'!$A:$AT,MATCH($R$1,'Data qoq'!$A$1:$AT$1,),))</f>
        <v>0.193029216</v>
      </c>
      <c r="S79" s="25">
        <f>IF(VLOOKUP(B79,'Data qoq'!$A:$AT,MATCH($S$1,'Data qoq'!$A$1:$AT$1,),)=0,#N/A,VLOOKUP(B79,'Data qoq'!$A:$AT,MATCH($S$1,'Data qoq'!$A$1:$AT$1,),))</f>
        <v>0.96244083499999999</v>
      </c>
      <c r="T79" s="25">
        <f>IF(VLOOKUP(B79,'Data qoq'!$A:$AT,MATCH($T$1,'Data qoq'!$A$1:$AT$1,),)=0,#N/A,VLOOKUP(B79,'Data qoq'!$A:$AT,MATCH($T$1,'Data qoq'!$A$1:$AT$1,),))</f>
        <v>1.1141978480000001</v>
      </c>
      <c r="U79" s="25">
        <f>IF(VLOOKUP(B79,'Data qoq'!$A:$AT,MATCH($U$1,'Data qoq'!$A$1:$AT$1,),)=0,#N/A,VLOOKUP(B79,'Data qoq'!$A:$AT,MATCH($U$1,'Data qoq'!$A$1:$AT$1,),))</f>
        <v>-0.28094391299999999</v>
      </c>
      <c r="V79" s="25">
        <f>IF(VLOOKUP(B79,'Data qoq'!$A:$AT,MATCH($V$1,'Data qoq'!$A$1:$AT$1,),)=0,#N/A,VLOOKUP(B79,'Data qoq'!$A:$AT,MATCH($V$1,'Data qoq'!$A$1:$AT$1,),))</f>
        <v>-4.3362583839999997</v>
      </c>
      <c r="W79" s="25">
        <f>IF(VLOOKUP(B79,'Data qoq'!$A:$AT,MATCH($W$1,'Data qoq'!$A$1:$AT$1,),)=0,#N/A,VLOOKUP(B79,'Data qoq'!$A:$AT,MATCH($W$1,'Data qoq'!$A$1:$AT$1,),))</f>
        <v>1.368865306</v>
      </c>
      <c r="X79" s="25">
        <f>IF(VLOOKUP(B79,'Data qoq'!$A:$AT,MATCH($X$1,'Data qoq'!$A$1:$AT$1,),)=0,#N/A,VLOOKUP(B79,'Data qoq'!$A:$AT,MATCH($X$1,'Data qoq'!$A$1:$AT$1,),))</f>
        <v>1.5355847119999999</v>
      </c>
      <c r="Y79" s="25">
        <f>IF(VLOOKUP(B79,'Data qoq'!$A:$AT,MATCH($Y$1,'Data qoq'!$A$1:$AT$1,),)=0,#N/A,VLOOKUP(B79,'Data qoq'!$A:$AT,MATCH($Y$1,'Data qoq'!$A$1:$AT$1,),))</f>
        <v>0.94352019300000001</v>
      </c>
      <c r="Z79" s="25">
        <f>IF(VLOOKUP(B79,'Data qoq'!$A:$AU,MATCH($Z$1,'Data qoq'!$A$1:$AU$1,),)=0,#N/A,VLOOKUP(B79,'Data qoq'!$A:$AU,MATCH($Z$1,'Data qoq'!$A$1:$AU$1,),))</f>
        <v>0.96627229599999998</v>
      </c>
      <c r="AA79" s="25">
        <f>IF(VLOOKUP(B79,'Data qoq'!$A:$AU,MATCH($AA$1,'Data qoq'!$A$1:$AU$1,),)=0,#N/A,VLOOKUP(B79,'Data qoq'!$A:$AU,MATCH($AA$1,'Data qoq'!$A$1:$AU$1,),))</f>
        <v>1.0160901200000001</v>
      </c>
      <c r="AC79" s="26" t="str">
        <f t="shared" si="12"/>
        <v>2017-Q1</v>
      </c>
      <c r="AD79" s="27">
        <f t="shared" si="13"/>
        <v>-0.74687125700000001</v>
      </c>
      <c r="AE79" s="27">
        <f t="shared" si="14"/>
        <v>-0.74687125700000001</v>
      </c>
    </row>
    <row r="80" spans="2:31" x14ac:dyDescent="0.2">
      <c r="B80" s="24" t="s">
        <v>346</v>
      </c>
      <c r="C80" s="25">
        <f>IF(VLOOKUP(B80,'Data qoq'!$A:$AT,MATCH($C$1,'Data qoq'!$A$1:$AT$1,),)=0,#N/A,VLOOKUP(B80,'Data qoq'!$A:$AT,MATCH($C$1,'Data qoq'!$A$1:$AT$1,),))</f>
        <v>0.55976482299999997</v>
      </c>
      <c r="D80" s="25">
        <f>IF(VLOOKUP(B80,'Data qoq'!$A:$AT,MATCH($D$1,'Data qoq'!$A$1:$AT$1,),)=0,#N/A,VLOOKUP(B80,'Data qoq'!$A:$AT,MATCH($D$1,'Data qoq'!$A$1:$AT$1,),))</f>
        <v>1.7</v>
      </c>
      <c r="E80" s="25">
        <f>IF(VLOOKUP(B80,'Data qoq'!$A:$AT,MATCH($E$1,'Data qoq'!$A$1:$AT$1,),)=0,#N/A,VLOOKUP(B80,'Data qoq'!$A:$AT,MATCH($E$1,'Data qoq'!$A$1:$AT$1,),))</f>
        <v>0.80342899999999995</v>
      </c>
      <c r="F80" s="25">
        <f>IF(VLOOKUP(B80,'Data qoq'!$A:$AT,MATCH($F$1,'Data qoq'!$A$1:$AT$1,),)=0,#N/A,VLOOKUP(B80,'Data qoq'!$A:$AT,MATCH($F$1,'Data qoq'!$A$1:$AT$1,),))</f>
        <v>0.38826898599999998</v>
      </c>
      <c r="G80" s="25">
        <f>IF(VLOOKUP(B80,'Data qoq'!$A:$AT,MATCH($G$1,'Data qoq'!$A$1:$AT$1,),)=0,#N/A,VLOOKUP(B80,'Data qoq'!$A:$AT,MATCH($G$1,'Data qoq'!$A$1:$AT$1,),))</f>
        <v>0.780268505</v>
      </c>
      <c r="H80" s="25">
        <f>IF(VLOOKUP(B80,'Data qoq'!$A:$AT,MATCH($H$1,'Data qoq'!$A$1:$AT$1,),)=0,#N/A,VLOOKUP(B80,'Data qoq'!$A:$AT,MATCH($H$1,'Data qoq'!$A$1:$AT$1,),))</f>
        <v>0.82486168400000004</v>
      </c>
      <c r="I80" s="25">
        <f>IF(VLOOKUP(B80,'Data qoq'!$A:$AT,MATCH($I$1,'Data qoq'!$A$1:$AT$1,),)=0,#N/A,VLOOKUP(B80,'Data qoq'!$A:$AT,MATCH($I$1,'Data qoq'!$A$1:$AT$1,),))</f>
        <v>0.31074789600000002</v>
      </c>
      <c r="J80" s="25">
        <f>IF(VLOOKUP(B80,'Data qoq'!$A:$AT,MATCH($J$1,'Data qoq'!$A$1:$AT$1,),)=0,#N/A,VLOOKUP(B80,'Data qoq'!$A:$AT,MATCH($J$1,'Data qoq'!$A$1:$AT$1,),))</f>
        <v>0.399895852</v>
      </c>
      <c r="K80" s="25">
        <f>IF(VLOOKUP(B80,'Data qoq'!$A:$AT,MATCH($K$1,'Data qoq'!$A$1:$AT$1,),)=0,#N/A,VLOOKUP(B80,'Data qoq'!$A:$AT,MATCH($K$1,'Data qoq'!$A$1:$AT$1,),))</f>
        <v>1.073786986</v>
      </c>
      <c r="L80" s="25">
        <f>IF(VLOOKUP(B80,'Data qoq'!$A:$AT,MATCH($L$1,'Data qoq'!$A$1:$AT$1,),)=0,#N/A,VLOOKUP(B80,'Data qoq'!$A:$AT,MATCH($L$1,'Data qoq'!$A$1:$AT$1,),))</f>
        <v>1.2823515969999999</v>
      </c>
      <c r="M80" s="25">
        <f>IF(VLOOKUP(B80,'Data qoq'!$A:$AT,MATCH($M$1,'Data qoq'!$A$1:$AT$1,),)=0,#N/A,VLOOKUP(B80,'Data qoq'!$A:$AT,MATCH($M$1,'Data qoq'!$A$1:$AT$1,),))</f>
        <v>0.33979557700000002</v>
      </c>
      <c r="N80" s="25">
        <f>IF(VLOOKUP(B80,'Data qoq'!$A:$AT,MATCH($N$1,'Data qoq'!$A$1:$AT$1,),)=0,#N/A,VLOOKUP(B80,'Data qoq'!$A:$AT,MATCH($N$1,'Data qoq'!$A$1:$AT$1,),))</f>
        <v>0.690456285</v>
      </c>
      <c r="O80" s="25">
        <f>IF(VLOOKUP(B80,'Data qoq'!$A:$AT,MATCH($O$1,'Data qoq'!$J$1:$AT$1,),)=0,#N/A,VLOOKUP(B80,'Data qoq'!$A:$AT,MATCH($O$1,'Data qoq'!$J$1:$AT$1,),))</f>
        <v>1.073786986</v>
      </c>
      <c r="P80" s="25">
        <f>IF(VLOOKUP(B80,'Data qoq'!$A:$AT,MATCH($P$1,'Data qoq'!$A$1:$AT$1,),)=0,#N/A,VLOOKUP(B80,'Data qoq'!$A:$AT,MATCH($P$1,'Data qoq'!$A$1:$AT$1,),))</f>
        <v>1.0230442129999999</v>
      </c>
      <c r="Q80" s="25">
        <f>IF(VLOOKUP(B80,'Data qoq'!$A:$AT,MATCH($Q$1,'Data qoq'!$A$1:$AT$1,),)=0,#N/A,VLOOKUP(B80,'Data qoq'!$A:$AT,MATCH($Q$1,'Data qoq'!$A$1:$AT$1,),))</f>
        <v>0.65206763199999995</v>
      </c>
      <c r="R80" s="25">
        <f>IF(VLOOKUP(B80,'Data qoq'!$A:$AT,MATCH($R$1,'Data qoq'!$A$1:$AT$1,),)=0,#N/A,VLOOKUP(B80,'Data qoq'!$A:$AT,MATCH($R$1,'Data qoq'!$A$1:$AT$1,),))</f>
        <v>0.30222869200000002</v>
      </c>
      <c r="S80" s="25">
        <f>IF(VLOOKUP(B80,'Data qoq'!$A:$AT,MATCH($S$1,'Data qoq'!$A$1:$AT$1,),)=0,#N/A,VLOOKUP(B80,'Data qoq'!$A:$AT,MATCH($S$1,'Data qoq'!$A$1:$AT$1,),))</f>
        <v>0.67128347899999996</v>
      </c>
      <c r="T80" s="25">
        <f>IF(VLOOKUP(B80,'Data qoq'!$A:$AT,MATCH($T$1,'Data qoq'!$A$1:$AT$1,),)=0,#N/A,VLOOKUP(B80,'Data qoq'!$A:$AT,MATCH($T$1,'Data qoq'!$A$1:$AT$1,),))</f>
        <v>0.741092376</v>
      </c>
      <c r="U80" s="25">
        <f>IF(VLOOKUP(B80,'Data qoq'!$A:$AT,MATCH($U$1,'Data qoq'!$A$1:$AT$1,),)=0,#N/A,VLOOKUP(B80,'Data qoq'!$A:$AT,MATCH($U$1,'Data qoq'!$A$1:$AT$1,),))</f>
        <v>0.60441090900000005</v>
      </c>
      <c r="V80" s="25">
        <f>IF(VLOOKUP(B80,'Data qoq'!$A:$AT,MATCH($V$1,'Data qoq'!$A$1:$AT$1,),)=0,#N/A,VLOOKUP(B80,'Data qoq'!$A:$AT,MATCH($V$1,'Data qoq'!$A$1:$AT$1,),))</f>
        <v>3.1906032629999999</v>
      </c>
      <c r="W80" s="25">
        <f>IF(VLOOKUP(B80,'Data qoq'!$A:$AT,MATCH($W$1,'Data qoq'!$A$1:$AT$1,),)=0,#N/A,VLOOKUP(B80,'Data qoq'!$A:$AT,MATCH($W$1,'Data qoq'!$A$1:$AT$1,),))</f>
        <v>2.2803188200000002</v>
      </c>
      <c r="X80" s="25">
        <f>IF(VLOOKUP(B80,'Data qoq'!$A:$AT,MATCH($X$1,'Data qoq'!$A$1:$AT$1,),)=0,#N/A,VLOOKUP(B80,'Data qoq'!$A:$AT,MATCH($X$1,'Data qoq'!$A$1:$AT$1,),))</f>
        <v>2.8172173969999998</v>
      </c>
      <c r="Y80" s="25">
        <f>IF(VLOOKUP(B80,'Data qoq'!$A:$AT,MATCH($Y$1,'Data qoq'!$A$1:$AT$1,),)=0,#N/A,VLOOKUP(B80,'Data qoq'!$A:$AT,MATCH($Y$1,'Data qoq'!$A$1:$AT$1,),))</f>
        <v>0.86743972999999996</v>
      </c>
      <c r="Z80" s="25">
        <f>IF(VLOOKUP(B80,'Data qoq'!$A:$AU,MATCH($Z$1,'Data qoq'!$A$1:$AU$1,),)=0,#N/A,VLOOKUP(B80,'Data qoq'!$A:$AU,MATCH($Z$1,'Data qoq'!$A$1:$AU$1,),))</f>
        <v>1.0836265190000001</v>
      </c>
      <c r="AA80" s="25">
        <f>IF(VLOOKUP(B80,'Data qoq'!$A:$AU,MATCH($AA$1,'Data qoq'!$A$1:$AU$1,),)=0,#N/A,VLOOKUP(B80,'Data qoq'!$A:$AU,MATCH($AA$1,'Data qoq'!$A$1:$AU$1,),))</f>
        <v>1.0645682409999999</v>
      </c>
      <c r="AC80" s="26" t="str">
        <f t="shared" si="12"/>
        <v>2017-Q2</v>
      </c>
      <c r="AD80" s="27">
        <f t="shared" si="13"/>
        <v>-0.22050368200000003</v>
      </c>
      <c r="AE80" s="27">
        <f t="shared" si="14"/>
        <v>-0.22050368200000003</v>
      </c>
    </row>
    <row r="81" spans="2:31" x14ac:dyDescent="0.2">
      <c r="B81" s="24" t="s">
        <v>347</v>
      </c>
      <c r="C81" s="25">
        <f>IF(VLOOKUP(B81,'Data qoq'!$A:$AT,MATCH($C$1,'Data qoq'!$A$1:$AT$1,),)=0,#N/A,VLOOKUP(B81,'Data qoq'!$A:$AT,MATCH($C$1,'Data qoq'!$A$1:$AT$1,),))</f>
        <v>0.71914999099999999</v>
      </c>
      <c r="D81" s="25">
        <f>IF(VLOOKUP(B81,'Data qoq'!$A:$AT,MATCH($D$1,'Data qoq'!$A$1:$AT$1,),)=0,#N/A,VLOOKUP(B81,'Data qoq'!$A:$AT,MATCH($D$1,'Data qoq'!$A$1:$AT$1,),))</f>
        <v>1.6</v>
      </c>
      <c r="E81" s="25">
        <f>IF(VLOOKUP(B81,'Data qoq'!$A:$AT,MATCH($E$1,'Data qoq'!$A$1:$AT$1,),)=0,#N/A,VLOOKUP(B81,'Data qoq'!$A:$AT,MATCH($E$1,'Data qoq'!$A$1:$AT$1,),))</f>
        <v>0.702067</v>
      </c>
      <c r="F81" s="25">
        <f>IF(VLOOKUP(B81,'Data qoq'!$A:$AT,MATCH($F$1,'Data qoq'!$A$1:$AT$1,),)=0,#N/A,VLOOKUP(B81,'Data qoq'!$A:$AT,MATCH($F$1,'Data qoq'!$A$1:$AT$1,),))</f>
        <v>0.733205369</v>
      </c>
      <c r="G81" s="25">
        <f>IF(VLOOKUP(B81,'Data qoq'!$A:$AT,MATCH($G$1,'Data qoq'!$A$1:$AT$1,),)=0,#N/A,VLOOKUP(B81,'Data qoq'!$A:$AT,MATCH($G$1,'Data qoq'!$A$1:$AT$1,),))</f>
        <v>0.87937751600000003</v>
      </c>
      <c r="H81" s="25">
        <f>IF(VLOOKUP(B81,'Data qoq'!$A:$AT,MATCH($H$1,'Data qoq'!$A$1:$AT$1,),)=0,#N/A,VLOOKUP(B81,'Data qoq'!$A:$AT,MATCH($H$1,'Data qoq'!$A$1:$AT$1,),))</f>
        <v>0.632762355</v>
      </c>
      <c r="I81" s="25">
        <f>IF(VLOOKUP(B81,'Data qoq'!$A:$AT,MATCH($I$1,'Data qoq'!$A$1:$AT$1,),)=0,#N/A,VLOOKUP(B81,'Data qoq'!$A:$AT,MATCH($I$1,'Data qoq'!$A$1:$AT$1,),))</f>
        <v>0.428297394</v>
      </c>
      <c r="J81" s="25">
        <f>IF(VLOOKUP(B81,'Data qoq'!$A:$AT,MATCH($J$1,'Data qoq'!$A$1:$AT$1,),)=0,#N/A,VLOOKUP(B81,'Data qoq'!$A:$AT,MATCH($J$1,'Data qoq'!$A$1:$AT$1,),))</f>
        <v>0.38181280000000001</v>
      </c>
      <c r="K81" s="25">
        <f>IF(VLOOKUP(B81,'Data qoq'!$A:$AT,MATCH($K$1,'Data qoq'!$A$1:$AT$1,),)=0,#N/A,VLOOKUP(B81,'Data qoq'!$A:$AT,MATCH($K$1,'Data qoq'!$A$1:$AT$1,),))</f>
        <v>0.57728099600000005</v>
      </c>
      <c r="L81" s="25">
        <f>IF(VLOOKUP(B81,'Data qoq'!$A:$AT,MATCH($L$1,'Data qoq'!$A$1:$AT$1,),)=0,#N/A,VLOOKUP(B81,'Data qoq'!$A:$AT,MATCH($L$1,'Data qoq'!$A$1:$AT$1,),))</f>
        <v>0.96488359300000004</v>
      </c>
      <c r="M81" s="25">
        <f>IF(VLOOKUP(B81,'Data qoq'!$A:$AT,MATCH($M$1,'Data qoq'!$A$1:$AT$1,),)=0,#N/A,VLOOKUP(B81,'Data qoq'!$A:$AT,MATCH($M$1,'Data qoq'!$A$1:$AT$1,),))</f>
        <v>-0.18856661499999999</v>
      </c>
      <c r="N81" s="25">
        <f>IF(VLOOKUP(B81,'Data qoq'!$A:$AT,MATCH($N$1,'Data qoq'!$A$1:$AT$1,),)=0,#N/A,VLOOKUP(B81,'Data qoq'!$A:$AT,MATCH($N$1,'Data qoq'!$A$1:$AT$1,),))</f>
        <v>0.67948449200000005</v>
      </c>
      <c r="O81" s="25">
        <f>IF(VLOOKUP(B81,'Data qoq'!$A:$AT,MATCH($O$1,'Data qoq'!$J$1:$AT$1,),)=0,#N/A,VLOOKUP(B81,'Data qoq'!$A:$AT,MATCH($O$1,'Data qoq'!$J$1:$AT$1,),))</f>
        <v>0.57728099600000005</v>
      </c>
      <c r="P81" s="25">
        <f>IF(VLOOKUP(B81,'Data qoq'!$A:$AT,MATCH($P$1,'Data qoq'!$A$1:$AT$1,),)=0,#N/A,VLOOKUP(B81,'Data qoq'!$A:$AT,MATCH($P$1,'Data qoq'!$A$1:$AT$1,),))</f>
        <v>0.42187302100000001</v>
      </c>
      <c r="Q81" s="25">
        <f>IF(VLOOKUP(B81,'Data qoq'!$A:$AT,MATCH($Q$1,'Data qoq'!$A$1:$AT$1,),)=0,#N/A,VLOOKUP(B81,'Data qoq'!$A:$AT,MATCH($Q$1,'Data qoq'!$A$1:$AT$1,),))</f>
        <v>0.97292137099999998</v>
      </c>
      <c r="R81" s="25">
        <f>IF(VLOOKUP(B81,'Data qoq'!$A:$AT,MATCH($R$1,'Data qoq'!$A$1:$AT$1,),)=0,#N/A,VLOOKUP(B81,'Data qoq'!$A:$AT,MATCH($R$1,'Data qoq'!$A$1:$AT$1,),))</f>
        <v>0.64100540900000003</v>
      </c>
      <c r="S81" s="25">
        <f>IF(VLOOKUP(B81,'Data qoq'!$A:$AT,MATCH($S$1,'Data qoq'!$A$1:$AT$1,),)=0,#N/A,VLOOKUP(B81,'Data qoq'!$A:$AT,MATCH($S$1,'Data qoq'!$A$1:$AT$1,),))</f>
        <v>1.482113673</v>
      </c>
      <c r="T81" s="25">
        <f>IF(VLOOKUP(B81,'Data qoq'!$A:$AT,MATCH($T$1,'Data qoq'!$A$1:$AT$1,),)=0,#N/A,VLOOKUP(B81,'Data qoq'!$A:$AT,MATCH($T$1,'Data qoq'!$A$1:$AT$1,),))</f>
        <v>0.305473824</v>
      </c>
      <c r="U81" s="25">
        <f>IF(VLOOKUP(B81,'Data qoq'!$A:$AT,MATCH($U$1,'Data qoq'!$A$1:$AT$1,),)=0,#N/A,VLOOKUP(B81,'Data qoq'!$A:$AT,MATCH($U$1,'Data qoq'!$A$1:$AT$1,),))</f>
        <v>1.0716115479999999</v>
      </c>
      <c r="V81" s="25">
        <f>IF(VLOOKUP(B81,'Data qoq'!$A:$AT,MATCH($V$1,'Data qoq'!$A$1:$AT$1,),)=0,#N/A,VLOOKUP(B81,'Data qoq'!$A:$AT,MATCH($V$1,'Data qoq'!$A$1:$AT$1,),))</f>
        <v>2.919818298</v>
      </c>
      <c r="W81" s="25">
        <f>IF(VLOOKUP(B81,'Data qoq'!$A:$AT,MATCH($W$1,'Data qoq'!$A$1:$AT$1,),)=0,#N/A,VLOOKUP(B81,'Data qoq'!$A:$AT,MATCH($W$1,'Data qoq'!$A$1:$AT$1,),))</f>
        <v>1.5159185209999999</v>
      </c>
      <c r="X81" s="25">
        <f>IF(VLOOKUP(B81,'Data qoq'!$A:$AT,MATCH($X$1,'Data qoq'!$A$1:$AT$1,),)=0,#N/A,VLOOKUP(B81,'Data qoq'!$A:$AT,MATCH($X$1,'Data qoq'!$A$1:$AT$1,),))</f>
        <v>0.56477396300000005</v>
      </c>
      <c r="Y81" s="25">
        <f>IF(VLOOKUP(B81,'Data qoq'!$A:$AT,MATCH($Y$1,'Data qoq'!$A$1:$AT$1,),)=0,#N/A,VLOOKUP(B81,'Data qoq'!$A:$AT,MATCH($Y$1,'Data qoq'!$A$1:$AT$1,),))</f>
        <v>1.133009151</v>
      </c>
      <c r="Z81" s="25">
        <f>IF(VLOOKUP(B81,'Data qoq'!$A:$AU,MATCH($Z$1,'Data qoq'!$A$1:$AU$1,),)=0,#N/A,VLOOKUP(B81,'Data qoq'!$A:$AU,MATCH($Z$1,'Data qoq'!$A$1:$AU$1,),))</f>
        <v>1.1279761399999999</v>
      </c>
      <c r="AA81" s="25">
        <f>IF(VLOOKUP(B81,'Data qoq'!$A:$AU,MATCH($AA$1,'Data qoq'!$A$1:$AU$1,),)=0,#N/A,VLOOKUP(B81,'Data qoq'!$A:$AU,MATCH($AA$1,'Data qoq'!$A$1:$AU$1,),))</f>
        <v>0.95995266800000001</v>
      </c>
      <c r="AC81" s="26" t="str">
        <f t="shared" si="12"/>
        <v>2017-Q3</v>
      </c>
      <c r="AD81" s="27">
        <f t="shared" si="13"/>
        <v>-0.16022752500000004</v>
      </c>
      <c r="AE81" s="27">
        <f t="shared" si="14"/>
        <v>-0.16022752500000004</v>
      </c>
    </row>
    <row r="82" spans="2:31" x14ac:dyDescent="0.2">
      <c r="B82" s="24" t="s">
        <v>348</v>
      </c>
      <c r="C82" s="25">
        <f>IF(VLOOKUP(B82,'Data qoq'!$A:$AT,MATCH($C$1,'Data qoq'!$A$1:$AT$1,),)=0,#N/A,VLOOKUP(B82,'Data qoq'!$A:$AT,MATCH($C$1,'Data qoq'!$A$1:$AT$1,),))</f>
        <v>0.94039983800000004</v>
      </c>
      <c r="D82" s="25">
        <f>IF(VLOOKUP(B82,'Data qoq'!$A:$AT,MATCH($D$1,'Data qoq'!$A$1:$AT$1,),)=0,#N/A,VLOOKUP(B82,'Data qoq'!$A:$AT,MATCH($D$1,'Data qoq'!$A$1:$AT$1,),))</f>
        <v>1.7</v>
      </c>
      <c r="E82" s="25">
        <f>IF(VLOOKUP(B82,'Data qoq'!$A:$AT,MATCH($E$1,'Data qoq'!$A$1:$AT$1,),)=0,#N/A,VLOOKUP(B82,'Data qoq'!$A:$AT,MATCH($E$1,'Data qoq'!$A$1:$AT$1,),))</f>
        <v>0.85578799999999999</v>
      </c>
      <c r="F82" s="25">
        <f>IF(VLOOKUP(B82,'Data qoq'!$A:$AT,MATCH($F$1,'Data qoq'!$A$1:$AT$1,),)=0,#N/A,VLOOKUP(B82,'Data qoq'!$A:$AT,MATCH($F$1,'Data qoq'!$A$1:$AT$1,),))</f>
        <v>0.18650187500000001</v>
      </c>
      <c r="G82" s="25">
        <f>IF(VLOOKUP(B82,'Data qoq'!$A:$AT,MATCH($G$1,'Data qoq'!$A$1:$AT$1,),)=0,#N/A,VLOOKUP(B82,'Data qoq'!$A:$AT,MATCH($G$1,'Data qoq'!$A$1:$AT$1,),))</f>
        <v>0.80537773800000001</v>
      </c>
      <c r="H82" s="25">
        <f>IF(VLOOKUP(B82,'Data qoq'!$A:$AT,MATCH($H$1,'Data qoq'!$A$1:$AT$1,),)=0,#N/A,VLOOKUP(B82,'Data qoq'!$A:$AT,MATCH($H$1,'Data qoq'!$A$1:$AT$1,),))</f>
        <v>0.85870538299999999</v>
      </c>
      <c r="I82" s="25">
        <f>IF(VLOOKUP(B82,'Data qoq'!$A:$AT,MATCH($I$1,'Data qoq'!$A$1:$AT$1,),)=0,#N/A,VLOOKUP(B82,'Data qoq'!$A:$AT,MATCH($I$1,'Data qoq'!$A$1:$AT$1,),))</f>
        <v>0.40286948500000003</v>
      </c>
      <c r="J82" s="25">
        <f>IF(VLOOKUP(B82,'Data qoq'!$A:$AT,MATCH($J$1,'Data qoq'!$A$1:$AT$1,),)=0,#N/A,VLOOKUP(B82,'Data qoq'!$A:$AT,MATCH($J$1,'Data qoq'!$A$1:$AT$1,),))</f>
        <v>0.53646888599999998</v>
      </c>
      <c r="K82" s="25">
        <f>IF(VLOOKUP(B82,'Data qoq'!$A:$AT,MATCH($K$1,'Data qoq'!$A$1:$AT$1,),)=0,#N/A,VLOOKUP(B82,'Data qoq'!$A:$AT,MATCH($K$1,'Data qoq'!$A$1:$AT$1,),))</f>
        <v>0.62554452000000005</v>
      </c>
      <c r="L82" s="25">
        <f>IF(VLOOKUP(B82,'Data qoq'!$A:$AT,MATCH($L$1,'Data qoq'!$A$1:$AT$1,),)=0,#N/A,VLOOKUP(B82,'Data qoq'!$A:$AT,MATCH($L$1,'Data qoq'!$A$1:$AT$1,),))</f>
        <v>0.22657802899999999</v>
      </c>
      <c r="M82" s="25">
        <f>IF(VLOOKUP(B82,'Data qoq'!$A:$AT,MATCH($M$1,'Data qoq'!$A$1:$AT$1,),)=0,#N/A,VLOOKUP(B82,'Data qoq'!$A:$AT,MATCH($M$1,'Data qoq'!$A$1:$AT$1,),))</f>
        <v>1.199561954</v>
      </c>
      <c r="N82" s="25">
        <f>IF(VLOOKUP(B82,'Data qoq'!$A:$AT,MATCH($N$1,'Data qoq'!$A$1:$AT$1,),)=0,#N/A,VLOOKUP(B82,'Data qoq'!$A:$AT,MATCH($N$1,'Data qoq'!$A$1:$AT$1,),))</f>
        <v>2.0994643E-2</v>
      </c>
      <c r="O82" s="25">
        <f>IF(VLOOKUP(B82,'Data qoq'!$A:$AT,MATCH($O$1,'Data qoq'!$J$1:$AT$1,),)=0,#N/A,VLOOKUP(B82,'Data qoq'!$A:$AT,MATCH($O$1,'Data qoq'!$J$1:$AT$1,),))</f>
        <v>0.62554452000000005</v>
      </c>
      <c r="P82" s="25">
        <f>IF(VLOOKUP(B82,'Data qoq'!$A:$AT,MATCH($P$1,'Data qoq'!$A$1:$AT$1,),)=0,#N/A,VLOOKUP(B82,'Data qoq'!$A:$AT,MATCH($P$1,'Data qoq'!$A$1:$AT$1,),))</f>
        <v>0.51799067899999995</v>
      </c>
      <c r="Q82" s="25">
        <f>IF(VLOOKUP(B82,'Data qoq'!$A:$AT,MATCH($Q$1,'Data qoq'!$A$1:$AT$1,),)=0,#N/A,VLOOKUP(B82,'Data qoq'!$A:$AT,MATCH($Q$1,'Data qoq'!$A$1:$AT$1,),))</f>
        <v>0.45313980500000001</v>
      </c>
      <c r="R82" s="25">
        <f>IF(VLOOKUP(B82,'Data qoq'!$A:$AT,MATCH($R$1,'Data qoq'!$A$1:$AT$1,),)=0,#N/A,VLOOKUP(B82,'Data qoq'!$A:$AT,MATCH($R$1,'Data qoq'!$A$1:$AT$1,),))</f>
        <v>1.055761679</v>
      </c>
      <c r="S82" s="25">
        <f>IF(VLOOKUP(B82,'Data qoq'!$A:$AT,MATCH($S$1,'Data qoq'!$A$1:$AT$1,),)=0,#N/A,VLOOKUP(B82,'Data qoq'!$A:$AT,MATCH($S$1,'Data qoq'!$A$1:$AT$1,),))</f>
        <v>-0.26575232700000001</v>
      </c>
      <c r="T82" s="25">
        <f>IF(VLOOKUP(B82,'Data qoq'!$A:$AT,MATCH($T$1,'Data qoq'!$A$1:$AT$1,),)=0,#N/A,VLOOKUP(B82,'Data qoq'!$A:$AT,MATCH($T$1,'Data qoq'!$A$1:$AT$1,),))</f>
        <v>0.42666113100000003</v>
      </c>
      <c r="U82" s="25">
        <f>IF(VLOOKUP(B82,'Data qoq'!$A:$AT,MATCH($U$1,'Data qoq'!$A$1:$AT$1,),)=0,#N/A,VLOOKUP(B82,'Data qoq'!$A:$AT,MATCH($U$1,'Data qoq'!$A$1:$AT$1,),))</f>
        <v>-0.90268446099999999</v>
      </c>
      <c r="V82" s="25">
        <f>IF(VLOOKUP(B82,'Data qoq'!$A:$AT,MATCH($V$1,'Data qoq'!$A$1:$AT$1,),)=0,#N/A,VLOOKUP(B82,'Data qoq'!$A:$AT,MATCH($V$1,'Data qoq'!$A$1:$AT$1,),))</f>
        <v>5.2835389409999998</v>
      </c>
      <c r="W82" s="25">
        <f>IF(VLOOKUP(B82,'Data qoq'!$A:$AT,MATCH($W$1,'Data qoq'!$A$1:$AT$1,),)=0,#N/A,VLOOKUP(B82,'Data qoq'!$A:$AT,MATCH($W$1,'Data qoq'!$A$1:$AT$1,),))</f>
        <v>1.882761165</v>
      </c>
      <c r="X82" s="25">
        <f>IF(VLOOKUP(B82,'Data qoq'!$A:$AT,MATCH($X$1,'Data qoq'!$A$1:$AT$1,),)=0,#N/A,VLOOKUP(B82,'Data qoq'!$A:$AT,MATCH($X$1,'Data qoq'!$A$1:$AT$1,),))</f>
        <v>0.86600868200000003</v>
      </c>
      <c r="Y82" s="25">
        <f>IF(VLOOKUP(B82,'Data qoq'!$A:$AT,MATCH($Y$1,'Data qoq'!$A$1:$AT$1,),)=0,#N/A,VLOOKUP(B82,'Data qoq'!$A:$AT,MATCH($Y$1,'Data qoq'!$A$1:$AT$1,),))</f>
        <v>1.767528005</v>
      </c>
      <c r="Z82" s="25">
        <f>IF(VLOOKUP(B82,'Data qoq'!$A:$AU,MATCH($Z$1,'Data qoq'!$A$1:$AU$1,),)=0,#N/A,VLOOKUP(B82,'Data qoq'!$A:$AU,MATCH($Z$1,'Data qoq'!$A$1:$AU$1,),))</f>
        <v>1.025371767</v>
      </c>
      <c r="AA82" s="25">
        <f>IF(VLOOKUP(B82,'Data qoq'!$A:$AU,MATCH($AA$1,'Data qoq'!$A$1:$AU$1,),)=0,#N/A,VLOOKUP(B82,'Data qoq'!$A:$AU,MATCH($AA$1,'Data qoq'!$A$1:$AU$1,),))</f>
        <v>0.80204549300000005</v>
      </c>
      <c r="AC82" s="26" t="str">
        <f t="shared" si="12"/>
        <v>2017-Q4</v>
      </c>
      <c r="AD82" s="27">
        <f t="shared" si="13"/>
        <v>0.13502210000000003</v>
      </c>
      <c r="AE82" s="27">
        <f t="shared" si="14"/>
        <v>0.13502210000000003</v>
      </c>
    </row>
    <row r="83" spans="2:31" x14ac:dyDescent="0.2">
      <c r="B83" s="24" t="s">
        <v>349</v>
      </c>
      <c r="C83" s="25">
        <f>IF(VLOOKUP(B83,'Data qoq'!$A:$AT,MATCH($C$1,'Data qoq'!$A$1:$AT$1,),)=0,#N/A,VLOOKUP(B83,'Data qoq'!$A:$AT,MATCH($C$1,'Data qoq'!$A$1:$AT$1,),))</f>
        <v>0.76285403600000001</v>
      </c>
      <c r="D83" s="25">
        <f>IF(VLOOKUP(B83,'Data qoq'!$A:$AT,MATCH($D$1,'Data qoq'!$A$1:$AT$1,),)=0,#N/A,VLOOKUP(B83,'Data qoq'!$A:$AT,MATCH($D$1,'Data qoq'!$A$1:$AT$1,),))</f>
        <v>1.8</v>
      </c>
      <c r="E83" s="25">
        <f>IF(VLOOKUP(B83,'Data qoq'!$A:$AT,MATCH($E$1,'Data qoq'!$A$1:$AT$1,),)=0,#N/A,VLOOKUP(B83,'Data qoq'!$A:$AT,MATCH($E$1,'Data qoq'!$A$1:$AT$1,),))</f>
        <v>6.8543999999999994E-2</v>
      </c>
      <c r="F83" s="25">
        <f>IF(VLOOKUP(B83,'Data qoq'!$A:$AT,MATCH($F$1,'Data qoq'!$A$1:$AT$1,),)=0,#N/A,VLOOKUP(B83,'Data qoq'!$A:$AT,MATCH($F$1,'Data qoq'!$A$1:$AT$1,),))</f>
        <v>0.119053888</v>
      </c>
      <c r="G83" s="25">
        <f>IF(VLOOKUP(B83,'Data qoq'!$A:$AT,MATCH($G$1,'Data qoq'!$A$1:$AT$1,),)=0,#N/A,VLOOKUP(B83,'Data qoq'!$A:$AT,MATCH($G$1,'Data qoq'!$A$1:$AT$1,),))</f>
        <v>-0.43237680299999998</v>
      </c>
      <c r="H83" s="25">
        <f>IF(VLOOKUP(B83,'Data qoq'!$A:$AT,MATCH($H$1,'Data qoq'!$A$1:$AT$1,),)=0,#N/A,VLOOKUP(B83,'Data qoq'!$A:$AT,MATCH($H$1,'Data qoq'!$A$1:$AT$1,),))</f>
        <v>1.0018473E-2</v>
      </c>
      <c r="I83" s="25">
        <f>IF(VLOOKUP(B83,'Data qoq'!$A:$AT,MATCH($I$1,'Data qoq'!$A$1:$AT$1,),)=0,#N/A,VLOOKUP(B83,'Data qoq'!$A:$AT,MATCH($I$1,'Data qoq'!$A$1:$AT$1,),))</f>
        <v>0.23670644599999999</v>
      </c>
      <c r="J83" s="25">
        <f>IF(VLOOKUP(B83,'Data qoq'!$A:$AT,MATCH($J$1,'Data qoq'!$A$1:$AT$1,),)=0,#N/A,VLOOKUP(B83,'Data qoq'!$A:$AT,MATCH($J$1,'Data qoq'!$A$1:$AT$1,),))</f>
        <v>-1.7154539E-2</v>
      </c>
      <c r="K83" s="25">
        <f>IF(VLOOKUP(B83,'Data qoq'!$A:$AT,MATCH($K$1,'Data qoq'!$A$1:$AT$1,),)=0,#N/A,VLOOKUP(B83,'Data qoq'!$A:$AT,MATCH($K$1,'Data qoq'!$A$1:$AT$1,),))</f>
        <v>0.37784204100000002</v>
      </c>
      <c r="L83" s="25">
        <f>IF(VLOOKUP(B83,'Data qoq'!$A:$AT,MATCH($L$1,'Data qoq'!$A$1:$AT$1,),)=0,#N/A,VLOOKUP(B83,'Data qoq'!$A:$AT,MATCH($L$1,'Data qoq'!$A$1:$AT$1,),))</f>
        <v>0.23488711100000001</v>
      </c>
      <c r="M83" s="25">
        <f>IF(VLOOKUP(B83,'Data qoq'!$A:$AT,MATCH($M$1,'Data qoq'!$A$1:$AT$1,),)=0,#N/A,VLOOKUP(B83,'Data qoq'!$A:$AT,MATCH($M$1,'Data qoq'!$A$1:$AT$1,),))</f>
        <v>1.08601294</v>
      </c>
      <c r="N83" s="25">
        <f>IF(VLOOKUP(B83,'Data qoq'!$A:$AT,MATCH($N$1,'Data qoq'!$A$1:$AT$1,),)=0,#N/A,VLOOKUP(B83,'Data qoq'!$A:$AT,MATCH($N$1,'Data qoq'!$A$1:$AT$1,),))</f>
        <v>1.3560321909999999</v>
      </c>
      <c r="O83" s="25">
        <f>IF(VLOOKUP(B83,'Data qoq'!$A:$AT,MATCH($O$1,'Data qoq'!$J$1:$AT$1,),)=0,#N/A,VLOOKUP(B83,'Data qoq'!$A:$AT,MATCH($O$1,'Data qoq'!$J$1:$AT$1,),))</f>
        <v>0.37784204100000002</v>
      </c>
      <c r="P83" s="25">
        <f>IF(VLOOKUP(B83,'Data qoq'!$A:$AT,MATCH($P$1,'Data qoq'!$A$1:$AT$1,),)=0,#N/A,VLOOKUP(B83,'Data qoq'!$A:$AT,MATCH($P$1,'Data qoq'!$A$1:$AT$1,),))</f>
        <v>0.87523928100000004</v>
      </c>
      <c r="Q83" s="25">
        <f>IF(VLOOKUP(B83,'Data qoq'!$A:$AT,MATCH($Q$1,'Data qoq'!$A$1:$AT$1,),)=0,#N/A,VLOOKUP(B83,'Data qoq'!$A:$AT,MATCH($Q$1,'Data qoq'!$A$1:$AT$1,),))</f>
        <v>0.86238885899999995</v>
      </c>
      <c r="R83" s="25">
        <f>IF(VLOOKUP(B83,'Data qoq'!$A:$AT,MATCH($R$1,'Data qoq'!$A$1:$AT$1,),)=0,#N/A,VLOOKUP(B83,'Data qoq'!$A:$AT,MATCH($R$1,'Data qoq'!$A$1:$AT$1,),))</f>
        <v>1.0939674079999999</v>
      </c>
      <c r="S83" s="25">
        <f>IF(VLOOKUP(B83,'Data qoq'!$A:$AT,MATCH($S$1,'Data qoq'!$A$1:$AT$1,),)=0,#N/A,VLOOKUP(B83,'Data qoq'!$A:$AT,MATCH($S$1,'Data qoq'!$A$1:$AT$1,),))</f>
        <v>1.1485185410000001</v>
      </c>
      <c r="T83" s="25">
        <f>IF(VLOOKUP(B83,'Data qoq'!$A:$AT,MATCH($T$1,'Data qoq'!$A$1:$AT$1,),)=0,#N/A,VLOOKUP(B83,'Data qoq'!$A:$AT,MATCH($T$1,'Data qoq'!$A$1:$AT$1,),))</f>
        <v>0.53646681500000004</v>
      </c>
      <c r="U83" s="25">
        <f>IF(VLOOKUP(B83,'Data qoq'!$A:$AT,MATCH($U$1,'Data qoq'!$A$1:$AT$1,),)=0,#N/A,VLOOKUP(B83,'Data qoq'!$A:$AT,MATCH($U$1,'Data qoq'!$A$1:$AT$1,),))</f>
        <v>1.368104752</v>
      </c>
      <c r="V83" s="25">
        <f>IF(VLOOKUP(B83,'Data qoq'!$A:$AT,MATCH($V$1,'Data qoq'!$A$1:$AT$1,),)=0,#N/A,VLOOKUP(B83,'Data qoq'!$A:$AT,MATCH($V$1,'Data qoq'!$A$1:$AT$1,),))</f>
        <v>0.91664844999999995</v>
      </c>
      <c r="W83" s="25">
        <f>IF(VLOOKUP(B83,'Data qoq'!$A:$AT,MATCH($W$1,'Data qoq'!$A$1:$AT$1,),)=0,#N/A,VLOOKUP(B83,'Data qoq'!$A:$AT,MATCH($W$1,'Data qoq'!$A$1:$AT$1,),))</f>
        <v>1.4914625379999999</v>
      </c>
      <c r="X83" s="25">
        <f>IF(VLOOKUP(B83,'Data qoq'!$A:$AT,MATCH($X$1,'Data qoq'!$A$1:$AT$1,),)=0,#N/A,VLOOKUP(B83,'Data qoq'!$A:$AT,MATCH($X$1,'Data qoq'!$A$1:$AT$1,),))</f>
        <v>0.49011805400000003</v>
      </c>
      <c r="Y83" s="25">
        <f>IF(VLOOKUP(B83,'Data qoq'!$A:$AT,MATCH($Y$1,'Data qoq'!$A$1:$AT$1,),)=0,#N/A,VLOOKUP(B83,'Data qoq'!$A:$AT,MATCH($Y$1,'Data qoq'!$A$1:$AT$1,),))</f>
        <v>1.262744029</v>
      </c>
      <c r="Z83" s="25">
        <f>IF(VLOOKUP(B83,'Data qoq'!$A:$AU,MATCH($Z$1,'Data qoq'!$A$1:$AU$1,),)=0,#N/A,VLOOKUP(B83,'Data qoq'!$A:$AU,MATCH($Z$1,'Data qoq'!$A$1:$AU$1,),))</f>
        <v>-0.23424794600000001</v>
      </c>
      <c r="AA83" s="25">
        <f>IF(VLOOKUP(B83,'Data qoq'!$A:$AU,MATCH($AA$1,'Data qoq'!$A$1:$AU$1,),)=0,#N/A,VLOOKUP(B83,'Data qoq'!$A:$AU,MATCH($AA$1,'Data qoq'!$A$1:$AU$1,),))</f>
        <v>0.69335946100000001</v>
      </c>
      <c r="AC83" s="26" t="str">
        <f t="shared" si="12"/>
        <v>2018-Q1</v>
      </c>
      <c r="AD83" s="27">
        <f t="shared" si="13"/>
        <v>1.1952308389999999</v>
      </c>
      <c r="AE83" s="27">
        <f t="shared" si="14"/>
        <v>1.1952308389999999</v>
      </c>
    </row>
    <row r="84" spans="2:31" s="72" customFormat="1" x14ac:dyDescent="0.2">
      <c r="B84" s="24" t="s">
        <v>350</v>
      </c>
      <c r="C84" s="25">
        <f>IF(VLOOKUP(B84,'Data qoq'!$A:$AT,MATCH($C$1,'Data qoq'!$A$1:$AT$1,),)=0,#N/A,VLOOKUP(B84,'Data qoq'!$A:$AT,MATCH($C$1,'Data qoq'!$A$1:$AT$1,),))</f>
        <v>0.83391090899999998</v>
      </c>
      <c r="D84" s="25">
        <f>IF(VLOOKUP(B84,'Data qoq'!$A:$AT,MATCH($D$1,'Data qoq'!$A$1:$AT$1,),)=0,#N/A,VLOOKUP(B84,'Data qoq'!$A:$AT,MATCH($D$1,'Data qoq'!$A$1:$AT$1,),))</f>
        <v>1.6</v>
      </c>
      <c r="E84" s="25">
        <f>IF(VLOOKUP(B84,'Data qoq'!$A:$AT,MATCH($E$1,'Data qoq'!$A$1:$AT$1,),)=0,#N/A,VLOOKUP(B84,'Data qoq'!$A:$AT,MATCH($E$1,'Data qoq'!$A$1:$AT$1,),))</f>
        <v>0.493114</v>
      </c>
      <c r="F84" s="25">
        <f>IF(VLOOKUP(B84,'Data qoq'!$A:$AT,MATCH($F$1,'Data qoq'!$A$1:$AT$1,),)=0,#N/A,VLOOKUP(B84,'Data qoq'!$A:$AT,MATCH($F$1,'Data qoq'!$A$1:$AT$1,),))</f>
        <v>0.328801024</v>
      </c>
      <c r="G84" s="25">
        <f>IF(VLOOKUP(B84,'Data qoq'!$A:$AT,MATCH($G$1,'Data qoq'!$A$1:$AT$1,),)=0,#N/A,VLOOKUP(B84,'Data qoq'!$A:$AT,MATCH($G$1,'Data qoq'!$A$1:$AT$1,),))</f>
        <v>0.55697716399999997</v>
      </c>
      <c r="H84" s="25">
        <f>IF(VLOOKUP(B84,'Data qoq'!$A:$AT,MATCH($H$1,'Data qoq'!$A$1:$AT$1,),)=0,#N/A,VLOOKUP(B84,'Data qoq'!$A:$AT,MATCH($H$1,'Data qoq'!$A$1:$AT$1,),))</f>
        <v>0.368185924</v>
      </c>
      <c r="I84" s="25">
        <f>IF(VLOOKUP(B84,'Data qoq'!$A:$AT,MATCH($I$1,'Data qoq'!$A$1:$AT$1,),)=0,#N/A,VLOOKUP(B84,'Data qoq'!$A:$AT,MATCH($I$1,'Data qoq'!$A$1:$AT$1,),))</f>
        <v>0.54664776000000004</v>
      </c>
      <c r="J84" s="25">
        <f>IF(VLOOKUP(B84,'Data qoq'!$A:$AT,MATCH($J$1,'Data qoq'!$A$1:$AT$1,),)=0,#N/A,VLOOKUP(B84,'Data qoq'!$A:$AT,MATCH($J$1,'Data qoq'!$A$1:$AT$1,),))</f>
        <v>4.26027E-3</v>
      </c>
      <c r="K84" s="25">
        <f>IF(VLOOKUP(B84,'Data qoq'!$A:$AT,MATCH($K$1,'Data qoq'!$A$1:$AT$1,),)=0,#N/A,VLOOKUP(B84,'Data qoq'!$A:$AT,MATCH($K$1,'Data qoq'!$A$1:$AT$1,),))</f>
        <v>0.586193572</v>
      </c>
      <c r="L84" s="25">
        <f>IF(VLOOKUP(B84,'Data qoq'!$A:$AT,MATCH($L$1,'Data qoq'!$A$1:$AT$1,),)=0,#N/A,VLOOKUP(B84,'Data qoq'!$A:$AT,MATCH($L$1,'Data qoq'!$A$1:$AT$1,),))</f>
        <v>1.0770366849999999</v>
      </c>
      <c r="M84" s="25">
        <f>IF(VLOOKUP(B84,'Data qoq'!$A:$AT,MATCH($M$1,'Data qoq'!$A$1:$AT$1,),)=0,#N/A,VLOOKUP(B84,'Data qoq'!$A:$AT,MATCH($M$1,'Data qoq'!$A$1:$AT$1,),))</f>
        <v>2.2636053E-2</v>
      </c>
      <c r="N84" s="25">
        <f>IF(VLOOKUP(B84,'Data qoq'!$A:$AT,MATCH($N$1,'Data qoq'!$A$1:$AT$1,),)=0,#N/A,VLOOKUP(B84,'Data qoq'!$A:$AT,MATCH($N$1,'Data qoq'!$A$1:$AT$1,),))</f>
        <v>0.55794653999999999</v>
      </c>
      <c r="O84" s="25">
        <f>IF(VLOOKUP(B84,'Data qoq'!$A:$AT,MATCH($O$1,'Data qoq'!$J$1:$AT$1,),)=0,#N/A,VLOOKUP(B84,'Data qoq'!$A:$AT,MATCH($O$1,'Data qoq'!$J$1:$AT$1,),))</f>
        <v>0.586193572</v>
      </c>
      <c r="P84" s="25">
        <f>IF(VLOOKUP(B84,'Data qoq'!$A:$AT,MATCH($P$1,'Data qoq'!$A$1:$AT$1,),)=0,#N/A,VLOOKUP(B84,'Data qoq'!$A:$AT,MATCH($P$1,'Data qoq'!$A$1:$AT$1,),))</f>
        <v>0.78510534099999996</v>
      </c>
      <c r="Q84" s="25">
        <f>IF(VLOOKUP(B84,'Data qoq'!$A:$AT,MATCH($Q$1,'Data qoq'!$A$1:$AT$1,),)=0,#N/A,VLOOKUP(B84,'Data qoq'!$A:$AT,MATCH($Q$1,'Data qoq'!$A$1:$AT$1,),))</f>
        <v>0.87967920499999996</v>
      </c>
      <c r="R84" s="25">
        <f>IF(VLOOKUP(B84,'Data qoq'!$A:$AT,MATCH($R$1,'Data qoq'!$A$1:$AT$1,),)=0,#N/A,VLOOKUP(B84,'Data qoq'!$A:$AT,MATCH($R$1,'Data qoq'!$A$1:$AT$1,),))</f>
        <v>0.93059339600000002</v>
      </c>
      <c r="S84" s="25">
        <f>IF(VLOOKUP(B84,'Data qoq'!$A:$AT,MATCH($S$1,'Data qoq'!$A$1:$AT$1,),)=0,#N/A,VLOOKUP(B84,'Data qoq'!$A:$AT,MATCH($S$1,'Data qoq'!$A$1:$AT$1,),))</f>
        <v>0.63360855100000002</v>
      </c>
      <c r="T84" s="25">
        <f>IF(VLOOKUP(B84,'Data qoq'!$A:$AT,MATCH($T$1,'Data qoq'!$A$1:$AT$1,),)=0,#N/A,VLOOKUP(B84,'Data qoq'!$A:$AT,MATCH($T$1,'Data qoq'!$A$1:$AT$1,),))</f>
        <v>0.16904355900000001</v>
      </c>
      <c r="U84" s="25">
        <f>IF(VLOOKUP(B84,'Data qoq'!$A:$AT,MATCH($U$1,'Data qoq'!$A$1:$AT$1,),)=0,#N/A,VLOOKUP(B84,'Data qoq'!$A:$AT,MATCH($U$1,'Data qoq'!$A$1:$AT$1,),))</f>
        <v>0.148188556</v>
      </c>
      <c r="V84" s="25">
        <f>IF(VLOOKUP(B84,'Data qoq'!$A:$AT,MATCH($V$1,'Data qoq'!$A$1:$AT$1,),)=0,#N/A,VLOOKUP(B84,'Data qoq'!$A:$AT,MATCH($V$1,'Data qoq'!$A$1:$AT$1,),))</f>
        <v>2.882495359</v>
      </c>
      <c r="W84" s="25">
        <f>IF(VLOOKUP(B84,'Data qoq'!$A:$AT,MATCH($W$1,'Data qoq'!$A$1:$AT$1,),)=0,#N/A,VLOOKUP(B84,'Data qoq'!$A:$AT,MATCH($W$1,'Data qoq'!$A$1:$AT$1,),))</f>
        <v>0.50844589500000004</v>
      </c>
      <c r="X84" s="25">
        <f>IF(VLOOKUP(B84,'Data qoq'!$A:$AT,MATCH($X$1,'Data qoq'!$A$1:$AT$1,),)=0,#N/A,VLOOKUP(B84,'Data qoq'!$A:$AT,MATCH($X$1,'Data qoq'!$A$1:$AT$1,),))</f>
        <v>0.734727931</v>
      </c>
      <c r="Y84" s="25">
        <f>IF(VLOOKUP(B84,'Data qoq'!$A:$AT,MATCH($Y$1,'Data qoq'!$A$1:$AT$1,),)=0,#N/A,VLOOKUP(B84,'Data qoq'!$A:$AT,MATCH($Y$1,'Data qoq'!$A$1:$AT$1,),))</f>
        <v>1.2960928190000001</v>
      </c>
      <c r="Z84" s="25">
        <f>IF(VLOOKUP(B84,'Data qoq'!$A:$AU,MATCH($Z$1,'Data qoq'!$A$1:$AU$1,),)=0,#N/A,VLOOKUP(B84,'Data qoq'!$A:$AU,MATCH($Z$1,'Data qoq'!$A$1:$AU$1,),))</f>
        <v>-4.5698089270000004</v>
      </c>
      <c r="AA84" s="25">
        <f>IF(VLOOKUP(B84,'Data qoq'!$A:$AU,MATCH($AA$1,'Data qoq'!$A$1:$AU$1,),)=0,#N/A,VLOOKUP(B84,'Data qoq'!$A:$AU,MATCH($AA$1,'Data qoq'!$A$1:$AU$1,),))</f>
        <v>1.123554492</v>
      </c>
      <c r="AC84" s="26" t="str">
        <f t="shared" si="12"/>
        <v>2018-Q2</v>
      </c>
      <c r="AD84" s="27">
        <f t="shared" si="13"/>
        <v>0.27693374500000001</v>
      </c>
      <c r="AE84" s="27">
        <f t="shared" si="14"/>
        <v>0.27693374500000001</v>
      </c>
    </row>
    <row r="85" spans="2:31" s="72" customFormat="1" x14ac:dyDescent="0.2">
      <c r="B85" s="24" t="s">
        <v>351</v>
      </c>
      <c r="C85" s="25">
        <f>IF(VLOOKUP(B85,'Data qoq'!$A:$AT,MATCH($C$1,'Data qoq'!$A$1:$AT$1,),)=0,#N/A,VLOOKUP(B85,'Data qoq'!$A:$AT,MATCH($C$1,'Data qoq'!$A$1:$AT$1,),))</f>
        <v>0.481952559</v>
      </c>
      <c r="D85" s="25">
        <f>IF(VLOOKUP(B85,'Data qoq'!$A:$AT,MATCH($D$1,'Data qoq'!$A$1:$AT$1,),)=0,#N/A,VLOOKUP(B85,'Data qoq'!$A:$AT,MATCH($D$1,'Data qoq'!$A$1:$AT$1,),))</f>
        <v>1.3</v>
      </c>
      <c r="E85" s="25">
        <f>IF(VLOOKUP(B85,'Data qoq'!$A:$AT,MATCH($E$1,'Data qoq'!$A$1:$AT$1,),)=0,#N/A,VLOOKUP(B85,'Data qoq'!$A:$AT,MATCH($E$1,'Data qoq'!$A$1:$AT$1,),))</f>
        <v>6.1009000000000001E-2</v>
      </c>
      <c r="F85" s="25">
        <f>IF(VLOOKUP(B85,'Data qoq'!$A:$AT,MATCH($F$1,'Data qoq'!$A$1:$AT$1,),)=0,#N/A,VLOOKUP(B85,'Data qoq'!$A:$AT,MATCH($F$1,'Data qoq'!$A$1:$AT$1,),))</f>
        <v>-0.79549463300000001</v>
      </c>
      <c r="G85" s="25">
        <f>IF(VLOOKUP(B85,'Data qoq'!$A:$AT,MATCH($G$1,'Data qoq'!$A$1:$AT$1,),)=0,#N/A,VLOOKUP(B85,'Data qoq'!$A:$AT,MATCH($G$1,'Data qoq'!$A$1:$AT$1,),))</f>
        <v>-0.42245680400000002</v>
      </c>
      <c r="H85" s="25">
        <f>IF(VLOOKUP(B85,'Data qoq'!$A:$AT,MATCH($H$1,'Data qoq'!$A$1:$AT$1,),)=0,#N/A,VLOOKUP(B85,'Data qoq'!$A:$AT,MATCH($H$1,'Data qoq'!$A$1:$AT$1,),))</f>
        <v>0.386796731</v>
      </c>
      <c r="I85" s="25">
        <f>IF(VLOOKUP(B85,'Data qoq'!$A:$AT,MATCH($I$1,'Data qoq'!$A$1:$AT$1,),)=0,#N/A,VLOOKUP(B85,'Data qoq'!$A:$AT,MATCH($I$1,'Data qoq'!$A$1:$AT$1,),))</f>
        <v>0.63172701600000003</v>
      </c>
      <c r="J85" s="25">
        <f>IF(VLOOKUP(B85,'Data qoq'!$A:$AT,MATCH($J$1,'Data qoq'!$A$1:$AT$1,),)=0,#N/A,VLOOKUP(B85,'Data qoq'!$A:$AT,MATCH($J$1,'Data qoq'!$A$1:$AT$1,),))</f>
        <v>7.3259562E-2</v>
      </c>
      <c r="K85" s="25">
        <f>IF(VLOOKUP(B85,'Data qoq'!$A:$AT,MATCH($K$1,'Data qoq'!$A$1:$AT$1,),)=0,#N/A,VLOOKUP(B85,'Data qoq'!$A:$AT,MATCH($K$1,'Data qoq'!$A$1:$AT$1,),))</f>
        <v>0.51760508999999999</v>
      </c>
      <c r="L85" s="25">
        <f>IF(VLOOKUP(B85,'Data qoq'!$A:$AT,MATCH($L$1,'Data qoq'!$A$1:$AT$1,),)=0,#N/A,VLOOKUP(B85,'Data qoq'!$A:$AT,MATCH($L$1,'Data qoq'!$A$1:$AT$1,),))</f>
        <v>-0.715544815</v>
      </c>
      <c r="M85" s="25">
        <f>IF(VLOOKUP(B85,'Data qoq'!$A:$AT,MATCH($M$1,'Data qoq'!$A$1:$AT$1,),)=0,#N/A,VLOOKUP(B85,'Data qoq'!$A:$AT,MATCH($M$1,'Data qoq'!$A$1:$AT$1,),))</f>
        <v>0.590744677</v>
      </c>
      <c r="N85" s="25">
        <f>IF(VLOOKUP(B85,'Data qoq'!$A:$AT,MATCH($N$1,'Data qoq'!$A$1:$AT$1,),)=0,#N/A,VLOOKUP(B85,'Data qoq'!$A:$AT,MATCH($N$1,'Data qoq'!$A$1:$AT$1,),))</f>
        <v>0.24136882100000001</v>
      </c>
      <c r="O85" s="25">
        <f>IF(VLOOKUP(B85,'Data qoq'!$A:$AT,MATCH($O$1,'Data qoq'!$J$1:$AT$1,),)=0,#N/A,VLOOKUP(B85,'Data qoq'!$A:$AT,MATCH($O$1,'Data qoq'!$J$1:$AT$1,),))</f>
        <v>0.51760508999999999</v>
      </c>
      <c r="P85" s="25">
        <f>IF(VLOOKUP(B85,'Data qoq'!$A:$AT,MATCH($P$1,'Data qoq'!$A$1:$AT$1,),)=0,#N/A,VLOOKUP(B85,'Data qoq'!$A:$AT,MATCH($P$1,'Data qoq'!$A$1:$AT$1,),))</f>
        <v>0.690122507</v>
      </c>
      <c r="Q85" s="25">
        <f>IF(VLOOKUP(B85,'Data qoq'!$A:$AT,MATCH($Q$1,'Data qoq'!$A$1:$AT$1,),)=0,#N/A,VLOOKUP(B85,'Data qoq'!$A:$AT,MATCH($Q$1,'Data qoq'!$A$1:$AT$1,),))</f>
        <v>0.41094411199999997</v>
      </c>
      <c r="R85" s="25">
        <f>IF(VLOOKUP(B85,'Data qoq'!$A:$AT,MATCH($R$1,'Data qoq'!$A$1:$AT$1,),)=0,#N/A,VLOOKUP(B85,'Data qoq'!$A:$AT,MATCH($R$1,'Data qoq'!$A$1:$AT$1,),))</f>
        <v>-0.22088439100000001</v>
      </c>
      <c r="S85" s="25">
        <f>IF(VLOOKUP(B85,'Data qoq'!$A:$AT,MATCH($S$1,'Data qoq'!$A$1:$AT$1,),)=0,#N/A,VLOOKUP(B85,'Data qoq'!$A:$AT,MATCH($S$1,'Data qoq'!$A$1:$AT$1,),))</f>
        <v>0.688281747</v>
      </c>
      <c r="T85" s="25">
        <f>IF(VLOOKUP(B85,'Data qoq'!$A:$AT,MATCH($T$1,'Data qoq'!$A$1:$AT$1,),)=0,#N/A,VLOOKUP(B85,'Data qoq'!$A:$AT,MATCH($T$1,'Data qoq'!$A$1:$AT$1,),))</f>
        <v>0.87927715399999995</v>
      </c>
      <c r="U85" s="25">
        <f>IF(VLOOKUP(B85,'Data qoq'!$A:$AT,MATCH($U$1,'Data qoq'!$A$1:$AT$1,),)=0,#N/A,VLOOKUP(B85,'Data qoq'!$A:$AT,MATCH($U$1,'Data qoq'!$A$1:$AT$1,),))</f>
        <v>-0.21640685400000001</v>
      </c>
      <c r="V85" s="25">
        <f>IF(VLOOKUP(B85,'Data qoq'!$A:$AT,MATCH($V$1,'Data qoq'!$A$1:$AT$1,),)=0,#N/A,VLOOKUP(B85,'Data qoq'!$A:$AT,MATCH($V$1,'Data qoq'!$A$1:$AT$1,),))</f>
        <v>-1.2052345790000001</v>
      </c>
      <c r="W85" s="25">
        <f>IF(VLOOKUP(B85,'Data qoq'!$A:$AT,MATCH($W$1,'Data qoq'!$A$1:$AT$1,),)=0,#N/A,VLOOKUP(B85,'Data qoq'!$A:$AT,MATCH($W$1,'Data qoq'!$A$1:$AT$1,),))</f>
        <v>-1.5905484480000001</v>
      </c>
      <c r="X85" s="25">
        <f>IF(VLOOKUP(B85,'Data qoq'!$A:$AT,MATCH($X$1,'Data qoq'!$A$1:$AT$1,),)=0,#N/A,VLOOKUP(B85,'Data qoq'!$A:$AT,MATCH($X$1,'Data qoq'!$A$1:$AT$1,),))</f>
        <v>0.61144011899999995</v>
      </c>
      <c r="Y85" s="25">
        <f>IF(VLOOKUP(B85,'Data qoq'!$A:$AT,MATCH($Y$1,'Data qoq'!$A$1:$AT$1,),)=0,#N/A,VLOOKUP(B85,'Data qoq'!$A:$AT,MATCH($Y$1,'Data qoq'!$A$1:$AT$1,),))</f>
        <v>1.3966148839999999</v>
      </c>
      <c r="Z85" s="25">
        <f>IF(VLOOKUP(B85,'Data qoq'!$A:$AU,MATCH($Z$1,'Data qoq'!$A$1:$AU$1,),)=0,#N/A,VLOOKUP(B85,'Data qoq'!$A:$AU,MATCH($Z$1,'Data qoq'!$A$1:$AU$1,),))</f>
        <v>-0.33988073499999999</v>
      </c>
      <c r="AA85" s="25">
        <f>IF(VLOOKUP(B85,'Data qoq'!$A:$AU,MATCH($AA$1,'Data qoq'!$A$1:$AU$1,),)=0,#N/A,VLOOKUP(B85,'Data qoq'!$A:$AU,MATCH($AA$1,'Data qoq'!$A$1:$AU$1,),))</f>
        <v>0.42471299499999998</v>
      </c>
      <c r="AC85" s="26" t="str">
        <f t="shared" si="12"/>
        <v>2018-Q3</v>
      </c>
      <c r="AD85" s="27">
        <f t="shared" si="13"/>
        <v>0.90440936300000008</v>
      </c>
      <c r="AE85" s="27">
        <f t="shared" si="14"/>
        <v>0.90440936300000008</v>
      </c>
    </row>
    <row r="86" spans="2:31" s="72" customFormat="1" x14ac:dyDescent="0.2">
      <c r="B86" s="24" t="s">
        <v>352</v>
      </c>
      <c r="C86" s="25">
        <f>IF(VLOOKUP(B86,'Data qoq'!$A:$AT,MATCH($C$1,'Data qoq'!$A$1:$AT$1,),)=0,#N/A,VLOOKUP(B86,'Data qoq'!$A:$AT,MATCH($C$1,'Data qoq'!$A$1:$AT$1,),))</f>
        <v>0.22314183500000001</v>
      </c>
      <c r="D86" s="25">
        <f>IF(VLOOKUP(B86,'Data qoq'!$A:$AT,MATCH($D$1,'Data qoq'!$A$1:$AT$1,),)=0,#N/A,VLOOKUP(B86,'Data qoq'!$A:$AT,MATCH($D$1,'Data qoq'!$A$1:$AT$1,),))</f>
        <v>1.6</v>
      </c>
      <c r="E86" s="25">
        <f>IF(VLOOKUP(B86,'Data qoq'!$A:$AT,MATCH($E$1,'Data qoq'!$A$1:$AT$1,),)=0,#N/A,VLOOKUP(B86,'Data qoq'!$A:$AT,MATCH($E$1,'Data qoq'!$A$1:$AT$1,),))</f>
        <v>0.579982</v>
      </c>
      <c r="F86" s="25">
        <f>IF(VLOOKUP(B86,'Data qoq'!$A:$AT,MATCH($F$1,'Data qoq'!$A$1:$AT$1,),)=0,#N/A,VLOOKUP(B86,'Data qoq'!$A:$AT,MATCH($F$1,'Data qoq'!$A$1:$AT$1,),))</f>
        <v>1.7806944000000002E-2</v>
      </c>
      <c r="G86" s="25">
        <f>IF(VLOOKUP(B86,'Data qoq'!$A:$AT,MATCH($G$1,'Data qoq'!$A$1:$AT$1,),)=0,#N/A,VLOOKUP(B86,'Data qoq'!$A:$AT,MATCH($G$1,'Data qoq'!$A$1:$AT$1,),))</f>
        <v>0.38653663199999999</v>
      </c>
      <c r="H86" s="25">
        <f>IF(VLOOKUP(B86,'Data qoq'!$A:$AT,MATCH($H$1,'Data qoq'!$A$1:$AT$1,),)=0,#N/A,VLOOKUP(B86,'Data qoq'!$A:$AT,MATCH($H$1,'Data qoq'!$A$1:$AT$1,),))</f>
        <v>0.74340234800000005</v>
      </c>
      <c r="I86" s="25">
        <f>IF(VLOOKUP(B86,'Data qoq'!$A:$AT,MATCH($I$1,'Data qoq'!$A$1:$AT$1,),)=0,#N/A,VLOOKUP(B86,'Data qoq'!$A:$AT,MATCH($I$1,'Data qoq'!$A$1:$AT$1,),))</f>
        <v>0.33544084299999999</v>
      </c>
      <c r="J86" s="25">
        <f>IF(VLOOKUP(B86,'Data qoq'!$A:$AT,MATCH($J$1,'Data qoq'!$A$1:$AT$1,),)=0,#N/A,VLOOKUP(B86,'Data qoq'!$A:$AT,MATCH($J$1,'Data qoq'!$A$1:$AT$1,),))</f>
        <v>0.34144158200000002</v>
      </c>
      <c r="K86" s="25">
        <f>IF(VLOOKUP(B86,'Data qoq'!$A:$AT,MATCH($K$1,'Data qoq'!$A$1:$AT$1,),)=0,#N/A,VLOOKUP(B86,'Data qoq'!$A:$AT,MATCH($K$1,'Data qoq'!$A$1:$AT$1,),))</f>
        <v>0.67498396100000002</v>
      </c>
      <c r="L86" s="25">
        <f>IF(VLOOKUP(B86,'Data qoq'!$A:$AT,MATCH($L$1,'Data qoq'!$A$1:$AT$1,),)=0,#N/A,VLOOKUP(B86,'Data qoq'!$A:$AT,MATCH($L$1,'Data qoq'!$A$1:$AT$1,),))</f>
        <v>1.4658786779999999</v>
      </c>
      <c r="M86" s="25">
        <f>IF(VLOOKUP(B86,'Data qoq'!$A:$AT,MATCH($M$1,'Data qoq'!$A$1:$AT$1,),)=0,#N/A,VLOOKUP(B86,'Data qoq'!$A:$AT,MATCH($M$1,'Data qoq'!$A$1:$AT$1,),))</f>
        <v>-0.47246565800000001</v>
      </c>
      <c r="N86" s="25">
        <f>IF(VLOOKUP(B86,'Data qoq'!$A:$AT,MATCH($N$1,'Data qoq'!$A$1:$AT$1,),)=0,#N/A,VLOOKUP(B86,'Data qoq'!$A:$AT,MATCH($N$1,'Data qoq'!$A$1:$AT$1,),))</f>
        <v>0.66396654799999999</v>
      </c>
      <c r="O86" s="25">
        <f>IF(VLOOKUP(B86,'Data qoq'!$A:$AT,MATCH($O$1,'Data qoq'!$J$1:$AT$1,),)=0,#N/A,VLOOKUP(B86,'Data qoq'!$A:$AT,MATCH($O$1,'Data qoq'!$J$1:$AT$1,),))</f>
        <v>0.67498396100000002</v>
      </c>
      <c r="P86" s="25">
        <f>IF(VLOOKUP(B86,'Data qoq'!$A:$AT,MATCH($P$1,'Data qoq'!$A$1:$AT$1,),)=0,#N/A,VLOOKUP(B86,'Data qoq'!$A:$AT,MATCH($P$1,'Data qoq'!$A$1:$AT$1,),))</f>
        <v>0.34086954200000003</v>
      </c>
      <c r="Q86" s="25">
        <f>IF(VLOOKUP(B86,'Data qoq'!$A:$AT,MATCH($Q$1,'Data qoq'!$A$1:$AT$1,),)=0,#N/A,VLOOKUP(B86,'Data qoq'!$A:$AT,MATCH($Q$1,'Data qoq'!$A$1:$AT$1,),))</f>
        <v>0.13615021599999999</v>
      </c>
      <c r="R86" s="25">
        <f>IF(VLOOKUP(B86,'Data qoq'!$A:$AT,MATCH($R$1,'Data qoq'!$A$1:$AT$1,),)=0,#N/A,VLOOKUP(B86,'Data qoq'!$A:$AT,MATCH($R$1,'Data qoq'!$A$1:$AT$1,),))</f>
        <v>0.18094158699999999</v>
      </c>
      <c r="S86" s="25">
        <f>IF(VLOOKUP(B86,'Data qoq'!$A:$AT,MATCH($S$1,'Data qoq'!$A$1:$AT$1,),)=0,#N/A,VLOOKUP(B86,'Data qoq'!$A:$AT,MATCH($S$1,'Data qoq'!$A$1:$AT$1,),))</f>
        <v>0.82200018100000005</v>
      </c>
      <c r="T86" s="25">
        <f>IF(VLOOKUP(B86,'Data qoq'!$A:$AT,MATCH($T$1,'Data qoq'!$A$1:$AT$1,),)=0,#N/A,VLOOKUP(B86,'Data qoq'!$A:$AT,MATCH($T$1,'Data qoq'!$A$1:$AT$1,),))</f>
        <v>-0.364053613</v>
      </c>
      <c r="U86" s="25">
        <f>IF(VLOOKUP(B86,'Data qoq'!$A:$AT,MATCH($U$1,'Data qoq'!$A$1:$AT$1,),)=0,#N/A,VLOOKUP(B86,'Data qoq'!$A:$AT,MATCH($U$1,'Data qoq'!$A$1:$AT$1,),))</f>
        <v>0.59564992699999997</v>
      </c>
      <c r="V86" s="25">
        <f>IF(VLOOKUP(B86,'Data qoq'!$A:$AT,MATCH($V$1,'Data qoq'!$A$1:$AT$1,),)=0,#N/A,VLOOKUP(B86,'Data qoq'!$A:$AT,MATCH($V$1,'Data qoq'!$A$1:$AT$1,),))</f>
        <v>1.311751101</v>
      </c>
      <c r="W86" s="25">
        <f>IF(VLOOKUP(B86,'Data qoq'!$A:$AT,MATCH($W$1,'Data qoq'!$A$1:$AT$1,),)=0,#N/A,VLOOKUP(B86,'Data qoq'!$A:$AT,MATCH($W$1,'Data qoq'!$A$1:$AT$1,),))</f>
        <v>-2.9894645959999999</v>
      </c>
      <c r="X86" s="25">
        <f>IF(VLOOKUP(B86,'Data qoq'!$A:$AT,MATCH($X$1,'Data qoq'!$A$1:$AT$1,),)=0,#N/A,VLOOKUP(B86,'Data qoq'!$A:$AT,MATCH($X$1,'Data qoq'!$A$1:$AT$1,),))</f>
        <v>0.69801249799999998</v>
      </c>
      <c r="Y86" s="25">
        <f>IF(VLOOKUP(B86,'Data qoq'!$A:$AT,MATCH($Y$1,'Data qoq'!$A$1:$AT$1,),)=0,#N/A,VLOOKUP(B86,'Data qoq'!$A:$AT,MATCH($Y$1,'Data qoq'!$A$1:$AT$1,),))</f>
        <v>0.89410085399999994</v>
      </c>
      <c r="Z86" s="25">
        <f>IF(VLOOKUP(B86,'Data qoq'!$A:$AU,MATCH($Z$1,'Data qoq'!$A$1:$AU$1,),)=0,#N/A,VLOOKUP(B86,'Data qoq'!$A:$AU,MATCH($Z$1,'Data qoq'!$A$1:$AU$1,),))</f>
        <v>-1.4180416979999999</v>
      </c>
      <c r="AA86" s="25">
        <f>IF(VLOOKUP(B86,'Data qoq'!$A:$AU,MATCH($AA$1,'Data qoq'!$A$1:$AU$1,),)=0,#N/A,VLOOKUP(B86,'Data qoq'!$A:$AU,MATCH($AA$1,'Data qoq'!$A$1:$AU$1,),))</f>
        <v>1.228939912</v>
      </c>
      <c r="AC86" s="26" t="str">
        <f t="shared" si="12"/>
        <v>2018-Q4</v>
      </c>
      <c r="AD86" s="27">
        <f t="shared" si="13"/>
        <v>-0.16339479699999998</v>
      </c>
      <c r="AE86" s="27">
        <f t="shared" si="14"/>
        <v>-0.16339479699999998</v>
      </c>
    </row>
    <row r="87" spans="2:31" s="72" customFormat="1" x14ac:dyDescent="0.2">
      <c r="B87" s="24" t="s">
        <v>353</v>
      </c>
      <c r="C87" s="25">
        <f>IF(VLOOKUP(B87,'Data qoq'!$A:$AT,MATCH($C$1,'Data qoq'!$A$1:$AT$1,),)=0,#N/A,VLOOKUP(B87,'Data qoq'!$A:$AT,MATCH($C$1,'Data qoq'!$A$1:$AT$1,),))</f>
        <v>0.59779028999999995</v>
      </c>
      <c r="D87" s="25">
        <f>IF(VLOOKUP(B87,'Data qoq'!$A:$AT,MATCH($D$1,'Data qoq'!$A$1:$AT$1,),)=0,#N/A,VLOOKUP(B87,'Data qoq'!$A:$AT,MATCH($D$1,'Data qoq'!$A$1:$AT$1,),))</f>
        <v>1.6</v>
      </c>
      <c r="E87" s="25">
        <f>IF(VLOOKUP(B87,'Data qoq'!$A:$AT,MATCH($E$1,'Data qoq'!$A$1:$AT$1,),)=0,#N/A,VLOOKUP(B87,'Data qoq'!$A:$AT,MATCH($E$1,'Data qoq'!$A$1:$AT$1,),))</f>
        <v>0.72254799999999997</v>
      </c>
      <c r="F87" s="25">
        <f>IF(VLOOKUP(B87,'Data qoq'!$A:$AT,MATCH($F$1,'Data qoq'!$A$1:$AT$1,),)=0,#N/A,VLOOKUP(B87,'Data qoq'!$A:$AT,MATCH($F$1,'Data qoq'!$A$1:$AT$1,),))</f>
        <v>0.39575401700000001</v>
      </c>
      <c r="G87" s="25">
        <f>IF(VLOOKUP(B87,'Data qoq'!$A:$AT,MATCH($G$1,'Data qoq'!$A$1:$AT$1,),)=0,#N/A,VLOOKUP(B87,'Data qoq'!$A:$AT,MATCH($G$1,'Data qoq'!$A$1:$AT$1,),))</f>
        <v>1.054195089</v>
      </c>
      <c r="H87" s="25">
        <f>IF(VLOOKUP(B87,'Data qoq'!$A:$AT,MATCH($H$1,'Data qoq'!$A$1:$AT$1,),)=0,#N/A,VLOOKUP(B87,'Data qoq'!$A:$AT,MATCH($H$1,'Data qoq'!$A$1:$AT$1,),))</f>
        <v>0.61983614200000003</v>
      </c>
      <c r="I87" s="25">
        <f>IF(VLOOKUP(B87,'Data qoq'!$A:$AT,MATCH($I$1,'Data qoq'!$A$1:$AT$1,),)=0,#N/A,VLOOKUP(B87,'Data qoq'!$A:$AT,MATCH($I$1,'Data qoq'!$A$1:$AT$1,),))</f>
        <v>0.64195771099999999</v>
      </c>
      <c r="J87" s="25">
        <f>IF(VLOOKUP(B87,'Data qoq'!$A:$AT,MATCH($J$1,'Data qoq'!$A$1:$AT$1,),)=0,#N/A,VLOOKUP(B87,'Data qoq'!$A:$AT,MATCH($J$1,'Data qoq'!$A$1:$AT$1,),))</f>
        <v>4.1288880999999999E-2</v>
      </c>
      <c r="K87" s="25">
        <f>IF(VLOOKUP(B87,'Data qoq'!$A:$AT,MATCH($K$1,'Data qoq'!$A$1:$AT$1,),)=0,#N/A,VLOOKUP(B87,'Data qoq'!$A:$AT,MATCH($K$1,'Data qoq'!$A$1:$AT$1,),))</f>
        <v>0.60131108899999997</v>
      </c>
      <c r="L87" s="25">
        <f>IF(VLOOKUP(B87,'Data qoq'!$A:$AT,MATCH($L$1,'Data qoq'!$A$1:$AT$1,),)=0,#N/A,VLOOKUP(B87,'Data qoq'!$A:$AT,MATCH($L$1,'Data qoq'!$A$1:$AT$1,),))</f>
        <v>0.518260104</v>
      </c>
      <c r="M87" s="25">
        <f>IF(VLOOKUP(B87,'Data qoq'!$A:$AT,MATCH($M$1,'Data qoq'!$A$1:$AT$1,),)=0,#N/A,VLOOKUP(B87,'Data qoq'!$A:$AT,MATCH($M$1,'Data qoq'!$A$1:$AT$1,),))</f>
        <v>7.8109445999999999E-2</v>
      </c>
      <c r="N87" s="25">
        <f>IF(VLOOKUP(B87,'Data qoq'!$A:$AT,MATCH($N$1,'Data qoq'!$A$1:$AT$1,),)=0,#N/A,VLOOKUP(B87,'Data qoq'!$A:$AT,MATCH($N$1,'Data qoq'!$A$1:$AT$1,),))</f>
        <v>-3.8077851000000003E-2</v>
      </c>
      <c r="O87" s="25">
        <f>IF(VLOOKUP(B87,'Data qoq'!$A:$AT,MATCH($O$1,'Data qoq'!$J$1:$AT$1,),)=0,#N/A,VLOOKUP(B87,'Data qoq'!$A:$AT,MATCH($O$1,'Data qoq'!$J$1:$AT$1,),))</f>
        <v>0.60131108899999997</v>
      </c>
      <c r="P87" s="25">
        <f>IF(VLOOKUP(B87,'Data qoq'!$A:$AT,MATCH($P$1,'Data qoq'!$A$1:$AT$1,),)=0,#N/A,VLOOKUP(B87,'Data qoq'!$A:$AT,MATCH($P$1,'Data qoq'!$A$1:$AT$1,),))</f>
        <v>9.0640852999999993E-2</v>
      </c>
      <c r="Q87" s="25">
        <f>IF(VLOOKUP(B87,'Data qoq'!$A:$AT,MATCH($Q$1,'Data qoq'!$A$1:$AT$1,),)=0,#N/A,VLOOKUP(B87,'Data qoq'!$A:$AT,MATCH($Q$1,'Data qoq'!$A$1:$AT$1,),))</f>
        <v>0.41741893299999999</v>
      </c>
      <c r="R87" s="25">
        <f>IF(VLOOKUP(B87,'Data qoq'!$A:$AT,MATCH($R$1,'Data qoq'!$A$1:$AT$1,),)=0,#N/A,VLOOKUP(B87,'Data qoq'!$A:$AT,MATCH($R$1,'Data qoq'!$A$1:$AT$1,),))</f>
        <v>0.30085128700000002</v>
      </c>
      <c r="S87" s="25">
        <f>IF(VLOOKUP(B87,'Data qoq'!$A:$AT,MATCH($S$1,'Data qoq'!$A$1:$AT$1,),)=0,#N/A,VLOOKUP(B87,'Data qoq'!$A:$AT,MATCH($S$1,'Data qoq'!$A$1:$AT$1,),))</f>
        <v>-0.199687643</v>
      </c>
      <c r="T87" s="25">
        <f>IF(VLOOKUP(B87,'Data qoq'!$A:$AT,MATCH($T$1,'Data qoq'!$A$1:$AT$1,),)=0,#N/A,VLOOKUP(B87,'Data qoq'!$A:$AT,MATCH($T$1,'Data qoq'!$A$1:$AT$1,),))</f>
        <v>0.49408987399999998</v>
      </c>
      <c r="U87" s="25">
        <f>IF(VLOOKUP(B87,'Data qoq'!$A:$AT,MATCH($U$1,'Data qoq'!$A$1:$AT$1,),)=0,#N/A,VLOOKUP(B87,'Data qoq'!$A:$AT,MATCH($U$1,'Data qoq'!$A$1:$AT$1,),))</f>
        <v>0.86319546199999997</v>
      </c>
      <c r="V87" s="25">
        <f>IF(VLOOKUP(B87,'Data qoq'!$A:$AT,MATCH($V$1,'Data qoq'!$A$1:$AT$1,),)=0,#N/A,VLOOKUP(B87,'Data qoq'!$A:$AT,MATCH($V$1,'Data qoq'!$A$1:$AT$1,),))</f>
        <v>2.197541872</v>
      </c>
      <c r="W87" s="25">
        <f>IF(VLOOKUP(B87,'Data qoq'!$A:$AT,MATCH($W$1,'Data qoq'!$A$1:$AT$1,),)=0,#N/A,VLOOKUP(B87,'Data qoq'!$A:$AT,MATCH($W$1,'Data qoq'!$A$1:$AT$1,),))</f>
        <v>1.7859176940000001</v>
      </c>
      <c r="X87" s="25">
        <f>IF(VLOOKUP(B87,'Data qoq'!$A:$AT,MATCH($X$1,'Data qoq'!$A$1:$AT$1,),)=0,#N/A,VLOOKUP(B87,'Data qoq'!$A:$AT,MATCH($X$1,'Data qoq'!$A$1:$AT$1,),))</f>
        <v>0.89070791800000004</v>
      </c>
      <c r="Y87" s="25">
        <f>IF(VLOOKUP(B87,'Data qoq'!$A:$AT,MATCH($Y$1,'Data qoq'!$A$1:$AT$1,),)=0,#N/A,VLOOKUP(B87,'Data qoq'!$A:$AT,MATCH($Y$1,'Data qoq'!$A$1:$AT$1,),))</f>
        <v>1.8500552779999999</v>
      </c>
      <c r="Z87" s="25">
        <f>IF(VLOOKUP(B87,'Data qoq'!$A:$AU,MATCH($Z$1,'Data qoq'!$A$1:$AU$1,),)=0,#N/A,VLOOKUP(B87,'Data qoq'!$A:$AU,MATCH($Z$1,'Data qoq'!$A$1:$AU$1,),))</f>
        <v>0.251178911</v>
      </c>
      <c r="AA87" s="25">
        <f>IF(VLOOKUP(B87,'Data qoq'!$A:$AU,MATCH($AA$1,'Data qoq'!$A$1:$AU$1,),)=0,#N/A,VLOOKUP(B87,'Data qoq'!$A:$AU,MATCH($AA$1,'Data qoq'!$A$1:$AU$1,),))</f>
        <v>0.38846736799999998</v>
      </c>
      <c r="AC87" s="26" t="str">
        <f t="shared" si="12"/>
        <v>2019-Q1</v>
      </c>
      <c r="AD87" s="27">
        <f t="shared" si="13"/>
        <v>-0.45640479900000008</v>
      </c>
      <c r="AE87" s="27">
        <f t="shared" si="14"/>
        <v>-0.45640479900000008</v>
      </c>
    </row>
    <row r="88" spans="2:31" s="72" customFormat="1" x14ac:dyDescent="0.2">
      <c r="B88" s="24" t="s">
        <v>354</v>
      </c>
      <c r="C88" s="25">
        <f>IF(VLOOKUP(B88,'Data qoq'!$A:$AT,MATCH($C$1,'Data qoq'!$A$1:$AT$1,),)=0,#N/A,VLOOKUP(B88,'Data qoq'!$A:$AT,MATCH($C$1,'Data qoq'!$A$1:$AT$1,),))</f>
        <v>0.79292440799999997</v>
      </c>
      <c r="D88" s="25">
        <f>IF(VLOOKUP(B88,'Data qoq'!$A:$AT,MATCH($D$1,'Data qoq'!$A$1:$AT$1,),)=0,#N/A,VLOOKUP(B88,'Data qoq'!$A:$AT,MATCH($D$1,'Data qoq'!$A$1:$AT$1,),))</f>
        <v>1.2</v>
      </c>
      <c r="E88" s="25">
        <f>IF(VLOOKUP(B88,'Data qoq'!$A:$AT,MATCH($E$1,'Data qoq'!$A$1:$AT$1,),)=0,#N/A,VLOOKUP(B88,'Data qoq'!$A:$AT,MATCH($E$1,'Data qoq'!$A$1:$AT$1,),))</f>
        <v>0.18629599999999999</v>
      </c>
      <c r="F88" s="25">
        <f>IF(VLOOKUP(B88,'Data qoq'!$A:$AT,MATCH($F$1,'Data qoq'!$A$1:$AT$1,),)=0,#N/A,VLOOKUP(B88,'Data qoq'!$A:$AT,MATCH($F$1,'Data qoq'!$A$1:$AT$1,),))</f>
        <v>0.43407654000000001</v>
      </c>
      <c r="G88" s="25">
        <f>IF(VLOOKUP(B88,'Data qoq'!$A:$AT,MATCH($G$1,'Data qoq'!$A$1:$AT$1,),)=0,#N/A,VLOOKUP(B88,'Data qoq'!$A:$AT,MATCH($G$1,'Data qoq'!$A$1:$AT$1,),))</f>
        <v>-0.49256605199999998</v>
      </c>
      <c r="H88" s="25">
        <f>IF(VLOOKUP(B88,'Data qoq'!$A:$AT,MATCH($H$1,'Data qoq'!$A$1:$AT$1,),)=0,#N/A,VLOOKUP(B88,'Data qoq'!$A:$AT,MATCH($H$1,'Data qoq'!$A$1:$AT$1,),))</f>
        <v>0.55562056100000001</v>
      </c>
      <c r="I88" s="25">
        <f>IF(VLOOKUP(B88,'Data qoq'!$A:$AT,MATCH($I$1,'Data qoq'!$A$1:$AT$1,),)=0,#N/A,VLOOKUP(B88,'Data qoq'!$A:$AT,MATCH($I$1,'Data qoq'!$A$1:$AT$1,),))</f>
        <v>0.13273241999999999</v>
      </c>
      <c r="J88" s="25">
        <f>IF(VLOOKUP(B88,'Data qoq'!$A:$AT,MATCH($J$1,'Data qoq'!$A$1:$AT$1,),)=0,#N/A,VLOOKUP(B88,'Data qoq'!$A:$AT,MATCH($J$1,'Data qoq'!$A$1:$AT$1,),))</f>
        <v>0.180636717</v>
      </c>
      <c r="K88" s="25">
        <f>IF(VLOOKUP(B88,'Data qoq'!$A:$AT,MATCH($K$1,'Data qoq'!$A$1:$AT$1,),)=0,#N/A,VLOOKUP(B88,'Data qoq'!$A:$AT,MATCH($K$1,'Data qoq'!$A$1:$AT$1,),))</f>
        <v>0.36557096500000003</v>
      </c>
      <c r="L88" s="25">
        <f>IF(VLOOKUP(B88,'Data qoq'!$A:$AT,MATCH($L$1,'Data qoq'!$A$1:$AT$1,),)=0,#N/A,VLOOKUP(B88,'Data qoq'!$A:$AT,MATCH($L$1,'Data qoq'!$A$1:$AT$1,),))</f>
        <v>0.48385230899999998</v>
      </c>
      <c r="M88" s="25">
        <f>IF(VLOOKUP(B88,'Data qoq'!$A:$AT,MATCH($M$1,'Data qoq'!$A$1:$AT$1,),)=0,#N/A,VLOOKUP(B88,'Data qoq'!$A:$AT,MATCH($M$1,'Data qoq'!$A$1:$AT$1,),))</f>
        <v>-0.329378381</v>
      </c>
      <c r="N88" s="25">
        <f>IF(VLOOKUP(B88,'Data qoq'!$A:$AT,MATCH($N$1,'Data qoq'!$A$1:$AT$1,),)=0,#N/A,VLOOKUP(B88,'Data qoq'!$A:$AT,MATCH($N$1,'Data qoq'!$A$1:$AT$1,),))</f>
        <v>2.2617195539999999</v>
      </c>
      <c r="O88" s="25">
        <f>IF(VLOOKUP(B88,'Data qoq'!$A:$AT,MATCH($O$1,'Data qoq'!$J$1:$AT$1,),)=0,#N/A,VLOOKUP(B88,'Data qoq'!$A:$AT,MATCH($O$1,'Data qoq'!$J$1:$AT$1,),))</f>
        <v>0.36557096500000003</v>
      </c>
      <c r="P88" s="25">
        <f>IF(VLOOKUP(B88,'Data qoq'!$A:$AT,MATCH($P$1,'Data qoq'!$A$1:$AT$1,),)=0,#N/A,VLOOKUP(B88,'Data qoq'!$A:$AT,MATCH($P$1,'Data qoq'!$A$1:$AT$1,),))</f>
        <v>0.99073782899999996</v>
      </c>
      <c r="Q88" s="25">
        <f>IF(VLOOKUP(B88,'Data qoq'!$A:$AT,MATCH($Q$1,'Data qoq'!$A$1:$AT$1,),)=0,#N/A,VLOOKUP(B88,'Data qoq'!$A:$AT,MATCH($Q$1,'Data qoq'!$A$1:$AT$1,),))</f>
        <v>0.69778375999999998</v>
      </c>
      <c r="R88" s="25">
        <f>IF(VLOOKUP(B88,'Data qoq'!$A:$AT,MATCH($R$1,'Data qoq'!$A$1:$AT$1,),)=0,#N/A,VLOOKUP(B88,'Data qoq'!$A:$AT,MATCH($R$1,'Data qoq'!$A$1:$AT$1,),))</f>
        <v>0.397020488</v>
      </c>
      <c r="S88" s="25">
        <f>IF(VLOOKUP(B88,'Data qoq'!$A:$AT,MATCH($S$1,'Data qoq'!$A$1:$AT$1,),)=0,#N/A,VLOOKUP(B88,'Data qoq'!$A:$AT,MATCH($S$1,'Data qoq'!$A$1:$AT$1,),))</f>
        <v>1.046022679</v>
      </c>
      <c r="T88" s="25">
        <f>IF(VLOOKUP(B88,'Data qoq'!$A:$AT,MATCH($T$1,'Data qoq'!$A$1:$AT$1,),)=0,#N/A,VLOOKUP(B88,'Data qoq'!$A:$AT,MATCH($T$1,'Data qoq'!$A$1:$AT$1,),))</f>
        <v>0.58238563700000001</v>
      </c>
      <c r="U88" s="25">
        <f>IF(VLOOKUP(B88,'Data qoq'!$A:$AT,MATCH($U$1,'Data qoq'!$A$1:$AT$1,),)=0,#N/A,VLOOKUP(B88,'Data qoq'!$A:$AT,MATCH($U$1,'Data qoq'!$A$1:$AT$1,),))</f>
        <v>0.76638728899999997</v>
      </c>
      <c r="V88" s="25">
        <f>IF(VLOOKUP(B88,'Data qoq'!$A:$AT,MATCH($V$1,'Data qoq'!$A$1:$AT$1,),)=0,#N/A,VLOOKUP(B88,'Data qoq'!$A:$AT,MATCH($V$1,'Data qoq'!$A$1:$AT$1,),))</f>
        <v>2.219795011</v>
      </c>
      <c r="W88" s="25">
        <f>IF(VLOOKUP(B88,'Data qoq'!$A:$AT,MATCH($W$1,'Data qoq'!$A$1:$AT$1,),)=0,#N/A,VLOOKUP(B88,'Data qoq'!$A:$AT,MATCH($W$1,'Data qoq'!$A$1:$AT$1,),))</f>
        <v>2.3799511469999999</v>
      </c>
      <c r="X88" s="25">
        <f>IF(VLOOKUP(B88,'Data qoq'!$A:$AT,MATCH($X$1,'Data qoq'!$A$1:$AT$1,),)=0,#N/A,VLOOKUP(B88,'Data qoq'!$A:$AT,MATCH($X$1,'Data qoq'!$A$1:$AT$1,),))</f>
        <v>0.78597744999999997</v>
      </c>
      <c r="Y88" s="25">
        <f>IF(VLOOKUP(B88,'Data qoq'!$A:$AT,MATCH($Y$1,'Data qoq'!$A$1:$AT$1,),)=0,#N/A,VLOOKUP(B88,'Data qoq'!$A:$AT,MATCH($Y$1,'Data qoq'!$A$1:$AT$1,),))</f>
        <v>0.67966922600000002</v>
      </c>
      <c r="Z88" s="25">
        <f>IF(VLOOKUP(B88,'Data qoq'!$A:$AU,MATCH($Z$1,'Data qoq'!$A$1:$AU$1,),)=0,#N/A,VLOOKUP(B88,'Data qoq'!$A:$AU,MATCH($Z$1,'Data qoq'!$A$1:$AU$1,),))</f>
        <v>0.65519672500000004</v>
      </c>
      <c r="AA88" s="25">
        <f>IF(VLOOKUP(B88,'Data qoq'!$A:$AU,MATCH($AA$1,'Data qoq'!$A$1:$AU$1,),)=0,#N/A,VLOOKUP(B88,'Data qoq'!$A:$AU,MATCH($AA$1,'Data qoq'!$A$1:$AU$1,),))</f>
        <v>0.55108090799999998</v>
      </c>
      <c r="AC88" s="26" t="str">
        <f t="shared" si="12"/>
        <v>2019-Q2</v>
      </c>
      <c r="AD88" s="27">
        <f t="shared" si="13"/>
        <v>1.2854904599999999</v>
      </c>
      <c r="AE88" s="27">
        <f t="shared" si="14"/>
        <v>1.2854904599999999</v>
      </c>
    </row>
    <row r="89" spans="2:31" s="72" customFormat="1" x14ac:dyDescent="0.2">
      <c r="B89" s="24" t="s">
        <v>355</v>
      </c>
      <c r="C89" s="25">
        <f>IF(VLOOKUP(B89,'Data qoq'!$A:$AT,MATCH($C$1,'Data qoq'!$A$1:$AT$1,),)=0,#N/A,VLOOKUP(B89,'Data qoq'!$A:$AT,MATCH($C$1,'Data qoq'!$A$1:$AT$1,),))</f>
        <v>0.685498791</v>
      </c>
      <c r="D89" s="25">
        <f>IF(VLOOKUP(B89,'Data qoq'!$A:$AT,MATCH($D$1,'Data qoq'!$A$1:$AT$1,),)=0,#N/A,VLOOKUP(B89,'Data qoq'!$A:$AT,MATCH($D$1,'Data qoq'!$A$1:$AT$1,),))</f>
        <v>1.3</v>
      </c>
      <c r="E89" s="25">
        <f>IF(VLOOKUP(B89,'Data qoq'!$A:$AT,MATCH($E$1,'Data qoq'!$A$1:$AT$1,),)=0,#N/A,VLOOKUP(B89,'Data qoq'!$A:$AT,MATCH($E$1,'Data qoq'!$A$1:$AT$1,),))</f>
        <v>0.24835299999999999</v>
      </c>
      <c r="F89" s="25">
        <f>IF(VLOOKUP(B89,'Data qoq'!$A:$AT,MATCH($F$1,'Data qoq'!$A$1:$AT$1,),)=0,#N/A,VLOOKUP(B89,'Data qoq'!$A:$AT,MATCH($F$1,'Data qoq'!$A$1:$AT$1,),))</f>
        <v>-0.115559701</v>
      </c>
      <c r="G89" s="25">
        <f>IF(VLOOKUP(B89,'Data qoq'!$A:$AT,MATCH($G$1,'Data qoq'!$A$1:$AT$1,),)=0,#N/A,VLOOKUP(B89,'Data qoq'!$A:$AT,MATCH($G$1,'Data qoq'!$A$1:$AT$1,),))</f>
        <v>0.41094913500000002</v>
      </c>
      <c r="H89" s="25">
        <f>IF(VLOOKUP(B89,'Data qoq'!$A:$AT,MATCH($H$1,'Data qoq'!$A$1:$AT$1,),)=0,#N/A,VLOOKUP(B89,'Data qoq'!$A:$AT,MATCH($H$1,'Data qoq'!$A$1:$AT$1,),))</f>
        <v>6.2630373000000003E-2</v>
      </c>
      <c r="I89" s="25">
        <f>IF(VLOOKUP(B89,'Data qoq'!$A:$AT,MATCH($I$1,'Data qoq'!$A$1:$AT$1,),)=0,#N/A,VLOOKUP(B89,'Data qoq'!$A:$AT,MATCH($I$1,'Data qoq'!$A$1:$AT$1,),))</f>
        <v>0.45897234999999997</v>
      </c>
      <c r="J89" s="25">
        <f>IF(VLOOKUP(B89,'Data qoq'!$A:$AT,MATCH($J$1,'Data qoq'!$A$1:$AT$1,),)=0,#N/A,VLOOKUP(B89,'Data qoq'!$A:$AT,MATCH($J$1,'Data qoq'!$A$1:$AT$1,),))</f>
        <v>8.4291638000000002E-2</v>
      </c>
      <c r="K89" s="25">
        <f>IF(VLOOKUP(B89,'Data qoq'!$A:$AT,MATCH($K$1,'Data qoq'!$A$1:$AT$1,),)=0,#N/A,VLOOKUP(B89,'Data qoq'!$A:$AT,MATCH($K$1,'Data qoq'!$A$1:$AT$1,),))</f>
        <v>0.37901041000000002</v>
      </c>
      <c r="L89" s="25">
        <f>IF(VLOOKUP(B89,'Data qoq'!$A:$AT,MATCH($L$1,'Data qoq'!$A$1:$AT$1,),)=0,#N/A,VLOOKUP(B89,'Data qoq'!$A:$AT,MATCH($L$1,'Data qoq'!$A$1:$AT$1,),))</f>
        <v>0.124386817</v>
      </c>
      <c r="M89" s="25">
        <f>IF(VLOOKUP(B89,'Data qoq'!$A:$AT,MATCH($M$1,'Data qoq'!$A$1:$AT$1,),)=0,#N/A,VLOOKUP(B89,'Data qoq'!$A:$AT,MATCH($M$1,'Data qoq'!$A$1:$AT$1,),))</f>
        <v>0.71331584100000001</v>
      </c>
      <c r="N89" s="25">
        <f>IF(VLOOKUP(B89,'Data qoq'!$A:$AT,MATCH($N$1,'Data qoq'!$A$1:$AT$1,),)=0,#N/A,VLOOKUP(B89,'Data qoq'!$A:$AT,MATCH($N$1,'Data qoq'!$A$1:$AT$1,),))</f>
        <v>-0.97835560099999996</v>
      </c>
      <c r="O89" s="25">
        <f>IF(VLOOKUP(B89,'Data qoq'!$A:$AT,MATCH($O$1,'Data qoq'!$J$1:$AT$1,),)=0,#N/A,VLOOKUP(B89,'Data qoq'!$A:$AT,MATCH($O$1,'Data qoq'!$J$1:$AT$1,),))</f>
        <v>0.37901041000000002</v>
      </c>
      <c r="P89" s="25">
        <f>IF(VLOOKUP(B89,'Data qoq'!$A:$AT,MATCH($P$1,'Data qoq'!$A$1:$AT$1,),)=0,#N/A,VLOOKUP(B89,'Data qoq'!$A:$AT,MATCH($P$1,'Data qoq'!$A$1:$AT$1,),))</f>
        <v>0.32664281099999998</v>
      </c>
      <c r="Q89" s="25">
        <f>IF(VLOOKUP(B89,'Data qoq'!$A:$AT,MATCH($Q$1,'Data qoq'!$A$1:$AT$1,),)=0,#N/A,VLOOKUP(B89,'Data qoq'!$A:$AT,MATCH($Q$1,'Data qoq'!$A$1:$AT$1,),))</f>
        <v>0.80316295500000001</v>
      </c>
      <c r="R89" s="25">
        <f>IF(VLOOKUP(B89,'Data qoq'!$A:$AT,MATCH($R$1,'Data qoq'!$A$1:$AT$1,),)=0,#N/A,VLOOKUP(B89,'Data qoq'!$A:$AT,MATCH($R$1,'Data qoq'!$A$1:$AT$1,),))</f>
        <v>0.54510529799999996</v>
      </c>
      <c r="S89" s="25">
        <f>IF(VLOOKUP(B89,'Data qoq'!$A:$AT,MATCH($S$1,'Data qoq'!$A$1:$AT$1,),)=0,#N/A,VLOOKUP(B89,'Data qoq'!$A:$AT,MATCH($S$1,'Data qoq'!$A$1:$AT$1,),))</f>
        <v>0.405037445</v>
      </c>
      <c r="T89" s="25">
        <f>IF(VLOOKUP(B89,'Data qoq'!$A:$AT,MATCH($T$1,'Data qoq'!$A$1:$AT$1,),)=0,#N/A,VLOOKUP(B89,'Data qoq'!$A:$AT,MATCH($T$1,'Data qoq'!$A$1:$AT$1,),))</f>
        <v>-1.3673393000000001E-2</v>
      </c>
      <c r="U89" s="25">
        <f>IF(VLOOKUP(B89,'Data qoq'!$A:$AT,MATCH($U$1,'Data qoq'!$A$1:$AT$1,),)=0,#N/A,VLOOKUP(B89,'Data qoq'!$A:$AT,MATCH($U$1,'Data qoq'!$A$1:$AT$1,),))</f>
        <v>3.0562974999999999E-2</v>
      </c>
      <c r="V89" s="25">
        <f>IF(VLOOKUP(B89,'Data qoq'!$A:$AT,MATCH($V$1,'Data qoq'!$A$1:$AT$1,),)=0,#N/A,VLOOKUP(B89,'Data qoq'!$A:$AT,MATCH($V$1,'Data qoq'!$A$1:$AT$1,),))</f>
        <v>-0.416159683</v>
      </c>
      <c r="W89" s="25">
        <f>IF(VLOOKUP(B89,'Data qoq'!$A:$AT,MATCH($W$1,'Data qoq'!$A$1:$AT$1,),)=0,#N/A,VLOOKUP(B89,'Data qoq'!$A:$AT,MATCH($W$1,'Data qoq'!$A$1:$AT$1,),))</f>
        <v>5.0625441E-2</v>
      </c>
      <c r="X89" s="25">
        <f>IF(VLOOKUP(B89,'Data qoq'!$A:$AT,MATCH($X$1,'Data qoq'!$A$1:$AT$1,),)=0,#N/A,VLOOKUP(B89,'Data qoq'!$A:$AT,MATCH($X$1,'Data qoq'!$A$1:$AT$1,),))</f>
        <v>0.54848529999999995</v>
      </c>
      <c r="Y89" s="25">
        <f>IF(VLOOKUP(B89,'Data qoq'!$A:$AT,MATCH($Y$1,'Data qoq'!$A$1:$AT$1,),)=0,#N/A,VLOOKUP(B89,'Data qoq'!$A:$AT,MATCH($Y$1,'Data qoq'!$A$1:$AT$1,),))</f>
        <v>1.0676046079999999</v>
      </c>
      <c r="Z89" s="25">
        <f>IF(VLOOKUP(B89,'Data qoq'!$A:$AU,MATCH($Z$1,'Data qoq'!$A$1:$AU$1,),)=0,#N/A,VLOOKUP(B89,'Data qoq'!$A:$AU,MATCH($Z$1,'Data qoq'!$A$1:$AU$1,),))</f>
        <v>0.15653552400000001</v>
      </c>
      <c r="AA89" s="25">
        <f>IF(VLOOKUP(B89,'Data qoq'!$A:$AU,MATCH($AA$1,'Data qoq'!$A$1:$AU$1,),)=0,#N/A,VLOOKUP(B89,'Data qoq'!$A:$AU,MATCH($AA$1,'Data qoq'!$A$1:$AU$1,),))</f>
        <v>1.0200715920000001</v>
      </c>
      <c r="AC89" s="26" t="str">
        <f t="shared" si="12"/>
        <v>2019-Q3</v>
      </c>
      <c r="AD89" s="27">
        <f t="shared" si="13"/>
        <v>0.27454965599999998</v>
      </c>
      <c r="AE89" s="27">
        <f t="shared" si="14"/>
        <v>0.27454965599999998</v>
      </c>
    </row>
    <row r="90" spans="2:31" s="72" customFormat="1" x14ac:dyDescent="0.2">
      <c r="B90" s="24" t="s">
        <v>356</v>
      </c>
      <c r="C90" s="25">
        <f>IF(VLOOKUP(B90,'Data qoq'!$A:$AT,MATCH($C$1,'Data qoq'!$A$1:$AT$1,),)=0,#N/A,VLOOKUP(B90,'Data qoq'!$A:$AT,MATCH($C$1,'Data qoq'!$A$1:$AT$1,),))</f>
        <v>0.46909761799999999</v>
      </c>
      <c r="D90" s="25">
        <f>IF(VLOOKUP(B90,'Data qoq'!$A:$AT,MATCH($D$1,'Data qoq'!$A$1:$AT$1,),)=0,#N/A,VLOOKUP(B90,'Data qoq'!$A:$AT,MATCH($D$1,'Data qoq'!$A$1:$AT$1,),))</f>
        <v>1.6</v>
      </c>
      <c r="E90" s="25">
        <f>IF(VLOOKUP(B90,'Data qoq'!$A:$AT,MATCH($E$1,'Data qoq'!$A$1:$AT$1,),)=0,#N/A,VLOOKUP(B90,'Data qoq'!$A:$AT,MATCH($E$1,'Data qoq'!$A$1:$AT$1,),))</f>
        <v>-7.3200000000000001E-3</v>
      </c>
      <c r="F90" s="25">
        <f>IF(VLOOKUP(B90,'Data qoq'!$A:$AT,MATCH($F$1,'Data qoq'!$A$1:$AT$1,),)=0,#N/A,VLOOKUP(B90,'Data qoq'!$A:$AT,MATCH($F$1,'Data qoq'!$A$1:$AT$1,),))</f>
        <v>-2.3906674950000002</v>
      </c>
      <c r="G90" s="25">
        <f>IF(VLOOKUP(B90,'Data qoq'!$A:$AT,MATCH($G$1,'Data qoq'!$A$1:$AT$1,),)=0,#N/A,VLOOKUP(B90,'Data qoq'!$A:$AT,MATCH($G$1,'Data qoq'!$A$1:$AT$1,),))</f>
        <v>-7.4416587000000006E-2</v>
      </c>
      <c r="H90" s="25">
        <f>IF(VLOOKUP(B90,'Data qoq'!$A:$AT,MATCH($H$1,'Data qoq'!$A$1:$AT$1,),)=0,#N/A,VLOOKUP(B90,'Data qoq'!$A:$AT,MATCH($H$1,'Data qoq'!$A$1:$AT$1,),))</f>
        <v>-0.32629496200000002</v>
      </c>
      <c r="I90" s="25">
        <f>IF(VLOOKUP(B90,'Data qoq'!$A:$AT,MATCH($I$1,'Data qoq'!$A$1:$AT$1,),)=0,#N/A,VLOOKUP(B90,'Data qoq'!$A:$AT,MATCH($I$1,'Data qoq'!$A$1:$AT$1,),))</f>
        <v>-4.4750089E-2</v>
      </c>
      <c r="J90" s="25">
        <f>IF(VLOOKUP(B90,'Data qoq'!$A:$AT,MATCH($J$1,'Data qoq'!$A$1:$AT$1,),)=0,#N/A,VLOOKUP(B90,'Data qoq'!$A:$AT,MATCH($J$1,'Data qoq'!$A$1:$AT$1,),))</f>
        <v>-0.42004007599999998</v>
      </c>
      <c r="K90" s="25">
        <f>IF(VLOOKUP(B90,'Data qoq'!$A:$AT,MATCH($K$1,'Data qoq'!$A$1:$AT$1,),)=0,#N/A,VLOOKUP(B90,'Data qoq'!$A:$AT,MATCH($K$1,'Data qoq'!$A$1:$AT$1,),))</f>
        <v>0.376576034</v>
      </c>
      <c r="L90" s="25">
        <f>IF(VLOOKUP(B90,'Data qoq'!$A:$AT,MATCH($L$1,'Data qoq'!$A$1:$AT$1,),)=0,#N/A,VLOOKUP(B90,'Data qoq'!$A:$AT,MATCH($L$1,'Data qoq'!$A$1:$AT$1,),))</f>
        <v>0.250406921</v>
      </c>
      <c r="M90" s="25">
        <f>IF(VLOOKUP(B90,'Data qoq'!$A:$AT,MATCH($M$1,'Data qoq'!$A$1:$AT$1,),)=0,#N/A,VLOOKUP(B90,'Data qoq'!$A:$AT,MATCH($M$1,'Data qoq'!$A$1:$AT$1,),))</f>
        <v>-1.2568721890000001</v>
      </c>
      <c r="N90" s="25">
        <f>IF(VLOOKUP(B90,'Data qoq'!$A:$AT,MATCH($N$1,'Data qoq'!$A$1:$AT$1,),)=0,#N/A,VLOOKUP(B90,'Data qoq'!$A:$AT,MATCH($N$1,'Data qoq'!$A$1:$AT$1,),))</f>
        <v>-0.45248773399999997</v>
      </c>
      <c r="O90" s="25">
        <f>IF(VLOOKUP(B90,'Data qoq'!$A:$AT,MATCH($O$1,'Data qoq'!$J$1:$AT$1,),)=0,#N/A,VLOOKUP(B90,'Data qoq'!$A:$AT,MATCH($O$1,'Data qoq'!$J$1:$AT$1,),))</f>
        <v>0.376576034</v>
      </c>
      <c r="P90" s="25">
        <f>IF(VLOOKUP(B90,'Data qoq'!$A:$AT,MATCH($P$1,'Data qoq'!$A$1:$AT$1,),)=0,#N/A,VLOOKUP(B90,'Data qoq'!$A:$AT,MATCH($P$1,'Data qoq'!$A$1:$AT$1,),))</f>
        <v>0.30068375400000003</v>
      </c>
      <c r="Q90" s="25">
        <f>IF(VLOOKUP(B90,'Data qoq'!$A:$AT,MATCH($Q$1,'Data qoq'!$A$1:$AT$1,),)=0,#N/A,VLOOKUP(B90,'Data qoq'!$A:$AT,MATCH($Q$1,'Data qoq'!$A$1:$AT$1,),))</f>
        <v>0.39062888299999998</v>
      </c>
      <c r="R90" s="25">
        <f>IF(VLOOKUP(B90,'Data qoq'!$A:$AT,MATCH($R$1,'Data qoq'!$A$1:$AT$1,),)=0,#N/A,VLOOKUP(B90,'Data qoq'!$A:$AT,MATCH($R$1,'Data qoq'!$A$1:$AT$1,),))</f>
        <v>0.43274963799999999</v>
      </c>
      <c r="S90" s="25">
        <f>IF(VLOOKUP(B90,'Data qoq'!$A:$AT,MATCH($S$1,'Data qoq'!$A$1:$AT$1,),)=0,#N/A,VLOOKUP(B90,'Data qoq'!$A:$AT,MATCH($S$1,'Data qoq'!$A$1:$AT$1,),))</f>
        <v>1.2884548549999999</v>
      </c>
      <c r="T90" s="25">
        <f>IF(VLOOKUP(B90,'Data qoq'!$A:$AT,MATCH($T$1,'Data qoq'!$A$1:$AT$1,),)=0,#N/A,VLOOKUP(B90,'Data qoq'!$A:$AT,MATCH($T$1,'Data qoq'!$A$1:$AT$1,),))</f>
        <v>0.33173728200000002</v>
      </c>
      <c r="U90" s="25">
        <f>IF(VLOOKUP(B90,'Data qoq'!$A:$AT,MATCH($U$1,'Data qoq'!$A$1:$AT$1,),)=0,#N/A,VLOOKUP(B90,'Data qoq'!$A:$AT,MATCH($U$1,'Data qoq'!$A$1:$AT$1,),))</f>
        <v>-0.23357225400000001</v>
      </c>
      <c r="V90" s="25">
        <f>IF(VLOOKUP(B90,'Data qoq'!$A:$AT,MATCH($V$1,'Data qoq'!$A$1:$AT$1,),)=0,#N/A,VLOOKUP(B90,'Data qoq'!$A:$AT,MATCH($V$1,'Data qoq'!$A$1:$AT$1,),))</f>
        <v>1.2002697449999999</v>
      </c>
      <c r="W90" s="25">
        <f>IF(VLOOKUP(B90,'Data qoq'!$A:$AT,MATCH($W$1,'Data qoq'!$A$1:$AT$1,),)=0,#N/A,VLOOKUP(B90,'Data qoq'!$A:$AT,MATCH($W$1,'Data qoq'!$A$1:$AT$1,),))</f>
        <v>1.3646299630000001</v>
      </c>
      <c r="X90" s="25">
        <f>IF(VLOOKUP(B90,'Data qoq'!$A:$AT,MATCH($X$1,'Data qoq'!$A$1:$AT$1,),)=0,#N/A,VLOOKUP(B90,'Data qoq'!$A:$AT,MATCH($X$1,'Data qoq'!$A$1:$AT$1,),))</f>
        <v>0.62913215499999997</v>
      </c>
      <c r="Y90" s="25">
        <f>IF(VLOOKUP(B90,'Data qoq'!$A:$AT,MATCH($Y$1,'Data qoq'!$A$1:$AT$1,),)=0,#N/A,VLOOKUP(B90,'Data qoq'!$A:$AT,MATCH($Y$1,'Data qoq'!$A$1:$AT$1,),))</f>
        <v>0.38395410200000002</v>
      </c>
      <c r="Z90" s="25">
        <f>IF(VLOOKUP(B90,'Data qoq'!$A:$AU,MATCH($Z$1,'Data qoq'!$A$1:$AU$1,),)=0,#N/A,VLOOKUP(B90,'Data qoq'!$A:$AU,MATCH($Z$1,'Data qoq'!$A$1:$AU$1,),))</f>
        <v>-1.695708848</v>
      </c>
      <c r="AA90" s="25">
        <f>IF(VLOOKUP(B90,'Data qoq'!$A:$AU,MATCH($AA$1,'Data qoq'!$A$1:$AU$1,),)=0,#N/A,VLOOKUP(B90,'Data qoq'!$A:$AU,MATCH($AA$1,'Data qoq'!$A$1:$AU$1,),))</f>
        <v>0.33822463400000002</v>
      </c>
      <c r="AC90" s="26" t="str">
        <f t="shared" si="12"/>
        <v>2019-Q4</v>
      </c>
      <c r="AD90" s="27">
        <f t="shared" si="13"/>
        <v>0.54351420500000003</v>
      </c>
      <c r="AE90" s="27">
        <f t="shared" si="14"/>
        <v>0.54351420500000003</v>
      </c>
    </row>
    <row r="91" spans="2:31" s="72" customFormat="1" x14ac:dyDescent="0.2">
      <c r="B91" s="24" t="s">
        <v>357</v>
      </c>
      <c r="C91" s="25">
        <f>IF(VLOOKUP(B91,'Data qoq'!$A:$AT,MATCH($C$1,'Data qoq'!$A$1:$AT$1,),)=0,#N/A,VLOOKUP(B91,'Data qoq'!$A:$AT,MATCH($C$1,'Data qoq'!$A$1:$AT$1,),))</f>
        <v>-1.303582746</v>
      </c>
      <c r="D91" s="25">
        <f>IF(VLOOKUP(B91,'Data qoq'!$A:$AT,MATCH($D$1,'Data qoq'!$A$1:$AT$1,),)=0,#N/A,VLOOKUP(B91,'Data qoq'!$A:$AT,MATCH($D$1,'Data qoq'!$A$1:$AT$1,),))</f>
        <v>-9.5</v>
      </c>
      <c r="E91" s="25">
        <f>IF(VLOOKUP(B91,'Data qoq'!$A:$AT,MATCH($E$1,'Data qoq'!$A$1:$AT$1,),)=0,#N/A,VLOOKUP(B91,'Data qoq'!$A:$AT,MATCH($E$1,'Data qoq'!$A$1:$AT$1,),))</f>
        <v>-3.4671609999999999</v>
      </c>
      <c r="F91" s="25">
        <f>IF(VLOOKUP(B91,'Data qoq'!$A:$AT,MATCH($F$1,'Data qoq'!$A$1:$AT$1,),)=0,#N/A,VLOOKUP(B91,'Data qoq'!$A:$AT,MATCH($F$1,'Data qoq'!$A$1:$AT$1,),))</f>
        <v>0.30625605299999997</v>
      </c>
      <c r="G91" s="25">
        <f>IF(VLOOKUP(B91,'Data qoq'!$A:$AT,MATCH($G$1,'Data qoq'!$A$1:$AT$1,),)=0,#N/A,VLOOKUP(B91,'Data qoq'!$A:$AT,MATCH($G$1,'Data qoq'!$A$1:$AT$1,),))</f>
        <v>-1.7639736049999999</v>
      </c>
      <c r="H91" s="25">
        <f>IF(VLOOKUP(B91,'Data qoq'!$A:$AT,MATCH($H$1,'Data qoq'!$A$1:$AT$1,),)=0,#N/A,VLOOKUP(B91,'Data qoq'!$A:$AT,MATCH($H$1,'Data qoq'!$A$1:$AT$1,),))</f>
        <v>-5.6971136109999998</v>
      </c>
      <c r="I91" s="25">
        <f>IF(VLOOKUP(B91,'Data qoq'!$A:$AT,MATCH($I$1,'Data qoq'!$A$1:$AT$1,),)=0,#N/A,VLOOKUP(B91,'Data qoq'!$A:$AT,MATCH($I$1,'Data qoq'!$A$1:$AT$1,),))</f>
        <v>-2.6373673040000001</v>
      </c>
      <c r="J91" s="25">
        <f>IF(VLOOKUP(B91,'Data qoq'!$A:$AT,MATCH($J$1,'Data qoq'!$A$1:$AT$1,),)=0,#N/A,VLOOKUP(B91,'Data qoq'!$A:$AT,MATCH($J$1,'Data qoq'!$A$1:$AT$1,),))</f>
        <v>-5.7197817549999996</v>
      </c>
      <c r="K91" s="25">
        <f>IF(VLOOKUP(B91,'Data qoq'!$A:$AT,MATCH($K$1,'Data qoq'!$A$1:$AT$1,),)=0,#N/A,VLOOKUP(B91,'Data qoq'!$A:$AT,MATCH($K$1,'Data qoq'!$A$1:$AT$1,),))</f>
        <v>-5.3912226460000001</v>
      </c>
      <c r="L91" s="25">
        <f>IF(VLOOKUP(B91,'Data qoq'!$A:$AT,MATCH($L$1,'Data qoq'!$A$1:$AT$1,),)=0,#N/A,VLOOKUP(B91,'Data qoq'!$A:$AT,MATCH($L$1,'Data qoq'!$A$1:$AT$1,),))</f>
        <v>-0.82723152600000005</v>
      </c>
      <c r="M91" s="25">
        <f>IF(VLOOKUP(B91,'Data qoq'!$A:$AT,MATCH($M$1,'Data qoq'!$A$1:$AT$1,),)=0,#N/A,VLOOKUP(B91,'Data qoq'!$A:$AT,MATCH($M$1,'Data qoq'!$A$1:$AT$1,),))</f>
        <v>-0.81276056900000004</v>
      </c>
      <c r="N91" s="25">
        <f>IF(VLOOKUP(B91,'Data qoq'!$A:$AT,MATCH($N$1,'Data qoq'!$A$1:$AT$1,),)=0,#N/A,VLOOKUP(B91,'Data qoq'!$A:$AT,MATCH($N$1,'Data qoq'!$A$1:$AT$1,),))</f>
        <v>-0.196323318</v>
      </c>
      <c r="O91" s="25">
        <f>IF(VLOOKUP(B91,'Data qoq'!$A:$AT,MATCH($O$1,'Data qoq'!$J$1:$AT$1,),)=0,#N/A,VLOOKUP(B91,'Data qoq'!$A:$AT,MATCH($O$1,'Data qoq'!$J$1:$AT$1,),))</f>
        <v>-5.3912226460000001</v>
      </c>
      <c r="P91" s="25">
        <f>IF(VLOOKUP(B91,'Data qoq'!$A:$AT,MATCH($P$1,'Data qoq'!$A$1:$AT$1,),)=0,#N/A,VLOOKUP(B91,'Data qoq'!$A:$AT,MATCH($P$1,'Data qoq'!$A$1:$AT$1,),))</f>
        <v>-2.1573026089999998</v>
      </c>
      <c r="Q91" s="25">
        <f>IF(VLOOKUP(B91,'Data qoq'!$A:$AT,MATCH($Q$1,'Data qoq'!$A$1:$AT$1,),)=0,#N/A,VLOOKUP(B91,'Data qoq'!$A:$AT,MATCH($Q$1,'Data qoq'!$A$1:$AT$1,),))</f>
        <v>-0.29366336599999998</v>
      </c>
      <c r="R91" s="25">
        <f>IF(VLOOKUP(B91,'Data qoq'!$A:$AT,MATCH($R$1,'Data qoq'!$A$1:$AT$1,),)=0,#N/A,VLOOKUP(B91,'Data qoq'!$A:$AT,MATCH($R$1,'Data qoq'!$A$1:$AT$1,),))</f>
        <v>-1.5259639140000001</v>
      </c>
      <c r="S91" s="25">
        <f>IF(VLOOKUP(B91,'Data qoq'!$A:$AT,MATCH($S$1,'Data qoq'!$A$1:$AT$1,),)=0,#N/A,VLOOKUP(B91,'Data qoq'!$A:$AT,MATCH($S$1,'Data qoq'!$A$1:$AT$1,),))</f>
        <v>-1.2615067280000001</v>
      </c>
      <c r="T91" s="25">
        <f>IF(VLOOKUP(B91,'Data qoq'!$A:$AT,MATCH($T$1,'Data qoq'!$A$1:$AT$1,),)=0,#N/A,VLOOKUP(B91,'Data qoq'!$A:$AT,MATCH($T$1,'Data qoq'!$A$1:$AT$1,),))</f>
        <v>-2.27094942</v>
      </c>
      <c r="U91" s="25">
        <f>IF(VLOOKUP(B91,'Data qoq'!$A:$AT,MATCH($U$1,'Data qoq'!$A$1:$AT$1,),)=0,#N/A,VLOOKUP(B91,'Data qoq'!$A:$AT,MATCH($U$1,'Data qoq'!$A$1:$AT$1,),))</f>
        <v>-1.584829399</v>
      </c>
      <c r="V91" s="25">
        <f>IF(VLOOKUP(B91,'Data qoq'!$A:$AT,MATCH($V$1,'Data qoq'!$A$1:$AT$1,),)=0,#N/A,VLOOKUP(B91,'Data qoq'!$A:$AT,MATCH($V$1,'Data qoq'!$A$1:$AT$1,),))</f>
        <v>3.6710366149999998</v>
      </c>
      <c r="W91" s="25">
        <f>IF(VLOOKUP(B91,'Data qoq'!$A:$AT,MATCH($W$1,'Data qoq'!$A$1:$AT$1,),)=0,#N/A,VLOOKUP(B91,'Data qoq'!$A:$AT,MATCH($W$1,'Data qoq'!$A$1:$AT$1,),))</f>
        <v>0.44624292300000001</v>
      </c>
      <c r="X91" s="25">
        <f>IF(VLOOKUP(B91,'Data qoq'!$A:$AT,MATCH($X$1,'Data qoq'!$A$1:$AT$1,),)=0,#N/A,VLOOKUP(B91,'Data qoq'!$A:$AT,MATCH($X$1,'Data qoq'!$A$1:$AT$1,),))</f>
        <v>-3.3722800639999999</v>
      </c>
      <c r="Y91" s="25">
        <f>IF(VLOOKUP(B91,'Data qoq'!$A:$AT,MATCH($Y$1,'Data qoq'!$A$1:$AT$1,),)=0,#N/A,VLOOKUP(B91,'Data qoq'!$A:$AT,MATCH($Y$1,'Data qoq'!$A$1:$AT$1,),))</f>
        <v>7.4834126000000001E-2</v>
      </c>
      <c r="Z91" s="25">
        <f>IF(VLOOKUP(B91,'Data qoq'!$A:$AU,MATCH($Z$1,'Data qoq'!$A$1:$AU$1,),)=0,#N/A,VLOOKUP(B91,'Data qoq'!$A:$AU,MATCH($Z$1,'Data qoq'!$A$1:$AU$1,),))</f>
        <v>-3.9358662080000002</v>
      </c>
      <c r="AA91" s="25">
        <f>IF(VLOOKUP(B91,'Data qoq'!$A:$AU,MATCH($AA$1,'Data qoq'!$A$1:$AU$1,),)=0,#N/A,VLOOKUP(B91,'Data qoq'!$A:$AU,MATCH($AA$1,'Data qoq'!$A$1:$AU$1,),))</f>
        <v>-1.2732632930000001</v>
      </c>
      <c r="AC91" s="26" t="str">
        <f t="shared" si="12"/>
        <v>2020-Q1</v>
      </c>
      <c r="AD91" s="27">
        <f t="shared" si="13"/>
        <v>0.46039085899999987</v>
      </c>
      <c r="AE91" s="27">
        <f t="shared" si="14"/>
        <v>0.46039085899999987</v>
      </c>
    </row>
    <row r="92" spans="2:31" s="72" customFormat="1" x14ac:dyDescent="0.2">
      <c r="B92" s="24" t="s">
        <v>358</v>
      </c>
      <c r="C92" s="25">
        <f>IF(VLOOKUP(B92,'Data qoq'!$A:$AT,MATCH($C$1,'Data qoq'!$A$1:$AT$1,),)=0,#N/A,VLOOKUP(B92,'Data qoq'!$A:$AT,MATCH($C$1,'Data qoq'!$A$1:$AT$1,),))</f>
        <v>-8.9372505009999994</v>
      </c>
      <c r="D92" s="25">
        <f>IF(VLOOKUP(B92,'Data qoq'!$A:$AT,MATCH($D$1,'Data qoq'!$A$1:$AT$1,),)=0,#N/A,VLOOKUP(B92,'Data qoq'!$A:$AT,MATCH($D$1,'Data qoq'!$A$1:$AT$1,),))</f>
        <v>10.7</v>
      </c>
      <c r="E92" s="25">
        <f>IF(VLOOKUP(B92,'Data qoq'!$A:$AT,MATCH($E$1,'Data qoq'!$A$1:$AT$1,),)=0,#N/A,VLOOKUP(B92,'Data qoq'!$A:$AT,MATCH($E$1,'Data qoq'!$A$1:$AT$1,),))</f>
        <v>-11.68216</v>
      </c>
      <c r="F92" s="25">
        <f>IF(VLOOKUP(B92,'Data qoq'!$A:$AT,MATCH($F$1,'Data qoq'!$A$1:$AT$1,),)=0,#N/A,VLOOKUP(B92,'Data qoq'!$A:$AT,MATCH($F$1,'Data qoq'!$A$1:$AT$1,),))</f>
        <v>-8.0476667709999994</v>
      </c>
      <c r="G92" s="25">
        <f>IF(VLOOKUP(B92,'Data qoq'!$A:$AT,MATCH($G$1,'Data qoq'!$A$1:$AT$1,),)=0,#N/A,VLOOKUP(B92,'Data qoq'!$A:$AT,MATCH($G$1,'Data qoq'!$A$1:$AT$1,),))</f>
        <v>-9.9962156110000002</v>
      </c>
      <c r="H92" s="25">
        <f>IF(VLOOKUP(B92,'Data qoq'!$A:$AT,MATCH($H$1,'Data qoq'!$A$1:$AT$1,),)=0,#N/A,VLOOKUP(B92,'Data qoq'!$A:$AT,MATCH($H$1,'Data qoq'!$A$1:$AT$1,),))</f>
        <v>-13.464232561999999</v>
      </c>
      <c r="I92" s="25">
        <f>IF(VLOOKUP(B92,'Data qoq'!$A:$AT,MATCH($I$1,'Data qoq'!$A$1:$AT$1,),)=0,#N/A,VLOOKUP(B92,'Data qoq'!$A:$AT,MATCH($I$1,'Data qoq'!$A$1:$AT$1,),))</f>
        <v>-19.449477922</v>
      </c>
      <c r="J92" s="25">
        <f>IF(VLOOKUP(B92,'Data qoq'!$A:$AT,MATCH($J$1,'Data qoq'!$A$1:$AT$1,),)=0,#N/A,VLOOKUP(B92,'Data qoq'!$A:$AT,MATCH($J$1,'Data qoq'!$A$1:$AT$1,),))</f>
        <v>-12.870385778999999</v>
      </c>
      <c r="K92" s="25">
        <f>IF(VLOOKUP(B92,'Data qoq'!$A:$AT,MATCH($K$1,'Data qoq'!$A$1:$AT$1,),)=0,#N/A,VLOOKUP(B92,'Data qoq'!$A:$AT,MATCH($K$1,'Data qoq'!$A$1:$AT$1,),))</f>
        <v>-17.652092760999999</v>
      </c>
      <c r="L92" s="25">
        <f>IF(VLOOKUP(B92,'Data qoq'!$A:$AT,MATCH($L$1,'Data qoq'!$A$1:$AT$1,),)=0,#N/A,VLOOKUP(B92,'Data qoq'!$A:$AT,MATCH($L$1,'Data qoq'!$A$1:$AT$1,),))</f>
        <v>-7.8700179889999999</v>
      </c>
      <c r="M92" s="25">
        <f>IF(VLOOKUP(B92,'Data qoq'!$A:$AT,MATCH($M$1,'Data qoq'!$A$1:$AT$1,),)=0,#N/A,VLOOKUP(B92,'Data qoq'!$A:$AT,MATCH($M$1,'Data qoq'!$A$1:$AT$1,),))</f>
        <v>-17.782610597000001</v>
      </c>
      <c r="N92" s="25">
        <f>IF(VLOOKUP(B92,'Data qoq'!$A:$AT,MATCH($N$1,'Data qoq'!$A$1:$AT$1,),)=0,#N/A,VLOOKUP(B92,'Data qoq'!$A:$AT,MATCH($N$1,'Data qoq'!$A$1:$AT$1,),))</f>
        <v>-4.4850020739999996</v>
      </c>
      <c r="O92" s="25">
        <f>IF(VLOOKUP(B92,'Data qoq'!$A:$AT,MATCH($O$1,'Data qoq'!$J$1:$AT$1,),)=0,#N/A,VLOOKUP(B92,'Data qoq'!$A:$AT,MATCH($O$1,'Data qoq'!$J$1:$AT$1,),))</f>
        <v>-17.652092760999999</v>
      </c>
      <c r="P92" s="25">
        <f>IF(VLOOKUP(B92,'Data qoq'!$A:$AT,MATCH($P$1,'Data qoq'!$A$1:$AT$1,),)=0,#N/A,VLOOKUP(B92,'Data qoq'!$A:$AT,MATCH($P$1,'Data qoq'!$A$1:$AT$1,),))</f>
        <v>-11.042537245</v>
      </c>
      <c r="Q92" s="25">
        <f>IF(VLOOKUP(B92,'Data qoq'!$A:$AT,MATCH($Q$1,'Data qoq'!$A$1:$AT$1,),)=0,#N/A,VLOOKUP(B92,'Data qoq'!$A:$AT,MATCH($Q$1,'Data qoq'!$A$1:$AT$1,),))</f>
        <v>-6.7928193090000004</v>
      </c>
      <c r="R92" s="25">
        <f>IF(VLOOKUP(B92,'Data qoq'!$A:$AT,MATCH($R$1,'Data qoq'!$A$1:$AT$1,),)=0,#N/A,VLOOKUP(B92,'Data qoq'!$A:$AT,MATCH($R$1,'Data qoq'!$A$1:$AT$1,),))</f>
        <v>-6.1551224170000003</v>
      </c>
      <c r="S92" s="25">
        <f>IF(VLOOKUP(B92,'Data qoq'!$A:$AT,MATCH($S$1,'Data qoq'!$A$1:$AT$1,),)=0,#N/A,VLOOKUP(B92,'Data qoq'!$A:$AT,MATCH($S$1,'Data qoq'!$A$1:$AT$1,),))</f>
        <v>-3.1507382079999999</v>
      </c>
      <c r="T92" s="25">
        <f>IF(VLOOKUP(B92,'Data qoq'!$A:$AT,MATCH($T$1,'Data qoq'!$A$1:$AT$1,),)=0,#N/A,VLOOKUP(B92,'Data qoq'!$A:$AT,MATCH($T$1,'Data qoq'!$A$1:$AT$1,),))</f>
        <v>-8.8542618740000005</v>
      </c>
      <c r="U92" s="25">
        <f>IF(VLOOKUP(B92,'Data qoq'!$A:$AT,MATCH($U$1,'Data qoq'!$A$1:$AT$1,),)=0,#N/A,VLOOKUP(B92,'Data qoq'!$A:$AT,MATCH($U$1,'Data qoq'!$A$1:$AT$1,),))</f>
        <v>-14.152196136000001</v>
      </c>
      <c r="V92" s="25">
        <f>IF(VLOOKUP(B92,'Data qoq'!$A:$AT,MATCH($V$1,'Data qoq'!$A$1:$AT$1,),)=0,#N/A,VLOOKUP(B92,'Data qoq'!$A:$AT,MATCH($V$1,'Data qoq'!$A$1:$AT$1,),))</f>
        <v>-3.3176466630000001</v>
      </c>
      <c r="W92" s="25">
        <f>IF(VLOOKUP(B92,'Data qoq'!$A:$AT,MATCH($W$1,'Data qoq'!$A$1:$AT$1,),)=0,#N/A,VLOOKUP(B92,'Data qoq'!$A:$AT,MATCH($W$1,'Data qoq'!$A$1:$AT$1,),))</f>
        <v>-10.769850757</v>
      </c>
      <c r="X92" s="25">
        <f>IF(VLOOKUP(B92,'Data qoq'!$A:$AT,MATCH($X$1,'Data qoq'!$A$1:$AT$1,),)=0,#N/A,VLOOKUP(B92,'Data qoq'!$A:$AT,MATCH($X$1,'Data qoq'!$A$1:$AT$1,),))</f>
        <v>-8.9098688030000002</v>
      </c>
      <c r="Y92" s="25">
        <f>IF(VLOOKUP(B92,'Data qoq'!$A:$AT,MATCH($Y$1,'Data qoq'!$A$1:$AT$1,),)=0,#N/A,VLOOKUP(B92,'Data qoq'!$A:$AT,MATCH($Y$1,'Data qoq'!$A$1:$AT$1,),))</f>
        <v>-9.2164320370000006</v>
      </c>
      <c r="Z92" s="25">
        <f>IF(VLOOKUP(B92,'Data qoq'!$A:$AU,MATCH($Z$1,'Data qoq'!$A$1:$AU$1,),)=0,#N/A,VLOOKUP(B92,'Data qoq'!$A:$AU,MATCH($Z$1,'Data qoq'!$A$1:$AU$1,),))</f>
        <v>-15.119921737</v>
      </c>
      <c r="AA92" s="25">
        <f>IF(VLOOKUP(B92,'Data qoq'!$A:$AU,MATCH($AA$1,'Data qoq'!$A$1:$AU$1,),)=0,#N/A,VLOOKUP(B92,'Data qoq'!$A:$AU,MATCH($AA$1,'Data qoq'!$A$1:$AU$1,),))</f>
        <v>-10.269196739</v>
      </c>
      <c r="AC92" s="26" t="str">
        <f t="shared" si="12"/>
        <v>2020-Q2</v>
      </c>
      <c r="AD92" s="27">
        <f t="shared" si="13"/>
        <v>1.0589651100000008</v>
      </c>
      <c r="AE92" s="27">
        <f t="shared" si="14"/>
        <v>1.0589651100000008</v>
      </c>
    </row>
    <row r="93" spans="2:31" s="72" customFormat="1" x14ac:dyDescent="0.2">
      <c r="B93" s="24" t="s">
        <v>359</v>
      </c>
      <c r="C93" s="25">
        <f>IF(VLOOKUP(B93,'Data qoq'!$A:$AT,MATCH($C$1,'Data qoq'!$A$1:$AT$1,),)=0,#N/A,VLOOKUP(B93,'Data qoq'!$A:$AT,MATCH($C$1,'Data qoq'!$A$1:$AT$1,),))</f>
        <v>7.547534636</v>
      </c>
      <c r="D93" s="25">
        <f>IF(VLOOKUP(B93,'Data qoq'!$A:$AT,MATCH($D$1,'Data qoq'!$A$1:$AT$1,),)=0,#N/A,VLOOKUP(B93,'Data qoq'!$A:$AT,MATCH($D$1,'Data qoq'!$A$1:$AT$1,),))</f>
        <v>2.9</v>
      </c>
      <c r="E93" s="25">
        <f>IF(VLOOKUP(B93,'Data qoq'!$A:$AT,MATCH($E$1,'Data qoq'!$A$1:$AT$1,),)=0,#N/A,VLOOKUP(B93,'Data qoq'!$A:$AT,MATCH($E$1,'Data qoq'!$A$1:$AT$1,),))</f>
        <v>12.550886</v>
      </c>
      <c r="F93" s="25">
        <f>IF(VLOOKUP(B93,'Data qoq'!$A:$AT,MATCH($F$1,'Data qoq'!$A$1:$AT$1,),)=0,#N/A,VLOOKUP(B93,'Data qoq'!$A:$AT,MATCH($F$1,'Data qoq'!$A$1:$AT$1,),))</f>
        <v>5.1086881039999996</v>
      </c>
      <c r="G93" s="25">
        <f>IF(VLOOKUP(B93,'Data qoq'!$A:$AT,MATCH($G$1,'Data qoq'!$A$1:$AT$1,),)=0,#N/A,VLOOKUP(B93,'Data qoq'!$A:$AT,MATCH($G$1,'Data qoq'!$A$1:$AT$1,),))</f>
        <v>9.043062505</v>
      </c>
      <c r="H93" s="25">
        <f>IF(VLOOKUP(B93,'Data qoq'!$A:$AT,MATCH($H$1,'Data qoq'!$A$1:$AT$1,),)=0,#N/A,VLOOKUP(B93,'Data qoq'!$A:$AT,MATCH($H$1,'Data qoq'!$A$1:$AT$1,),))</f>
        <v>18.521750099999998</v>
      </c>
      <c r="I93" s="25">
        <f>IF(VLOOKUP(B93,'Data qoq'!$A:$AT,MATCH($I$1,'Data qoq'!$A$1:$AT$1,),)=0,#N/A,VLOOKUP(B93,'Data qoq'!$A:$AT,MATCH($I$1,'Data qoq'!$A$1:$AT$1,),))</f>
        <v>17.57247971</v>
      </c>
      <c r="J93" s="25">
        <f>IF(VLOOKUP(B93,'Data qoq'!$A:$AT,MATCH($J$1,'Data qoq'!$A$1:$AT$1,),)=0,#N/A,VLOOKUP(B93,'Data qoq'!$A:$AT,MATCH($J$1,'Data qoq'!$A$1:$AT$1,),))</f>
        <v>15.621339324999999</v>
      </c>
      <c r="K93" s="25">
        <f>IF(VLOOKUP(B93,'Data qoq'!$A:$AT,MATCH($K$1,'Data qoq'!$A$1:$AT$1,),)=0,#N/A,VLOOKUP(B93,'Data qoq'!$A:$AT,MATCH($K$1,'Data qoq'!$A$1:$AT$1,),))</f>
        <v>16.798457004999999</v>
      </c>
      <c r="L93" s="25">
        <f>IF(VLOOKUP(B93,'Data qoq'!$A:$AT,MATCH($L$1,'Data qoq'!$A$1:$AT$1,),)=0,#N/A,VLOOKUP(B93,'Data qoq'!$A:$AT,MATCH($L$1,'Data qoq'!$A$1:$AT$1,),))</f>
        <v>6.899812968</v>
      </c>
      <c r="M93" s="25">
        <f>IF(VLOOKUP(B93,'Data qoq'!$A:$AT,MATCH($M$1,'Data qoq'!$A$1:$AT$1,),)=0,#N/A,VLOOKUP(B93,'Data qoq'!$A:$AT,MATCH($M$1,'Data qoq'!$A$1:$AT$1,),))</f>
        <v>13.770805801</v>
      </c>
      <c r="N93" s="25">
        <f>IF(VLOOKUP(B93,'Data qoq'!$A:$AT,MATCH($N$1,'Data qoq'!$A$1:$AT$1,),)=0,#N/A,VLOOKUP(B93,'Data qoq'!$A:$AT,MATCH($N$1,'Data qoq'!$A$1:$AT$1,),))</f>
        <v>2.7780786000000002</v>
      </c>
      <c r="O93" s="25">
        <f>IF(VLOOKUP(B93,'Data qoq'!$A:$AT,MATCH($O$1,'Data qoq'!$J$1:$AT$1,),)=0,#N/A,VLOOKUP(B93,'Data qoq'!$A:$AT,MATCH($O$1,'Data qoq'!$J$1:$AT$1,),))</f>
        <v>16.798457004999999</v>
      </c>
      <c r="P93" s="25">
        <f>IF(VLOOKUP(B93,'Data qoq'!$A:$AT,MATCH($P$1,'Data qoq'!$A$1:$AT$1,),)=0,#N/A,VLOOKUP(B93,'Data qoq'!$A:$AT,MATCH($P$1,'Data qoq'!$A$1:$AT$1,),))</f>
        <v>8.9839583770000004</v>
      </c>
      <c r="Q93" s="25">
        <f>IF(VLOOKUP(B93,'Data qoq'!$A:$AT,MATCH($Q$1,'Data qoq'!$A$1:$AT$1,),)=0,#N/A,VLOOKUP(B93,'Data qoq'!$A:$AT,MATCH($Q$1,'Data qoq'!$A$1:$AT$1,),))</f>
        <v>3.416049809</v>
      </c>
      <c r="R93" s="25">
        <f>IF(VLOOKUP(B93,'Data qoq'!$A:$AT,MATCH($R$1,'Data qoq'!$A$1:$AT$1,),)=0,#N/A,VLOOKUP(B93,'Data qoq'!$A:$AT,MATCH($R$1,'Data qoq'!$A$1:$AT$1,),))</f>
        <v>6.3172821609999996</v>
      </c>
      <c r="S93" s="25">
        <f>IF(VLOOKUP(B93,'Data qoq'!$A:$AT,MATCH($S$1,'Data qoq'!$A$1:$AT$1,),)=0,#N/A,VLOOKUP(B93,'Data qoq'!$A:$AT,MATCH($S$1,'Data qoq'!$A$1:$AT$1,),))</f>
        <v>2.2334243909999998</v>
      </c>
      <c r="T93" s="25">
        <f>IF(VLOOKUP(B93,'Data qoq'!$A:$AT,MATCH($T$1,'Data qoq'!$A$1:$AT$1,),)=0,#N/A,VLOOKUP(B93,'Data qoq'!$A:$AT,MATCH($T$1,'Data qoq'!$A$1:$AT$1,),))</f>
        <v>7.7682806729999996</v>
      </c>
      <c r="U93" s="25">
        <f>IF(VLOOKUP(B93,'Data qoq'!$A:$AT,MATCH($U$1,'Data qoq'!$A$1:$AT$1,),)=0,#N/A,VLOOKUP(B93,'Data qoq'!$A:$AT,MATCH($U$1,'Data qoq'!$A$1:$AT$1,),))</f>
        <v>5.5862566420000004</v>
      </c>
      <c r="V93" s="25">
        <f>IF(VLOOKUP(B93,'Data qoq'!$A:$AT,MATCH($V$1,'Data qoq'!$A$1:$AT$1,),)=0,#N/A,VLOOKUP(B93,'Data qoq'!$A:$AT,MATCH($V$1,'Data qoq'!$A$1:$AT$1,),))</f>
        <v>9.4687302169999992</v>
      </c>
      <c r="W93" s="25">
        <f>IF(VLOOKUP(B93,'Data qoq'!$A:$AT,MATCH($W$1,'Data qoq'!$A$1:$AT$1,),)=0,#N/A,VLOOKUP(B93,'Data qoq'!$A:$AT,MATCH($W$1,'Data qoq'!$A$1:$AT$1,),))</f>
        <v>16.400501818999999</v>
      </c>
      <c r="X93" s="25">
        <f>IF(VLOOKUP(B93,'Data qoq'!$A:$AT,MATCH($X$1,'Data qoq'!$A$1:$AT$1,),)=0,#N/A,VLOOKUP(B93,'Data qoq'!$A:$AT,MATCH($X$1,'Data qoq'!$A$1:$AT$1,),))</f>
        <v>6.7526521910000001</v>
      </c>
      <c r="Y93" s="25">
        <f>IF(VLOOKUP(B93,'Data qoq'!$A:$AT,MATCH($Y$1,'Data qoq'!$A$1:$AT$1,),)=0,#N/A,VLOOKUP(B93,'Data qoq'!$A:$AT,MATCH($Y$1,'Data qoq'!$A$1:$AT$1,),))</f>
        <v>7.5363926409999999</v>
      </c>
      <c r="Z93" s="25">
        <f>IF(VLOOKUP(B93,'Data qoq'!$A:$AU,MATCH($Z$1,'Data qoq'!$A$1:$AU$1,),)=0,#N/A,VLOOKUP(B93,'Data qoq'!$A:$AU,MATCH($Z$1,'Data qoq'!$A$1:$AU$1,),))</f>
        <v>11.907713151999999</v>
      </c>
      <c r="AA93" s="25">
        <f>IF(VLOOKUP(B93,'Data qoq'!$A:$AU,MATCH($AA$1,'Data qoq'!$A$1:$AU$1,),)=0,#N/A,VLOOKUP(B93,'Data qoq'!$A:$AU,MATCH($AA$1,'Data qoq'!$A$1:$AU$1,),))</f>
        <v>13.854537372999999</v>
      </c>
      <c r="AC93" s="26" t="str">
        <f t="shared" si="12"/>
        <v>2020-Q3</v>
      </c>
      <c r="AD93" s="27">
        <f t="shared" si="13"/>
        <v>-1.495527869</v>
      </c>
      <c r="AE93" s="27">
        <f t="shared" si="14"/>
        <v>-1.495527869</v>
      </c>
    </row>
    <row r="94" spans="2:31" s="72" customFormat="1" x14ac:dyDescent="0.2">
      <c r="B94" s="24" t="s">
        <v>361</v>
      </c>
      <c r="C94" s="25">
        <f>IF(VLOOKUP(B94,'Data qoq'!$A:$AT,MATCH($C$1,'Data qoq'!$A$1:$AT$1,),)=0,#N/A,VLOOKUP(B94,'Data qoq'!$A:$AT,MATCH($C$1,'Data qoq'!$A$1:$AT$1,),))</f>
        <v>1.533889627</v>
      </c>
      <c r="D94" s="25">
        <f>IF(VLOOKUP(B94,'Data qoq'!$A:$AT,MATCH($D$1,'Data qoq'!$A$1:$AT$1,),)=0,#N/A,VLOOKUP(B94,'Data qoq'!$A:$AT,MATCH($D$1,'Data qoq'!$A$1:$AT$1,),))</f>
        <v>0.2</v>
      </c>
      <c r="E94" s="25">
        <f>IF(VLOOKUP(B94,'Data qoq'!$A:$AT,MATCH($E$1,'Data qoq'!$A$1:$AT$1,),)=0,#N/A,VLOOKUP(B94,'Data qoq'!$A:$AT,MATCH($E$1,'Data qoq'!$A$1:$AT$1,),))</f>
        <v>-0.20474700000000001</v>
      </c>
      <c r="F94" s="25">
        <f>IF(VLOOKUP(B94,'Data qoq'!$A:$AT,MATCH($F$1,'Data qoq'!$A$1:$AT$1,),)=0,#N/A,VLOOKUP(B94,'Data qoq'!$A:$AT,MATCH($F$1,'Data qoq'!$A$1:$AT$1,),))</f>
        <v>-0.72307171599999998</v>
      </c>
      <c r="G94" s="25">
        <f>IF(VLOOKUP(B94,'Data qoq'!$A:$AT,MATCH($G$1,'Data qoq'!$A$1:$AT$1,),)=0,#N/A,VLOOKUP(B94,'Data qoq'!$A:$AT,MATCH($G$1,'Data qoq'!$A$1:$AT$1,),))</f>
        <v>-1.8687140680000001</v>
      </c>
      <c r="H94" s="25">
        <f>IF(VLOOKUP(B94,'Data qoq'!$A:$AT,MATCH($H$1,'Data qoq'!$A$1:$AT$1,),)=0,#N/A,VLOOKUP(B94,'Data qoq'!$A:$AT,MATCH($H$1,'Data qoq'!$A$1:$AT$1,),))</f>
        <v>5.4859748999999999E-2</v>
      </c>
      <c r="I94" s="25">
        <f>IF(VLOOKUP(B94,'Data qoq'!$A:$AT,MATCH($I$1,'Data qoq'!$A$1:$AT$1,),)=0,#N/A,VLOOKUP(B94,'Data qoq'!$A:$AT,MATCH($I$1,'Data qoq'!$A$1:$AT$1,),))</f>
        <v>-1.2631829720000001</v>
      </c>
      <c r="J94" s="25">
        <f>IF(VLOOKUP(B94,'Data qoq'!$A:$AT,MATCH($J$1,'Data qoq'!$A$1:$AT$1,),)=0,#N/A,VLOOKUP(B94,'Data qoq'!$A:$AT,MATCH($J$1,'Data qoq'!$A$1:$AT$1,),))</f>
        <v>0.27751888400000002</v>
      </c>
      <c r="K94" s="25">
        <f>IF(VLOOKUP(B94,'Data qoq'!$A:$AT,MATCH($K$1,'Data qoq'!$A$1:$AT$1,),)=0,#N/A,VLOOKUP(B94,'Data qoq'!$A:$AT,MATCH($K$1,'Data qoq'!$A$1:$AT$1,),))</f>
        <v>-0.63203504300000002</v>
      </c>
      <c r="L94" s="25">
        <f>IF(VLOOKUP(B94,'Data qoq'!$A:$AT,MATCH($L$1,'Data qoq'!$A$1:$AT$1,),)=0,#N/A,VLOOKUP(B94,'Data qoq'!$A:$AT,MATCH($L$1,'Data qoq'!$A$1:$AT$1,),))</f>
        <v>1.2171433</v>
      </c>
      <c r="M94" s="25">
        <f>IF(VLOOKUP(B94,'Data qoq'!$A:$AT,MATCH($M$1,'Data qoq'!$A$1:$AT$1,),)=0,#N/A,VLOOKUP(B94,'Data qoq'!$A:$AT,MATCH($M$1,'Data qoq'!$A$1:$AT$1,),))</f>
        <v>1.010522659</v>
      </c>
      <c r="N94" s="25">
        <f>IF(VLOOKUP(B94,'Data qoq'!$A:$AT,MATCH($N$1,'Data qoq'!$A$1:$AT$1,),)=0,#N/A,VLOOKUP(B94,'Data qoq'!$A:$AT,MATCH($N$1,'Data qoq'!$A$1:$AT$1,),))</f>
        <v>0.68078932599999997</v>
      </c>
      <c r="O94" s="25">
        <f>IF(VLOOKUP(B94,'Data qoq'!$A:$AT,MATCH($O$1,'Data qoq'!$J$1:$AT$1,),)=0,#N/A,VLOOKUP(B94,'Data qoq'!$A:$AT,MATCH($O$1,'Data qoq'!$J$1:$AT$1,),))</f>
        <v>-0.63203504300000002</v>
      </c>
      <c r="P94" s="25">
        <f>IF(VLOOKUP(B94,'Data qoq'!$A:$AT,MATCH($P$1,'Data qoq'!$A$1:$AT$1,),)=0,#N/A,VLOOKUP(B94,'Data qoq'!$A:$AT,MATCH($P$1,'Data qoq'!$A$1:$AT$1,),))</f>
        <v>1.2047022009999999</v>
      </c>
      <c r="Q94" s="25">
        <f>IF(VLOOKUP(B94,'Data qoq'!$A:$AT,MATCH($Q$1,'Data qoq'!$A$1:$AT$1,),)=0,#N/A,VLOOKUP(B94,'Data qoq'!$A:$AT,MATCH($Q$1,'Data qoq'!$A$1:$AT$1,),))</f>
        <v>1.8205941619999999</v>
      </c>
      <c r="R94" s="25">
        <f>IF(VLOOKUP(B94,'Data qoq'!$A:$AT,MATCH($R$1,'Data qoq'!$A$1:$AT$1,),)=0,#N/A,VLOOKUP(B94,'Data qoq'!$A:$AT,MATCH($R$1,'Data qoq'!$A$1:$AT$1,),))</f>
        <v>-0.14082019400000001</v>
      </c>
      <c r="S94" s="25">
        <f>IF(VLOOKUP(B94,'Data qoq'!$A:$AT,MATCH($S$1,'Data qoq'!$A$1:$AT$1,),)=0,#N/A,VLOOKUP(B94,'Data qoq'!$A:$AT,MATCH($S$1,'Data qoq'!$A$1:$AT$1,),))</f>
        <v>1.740407308</v>
      </c>
      <c r="T94" s="25">
        <f>IF(VLOOKUP(B94,'Data qoq'!$A:$AT,MATCH($T$1,'Data qoq'!$A$1:$AT$1,),)=0,#N/A,VLOOKUP(B94,'Data qoq'!$A:$AT,MATCH($T$1,'Data qoq'!$A$1:$AT$1,),))</f>
        <v>1.34346477</v>
      </c>
      <c r="U94" s="25">
        <f>IF(VLOOKUP(B94,'Data qoq'!$A:$AT,MATCH($U$1,'Data qoq'!$A$1:$AT$1,),)=0,#N/A,VLOOKUP(B94,'Data qoq'!$A:$AT,MATCH($U$1,'Data qoq'!$A$1:$AT$1,),))</f>
        <v>4.1983608160000001</v>
      </c>
      <c r="V94" s="25">
        <f>IF(VLOOKUP(B94,'Data qoq'!$A:$AT,MATCH($V$1,'Data qoq'!$A$1:$AT$1,),)=0,#N/A,VLOOKUP(B94,'Data qoq'!$A:$AT,MATCH($V$1,'Data qoq'!$A$1:$AT$1,),))</f>
        <v>10.028382225</v>
      </c>
      <c r="W94" s="25">
        <f>IF(VLOOKUP(B94,'Data qoq'!$A:$AT,MATCH($W$1,'Data qoq'!$A$1:$AT$1,),)=0,#N/A,VLOOKUP(B94,'Data qoq'!$A:$AT,MATCH($W$1,'Data qoq'!$A$1:$AT$1,),))</f>
        <v>2.4284164549999998</v>
      </c>
      <c r="X94" s="25">
        <f>IF(VLOOKUP(B94,'Data qoq'!$A:$AT,MATCH($X$1,'Data qoq'!$A$1:$AT$1,),)=0,#N/A,VLOOKUP(B94,'Data qoq'!$A:$AT,MATCH($X$1,'Data qoq'!$A$1:$AT$1,),))</f>
        <v>-0.42271755799999999</v>
      </c>
      <c r="Y94" s="25">
        <f>IF(VLOOKUP(B94,'Data qoq'!$A:$AT,MATCH($Y$1,'Data qoq'!$A$1:$AT$1,),)=0,#N/A,VLOOKUP(B94,'Data qoq'!$A:$AT,MATCH($Y$1,'Data qoq'!$A$1:$AT$1,),))</f>
        <v>1.5619963530000001</v>
      </c>
      <c r="Z94" s="25">
        <f>IF(VLOOKUP(B94,'Data qoq'!$A:$AU,MATCH($Z$1,'Data qoq'!$A$1:$AU$1,),)=0,#N/A,VLOOKUP(B94,'Data qoq'!$A:$AU,MATCH($Z$1,'Data qoq'!$A$1:$AU$1,),))</f>
        <v>3.3087210410000001</v>
      </c>
      <c r="AA94" s="25">
        <f>IF(VLOOKUP(B94,'Data qoq'!$A:$AU,MATCH($AA$1,'Data qoq'!$A$1:$AU$1,),)=0,#N/A,VLOOKUP(B94,'Data qoq'!$A:$AU,MATCH($AA$1,'Data qoq'!$A$1:$AU$1,),))</f>
        <v>1.459561288</v>
      </c>
      <c r="AC94" s="26" t="str">
        <f t="shared" si="12"/>
        <v>2021-Q1</v>
      </c>
      <c r="AD94" s="27">
        <f t="shared" si="13"/>
        <v>3.4026036949999998</v>
      </c>
      <c r="AE94" s="27">
        <f t="shared" si="14"/>
        <v>3.4026036949999998</v>
      </c>
    </row>
    <row r="95" spans="2:31" s="72" customFormat="1" x14ac:dyDescent="0.2">
      <c r="B95" s="24" t="s">
        <v>362</v>
      </c>
      <c r="C95" s="25">
        <f>IF(VLOOKUP(B95,'Data qoq'!$A:$AT,MATCH($C$1,'Data qoq'!$A$1:$AT$1,),)=0,#N/A,VLOOKUP(B95,'Data qoq'!$A:$AT,MATCH($C$1,'Data qoq'!$A$1:$AT$1,),))</f>
        <v>1.6407465400000001</v>
      </c>
      <c r="D95" s="25">
        <f>IF(VLOOKUP(B95,'Data qoq'!$A:$AT,MATCH($D$1,'Data qoq'!$A$1:$AT$1,),)=0,#N/A,VLOOKUP(B95,'Data qoq'!$A:$AT,MATCH($D$1,'Data qoq'!$A$1:$AT$1,),))</f>
        <v>1.2</v>
      </c>
      <c r="E95" s="25">
        <f>IF(VLOOKUP(B95,'Data qoq'!$A:$AT,MATCH($E$1,'Data qoq'!$A$1:$AT$1,),)=0,#N/A,VLOOKUP(B95,'Data qoq'!$A:$AT,MATCH($E$1,'Data qoq'!$A$1:$AT$1,),))</f>
        <v>2.1910249999999998</v>
      </c>
      <c r="F95" s="25">
        <f>IF(VLOOKUP(B95,'Data qoq'!$A:$AT,MATCH($F$1,'Data qoq'!$A$1:$AT$1,),)=0,#N/A,VLOOKUP(B95,'Data qoq'!$A:$AT,MATCH($F$1,'Data qoq'!$A$1:$AT$1,),))</f>
        <v>0.48942781699999999</v>
      </c>
      <c r="G95" s="25">
        <f>IF(VLOOKUP(B95,'Data qoq'!$A:$AT,MATCH($G$1,'Data qoq'!$A$1:$AT$1,),)=0,#N/A,VLOOKUP(B95,'Data qoq'!$A:$AT,MATCH($G$1,'Data qoq'!$A$1:$AT$1,),))</f>
        <v>2.0214821010000001</v>
      </c>
      <c r="H95" s="25">
        <f>IF(VLOOKUP(B95,'Data qoq'!$A:$AT,MATCH($H$1,'Data qoq'!$A$1:$AT$1,),)=0,#N/A,VLOOKUP(B95,'Data qoq'!$A:$AT,MATCH($H$1,'Data qoq'!$A$1:$AT$1,),))</f>
        <v>1.2666370419999999</v>
      </c>
      <c r="I95" s="25">
        <f>IF(VLOOKUP(B95,'Data qoq'!$A:$AT,MATCH($I$1,'Data qoq'!$A$1:$AT$1,),)=0,#N/A,VLOOKUP(B95,'Data qoq'!$A:$AT,MATCH($I$1,'Data qoq'!$A$1:$AT$1,),))</f>
        <v>5.4319914369999998</v>
      </c>
      <c r="J95" s="25">
        <f>IF(VLOOKUP(B95,'Data qoq'!$A:$AT,MATCH($J$1,'Data qoq'!$A$1:$AT$1,),)=0,#N/A,VLOOKUP(B95,'Data qoq'!$A:$AT,MATCH($J$1,'Data qoq'!$A$1:$AT$1,),))</f>
        <v>2.670427691</v>
      </c>
      <c r="K95" s="25">
        <f>IF(VLOOKUP(B95,'Data qoq'!$A:$AT,MATCH($K$1,'Data qoq'!$A$1:$AT$1,),)=0,#N/A,VLOOKUP(B95,'Data qoq'!$A:$AT,MATCH($K$1,'Data qoq'!$A$1:$AT$1,),))</f>
        <v>1.0573957039999999</v>
      </c>
      <c r="L95" s="25">
        <f>IF(VLOOKUP(B95,'Data qoq'!$A:$AT,MATCH($L$1,'Data qoq'!$A$1:$AT$1,),)=0,#N/A,VLOOKUP(B95,'Data qoq'!$A:$AT,MATCH($L$1,'Data qoq'!$A$1:$AT$1,),))</f>
        <v>0.95941138199999998</v>
      </c>
      <c r="M95" s="25">
        <f>IF(VLOOKUP(B95,'Data qoq'!$A:$AT,MATCH($M$1,'Data qoq'!$A$1:$AT$1,),)=0,#N/A,VLOOKUP(B95,'Data qoq'!$A:$AT,MATCH($M$1,'Data qoq'!$A$1:$AT$1,),))</f>
        <v>1.1511078859999999</v>
      </c>
      <c r="N95" s="25">
        <f>IF(VLOOKUP(B95,'Data qoq'!$A:$AT,MATCH($N$1,'Data qoq'!$A$1:$AT$1,),)=0,#N/A,VLOOKUP(B95,'Data qoq'!$A:$AT,MATCH($N$1,'Data qoq'!$A$1:$AT$1,),))</f>
        <v>3.1909337409999998</v>
      </c>
      <c r="O95" s="25">
        <f>IF(VLOOKUP(B95,'Data qoq'!$A:$AT,MATCH($O$1,'Data qoq'!$J$1:$AT$1,),)=0,#N/A,VLOOKUP(B95,'Data qoq'!$A:$AT,MATCH($O$1,'Data qoq'!$J$1:$AT$1,),))</f>
        <v>1.0573957039999999</v>
      </c>
      <c r="P95" s="25">
        <f>IF(VLOOKUP(B95,'Data qoq'!$A:$AT,MATCH($P$1,'Data qoq'!$A$1:$AT$1,),)=0,#N/A,VLOOKUP(B95,'Data qoq'!$A:$AT,MATCH($P$1,'Data qoq'!$A$1:$AT$1,),))</f>
        <v>-0.79890349400000005</v>
      </c>
      <c r="Q95" s="25">
        <f>IF(VLOOKUP(B95,'Data qoq'!$A:$AT,MATCH($Q$1,'Data qoq'!$A$1:$AT$1,),)=0,#N/A,VLOOKUP(B95,'Data qoq'!$A:$AT,MATCH($Q$1,'Data qoq'!$A$1:$AT$1,),))</f>
        <v>0.70326354300000005</v>
      </c>
      <c r="R95" s="25">
        <f>IF(VLOOKUP(B95,'Data qoq'!$A:$AT,MATCH($R$1,'Data qoq'!$A$1:$AT$1,),)=0,#N/A,VLOOKUP(B95,'Data qoq'!$A:$AT,MATCH($R$1,'Data qoq'!$A$1:$AT$1,),))</f>
        <v>1.7910750120000001</v>
      </c>
      <c r="S95" s="25">
        <f>IF(VLOOKUP(B95,'Data qoq'!$A:$AT,MATCH($S$1,'Data qoq'!$A$1:$AT$1,),)=0,#N/A,VLOOKUP(B95,'Data qoq'!$A:$AT,MATCH($S$1,'Data qoq'!$A$1:$AT$1,),))</f>
        <v>0.77071160500000002</v>
      </c>
      <c r="T95" s="25">
        <f>IF(VLOOKUP(B95,'Data qoq'!$A:$AT,MATCH($T$1,'Data qoq'!$A$1:$AT$1,),)=0,#N/A,VLOOKUP(B95,'Data qoq'!$A:$AT,MATCH($T$1,'Data qoq'!$A$1:$AT$1,),))</f>
        <v>-0.35116435899999998</v>
      </c>
      <c r="U95" s="25">
        <f>IF(VLOOKUP(B95,'Data qoq'!$A:$AT,MATCH($U$1,'Data qoq'!$A$1:$AT$1,),)=0,#N/A,VLOOKUP(B95,'Data qoq'!$A:$AT,MATCH($U$1,'Data qoq'!$A$1:$AT$1,),))</f>
        <v>2.0533397880000002</v>
      </c>
      <c r="V95" s="25">
        <f>IF(VLOOKUP(B95,'Data qoq'!$A:$AT,MATCH($V$1,'Data qoq'!$A$1:$AT$1,),)=0,#N/A,VLOOKUP(B95,'Data qoq'!$A:$AT,MATCH($V$1,'Data qoq'!$A$1:$AT$1,),))</f>
        <v>5.2460453400000002</v>
      </c>
      <c r="W95" s="25">
        <f>IF(VLOOKUP(B95,'Data qoq'!$A:$AT,MATCH($W$1,'Data qoq'!$A$1:$AT$1,),)=0,#N/A,VLOOKUP(B95,'Data qoq'!$A:$AT,MATCH($W$1,'Data qoq'!$A$1:$AT$1,),))</f>
        <v>1.5014804230000001</v>
      </c>
      <c r="X95" s="25">
        <f>IF(VLOOKUP(B95,'Data qoq'!$A:$AT,MATCH($X$1,'Data qoq'!$A$1:$AT$1,),)=0,#N/A,VLOOKUP(B95,'Data qoq'!$A:$AT,MATCH($X$1,'Data qoq'!$A$1:$AT$1,),))</f>
        <v>1.3009495659999999</v>
      </c>
      <c r="Y95" s="25">
        <f>IF(VLOOKUP(B95,'Data qoq'!$A:$AT,MATCH($Y$1,'Data qoq'!$A$1:$AT$1,),)=0,#N/A,VLOOKUP(B95,'Data qoq'!$A:$AT,MATCH($Y$1,'Data qoq'!$A$1:$AT$1,),))</f>
        <v>1.7995669219999999</v>
      </c>
      <c r="Z95" s="25">
        <f>IF(VLOOKUP(B95,'Data qoq'!$A:$AU,MATCH($Z$1,'Data qoq'!$A$1:$AU$1,),)=0,#N/A,VLOOKUP(B95,'Data qoq'!$A:$AU,MATCH($Z$1,'Data qoq'!$A$1:$AU$1,),))</f>
        <v>-0.93871055999999997</v>
      </c>
      <c r="AA95" s="25">
        <f>IF(VLOOKUP(B95,'Data qoq'!$A:$AU,MATCH($AA$1,'Data qoq'!$A$1:$AU$1,),)=0,#N/A,VLOOKUP(B95,'Data qoq'!$A:$AU,MATCH($AA$1,'Data qoq'!$A$1:$AU$1,),))</f>
        <v>2.4251333270000002</v>
      </c>
      <c r="AC95" s="26" t="str">
        <f t="shared" si="12"/>
        <v>2021-Q2</v>
      </c>
      <c r="AD95" s="27">
        <f t="shared" si="13"/>
        <v>-0.38073556100000006</v>
      </c>
      <c r="AE95" s="27">
        <f t="shared" si="14"/>
        <v>-0.38073556100000006</v>
      </c>
    </row>
    <row r="96" spans="2:31" s="72" customFormat="1" x14ac:dyDescent="0.2">
      <c r="B96" s="24" t="s">
        <v>363</v>
      </c>
      <c r="C96" s="25">
        <f>IF(VLOOKUP(B96,'Data qoq'!$A:$AT,MATCH($C$1,'Data qoq'!$A$1:$AT$1,),)=0,#N/A,VLOOKUP(B96,'Data qoq'!$A:$AT,MATCH($C$1,'Data qoq'!$A$1:$AT$1,),))</f>
        <v>0.57094811099999998</v>
      </c>
      <c r="D96" s="25">
        <f>IF(VLOOKUP(B96,'Data qoq'!$A:$AT,MATCH($D$1,'Data qoq'!$A$1:$AT$1,),)=0,#N/A,VLOOKUP(B96,'Data qoq'!$A:$AT,MATCH($D$1,'Data qoq'!$A$1:$AT$1,),))</f>
        <v>0.2</v>
      </c>
      <c r="E96" s="25">
        <f>IF(VLOOKUP(B96,'Data qoq'!$A:$AT,MATCH($E$1,'Data qoq'!$A$1:$AT$1,),)=0,#N/A,VLOOKUP(B96,'Data qoq'!$A:$AT,MATCH($E$1,'Data qoq'!$A$1:$AT$1,),))</f>
        <v>2.1937139999999999</v>
      </c>
      <c r="F96" s="25">
        <f>IF(VLOOKUP(B96,'Data qoq'!$A:$AT,MATCH($F$1,'Data qoq'!$A$1:$AT$1,),)=0,#N/A,VLOOKUP(B96,'Data qoq'!$A:$AT,MATCH($F$1,'Data qoq'!$A$1:$AT$1,),))</f>
        <v>-0.90268232299999995</v>
      </c>
      <c r="G96" s="25">
        <f>IF(VLOOKUP(B96,'Data qoq'!$A:$AT,MATCH($G$1,'Data qoq'!$A$1:$AT$1,),)=0,#N/A,VLOOKUP(B96,'Data qoq'!$A:$AT,MATCH($G$1,'Data qoq'!$A$1:$AT$1,),))</f>
        <v>1.6942754120000001</v>
      </c>
      <c r="H96" s="25">
        <f>IF(VLOOKUP(B96,'Data qoq'!$A:$AT,MATCH($H$1,'Data qoq'!$A$1:$AT$1,),)=0,#N/A,VLOOKUP(B96,'Data qoq'!$A:$AT,MATCH($H$1,'Data qoq'!$A$1:$AT$1,),))</f>
        <v>3.0111773460000002</v>
      </c>
      <c r="I96" s="25">
        <f>IF(VLOOKUP(B96,'Data qoq'!$A:$AT,MATCH($I$1,'Data qoq'!$A$1:$AT$1,),)=0,#N/A,VLOOKUP(B96,'Data qoq'!$A:$AT,MATCH($I$1,'Data qoq'!$A$1:$AT$1,),))</f>
        <v>1.061229086</v>
      </c>
      <c r="J96" s="25">
        <f>IF(VLOOKUP(B96,'Data qoq'!$A:$AT,MATCH($J$1,'Data qoq'!$A$1:$AT$1,),)=0,#N/A,VLOOKUP(B96,'Data qoq'!$A:$AT,MATCH($J$1,'Data qoq'!$A$1:$AT$1,),))</f>
        <v>2.6324329350000002</v>
      </c>
      <c r="K96" s="25">
        <f>IF(VLOOKUP(B96,'Data qoq'!$A:$AT,MATCH($K$1,'Data qoq'!$A$1:$AT$1,),)=0,#N/A,VLOOKUP(B96,'Data qoq'!$A:$AT,MATCH($K$1,'Data qoq'!$A$1:$AT$1,),))</f>
        <v>2.012260564</v>
      </c>
      <c r="L96" s="25">
        <f>IF(VLOOKUP(B96,'Data qoq'!$A:$AT,MATCH($L$1,'Data qoq'!$A$1:$AT$1,),)=0,#N/A,VLOOKUP(B96,'Data qoq'!$A:$AT,MATCH($L$1,'Data qoq'!$A$1:$AT$1,),))</f>
        <v>1.9802309709999999</v>
      </c>
      <c r="M96" s="25">
        <f>IF(VLOOKUP(B96,'Data qoq'!$A:$AT,MATCH($M$1,'Data qoq'!$A$1:$AT$1,),)=0,#N/A,VLOOKUP(B96,'Data qoq'!$A:$AT,MATCH($M$1,'Data qoq'!$A$1:$AT$1,),))</f>
        <v>-0.433415993</v>
      </c>
      <c r="N96" s="25">
        <f>IF(VLOOKUP(B96,'Data qoq'!$A:$AT,MATCH($N$1,'Data qoq'!$A$1:$AT$1,),)=0,#N/A,VLOOKUP(B96,'Data qoq'!$A:$AT,MATCH($N$1,'Data qoq'!$A$1:$AT$1,),))</f>
        <v>-0.79450589500000002</v>
      </c>
      <c r="O96" s="25">
        <f>IF(VLOOKUP(B96,'Data qoq'!$A:$AT,MATCH($O$1,'Data qoq'!$J$1:$AT$1,),)=0,#N/A,VLOOKUP(B96,'Data qoq'!$A:$AT,MATCH($O$1,'Data qoq'!$J$1:$AT$1,),))</f>
        <v>2.012260564</v>
      </c>
      <c r="P96" s="25">
        <f>IF(VLOOKUP(B96,'Data qoq'!$A:$AT,MATCH($P$1,'Data qoq'!$A$1:$AT$1,),)=0,#N/A,VLOOKUP(B96,'Data qoq'!$A:$AT,MATCH($P$1,'Data qoq'!$A$1:$AT$1,),))</f>
        <v>1.335114906</v>
      </c>
      <c r="Q96" s="25">
        <f>IF(VLOOKUP(B96,'Data qoq'!$A:$AT,MATCH($Q$1,'Data qoq'!$A$1:$AT$1,),)=0,#N/A,VLOOKUP(B96,'Data qoq'!$A:$AT,MATCH($Q$1,'Data qoq'!$A$1:$AT$1,),))</f>
        <v>-1.9220740810000001</v>
      </c>
      <c r="R96" s="25">
        <f>IF(VLOOKUP(B96,'Data qoq'!$A:$AT,MATCH($R$1,'Data qoq'!$A$1:$AT$1,),)=0,#N/A,VLOOKUP(B96,'Data qoq'!$A:$AT,MATCH($R$1,'Data qoq'!$A$1:$AT$1,),))</f>
        <v>1.6697002439999999</v>
      </c>
      <c r="S96" s="25">
        <f>IF(VLOOKUP(B96,'Data qoq'!$A:$AT,MATCH($S$1,'Data qoq'!$A$1:$AT$1,),)=0,#N/A,VLOOKUP(B96,'Data qoq'!$A:$AT,MATCH($S$1,'Data qoq'!$A$1:$AT$1,),))</f>
        <v>0.311163633</v>
      </c>
      <c r="T96" s="25">
        <f>IF(VLOOKUP(B96,'Data qoq'!$A:$AT,MATCH($T$1,'Data qoq'!$A$1:$AT$1,),)=0,#N/A,VLOOKUP(B96,'Data qoq'!$A:$AT,MATCH($T$1,'Data qoq'!$A$1:$AT$1,),))</f>
        <v>-9.3843652E-2</v>
      </c>
      <c r="U96" s="25">
        <f>IF(VLOOKUP(B96,'Data qoq'!$A:$AT,MATCH($U$1,'Data qoq'!$A$1:$AT$1,),)=0,#N/A,VLOOKUP(B96,'Data qoq'!$A:$AT,MATCH($U$1,'Data qoq'!$A$1:$AT$1,),))</f>
        <v>2.7109754580000001</v>
      </c>
      <c r="V96" s="25">
        <f>IF(VLOOKUP(B96,'Data qoq'!$A:$AT,MATCH($V$1,'Data qoq'!$A$1:$AT$1,),)=0,#N/A,VLOOKUP(B96,'Data qoq'!$A:$AT,MATCH($V$1,'Data qoq'!$A$1:$AT$1,),))</f>
        <v>0.94563016899999996</v>
      </c>
      <c r="W96" s="25">
        <f>IF(VLOOKUP(B96,'Data qoq'!$A:$AT,MATCH($W$1,'Data qoq'!$A$1:$AT$1,),)=0,#N/A,VLOOKUP(B96,'Data qoq'!$A:$AT,MATCH($W$1,'Data qoq'!$A$1:$AT$1,),))</f>
        <v>2.7094240909999998</v>
      </c>
      <c r="X96" s="25">
        <f>IF(VLOOKUP(B96,'Data qoq'!$A:$AT,MATCH($X$1,'Data qoq'!$A$1:$AT$1,),)=0,#N/A,VLOOKUP(B96,'Data qoq'!$A:$AT,MATCH($X$1,'Data qoq'!$A$1:$AT$1,),))</f>
        <v>1.497604755</v>
      </c>
      <c r="Y96" s="25">
        <f>IF(VLOOKUP(B96,'Data qoq'!$A:$AT,MATCH($Y$1,'Data qoq'!$A$1:$AT$1,),)=0,#N/A,VLOOKUP(B96,'Data qoq'!$A:$AT,MATCH($Y$1,'Data qoq'!$A$1:$AT$1,),))</f>
        <v>2.2805043810000001</v>
      </c>
      <c r="Z96" s="25">
        <f>IF(VLOOKUP(B96,'Data qoq'!$A:$AU,MATCH($Z$1,'Data qoq'!$A$1:$AU$1,),)=0,#N/A,VLOOKUP(B96,'Data qoq'!$A:$AU,MATCH($Z$1,'Data qoq'!$A$1:$AU$1,),))</f>
        <v>4.0772854489999997</v>
      </c>
      <c r="AA96" s="25">
        <f>IF(VLOOKUP(B96,'Data qoq'!$A:$AU,MATCH($AA$1,'Data qoq'!$A$1:$AU$1,),)=0,#N/A,VLOOKUP(B96,'Data qoq'!$A:$AU,MATCH($AA$1,'Data qoq'!$A$1:$AU$1,),))</f>
        <v>-3.6776194019999999</v>
      </c>
      <c r="AC96" s="26" t="str">
        <f t="shared" si="12"/>
        <v>2021-Q3</v>
      </c>
      <c r="AD96" s="27">
        <f t="shared" si="13"/>
        <v>-1.1233273010000002</v>
      </c>
      <c r="AE96" s="27">
        <f t="shared" si="14"/>
        <v>-1.1233273010000002</v>
      </c>
    </row>
    <row r="97" spans="2:31" s="72" customFormat="1" x14ac:dyDescent="0.2">
      <c r="B97" s="24" t="s">
        <v>364</v>
      </c>
      <c r="C97" s="25">
        <f>IF(VLOOKUP(B97,'Data qoq'!$A:$AT,MATCH($C$1,'Data qoq'!$A$1:$AT$1,),)=0,#N/A,VLOOKUP(B97,'Data qoq'!$A:$AT,MATCH($C$1,'Data qoq'!$A$1:$AT$1,),))</f>
        <v>1.6790943920000001</v>
      </c>
      <c r="D97" s="25">
        <f>IF(VLOOKUP(B97,'Data qoq'!$A:$AT,MATCH($D$1,'Data qoq'!$A$1:$AT$1,),)=0,#N/A,VLOOKUP(B97,'Data qoq'!$A:$AT,MATCH($D$1,'Data qoq'!$A$1:$AT$1,),))</f>
        <v>1.6</v>
      </c>
      <c r="E97" s="25">
        <f>IF(VLOOKUP(B97,'Data qoq'!$A:$AT,MATCH($E$1,'Data qoq'!$A$1:$AT$1,),)=0,#N/A,VLOOKUP(B97,'Data qoq'!$A:$AT,MATCH($E$1,'Data qoq'!$A$1:$AT$1,),))</f>
        <v>0.29447699999999999</v>
      </c>
      <c r="F97" s="25">
        <f>IF(VLOOKUP(B97,'Data qoq'!$A:$AT,MATCH($F$1,'Data qoq'!$A$1:$AT$1,),)=0,#N/A,VLOOKUP(B97,'Data qoq'!$A:$AT,MATCH($F$1,'Data qoq'!$A$1:$AT$1,),))</f>
        <v>1.3215515229999999</v>
      </c>
      <c r="G97" s="25">
        <f>IF(VLOOKUP(B97,'Data qoq'!$A:$AT,MATCH($G$1,'Data qoq'!$A$1:$AT$1,),)=0,#N/A,VLOOKUP(B97,'Data qoq'!$A:$AT,MATCH($G$1,'Data qoq'!$A$1:$AT$1,),))</f>
        <v>-0.731986727</v>
      </c>
      <c r="H97" s="25">
        <f>IF(VLOOKUP(B97,'Data qoq'!$A:$AT,MATCH($H$1,'Data qoq'!$A$1:$AT$1,),)=0,#N/A,VLOOKUP(B97,'Data qoq'!$A:$AT,MATCH($H$1,'Data qoq'!$A$1:$AT$1,),))</f>
        <v>0.71059852000000001</v>
      </c>
      <c r="I97" s="25">
        <f>IF(VLOOKUP(B97,'Data qoq'!$A:$AT,MATCH($I$1,'Data qoq'!$A$1:$AT$1,),)=0,#N/A,VLOOKUP(B97,'Data qoq'!$A:$AT,MATCH($I$1,'Data qoq'!$A$1:$AT$1,),))</f>
        <v>0.96324534100000003</v>
      </c>
      <c r="J97" s="25">
        <f>IF(VLOOKUP(B97,'Data qoq'!$A:$AT,MATCH($J$1,'Data qoq'!$A$1:$AT$1,),)=0,#N/A,VLOOKUP(B97,'Data qoq'!$A:$AT,MATCH($J$1,'Data qoq'!$A$1:$AT$1,),))</f>
        <v>0.61259812199999997</v>
      </c>
      <c r="K97" s="25">
        <f>IF(VLOOKUP(B97,'Data qoq'!$A:$AT,MATCH($K$1,'Data qoq'!$A$1:$AT$1,),)=0,#N/A,VLOOKUP(B97,'Data qoq'!$A:$AT,MATCH($K$1,'Data qoq'!$A$1:$AT$1,),))</f>
        <v>2.0115807550000002</v>
      </c>
      <c r="L97" s="25">
        <f>IF(VLOOKUP(B97,'Data qoq'!$A:$AT,MATCH($L$1,'Data qoq'!$A$1:$AT$1,),)=0,#N/A,VLOOKUP(B97,'Data qoq'!$A:$AT,MATCH($L$1,'Data qoq'!$A$1:$AT$1,),))</f>
        <v>1.4000369669999999</v>
      </c>
      <c r="M97" s="25">
        <f>IF(VLOOKUP(B97,'Data qoq'!$A:$AT,MATCH($M$1,'Data qoq'!$A$1:$AT$1,),)=0,#N/A,VLOOKUP(B97,'Data qoq'!$A:$AT,MATCH($M$1,'Data qoq'!$A$1:$AT$1,),))</f>
        <v>0.99948927700000001</v>
      </c>
      <c r="N97" s="25" t="e">
        <f>IF(VLOOKUP(B97,'Data qoq'!$A:$AT,MATCH($N$1,'Data qoq'!$A$1:$AT$1,),)=0,#N/A,VLOOKUP(B97,'Data qoq'!$A:$AT,MATCH($N$1,'Data qoq'!$A$1:$AT$1,),))</f>
        <v>#N/A</v>
      </c>
      <c r="O97" s="25">
        <f>IF(VLOOKUP(B97,'Data qoq'!$A:$AT,MATCH($O$1,'Data qoq'!$J$1:$AT$1,),)=0,#N/A,VLOOKUP(B97,'Data qoq'!$A:$AT,MATCH($O$1,'Data qoq'!$J$1:$AT$1,),))</f>
        <v>2.0115807550000002</v>
      </c>
      <c r="P97" s="25">
        <f>IF(VLOOKUP(B97,'Data qoq'!$A:$AT,MATCH($P$1,'Data qoq'!$A$1:$AT$1,),)=0,#N/A,VLOOKUP(B97,'Data qoq'!$A:$AT,MATCH($P$1,'Data qoq'!$A$1:$AT$1,),))</f>
        <v>1.600008023</v>
      </c>
      <c r="Q97" s="25" t="e">
        <f>IF(VLOOKUP(B97,'Data qoq'!$A:$AT,MATCH($Q$1,'Data qoq'!$A$1:$AT$1,),)=0,#N/A,VLOOKUP(B97,'Data qoq'!$A:$AT,MATCH($Q$1,'Data qoq'!$A$1:$AT$1,),))</f>
        <v>#N/A</v>
      </c>
      <c r="R97" s="25" t="e">
        <f>IF(VLOOKUP(B97,'Data qoq'!$A:$AT,MATCH($R$1,'Data qoq'!$A$1:$AT$1,),)=0,#N/A,VLOOKUP(B97,'Data qoq'!$A:$AT,MATCH($R$1,'Data qoq'!$A$1:$AT$1,),))</f>
        <v>#N/A</v>
      </c>
      <c r="S97" s="25">
        <f>IF(VLOOKUP(B97,'Data qoq'!$A:$AT,MATCH($S$1,'Data qoq'!$A$1:$AT$1,),)=0,#N/A,VLOOKUP(B97,'Data qoq'!$A:$AT,MATCH($S$1,'Data qoq'!$A$1:$AT$1,),))</f>
        <v>1.118547956</v>
      </c>
      <c r="T97" s="25" t="e">
        <f>IF(VLOOKUP(B97,'Data qoq'!$A:$AT,MATCH($T$1,'Data qoq'!$A$1:$AT$1,),)=0,#N/A,VLOOKUP(B97,'Data qoq'!$A:$AT,MATCH($T$1,'Data qoq'!$A$1:$AT$1,),))</f>
        <v>#N/A</v>
      </c>
      <c r="U97" s="25" t="e">
        <f>IF(VLOOKUP(B97,'Data qoq'!$A:$AT,MATCH($U$1,'Data qoq'!$A$1:$AT$1,),)=0,#N/A,VLOOKUP(B97,'Data qoq'!$A:$AT,MATCH($U$1,'Data qoq'!$A$1:$AT$1,),))</f>
        <v>#N/A</v>
      </c>
      <c r="V97" s="25" t="e">
        <f>IF(VLOOKUP(B97,'Data qoq'!$A:$AT,MATCH($V$1,'Data qoq'!$A$1:$AT$1,),)=0,#N/A,VLOOKUP(B97,'Data qoq'!$A:$AT,MATCH($V$1,'Data qoq'!$A$1:$AT$1,),))</f>
        <v>#N/A</v>
      </c>
      <c r="W97" s="25" t="e">
        <f>IF(VLOOKUP(B97,'Data qoq'!$A:$AT,MATCH($W$1,'Data qoq'!$A$1:$AT$1,),)=0,#N/A,VLOOKUP(B97,'Data qoq'!$A:$AT,MATCH($W$1,'Data qoq'!$A$1:$AT$1,),))</f>
        <v>#N/A</v>
      </c>
      <c r="X97" s="25">
        <f>IF(VLOOKUP(B97,'Data qoq'!$A:$AT,MATCH($X$1,'Data qoq'!$A$1:$AT$1,),)=0,#N/A,VLOOKUP(B97,'Data qoq'!$A:$AT,MATCH($X$1,'Data qoq'!$A$1:$AT$1,),))</f>
        <v>0.89996890299999999</v>
      </c>
      <c r="Y97" s="25" t="e">
        <f>IF(VLOOKUP(B97,'Data qoq'!$A:$AT,MATCH($Y$1,'Data qoq'!$A$1:$AT$1,),)=0,#N/A,VLOOKUP(B97,'Data qoq'!$A:$AT,MATCH($Y$1,'Data qoq'!$A$1:$AT$1,),))</f>
        <v>#N/A</v>
      </c>
      <c r="Z97" s="25" t="e">
        <f>IF(VLOOKUP(B97,'Data qoq'!$A:$AU,MATCH($Z$1,'Data qoq'!$A$1:$AU$1,),)=0,#N/A,VLOOKUP(B97,'Data qoq'!$A:$AU,MATCH($Z$1,'Data qoq'!$A$1:$AU$1,),))</f>
        <v>#N/A</v>
      </c>
      <c r="AA97" s="25" t="e">
        <f>IF(VLOOKUP(B97,'Data qoq'!$A:$AU,MATCH($AA$1,'Data qoq'!$A$1:$AU$1,),)=0,#N/A,VLOOKUP(B97,'Data qoq'!$A:$AU,MATCH($AA$1,'Data qoq'!$A$1:$AU$1,),))</f>
        <v>#N/A</v>
      </c>
      <c r="AC97" s="26" t="str">
        <f t="shared" si="12"/>
        <v>2021-Q4</v>
      </c>
      <c r="AD97" s="27">
        <f t="shared" si="13"/>
        <v>2.4110811190000003</v>
      </c>
      <c r="AE97" s="27">
        <f t="shared" si="14"/>
        <v>2.4110811190000003</v>
      </c>
    </row>
    <row r="98" spans="2:31" s="72" customFormat="1" x14ac:dyDescent="0.2"/>
    <row r="99" spans="2:31" s="72" customFormat="1" x14ac:dyDescent="0.2"/>
    <row r="100" spans="2:31" s="72" customFormat="1" x14ac:dyDescent="0.2"/>
    <row r="101" spans="2:31" s="72" customFormat="1" x14ac:dyDescent="0.2"/>
    <row r="102" spans="2:31" s="72" customFormat="1" x14ac:dyDescent="0.2"/>
    <row r="103" spans="2:31" s="72" customFormat="1" x14ac:dyDescent="0.2"/>
    <row r="104" spans="2:31" s="72" customFormat="1" x14ac:dyDescent="0.2"/>
    <row r="105" spans="2:31" s="72" customFormat="1" x14ac:dyDescent="0.2"/>
    <row r="106" spans="2:31" s="72" customFormat="1" x14ac:dyDescent="0.2"/>
    <row r="107" spans="2:31" s="72" customFormat="1" x14ac:dyDescent="0.2"/>
    <row r="108" spans="2:31" s="72" customFormat="1" x14ac:dyDescent="0.2"/>
    <row r="109" spans="2:31" s="72" customFormat="1" x14ac:dyDescent="0.2"/>
    <row r="110" spans="2:31" s="72" customFormat="1" x14ac:dyDescent="0.2"/>
    <row r="111" spans="2:31" s="72" customFormat="1" x14ac:dyDescent="0.2"/>
    <row r="112" spans="2:31"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x14ac:dyDescent="0.2"/>
  <cols>
    <col min="1" max="1" width="8.33203125" style="72" bestFit="1" customWidth="1"/>
    <col min="2" max="2" width="13.1640625" style="68" bestFit="1" customWidth="1"/>
    <col min="3" max="3" width="8.1640625" style="68" bestFit="1" customWidth="1"/>
    <col min="4" max="4" width="8.33203125" style="68" bestFit="1" customWidth="1"/>
    <col min="5" max="6" width="8.1640625" style="68" bestFit="1" customWidth="1"/>
    <col min="7" max="13" width="8.33203125" style="68" bestFit="1" customWidth="1"/>
    <col min="14" max="14" width="8.1640625" style="68" bestFit="1" customWidth="1"/>
    <col min="15" max="16" width="8.33203125" style="68" bestFit="1" customWidth="1"/>
    <col min="17" max="17" width="8.1640625" style="68" bestFit="1" customWidth="1"/>
    <col min="18" max="18" width="8.33203125" style="68" bestFit="1" customWidth="1"/>
    <col min="19" max="20" width="8.1640625" style="68" bestFit="1" customWidth="1"/>
    <col min="21" max="21" width="8.33203125" style="68" bestFit="1" customWidth="1"/>
    <col min="22" max="25" width="8.1640625" style="68" bestFit="1" customWidth="1"/>
    <col min="26" max="26" width="8.33203125" style="68" bestFit="1" customWidth="1"/>
    <col min="27" max="27" width="8.1640625" style="68" bestFit="1" customWidth="1"/>
    <col min="28" max="28" width="6.1640625" style="72" customWidth="1"/>
    <col min="29" max="29" width="8" style="72" bestFit="1" customWidth="1"/>
    <col min="30" max="30" width="15" style="72" bestFit="1" customWidth="1"/>
    <col min="31" max="31" width="8" style="72" bestFit="1" customWidth="1"/>
    <col min="32" max="33" width="9.1640625" style="72" customWidth="1"/>
    <col min="34" max="34" width="18.1640625" style="72" bestFit="1" customWidth="1"/>
    <col min="35" max="72" width="9.1640625" style="72" customWidth="1"/>
  </cols>
  <sheetData>
    <row r="1" spans="1: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2">
      <c r="AD2" s="72" t="s">
        <v>587</v>
      </c>
      <c r="AE2" s="3" t="str">
        <f>'Table yoy'!AE2</f>
        <v>2021-Q3</v>
      </c>
      <c r="AH2" s="72" t="s">
        <v>586</v>
      </c>
    </row>
    <row r="3" spans="1: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D3" s="11" t="s">
        <v>575</v>
      </c>
      <c r="AE3" s="12" t="str">
        <f>'Table yoy'!AE3</f>
        <v>2021-Q3</v>
      </c>
    </row>
    <row r="4" spans="1:34" ht="16" customHeight="1" thickBot="1" x14ac:dyDescent="0.25">
      <c r="B4" s="4" t="s">
        <v>576</v>
      </c>
      <c r="C4" s="29">
        <f t="shared" ref="C4:AA4" si="0">MAX(C90:C93)</f>
        <v>0.33783279298685187</v>
      </c>
      <c r="D4" s="29">
        <f t="shared" si="0"/>
        <v>0.50172525160100001</v>
      </c>
      <c r="E4" s="29">
        <f t="shared" si="0"/>
        <v>0.60470672425098404</v>
      </c>
      <c r="F4" s="29">
        <f t="shared" si="0"/>
        <v>0.22054687241794335</v>
      </c>
      <c r="G4" s="29">
        <f t="shared" si="0"/>
        <v>0.41381361997255861</v>
      </c>
      <c r="H4" s="29">
        <f t="shared" si="0"/>
        <v>0.9732959416689273</v>
      </c>
      <c r="I4" s="29">
        <f t="shared" si="0"/>
        <v>0.91083290720623511</v>
      </c>
      <c r="J4" s="29">
        <f t="shared" si="0"/>
        <v>0.78711287339453517</v>
      </c>
      <c r="K4" s="29">
        <f t="shared" si="0"/>
        <v>0.86100877895409256</v>
      </c>
      <c r="L4" s="29">
        <f t="shared" si="0"/>
        <v>0.30589356392723466</v>
      </c>
      <c r="M4" s="29">
        <f t="shared" si="0"/>
        <v>0.67541861429051075</v>
      </c>
      <c r="N4" s="29">
        <f t="shared" si="0"/>
        <v>0.11584013379575286</v>
      </c>
      <c r="O4" s="29">
        <f t="shared" si="0"/>
        <v>1.3687234787462903</v>
      </c>
      <c r="P4" s="29">
        <f t="shared" si="0"/>
        <v>0.41075081874519803</v>
      </c>
      <c r="Q4" s="29">
        <f t="shared" si="0"/>
        <v>0.14380444484261501</v>
      </c>
      <c r="R4" s="29">
        <f t="shared" si="0"/>
        <v>0.27766048705664925</v>
      </c>
      <c r="S4" s="29">
        <f t="shared" si="0"/>
        <v>9.2374698097843932E-2</v>
      </c>
      <c r="T4" s="29">
        <f t="shared" si="0"/>
        <v>0.34885049870719897</v>
      </c>
      <c r="U4" s="29">
        <f t="shared" si="0"/>
        <v>0.24288106673270948</v>
      </c>
      <c r="V4" s="29">
        <f t="shared" si="0"/>
        <v>0.4360194495161962</v>
      </c>
      <c r="W4" s="29">
        <f t="shared" si="0"/>
        <v>0.83577482774931511</v>
      </c>
      <c r="X4" s="29">
        <f t="shared" si="0"/>
        <v>0.29871750482305748</v>
      </c>
      <c r="Y4" s="29">
        <f t="shared" si="0"/>
        <v>0.3372784777224791</v>
      </c>
      <c r="Z4" s="29">
        <f t="shared" si="0"/>
        <v>0.56833951153924533</v>
      </c>
      <c r="AA4" s="29">
        <f t="shared" si="0"/>
        <v>0.68035627391393261</v>
      </c>
      <c r="AD4" s="14" t="s">
        <v>577</v>
      </c>
      <c r="AE4" s="15" t="str">
        <f>'Table yoy'!AE4</f>
        <v>2020-Q4</v>
      </c>
    </row>
    <row r="5" spans="1:34" x14ac:dyDescent="0.2">
      <c r="B5" s="4" t="s">
        <v>578</v>
      </c>
      <c r="C5" s="29">
        <f t="shared" ref="C5:AA5" si="1">MIN(C90:C93)</f>
        <v>-0.31235698460598726</v>
      </c>
      <c r="D5" s="29">
        <f t="shared" si="1"/>
        <v>-0.32919804937499997</v>
      </c>
      <c r="E5" s="29">
        <f t="shared" si="1"/>
        <v>-0.39159362546986909</v>
      </c>
      <c r="F5" s="29">
        <f t="shared" si="1"/>
        <v>-0.28509058822760946</v>
      </c>
      <c r="G5" s="29">
        <f t="shared" si="1"/>
        <v>-0.34378964025626724</v>
      </c>
      <c r="H5" s="29">
        <f t="shared" si="1"/>
        <v>-0.43923280653090224</v>
      </c>
      <c r="I5" s="29">
        <f t="shared" si="1"/>
        <v>-0.57900839237605162</v>
      </c>
      <c r="J5" s="29">
        <f t="shared" si="1"/>
        <v>-0.4236806988024423</v>
      </c>
      <c r="K5" s="29">
        <f t="shared" si="1"/>
        <v>-0.54015627283445999</v>
      </c>
      <c r="L5" s="29">
        <f t="shared" si="1"/>
        <v>-0.27954983450735305</v>
      </c>
      <c r="M5" s="29">
        <f t="shared" si="1"/>
        <v>-0.54306467803765246</v>
      </c>
      <c r="N5" s="29">
        <f t="shared" si="1"/>
        <v>-0.16768775820460491</v>
      </c>
      <c r="O5" s="29">
        <f t="shared" si="1"/>
        <v>-0.68916681886048092</v>
      </c>
      <c r="P5" s="29">
        <f t="shared" si="1"/>
        <v>-0.37377622789316389</v>
      </c>
      <c r="Q5" s="29">
        <f t="shared" si="1"/>
        <v>-0.24525979243995599</v>
      </c>
      <c r="R5" s="29">
        <f t="shared" si="1"/>
        <v>-0.22439198471211252</v>
      </c>
      <c r="S5" s="29">
        <f t="shared" si="1"/>
        <v>-0.12019736350249632</v>
      </c>
      <c r="T5" s="29">
        <f t="shared" si="1"/>
        <v>-0.3098468646059066</v>
      </c>
      <c r="U5" s="29">
        <f t="shared" si="1"/>
        <v>-0.45685378363381079</v>
      </c>
      <c r="V5" s="29">
        <f t="shared" si="1"/>
        <v>-0.12624665381929612</v>
      </c>
      <c r="W5" s="29">
        <f t="shared" si="1"/>
        <v>-0.36606244941348087</v>
      </c>
      <c r="X5" s="29">
        <f t="shared" si="1"/>
        <v>-0.31152954077584927</v>
      </c>
      <c r="Y5" s="29">
        <f t="shared" si="1"/>
        <v>-0.320751028816748</v>
      </c>
      <c r="Z5" s="29">
        <f t="shared" si="1"/>
        <v>-0.48093339907087618</v>
      </c>
      <c r="AA5" s="29">
        <f t="shared" si="1"/>
        <v>-0.35171462817921761</v>
      </c>
      <c r="AC5" s="16" t="s">
        <v>579</v>
      </c>
      <c r="AE5" s="17"/>
    </row>
    <row r="6" spans="1:34" x14ac:dyDescent="0.2">
      <c r="B6" s="4" t="s">
        <v>580</v>
      </c>
      <c r="C6" s="29">
        <f t="shared" ref="C6:AA6" si="2">AVERAGE(C90:C93)</f>
        <v>-1.690096750294745E-3</v>
      </c>
      <c r="D6" s="29">
        <f t="shared" si="2"/>
        <v>8.9805978760749972E-2</v>
      </c>
      <c r="E6" s="29">
        <f t="shared" si="2"/>
        <v>2.0295335361147276E-2</v>
      </c>
      <c r="F6" s="29">
        <f t="shared" si="2"/>
        <v>-3.6122233748782206E-2</v>
      </c>
      <c r="G6" s="29">
        <f t="shared" si="2"/>
        <v>-4.1580087699008561E-4</v>
      </c>
      <c r="H6" s="29">
        <f t="shared" si="2"/>
        <v>7.7983920980386173E-2</v>
      </c>
      <c r="I6" s="29">
        <f t="shared" si="2"/>
        <v>5.7160387220205E-2</v>
      </c>
      <c r="J6" s="29">
        <f t="shared" si="2"/>
        <v>3.4209149854066867E-2</v>
      </c>
      <c r="K6" s="29">
        <f t="shared" si="2"/>
        <v>3.4293192103478282E-2</v>
      </c>
      <c r="L6" s="29">
        <f t="shared" si="2"/>
        <v>9.2918944602488063E-4</v>
      </c>
      <c r="M6" s="29">
        <f t="shared" si="2"/>
        <v>1.2725687520298817E-2</v>
      </c>
      <c r="N6" s="29">
        <f t="shared" si="2"/>
        <v>-1.9413623526033957E-2</v>
      </c>
      <c r="O6" s="29">
        <f t="shared" si="2"/>
        <v>0.17618693088768</v>
      </c>
      <c r="P6" s="29">
        <f t="shared" si="2"/>
        <v>-8.6208446815674578E-3</v>
      </c>
      <c r="Q6" s="29">
        <f t="shared" si="2"/>
        <v>-2.4358323006587662E-2</v>
      </c>
      <c r="R6" s="29">
        <f t="shared" si="2"/>
        <v>2.7588999212756482E-3</v>
      </c>
      <c r="S6" s="29">
        <f t="shared" si="2"/>
        <v>-6.1983131655183876E-3</v>
      </c>
      <c r="T6" s="29">
        <f t="shared" si="2"/>
        <v>-8.8627324568344434E-3</v>
      </c>
      <c r="U6" s="29">
        <f t="shared" si="2"/>
        <v>-7.1296237276940844E-2</v>
      </c>
      <c r="V6" s="29">
        <f t="shared" si="2"/>
        <v>0.12844549727367943</v>
      </c>
      <c r="W6" s="29">
        <f t="shared" si="2"/>
        <v>0.13584866446091889</v>
      </c>
      <c r="X6" s="29">
        <f t="shared" si="2"/>
        <v>-2.8907053824157564E-2</v>
      </c>
      <c r="Y6" s="29">
        <f t="shared" si="2"/>
        <v>8.7427547175566167E-3</v>
      </c>
      <c r="Z6" s="29">
        <f t="shared" si="2"/>
        <v>-3.1774477707454035E-2</v>
      </c>
      <c r="AA6" s="29">
        <f t="shared" si="2"/>
        <v>7.3068345222374209E-2</v>
      </c>
      <c r="AC6" s="18"/>
      <c r="AD6" s="72" t="s">
        <v>581</v>
      </c>
      <c r="AE6" s="17" t="s">
        <v>33</v>
      </c>
    </row>
    <row r="7" spans="1:34" ht="16" customHeight="1" thickBot="1" x14ac:dyDescent="0.25">
      <c r="B7" s="4" t="s">
        <v>582</v>
      </c>
      <c r="C7" s="13" t="str">
        <f t="shared" ref="C7:AA7" si="3">IF((VLOOKUP($AE$2,$B:$AA,MATCH(C3,$B$3:$AA$3,),))&gt;C6,"above","below")</f>
        <v>above</v>
      </c>
      <c r="D7" s="13" t="str">
        <f t="shared" si="3"/>
        <v>below</v>
      </c>
      <c r="E7" s="13" t="str">
        <f t="shared" si="3"/>
        <v>above</v>
      </c>
      <c r="F7" s="13" t="str">
        <f t="shared" si="3"/>
        <v>above</v>
      </c>
      <c r="G7" s="13" t="str">
        <f t="shared" si="3"/>
        <v>above</v>
      </c>
      <c r="H7" s="13" t="str">
        <f t="shared" si="3"/>
        <v>above</v>
      </c>
      <c r="I7" s="13" t="str">
        <f t="shared" si="3"/>
        <v>below</v>
      </c>
      <c r="J7" s="13" t="str">
        <f t="shared" si="3"/>
        <v>above</v>
      </c>
      <c r="K7" s="13" t="str">
        <f t="shared" si="3"/>
        <v>above</v>
      </c>
      <c r="L7" s="13" t="str">
        <f t="shared" si="3"/>
        <v>above</v>
      </c>
      <c r="M7" s="13" t="str">
        <f t="shared" si="3"/>
        <v>below</v>
      </c>
      <c r="N7" s="13" t="str">
        <f t="shared" si="3"/>
        <v>below</v>
      </c>
      <c r="O7" s="13" t="str">
        <f t="shared" si="3"/>
        <v>above</v>
      </c>
      <c r="P7" s="13" t="str">
        <f t="shared" si="3"/>
        <v>above</v>
      </c>
      <c r="Q7" s="13" t="str">
        <f t="shared" si="3"/>
        <v>below</v>
      </c>
      <c r="R7" s="13" t="str">
        <f t="shared" si="3"/>
        <v>above</v>
      </c>
      <c r="S7" s="13" t="str">
        <f t="shared" si="3"/>
        <v>above</v>
      </c>
      <c r="T7" s="13" t="str">
        <f t="shared" si="3"/>
        <v>above</v>
      </c>
      <c r="U7" s="13" t="str">
        <f t="shared" si="3"/>
        <v>above</v>
      </c>
      <c r="V7" s="13" t="str">
        <f t="shared" si="3"/>
        <v>below</v>
      </c>
      <c r="W7" s="13" t="str">
        <f t="shared" si="3"/>
        <v>below</v>
      </c>
      <c r="X7" s="13" t="str">
        <f t="shared" si="3"/>
        <v>above</v>
      </c>
      <c r="Y7" s="13" t="str">
        <f t="shared" si="3"/>
        <v>above</v>
      </c>
      <c r="Z7" s="13" t="str">
        <f t="shared" si="3"/>
        <v>above</v>
      </c>
      <c r="AA7" s="13" t="str">
        <f t="shared" si="3"/>
        <v>below</v>
      </c>
      <c r="AC7" s="19"/>
      <c r="AD7" s="20" t="s">
        <v>583</v>
      </c>
      <c r="AE7" s="21" t="s">
        <v>40</v>
      </c>
    </row>
    <row r="8" spans="1:34" x14ac:dyDescent="0.2">
      <c r="B8" s="4" t="s">
        <v>584</v>
      </c>
      <c r="C8" s="28">
        <f t="shared" ref="C8:AA8" si="4">VLOOKUP($AE$2,$B:$AA,MATCH(C3,$B$3:$AA$3,),)-VLOOKUP($AE$4,$B:$AA,MATCH(C3,$B$3:$AA$3,),)</f>
        <v>-2.2328681359256697E-2</v>
      </c>
      <c r="D8" s="28">
        <f t="shared" si="4"/>
        <v>-0.12625208856000003</v>
      </c>
      <c r="E8" s="28">
        <f t="shared" si="4"/>
        <v>0.10460717779436524</v>
      </c>
      <c r="F8" s="28">
        <f t="shared" si="4"/>
        <v>-0.13126735240381726</v>
      </c>
      <c r="G8" s="28">
        <f t="shared" si="4"/>
        <v>3.9444224145626983E-2</v>
      </c>
      <c r="H8" s="28">
        <f t="shared" si="4"/>
        <v>0.16747726838514299</v>
      </c>
      <c r="I8" s="28">
        <f t="shared" si="4"/>
        <v>-1.8337463253122799E-2</v>
      </c>
      <c r="J8" s="28">
        <f t="shared" si="4"/>
        <v>0.17298258332195704</v>
      </c>
      <c r="K8" s="28">
        <f t="shared" si="4"/>
        <v>7.401810992448099E-2</v>
      </c>
      <c r="L8" s="28">
        <f t="shared" si="4"/>
        <v>6.8632098683071741E-2</v>
      </c>
      <c r="M8" s="28">
        <f t="shared" si="4"/>
        <v>-0.13852245283041564</v>
      </c>
      <c r="N8" s="28">
        <f t="shared" si="4"/>
        <v>-6.1323177325668388E-2</v>
      </c>
      <c r="O8" s="28">
        <f t="shared" si="4"/>
        <v>0.22260320565365044</v>
      </c>
      <c r="P8" s="28">
        <f t="shared" si="4"/>
        <v>-3.613959477685591E-2</v>
      </c>
      <c r="Q8" s="28">
        <f t="shared" si="4"/>
        <v>-0.21198950578394127</v>
      </c>
      <c r="R8" s="28">
        <f t="shared" si="4"/>
        <v>7.2075574419691368E-2</v>
      </c>
      <c r="S8" s="28">
        <f t="shared" si="4"/>
        <v>-3.3972869058665589E-2</v>
      </c>
      <c r="T8" s="28">
        <f t="shared" si="4"/>
        <v>-0.13428025139793287</v>
      </c>
      <c r="U8" s="28">
        <f t="shared" si="4"/>
        <v>-5.0699343266071395E-2</v>
      </c>
      <c r="V8" s="28">
        <f t="shared" si="4"/>
        <v>0.21286102966089626</v>
      </c>
      <c r="W8" s="28">
        <f t="shared" si="4"/>
        <v>6.3886041636701973E-2</v>
      </c>
      <c r="X8" s="28">
        <f t="shared" si="4"/>
        <v>3.1450058251351498E-2</v>
      </c>
      <c r="Y8" s="28">
        <f t="shared" si="4"/>
        <v>0.10395456519162705</v>
      </c>
      <c r="Z8" s="28">
        <f t="shared" si="4"/>
        <v>-1.8794592063418492E-2</v>
      </c>
      <c r="AA8" s="28">
        <f t="shared" si="4"/>
        <v>-0.12473629396439267</v>
      </c>
    </row>
    <row r="9" spans="1:34" x14ac:dyDescent="0.2">
      <c r="B9" s="4" t="s">
        <v>585</v>
      </c>
      <c r="C9" s="29">
        <f t="shared" ref="C9:AA9" si="5">VLOOKUP($AE$2,$B:$AA,MATCH(C3,$B$3:$AA$3,),)-VLOOKUP($AE$3,$B:$AA,MATCH(C3,$B$3:$AA$3,),)</f>
        <v>0</v>
      </c>
      <c r="D9" s="29">
        <f t="shared" si="5"/>
        <v>0</v>
      </c>
      <c r="E9" s="29">
        <f t="shared" si="5"/>
        <v>0</v>
      </c>
      <c r="F9" s="29">
        <f t="shared" si="5"/>
        <v>0</v>
      </c>
      <c r="G9" s="29">
        <f t="shared" si="5"/>
        <v>0</v>
      </c>
      <c r="H9" s="29">
        <f t="shared" si="5"/>
        <v>0</v>
      </c>
      <c r="I9" s="29">
        <f t="shared" si="5"/>
        <v>0</v>
      </c>
      <c r="J9" s="29">
        <f t="shared" si="5"/>
        <v>0</v>
      </c>
      <c r="K9" s="29">
        <f t="shared" si="5"/>
        <v>0</v>
      </c>
      <c r="L9" s="29">
        <f t="shared" si="5"/>
        <v>0</v>
      </c>
      <c r="M9" s="29">
        <f t="shared" si="5"/>
        <v>0</v>
      </c>
      <c r="N9" s="29">
        <f t="shared" si="5"/>
        <v>0</v>
      </c>
      <c r="O9" s="29">
        <f t="shared" si="5"/>
        <v>0</v>
      </c>
      <c r="P9" s="29">
        <f t="shared" si="5"/>
        <v>0</v>
      </c>
      <c r="Q9" s="29">
        <f t="shared" si="5"/>
        <v>0</v>
      </c>
      <c r="R9" s="29">
        <f t="shared" si="5"/>
        <v>0</v>
      </c>
      <c r="S9" s="29">
        <f t="shared" si="5"/>
        <v>0</v>
      </c>
      <c r="T9" s="29">
        <f t="shared" si="5"/>
        <v>0</v>
      </c>
      <c r="U9" s="29">
        <f t="shared" si="5"/>
        <v>0</v>
      </c>
      <c r="V9" s="29">
        <f t="shared" si="5"/>
        <v>0</v>
      </c>
      <c r="W9" s="29">
        <f t="shared" si="5"/>
        <v>0</v>
      </c>
      <c r="X9" s="29">
        <f t="shared" si="5"/>
        <v>0</v>
      </c>
      <c r="Y9" s="29">
        <f t="shared" si="5"/>
        <v>0</v>
      </c>
      <c r="Z9" s="29">
        <f t="shared" si="5"/>
        <v>0</v>
      </c>
      <c r="AA9" s="29">
        <f t="shared" si="5"/>
        <v>0</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277</v>
      </c>
      <c r="C11" s="32">
        <f>(((VLOOKUP(B11,'Data qoq'!$A:$AT,MATCH($C$1,'Data qoq'!$A$1:$AT$1,),))/100+1)^4)-1</f>
        <v>1.4657781370113865E-2</v>
      </c>
      <c r="D11" s="32">
        <f>(((VLOOKUP(B11,'Data qoq'!$A:$AT,MATCH($D$1,'Data qoq'!$A$1:$AT$1,),))/100+1)^4)-1</f>
        <v>0</v>
      </c>
      <c r="E11" s="32">
        <f>(((VLOOKUP(B11,'Data qoq'!$A:$AT,MATCH($E$1,'Data qoq'!$A$1:$AT$1,),))/100+1)^4)-1</f>
        <v>4.9383066200788361E-2</v>
      </c>
      <c r="F11" s="32">
        <f>(((VLOOKUP(B11,'Data qoq'!$A:$AT,MATCH($F$1,'Data qoq'!$A$1:$AT$1,),))/100+1)^4)-1</f>
        <v>6.9664288989572221E-2</v>
      </c>
      <c r="G11" s="32">
        <f>(((VLOOKUP(B11,'Data qoq'!$A:$AT,MATCH($G$1,'Data qoq'!$A$1:$AT$1,),))/100+1)^4)-1</f>
        <v>5.8475284588756171E-2</v>
      </c>
      <c r="H11" s="32">
        <f>(((VLOOKUP(B11,'Data qoq'!$A:$AT,MATCH($H$1,'Data qoq'!$A$1:$AT$1,),))/100+1)^4)-1</f>
        <v>3.6795223834286794E-2</v>
      </c>
      <c r="I11" s="32">
        <f>(((VLOOKUP(B11,'Data qoq'!$A:$AT,MATCH($I$1,'Data qoq'!$A$1:$AT$1,),))/100+1)^4)-1</f>
        <v>4.0043914761302535E-2</v>
      </c>
      <c r="J11" s="32">
        <f>(((VLOOKUP(B11,'Data qoq'!$A:$AT,MATCH($J$1,'Data qoq'!$A$1:$AT$1,),))/100+1)^4)-1</f>
        <v>4.1484169630521261E-2</v>
      </c>
      <c r="K11" s="32">
        <f>(((VLOOKUP(B11,'Data qoq'!$A:$AT,MATCH($K$1,'Data qoq'!$A$1:$AT$1,),))/100+1)^4)-1</f>
        <v>6.5538179930620499E-2</v>
      </c>
      <c r="L11" s="32">
        <f>(((VLOOKUP(B11,'Data qoq'!$A:$AT,MATCH($L$1,'Data qoq'!$A$1:$AT$1,),))/100+1)^4)-1</f>
        <v>2.663442167975405E-2</v>
      </c>
      <c r="M11" s="32">
        <f>(((VLOOKUP(B11,'Data qoq'!$A:$AT,MATCH($M$1,'Data qoq'!$A$1:$AT$1,),))/100+1)^4)-1</f>
        <v>7.726559206344108E-2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1.6234623893580657E-2</v>
      </c>
      <c r="R11" s="32">
        <f>(((VLOOKUP(B11,'Data qoq'!$A:$AT,MATCH($R$1,'Data qoq'!$A$1:$AT$1,),))/100+1)^4)-1</f>
        <v>3.1387241504692742E-2</v>
      </c>
      <c r="S11" s="32">
        <f>(((VLOOKUP(B11,'Data qoq'!$A:$AT,MATCH($S$1,'Data qoq'!$A$1:$AT$1,),))/100+1)^4)-1</f>
        <v>7.7984153341577267E-2</v>
      </c>
      <c r="T11" s="32">
        <f>(((VLOOKUP(B11,'Data qoq'!$A:$AT,MATCH($T$1,'Data qoq'!$A$1:$AT$1,),))/100+1)^4)-1</f>
        <v>4.2669233490340908E-2</v>
      </c>
      <c r="U11" s="32">
        <f>(((VLOOKUP(B11,'Data qoq'!$A:$AT,MATCH($U$1,'Data qoq'!$A$1:$AT$1,),))/100+1)^4)-1</f>
        <v>1.5273207707256375E-2</v>
      </c>
      <c r="V11" s="32">
        <f>(((VLOOKUP(B11,'Data qoq'!$A:$AT,MATCH($V$1,'Data qoq'!$A$1:$AT$1,),))/100+1)^4)-1</f>
        <v>6.8027911877880598E-2</v>
      </c>
      <c r="W11" s="32">
        <f>(((VLOOKUP(B11,'Data qoq'!$A:$AT,MATCH($W$1,'Data qoq'!$A$1:$AT$1,),))/100+1)^4)-1</f>
        <v>6.4497834305185409E-2</v>
      </c>
      <c r="X11" s="32">
        <f>(((VLOOKUP(B11,'Data qoq'!$A:$AT,MATCH($X$1,'Data qoq'!$A$1:$AT$1,),))/100+1)^4)-1</f>
        <v>5.5398980625578131E-2</v>
      </c>
      <c r="Y11" s="32">
        <f>(((VLOOKUP(B11,'Data qoq'!$A:$AT,MATCH($Y$1,'Data qoq'!$A$1:$AT$1,),))/100+1)^4)-1</f>
        <v>-1.3571067096371459E-2</v>
      </c>
      <c r="Z11" s="32">
        <f>(((VLOOKUP(B11,'Data qoq'!$A:$AU,MATCH($Z$1,'Data qoq'!$A$1:$AU$1,),))/100+1)^4)-1</f>
        <v>-1.3530892383642024E-2</v>
      </c>
      <c r="AA11" s="32">
        <f>(((VLOOKUP(B11,'Data qoq'!$A:$AU,MATCH($AA$1,'Data qoq'!$A$1:$AU$1,),))/100+1)^4)-1</f>
        <v>5.9501747815331907E-2</v>
      </c>
      <c r="AC11" s="26" t="str">
        <f t="shared" ref="AC11:AC42" si="6">B11</f>
        <v>2000-Q1</v>
      </c>
      <c r="AD11" s="31">
        <f t="shared" ref="AD11:AD42" si="7">(VLOOKUP(AC11,B:Y,MATCH($AE$6,$B$1:$Y$1,),))-(VLOOKUP(AC11,B:Y,MATCH($AE$7,$B$1:$Y$1,),))</f>
        <v>9.3391514394858266E-3</v>
      </c>
      <c r="AE11" s="27"/>
    </row>
    <row r="12" spans="1:34" hidden="1" x14ac:dyDescent="0.2">
      <c r="A12" s="30">
        <v>36678</v>
      </c>
      <c r="B12" s="24" t="s">
        <v>278</v>
      </c>
      <c r="C12" s="32">
        <f>(((VLOOKUP(B12,'Data qoq'!$A:$AT,MATCH($C$1,'Data qoq'!$A$1:$AT$1,),))/100+1)^4)-1</f>
        <v>7.4836281127297122E-2</v>
      </c>
      <c r="D12" s="32">
        <f>(((VLOOKUP(B12,'Data qoq'!$A:$AT,MATCH($D$1,'Data qoq'!$A$1:$AT$1,),))/100+1)^4)-1</f>
        <v>0</v>
      </c>
      <c r="E12" s="32">
        <f>(((VLOOKUP(B12,'Data qoq'!$A:$AT,MATCH($E$1,'Data qoq'!$A$1:$AT$1,),))/100+1)^4)-1</f>
        <v>3.7194038108021577E-2</v>
      </c>
      <c r="F12" s="32">
        <f>(((VLOOKUP(B12,'Data qoq'!$A:$AT,MATCH($F$1,'Data qoq'!$A$1:$AT$1,),))/100+1)^4)-1</f>
        <v>1.908476650941382E-2</v>
      </c>
      <c r="G12" s="32">
        <f>(((VLOOKUP(B12,'Data qoq'!$A:$AT,MATCH($G$1,'Data qoq'!$A$1:$AT$1,),))/100+1)^4)-1</f>
        <v>3.3264373070788888E-2</v>
      </c>
      <c r="H12" s="32">
        <f>(((VLOOKUP(B12,'Data qoq'!$A:$AT,MATCH($H$1,'Data qoq'!$A$1:$AT$1,),))/100+1)^4)-1</f>
        <v>4.0186431152136493E-2</v>
      </c>
      <c r="I12" s="32">
        <f>(((VLOOKUP(B12,'Data qoq'!$A:$AT,MATCH($I$1,'Data qoq'!$A$1:$AT$1,),))/100+1)^4)-1</f>
        <v>2.6131629411326074E-2</v>
      </c>
      <c r="J12" s="32">
        <f>(((VLOOKUP(B12,'Data qoq'!$A:$AT,MATCH($J$1,'Data qoq'!$A$1:$AT$1,),))/100+1)^4)-1</f>
        <v>3.2935533845125597E-2</v>
      </c>
      <c r="K12" s="32">
        <f>(((VLOOKUP(B12,'Data qoq'!$A:$AT,MATCH($K$1,'Data qoq'!$A$1:$AT$1,),))/100+1)^4)-1</f>
        <v>5.1038009047775112E-2</v>
      </c>
      <c r="L12" s="32">
        <f>(((VLOOKUP(B12,'Data qoq'!$A:$AT,MATCH($L$1,'Data qoq'!$A$1:$AT$1,),))/100+1)^4)-1</f>
        <v>0.10455163869497408</v>
      </c>
      <c r="M12" s="32">
        <f>(((VLOOKUP(B12,'Data qoq'!$A:$AT,MATCH($M$1,'Data qoq'!$A$1:$AT$1,),))/100+1)^4)-1</f>
        <v>6.1859145171355268E-2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3.8008158158521876E-2</v>
      </c>
      <c r="R12" s="32">
        <f>(((VLOOKUP(B12,'Data qoq'!$A:$AT,MATCH($R$1,'Data qoq'!$A$1:$AT$1,),))/100+1)^4)-1</f>
        <v>1.6289863426451667E-2</v>
      </c>
      <c r="S12" s="32">
        <f>(((VLOOKUP(B12,'Data qoq'!$A:$AT,MATCH($S$1,'Data qoq'!$A$1:$AT$1,),))/100+1)^4)-1</f>
        <v>5.4375254143276486E-2</v>
      </c>
      <c r="T12" s="32">
        <f>(((VLOOKUP(B12,'Data qoq'!$A:$AT,MATCH($T$1,'Data qoq'!$A$1:$AT$1,),))/100+1)^4)-1</f>
        <v>5.7649056242337293E-2</v>
      </c>
      <c r="U12" s="32">
        <f>(((VLOOKUP(B12,'Data qoq'!$A:$AT,MATCH($U$1,'Data qoq'!$A$1:$AT$1,),))/100+1)^4)-1</f>
        <v>3.7392949243544749E-2</v>
      </c>
      <c r="V12" s="32">
        <f>(((VLOOKUP(B12,'Data qoq'!$A:$AT,MATCH($V$1,'Data qoq'!$A$1:$AT$1,),))/100+1)^4)-1</f>
        <v>0.1422769793582519</v>
      </c>
      <c r="W12" s="32">
        <f>(((VLOOKUP(B12,'Data qoq'!$A:$AT,MATCH($W$1,'Data qoq'!$A$1:$AT$1,),))/100+1)^4)-1</f>
        <v>0.16506817968592857</v>
      </c>
      <c r="X12" s="32">
        <f>(((VLOOKUP(B12,'Data qoq'!$A:$AT,MATCH($X$1,'Data qoq'!$A$1:$AT$1,),))/100+1)^4)-1</f>
        <v>4.2377860017896785E-2</v>
      </c>
      <c r="Y12" s="32">
        <f>(((VLOOKUP(B12,'Data qoq'!$A:$AT,MATCH($Y$1,'Data qoq'!$A$1:$AT$1,),))/100+1)^4)-1</f>
        <v>4.9060947120326714E-2</v>
      </c>
      <c r="Z12" s="32">
        <f>(((VLOOKUP(B12,'Data qoq'!$A:$AU,MATCH($Z$1,'Data qoq'!$A$1:$AU$1,),))/100+1)^4)-1</f>
        <v>-6.2819169123601415E-2</v>
      </c>
      <c r="AA12" s="32">
        <f>(((VLOOKUP(B12,'Data qoq'!$A:$AU,MATCH($AA$1,'Data qoq'!$A$1:$AU$1,),))/100+1)^4)-1</f>
        <v>1.9419391730708391E-3</v>
      </c>
      <c r="AC12" s="26" t="str">
        <f t="shared" si="6"/>
        <v>2000-Q2</v>
      </c>
      <c r="AD12" s="31">
        <f t="shared" si="7"/>
        <v>1.1062408696695503E-2</v>
      </c>
      <c r="AE12" s="27"/>
    </row>
    <row r="13" spans="1:34" hidden="1" x14ac:dyDescent="0.2">
      <c r="A13" s="30">
        <v>36770</v>
      </c>
      <c r="B13" s="24" t="s">
        <v>279</v>
      </c>
      <c r="C13" s="32">
        <f>(((VLOOKUP(B13,'Data qoq'!$A:$AT,MATCH($C$1,'Data qoq'!$A$1:$AT$1,),))/100+1)^4)-1</f>
        <v>3.9969420199184036E-3</v>
      </c>
      <c r="D13" s="32">
        <f>(((VLOOKUP(B13,'Data qoq'!$A:$AT,MATCH($D$1,'Data qoq'!$A$1:$AT$1,),))/100+1)^4)-1</f>
        <v>0</v>
      </c>
      <c r="E13" s="32">
        <f>(((VLOOKUP(B13,'Data qoq'!$A:$AT,MATCH($E$1,'Data qoq'!$A$1:$AT$1,),))/100+1)^4)-1</f>
        <v>2.1775021585347831E-2</v>
      </c>
      <c r="F13" s="32">
        <f>(((VLOOKUP(B13,'Data qoq'!$A:$AT,MATCH($F$1,'Data qoq'!$A$1:$AT$1,),))/100+1)^4)-1</f>
        <v>1.0225151627756279E-3</v>
      </c>
      <c r="G13" s="32">
        <f>(((VLOOKUP(B13,'Data qoq'!$A:$AT,MATCH($G$1,'Data qoq'!$A$1:$AT$1,),))/100+1)^4)-1</f>
        <v>-9.441405002967862E-4</v>
      </c>
      <c r="H13" s="32">
        <f>(((VLOOKUP(B13,'Data qoq'!$A:$AT,MATCH($H$1,'Data qoq'!$A$1:$AT$1,),))/100+1)^4)-1</f>
        <v>2.5206014096668117E-2</v>
      </c>
      <c r="I13" s="32">
        <f>(((VLOOKUP(B13,'Data qoq'!$A:$AT,MATCH($I$1,'Data qoq'!$A$1:$AT$1,),))/100+1)^4)-1</f>
        <v>1.5382340809803052E-2</v>
      </c>
      <c r="J13" s="32">
        <f>(((VLOOKUP(B13,'Data qoq'!$A:$AT,MATCH($J$1,'Data qoq'!$A$1:$AT$1,),))/100+1)^4)-1</f>
        <v>2.4768151816287665E-2</v>
      </c>
      <c r="K13" s="32">
        <f>(((VLOOKUP(B13,'Data qoq'!$A:$AT,MATCH($K$1,'Data qoq'!$A$1:$AT$1,),))/100+1)^4)-1</f>
        <v>4.3872846304841007E-2</v>
      </c>
      <c r="L13" s="32">
        <f>(((VLOOKUP(B13,'Data qoq'!$A:$AT,MATCH($L$1,'Data qoq'!$A$1:$AT$1,),))/100+1)^4)-1</f>
        <v>3.1957542216752621E-2</v>
      </c>
      <c r="M13" s="32">
        <f>(((VLOOKUP(B13,'Data qoq'!$A:$AT,MATCH($M$1,'Data qoq'!$A$1:$AT$1,),))/100+1)^4)-1</f>
        <v>4.1437375311071944E-2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9.9116924929603112E-3</v>
      </c>
      <c r="R13" s="32">
        <f>(((VLOOKUP(B13,'Data qoq'!$A:$AT,MATCH($R$1,'Data qoq'!$A$1:$AT$1,),))/100+1)^4)-1</f>
        <v>3.1044217102683458E-2</v>
      </c>
      <c r="S13" s="32">
        <f>(((VLOOKUP(B13,'Data qoq'!$A:$AT,MATCH($S$1,'Data qoq'!$A$1:$AT$1,),))/100+1)^4)-1</f>
        <v>0.11482049098268376</v>
      </c>
      <c r="T13" s="32">
        <f>(((VLOOKUP(B13,'Data qoq'!$A:$AT,MATCH($T$1,'Data qoq'!$A$1:$AT$1,),))/100+1)^4)-1</f>
        <v>4.8036353289865108E-2</v>
      </c>
      <c r="U13" s="32">
        <f>(((VLOOKUP(B13,'Data qoq'!$A:$AT,MATCH($U$1,'Data qoq'!$A$1:$AT$1,),))/100+1)^4)-1</f>
        <v>7.6857171491801601E-2</v>
      </c>
      <c r="V13" s="32">
        <f>(((VLOOKUP(B13,'Data qoq'!$A:$AT,MATCH($V$1,'Data qoq'!$A$1:$AT$1,),))/100+1)^4)-1</f>
        <v>6.5419431943886996E-2</v>
      </c>
      <c r="W13" s="32">
        <f>(((VLOOKUP(B13,'Data qoq'!$A:$AT,MATCH($W$1,'Data qoq'!$A$1:$AT$1,),))/100+1)^4)-1</f>
        <v>6.0916757713971981E-2</v>
      </c>
      <c r="X13" s="32">
        <f>(((VLOOKUP(B13,'Data qoq'!$A:$AT,MATCH($X$1,'Data qoq'!$A$1:$AT$1,),))/100+1)^4)-1</f>
        <v>5.5526580469857256E-2</v>
      </c>
      <c r="Y13" s="32">
        <f>(((VLOOKUP(B13,'Data qoq'!$A:$AT,MATCH($Y$1,'Data qoq'!$A$1:$AT$1,),))/100+1)^4)-1</f>
        <v>1.5579269572753685E-2</v>
      </c>
      <c r="Z13" s="32">
        <f>(((VLOOKUP(B13,'Data qoq'!$A:$AU,MATCH($Z$1,'Data qoq'!$A$1:$AU$1,),))/100+1)^4)-1</f>
        <v>-1.016839805197356E-2</v>
      </c>
      <c r="AA13" s="32">
        <f>(((VLOOKUP(B13,'Data qoq'!$A:$AU,MATCH($AA$1,'Data qoq'!$A$1:$AU$1,),))/100+1)^4)-1</f>
        <v>1.5739128215810361E-2</v>
      </c>
      <c r="AC13" s="26" t="str">
        <f t="shared" si="6"/>
        <v>2000-Q3</v>
      </c>
      <c r="AD13" s="31">
        <f t="shared" si="7"/>
        <v>6.392680775544779E-3</v>
      </c>
      <c r="AE13" s="27"/>
    </row>
    <row r="14" spans="1:34" hidden="1" x14ac:dyDescent="0.2">
      <c r="A14" s="30">
        <v>36861</v>
      </c>
      <c r="B14" s="24" t="s">
        <v>280</v>
      </c>
      <c r="C14" s="32">
        <f>(((VLOOKUP(B14,'Data qoq'!$A:$AT,MATCH($C$1,'Data qoq'!$A$1:$AT$1,),))/100+1)^4)-1</f>
        <v>2.3987270856403509E-2</v>
      </c>
      <c r="D14" s="32">
        <f>(((VLOOKUP(B14,'Data qoq'!$A:$AT,MATCH($D$1,'Data qoq'!$A$1:$AT$1,),))/100+1)^4)-1</f>
        <v>0</v>
      </c>
      <c r="E14" s="32">
        <f>(((VLOOKUP(B14,'Data qoq'!$A:$AT,MATCH($E$1,'Data qoq'!$A$1:$AT$1,),))/100+1)^4)-1</f>
        <v>2.6968321338614043E-2</v>
      </c>
      <c r="F14" s="32">
        <f>(((VLOOKUP(B14,'Data qoq'!$A:$AT,MATCH($F$1,'Data qoq'!$A$1:$AT$1,),))/100+1)^4)-1</f>
        <v>3.9445975167834435E-2</v>
      </c>
      <c r="G14" s="32">
        <f>(((VLOOKUP(B14,'Data qoq'!$A:$AT,MATCH($G$1,'Data qoq'!$A$1:$AT$1,),))/100+1)^4)-1</f>
        <v>-1.2226734287392071E-2</v>
      </c>
      <c r="H14" s="32">
        <f>(((VLOOKUP(B14,'Data qoq'!$A:$AT,MATCH($H$1,'Data qoq'!$A$1:$AT$1,),))/100+1)^4)-1</f>
        <v>3.3020612194674115E-2</v>
      </c>
      <c r="I14" s="32">
        <f>(((VLOOKUP(B14,'Data qoq'!$A:$AT,MATCH($I$1,'Data qoq'!$A$1:$AT$1,),))/100+1)^4)-1</f>
        <v>1.1483558610885236E-2</v>
      </c>
      <c r="J14" s="32">
        <f>(((VLOOKUP(B14,'Data qoq'!$A:$AT,MATCH($J$1,'Data qoq'!$A$1:$AT$1,),))/100+1)^4)-1</f>
        <v>5.9023435113879197E-2</v>
      </c>
      <c r="K14" s="32">
        <f>(((VLOOKUP(B14,'Data qoq'!$A:$AT,MATCH($K$1,'Data qoq'!$A$1:$AT$1,),))/100+1)^4)-1</f>
        <v>4.185929407625455E-2</v>
      </c>
      <c r="L14" s="32">
        <f>(((VLOOKUP(B14,'Data qoq'!$A:$AT,MATCH($L$1,'Data qoq'!$A$1:$AT$1,),))/100+1)^4)-1</f>
        <v>-1.1879328014556378E-2</v>
      </c>
      <c r="M14" s="32">
        <f>(((VLOOKUP(B14,'Data qoq'!$A:$AT,MATCH($M$1,'Data qoq'!$A$1:$AT$1,),))/100+1)^4)-1</f>
        <v>-3.416166806750065E-2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-1.409635058737424E-2</v>
      </c>
      <c r="R14" s="32">
        <f>(((VLOOKUP(B14,'Data qoq'!$A:$AT,MATCH($R$1,'Data qoq'!$A$1:$AT$1,),))/100+1)^4)-1</f>
        <v>4.4193955810494234E-2</v>
      </c>
      <c r="S14" s="32">
        <f>(((VLOOKUP(B14,'Data qoq'!$A:$AT,MATCH($S$1,'Data qoq'!$A$1:$AT$1,),))/100+1)^4)-1</f>
        <v>-1.2915291610444135E-2</v>
      </c>
      <c r="T14" s="32">
        <f>(((VLOOKUP(B14,'Data qoq'!$A:$AT,MATCH($T$1,'Data qoq'!$A$1:$AT$1,),))/100+1)^4)-1</f>
        <v>4.999086259460106E-2</v>
      </c>
      <c r="U14" s="32">
        <f>(((VLOOKUP(B14,'Data qoq'!$A:$AT,MATCH($U$1,'Data qoq'!$A$1:$AT$1,),))/100+1)^4)-1</f>
        <v>5.797650154194689E-2</v>
      </c>
      <c r="V14" s="32">
        <f>(((VLOOKUP(B14,'Data qoq'!$A:$AT,MATCH($V$1,'Data qoq'!$A$1:$AT$1,),))/100+1)^4)-1</f>
        <v>1.5019241365671787E-2</v>
      </c>
      <c r="W14" s="32">
        <f>(((VLOOKUP(B14,'Data qoq'!$A:$AT,MATCH($W$1,'Data qoq'!$A$1:$AT$1,),))/100+1)^4)-1</f>
        <v>5.8715588481732306E-2</v>
      </c>
      <c r="X14" s="32">
        <f>(((VLOOKUP(B14,'Data qoq'!$A:$AT,MATCH($X$1,'Data qoq'!$A$1:$AT$1,),))/100+1)^4)-1</f>
        <v>1.6306332063501294E-2</v>
      </c>
      <c r="Y14" s="32">
        <f>(((VLOOKUP(B14,'Data qoq'!$A:$AT,MATCH($Y$1,'Data qoq'!$A$1:$AT$1,),))/100+1)^4)-1</f>
        <v>0.12254329280188481</v>
      </c>
      <c r="Z14" s="32">
        <f>(((VLOOKUP(B14,'Data qoq'!$A:$AU,MATCH($Z$1,'Data qoq'!$A$1:$AU$1,),))/100+1)^4)-1</f>
        <v>1.2330938215072695E-2</v>
      </c>
      <c r="AA14" s="32">
        <f>(((VLOOKUP(B14,'Data qoq'!$A:$AU,MATCH($AA$1,'Data qoq'!$A$1:$AU$1,),))/100+1)^4)-1</f>
        <v>7.8936006794250169E-3</v>
      </c>
      <c r="AC14" s="26" t="str">
        <f t="shared" si="6"/>
        <v>2000-Q4</v>
      </c>
      <c r="AD14" s="31">
        <f t="shared" si="7"/>
        <v>1.5484762727728807E-2</v>
      </c>
      <c r="AE14" s="27"/>
    </row>
    <row r="15" spans="1:34" hidden="1" x14ac:dyDescent="0.2">
      <c r="A15" s="30">
        <v>36951</v>
      </c>
      <c r="B15" s="24" t="s">
        <v>281</v>
      </c>
      <c r="C15" s="32">
        <f>(((VLOOKUP(B15,'Data qoq'!$A:$AT,MATCH($C$1,'Data qoq'!$A$1:$AT$1,),))/100+1)^4)-1</f>
        <v>-1.2905904781713828E-2</v>
      </c>
      <c r="D15" s="32">
        <f>(((VLOOKUP(B15,'Data qoq'!$A:$AT,MATCH($D$1,'Data qoq'!$A$1:$AT$1,),))/100+1)^4)-1</f>
        <v>0</v>
      </c>
      <c r="E15" s="32">
        <f>(((VLOOKUP(B15,'Data qoq'!$A:$AT,MATCH($E$1,'Data qoq'!$A$1:$AT$1,),))/100+1)^4)-1</f>
        <v>4.1550107500230249E-2</v>
      </c>
      <c r="F15" s="32">
        <f>(((VLOOKUP(B15,'Data qoq'!$A:$AT,MATCH($F$1,'Data qoq'!$A$1:$AT$1,),))/100+1)^4)-1</f>
        <v>3.0033619198276851E-2</v>
      </c>
      <c r="G15" s="32">
        <f>(((VLOOKUP(B15,'Data qoq'!$A:$AT,MATCH($G$1,'Data qoq'!$A$1:$AT$1,),))/100+1)^4)-1</f>
        <v>8.2897379534458304E-2</v>
      </c>
      <c r="H15" s="32">
        <f>(((VLOOKUP(B15,'Data qoq'!$A:$AT,MATCH($H$1,'Data qoq'!$A$1:$AT$1,),))/100+1)^4)-1</f>
        <v>2.1845323278438578E-2</v>
      </c>
      <c r="I15" s="32">
        <f>(((VLOOKUP(B15,'Data qoq'!$A:$AT,MATCH($I$1,'Data qoq'!$A$1:$AT$1,),))/100+1)^4)-1</f>
        <v>3.4646788925951189E-2</v>
      </c>
      <c r="J15" s="32">
        <f>(((VLOOKUP(B15,'Data qoq'!$A:$AT,MATCH($J$1,'Data qoq'!$A$1:$AT$1,),))/100+1)^4)-1</f>
        <v>2.6877290819464106E-2</v>
      </c>
      <c r="K15" s="32">
        <f>(((VLOOKUP(B15,'Data qoq'!$A:$AT,MATCH($K$1,'Data qoq'!$A$1:$AT$1,),))/100+1)^4)-1</f>
        <v>4.3151529445816683E-2</v>
      </c>
      <c r="L15" s="32">
        <f>(((VLOOKUP(B15,'Data qoq'!$A:$AT,MATCH($L$1,'Data qoq'!$A$1:$AT$1,),))/100+1)^4)-1</f>
        <v>1.470419773059195E-2</v>
      </c>
      <c r="M15" s="32">
        <f>(((VLOOKUP(B15,'Data qoq'!$A:$AT,MATCH($M$1,'Data qoq'!$A$1:$AT$1,),))/100+1)^4)-1</f>
        <v>1.3386703700979385E-3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4.2058673235169763E-2</v>
      </c>
      <c r="R15" s="32">
        <f>(((VLOOKUP(B15,'Data qoq'!$A:$AT,MATCH($R$1,'Data qoq'!$A$1:$AT$1,),))/100+1)^4)-1</f>
        <v>2.1325052236740305E-3</v>
      </c>
      <c r="S15" s="32">
        <f>(((VLOOKUP(B15,'Data qoq'!$A:$AT,MATCH($S$1,'Data qoq'!$A$1:$AT$1,),))/100+1)^4)-1</f>
        <v>4.9930768399333081E-2</v>
      </c>
      <c r="T15" s="32">
        <f>(((VLOOKUP(B15,'Data qoq'!$A:$AT,MATCH($T$1,'Data qoq'!$A$1:$AT$1,),))/100+1)^4)-1</f>
        <v>1.4995964319991728E-2</v>
      </c>
      <c r="U15" s="32">
        <f>(((VLOOKUP(B15,'Data qoq'!$A:$AT,MATCH($U$1,'Data qoq'!$A$1:$AT$1,),))/100+1)^4)-1</f>
        <v>5.0442140289366666E-2</v>
      </c>
      <c r="V15" s="32">
        <f>(((VLOOKUP(B15,'Data qoq'!$A:$AT,MATCH($V$1,'Data qoq'!$A$1:$AT$1,),))/100+1)^4)-1</f>
        <v>0.10237815842394626</v>
      </c>
      <c r="W15" s="32">
        <f>(((VLOOKUP(B15,'Data qoq'!$A:$AT,MATCH($W$1,'Data qoq'!$A$1:$AT$1,),))/100+1)^4)-1</f>
        <v>-0.18977659885661469</v>
      </c>
      <c r="X15" s="32">
        <f>(((VLOOKUP(B15,'Data qoq'!$A:$AT,MATCH($X$1,'Data qoq'!$A$1:$AT$1,),))/100+1)^4)-1</f>
        <v>4.6916728446317446E-2</v>
      </c>
      <c r="Y15" s="32">
        <f>(((VLOOKUP(B15,'Data qoq'!$A:$AT,MATCH($Y$1,'Data qoq'!$A$1:$AT$1,),))/100+1)^4)-1</f>
        <v>-5.2850877075384384E-2</v>
      </c>
      <c r="Z15" s="32">
        <f>(((VLOOKUP(B15,'Data qoq'!$A:$AU,MATCH($Z$1,'Data qoq'!$A$1:$AU$1,),))/100+1)^4)-1</f>
        <v>6.5619319362044681E-3</v>
      </c>
      <c r="AA15" s="32">
        <f>(((VLOOKUP(B15,'Data qoq'!$A:$AU,MATCH($AA$1,'Data qoq'!$A$1:$AU$1,),))/100+1)^4)-1</f>
        <v>1.405673992916312E-2</v>
      </c>
      <c r="AC15" s="26" t="str">
        <f t="shared" si="6"/>
        <v>2001-Q1</v>
      </c>
      <c r="AD15" s="31">
        <f t="shared" si="7"/>
        <v>6.9033185742790604E-3</v>
      </c>
      <c r="AE15" s="27"/>
    </row>
    <row r="16" spans="1:34" hidden="1" x14ac:dyDescent="0.2">
      <c r="A16" s="30">
        <v>37043</v>
      </c>
      <c r="B16" s="24" t="s">
        <v>282</v>
      </c>
      <c r="C16" s="32">
        <f>(((VLOOKUP(B16,'Data qoq'!$A:$AT,MATCH($C$1,'Data qoq'!$A$1:$AT$1,),))/100+1)^4)-1</f>
        <v>2.5088204559372329E-2</v>
      </c>
      <c r="D16" s="32">
        <f>(((VLOOKUP(B16,'Data qoq'!$A:$AT,MATCH($D$1,'Data qoq'!$A$1:$AT$1,),))/100+1)^4)-1</f>
        <v>0</v>
      </c>
      <c r="E16" s="32">
        <f>(((VLOOKUP(B16,'Data qoq'!$A:$AT,MATCH($E$1,'Data qoq'!$A$1:$AT$1,),))/100+1)^4)-1</f>
        <v>3.8159684823868556E-3</v>
      </c>
      <c r="F16" s="32">
        <f>(((VLOOKUP(B16,'Data qoq'!$A:$AT,MATCH($F$1,'Data qoq'!$A$1:$AT$1,),))/100+1)^4)-1</f>
        <v>-2.9688129597211677E-2</v>
      </c>
      <c r="G16" s="32">
        <f>(((VLOOKUP(B16,'Data qoq'!$A:$AT,MATCH($G$1,'Data qoq'!$A$1:$AT$1,),))/100+1)^4)-1</f>
        <v>-2.3207570239505149E-3</v>
      </c>
      <c r="H16" s="32">
        <f>(((VLOOKUP(B16,'Data qoq'!$A:$AT,MATCH($H$1,'Data qoq'!$A$1:$AT$1,),))/100+1)^4)-1</f>
        <v>7.5731858677778874E-3</v>
      </c>
      <c r="I16" s="32">
        <f>(((VLOOKUP(B16,'Data qoq'!$A:$AT,MATCH($I$1,'Data qoq'!$A$1:$AT$1,),))/100+1)^4)-1</f>
        <v>1.8524783097138897E-2</v>
      </c>
      <c r="J16" s="32">
        <f>(((VLOOKUP(B16,'Data qoq'!$A:$AT,MATCH($J$1,'Data qoq'!$A$1:$AT$1,),))/100+1)^4)-1</f>
        <v>-1.5698112162377487E-2</v>
      </c>
      <c r="K16" s="32">
        <f>(((VLOOKUP(B16,'Data qoq'!$A:$AT,MATCH($K$1,'Data qoq'!$A$1:$AT$1,),))/100+1)^4)-1</f>
        <v>2.9894022554869837E-2</v>
      </c>
      <c r="L16" s="32">
        <f>(((VLOOKUP(B16,'Data qoq'!$A:$AT,MATCH($L$1,'Data qoq'!$A$1:$AT$1,),))/100+1)^4)-1</f>
        <v>3.806800119123821E-4</v>
      </c>
      <c r="M16" s="32">
        <f>(((VLOOKUP(B16,'Data qoq'!$A:$AT,MATCH($M$1,'Data qoq'!$A$1:$AT$1,),))/100+1)^4)-1</f>
        <v>-2.1472280071149541E-2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3.2882307572528857E-2</v>
      </c>
      <c r="R16" s="32">
        <f>(((VLOOKUP(B16,'Data qoq'!$A:$AT,MATCH($R$1,'Data qoq'!$A$1:$AT$1,),))/100+1)^4)-1</f>
        <v>2.1652959902330515E-2</v>
      </c>
      <c r="S16" s="32">
        <f>(((VLOOKUP(B16,'Data qoq'!$A:$AT,MATCH($S$1,'Data qoq'!$A$1:$AT$1,),))/100+1)^4)-1</f>
        <v>5.2976289981347291E-2</v>
      </c>
      <c r="T16" s="32">
        <f>(((VLOOKUP(B16,'Data qoq'!$A:$AT,MATCH($T$1,'Data qoq'!$A$1:$AT$1,),))/100+1)^4)-1</f>
        <v>-1.9665018759545738E-2</v>
      </c>
      <c r="U16" s="32">
        <f>(((VLOOKUP(B16,'Data qoq'!$A:$AT,MATCH($U$1,'Data qoq'!$A$1:$AT$1,),))/100+1)^4)-1</f>
        <v>-1.0501345164872222E-2</v>
      </c>
      <c r="V16" s="32">
        <f>(((VLOOKUP(B16,'Data qoq'!$A:$AT,MATCH($V$1,'Data qoq'!$A$1:$AT$1,),))/100+1)^4)-1</f>
        <v>7.04956653097637E-2</v>
      </c>
      <c r="W16" s="32">
        <f>(((VLOOKUP(B16,'Data qoq'!$A:$AT,MATCH($W$1,'Data qoq'!$A$1:$AT$1,),))/100+1)^4)-1</f>
        <v>-0.18013187197430425</v>
      </c>
      <c r="X16" s="32">
        <f>(((VLOOKUP(B16,'Data qoq'!$A:$AT,MATCH($X$1,'Data qoq'!$A$1:$AT$1,),))/100+1)^4)-1</f>
        <v>1.1128914471016937E-2</v>
      </c>
      <c r="Y16" s="32">
        <f>(((VLOOKUP(B16,'Data qoq'!$A:$AT,MATCH($Y$1,'Data qoq'!$A$1:$AT$1,),))/100+1)^4)-1</f>
        <v>-1.800080930553638E-2</v>
      </c>
      <c r="Z16" s="32">
        <f>(((VLOOKUP(B16,'Data qoq'!$A:$AU,MATCH($Z$1,'Data qoq'!$A$1:$AU$1,),))/100+1)^4)-1</f>
        <v>-3.2781833337411137E-2</v>
      </c>
      <c r="AA16" s="32">
        <f>(((VLOOKUP(B16,'Data qoq'!$A:$AU,MATCH($AA$1,'Data qoq'!$A$1:$AU$1,),))/100+1)^4)-1</f>
        <v>5.8165332960042893E-2</v>
      </c>
      <c r="AC16" s="26" t="str">
        <f t="shared" si="6"/>
        <v>2001-Q2</v>
      </c>
      <c r="AD16" s="31">
        <f t="shared" si="7"/>
        <v>-1.4708814614752042E-2</v>
      </c>
      <c r="AE16" s="27"/>
    </row>
    <row r="17" spans="1:31" hidden="1" x14ac:dyDescent="0.2">
      <c r="A17" s="30">
        <v>37135</v>
      </c>
      <c r="B17" s="24" t="s">
        <v>283</v>
      </c>
      <c r="C17" s="32">
        <f>(((VLOOKUP(B17,'Data qoq'!$A:$AT,MATCH($C$1,'Data qoq'!$A$1:$AT$1,),))/100+1)^4)-1</f>
        <v>-1.5918049453033656E-2</v>
      </c>
      <c r="D17" s="32">
        <f>(((VLOOKUP(B17,'Data qoq'!$A:$AT,MATCH($D$1,'Data qoq'!$A$1:$AT$1,),))/100+1)^4)-1</f>
        <v>0</v>
      </c>
      <c r="E17" s="32">
        <f>(((VLOOKUP(B17,'Data qoq'!$A:$AT,MATCH($E$1,'Data qoq'!$A$1:$AT$1,),))/100+1)^4)-1</f>
        <v>3.9901566473861116E-3</v>
      </c>
      <c r="F17" s="32">
        <f>(((VLOOKUP(B17,'Data qoq'!$A:$AT,MATCH($F$1,'Data qoq'!$A$1:$AT$1,),))/100+1)^4)-1</f>
        <v>-4.2875113710419077E-2</v>
      </c>
      <c r="G17" s="32">
        <f>(((VLOOKUP(B17,'Data qoq'!$A:$AT,MATCH($G$1,'Data qoq'!$A$1:$AT$1,),))/100+1)^4)-1</f>
        <v>-6.490903314694707E-3</v>
      </c>
      <c r="H17" s="32">
        <f>(((VLOOKUP(B17,'Data qoq'!$A:$AT,MATCH($H$1,'Data qoq'!$A$1:$AT$1,),))/100+1)^4)-1</f>
        <v>1.1041981482891261E-2</v>
      </c>
      <c r="I17" s="32">
        <f>(((VLOOKUP(B17,'Data qoq'!$A:$AT,MATCH($I$1,'Data qoq'!$A$1:$AT$1,),))/100+1)^4)-1</f>
        <v>1.8858747115408248E-2</v>
      </c>
      <c r="J17" s="32">
        <f>(((VLOOKUP(B17,'Data qoq'!$A:$AT,MATCH($J$1,'Data qoq'!$A$1:$AT$1,),))/100+1)^4)-1</f>
        <v>-1.1341697639911885E-2</v>
      </c>
      <c r="K17" s="32">
        <f>(((VLOOKUP(B17,'Data qoq'!$A:$AT,MATCH($K$1,'Data qoq'!$A$1:$AT$1,),))/100+1)^4)-1</f>
        <v>3.7805410640810111E-2</v>
      </c>
      <c r="L17" s="32">
        <f>(((VLOOKUP(B17,'Data qoq'!$A:$AT,MATCH($L$1,'Data qoq'!$A$1:$AT$1,),))/100+1)^4)-1</f>
        <v>1.548441741672546E-2</v>
      </c>
      <c r="M17" s="32">
        <f>(((VLOOKUP(B17,'Data qoq'!$A:$AT,MATCH($M$1,'Data qoq'!$A$1:$AT$1,),))/100+1)^4)-1</f>
        <v>8.7783859936920727E-3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4.8669206995355818E-2</v>
      </c>
      <c r="R17" s="32">
        <f>(((VLOOKUP(B17,'Data qoq'!$A:$AT,MATCH($R$1,'Data qoq'!$A$1:$AT$1,),))/100+1)^4)-1</f>
        <v>-6.7923024846838764E-3</v>
      </c>
      <c r="S17" s="32">
        <f>(((VLOOKUP(B17,'Data qoq'!$A:$AT,MATCH($S$1,'Data qoq'!$A$1:$AT$1,),))/100+1)^4)-1</f>
        <v>5.5111437622660242E-2</v>
      </c>
      <c r="T17" s="32">
        <f>(((VLOOKUP(B17,'Data qoq'!$A:$AT,MATCH($T$1,'Data qoq'!$A$1:$AT$1,),))/100+1)^4)-1</f>
        <v>-2.0564508901527057E-2</v>
      </c>
      <c r="U17" s="32">
        <f>(((VLOOKUP(B17,'Data qoq'!$A:$AT,MATCH($U$1,'Data qoq'!$A$1:$AT$1,),))/100+1)^4)-1</f>
        <v>6.6459561701394776E-2</v>
      </c>
      <c r="V17" s="32">
        <f>(((VLOOKUP(B17,'Data qoq'!$A:$AT,MATCH($V$1,'Data qoq'!$A$1:$AT$1,),))/100+1)^4)-1</f>
        <v>-3.3730051297760411E-2</v>
      </c>
      <c r="W17" s="32">
        <f>(((VLOOKUP(B17,'Data qoq'!$A:$AT,MATCH($W$1,'Data qoq'!$A$1:$AT$1,),))/100+1)^4)-1</f>
        <v>5.1019482036346986E-2</v>
      </c>
      <c r="X17" s="32">
        <f>(((VLOOKUP(B17,'Data qoq'!$A:$AT,MATCH($X$1,'Data qoq'!$A$1:$AT$1,),))/100+1)^4)-1</f>
        <v>2.0012244715837291E-2</v>
      </c>
      <c r="Y17" s="32">
        <f>(((VLOOKUP(B17,'Data qoq'!$A:$AT,MATCH($Y$1,'Data qoq'!$A$1:$AT$1,),))/100+1)^4)-1</f>
        <v>3.1686472731779158E-2</v>
      </c>
      <c r="Z17" s="32">
        <f>(((VLOOKUP(B17,'Data qoq'!$A:$AU,MATCH($Z$1,'Data qoq'!$A$1:$AU$1,),))/100+1)^4)-1</f>
        <v>-0.1732810920882778</v>
      </c>
      <c r="AA17" s="32">
        <f>(((VLOOKUP(B17,'Data qoq'!$A:$AU,MATCH($AA$1,'Data qoq'!$A$1:$AU$1,),))/100+1)^4)-1</f>
        <v>3.0745806368953188E-2</v>
      </c>
      <c r="AC17" s="26" t="str">
        <f t="shared" si="6"/>
        <v>2001-Q3</v>
      </c>
      <c r="AD17" s="31">
        <f t="shared" si="7"/>
        <v>-1.4868590468022136E-2</v>
      </c>
      <c r="AE17" s="27"/>
    </row>
    <row r="18" spans="1:31" hidden="1" x14ac:dyDescent="0.2">
      <c r="A18" s="30">
        <v>37226</v>
      </c>
      <c r="B18" s="24" t="s">
        <v>284</v>
      </c>
      <c r="C18" s="32">
        <f>(((VLOOKUP(B18,'Data qoq'!$A:$AT,MATCH($C$1,'Data qoq'!$A$1:$AT$1,),))/100+1)^4)-1</f>
        <v>1.1138801636537909E-2</v>
      </c>
      <c r="D18" s="32">
        <f>(((VLOOKUP(B18,'Data qoq'!$A:$AT,MATCH($D$1,'Data qoq'!$A$1:$AT$1,),))/100+1)^4)-1</f>
        <v>0</v>
      </c>
      <c r="E18" s="32">
        <f>(((VLOOKUP(B18,'Data qoq'!$A:$AT,MATCH($E$1,'Data qoq'!$A$1:$AT$1,),))/100+1)^4)-1</f>
        <v>4.7408852639636567E-3</v>
      </c>
      <c r="F18" s="32">
        <f>(((VLOOKUP(B18,'Data qoq'!$A:$AT,MATCH($F$1,'Data qoq'!$A$1:$AT$1,),))/100+1)^4)-1</f>
        <v>-1.3570700433202521E-2</v>
      </c>
      <c r="G18" s="32">
        <f>(((VLOOKUP(B18,'Data qoq'!$A:$AT,MATCH($G$1,'Data qoq'!$A$1:$AT$1,),))/100+1)^4)-1</f>
        <v>-4.6474027103144966E-3</v>
      </c>
      <c r="H18" s="32">
        <f>(((VLOOKUP(B18,'Data qoq'!$A:$AT,MATCH($H$1,'Data qoq'!$A$1:$AT$1,),))/100+1)^4)-1</f>
        <v>8.4119446291386346E-4</v>
      </c>
      <c r="I18" s="32">
        <f>(((VLOOKUP(B18,'Data qoq'!$A:$AT,MATCH($I$1,'Data qoq'!$A$1:$AT$1,),))/100+1)^4)-1</f>
        <v>9.058398279847335E-3</v>
      </c>
      <c r="J18" s="32">
        <f>(((VLOOKUP(B18,'Data qoq'!$A:$AT,MATCH($J$1,'Data qoq'!$A$1:$AT$1,),))/100+1)^4)-1</f>
        <v>-7.087520820788118E-3</v>
      </c>
      <c r="K18" s="32">
        <f>(((VLOOKUP(B18,'Data qoq'!$A:$AT,MATCH($K$1,'Data qoq'!$A$1:$AT$1,),))/100+1)^4)-1</f>
        <v>2.7964838140392079E-2</v>
      </c>
      <c r="L18" s="32">
        <f>(((VLOOKUP(B18,'Data qoq'!$A:$AT,MATCH($L$1,'Data qoq'!$A$1:$AT$1,),))/100+1)^4)-1</f>
        <v>3.4442254961764895E-2</v>
      </c>
      <c r="M18" s="32">
        <f>(((VLOOKUP(B18,'Data qoq'!$A:$AT,MATCH($M$1,'Data qoq'!$A$1:$AT$1,),))/100+1)^4)-1</f>
        <v>-2.5259139937745645E-2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4.9441535644073387E-2</v>
      </c>
      <c r="R18" s="32">
        <f>(((VLOOKUP(B18,'Data qoq'!$A:$AT,MATCH($R$1,'Data qoq'!$A$1:$AT$1,),))/100+1)^4)-1</f>
        <v>-4.8307702496149796E-3</v>
      </c>
      <c r="S18" s="32">
        <f>(((VLOOKUP(B18,'Data qoq'!$A:$AT,MATCH($S$1,'Data qoq'!$A$1:$AT$1,),))/100+1)^4)-1</f>
        <v>7.2389445171193945E-2</v>
      </c>
      <c r="T18" s="32">
        <f>(((VLOOKUP(B18,'Data qoq'!$A:$AT,MATCH($T$1,'Data qoq'!$A$1:$AT$1,),))/100+1)^4)-1</f>
        <v>-1.1131012498326265E-2</v>
      </c>
      <c r="U18" s="32">
        <f>(((VLOOKUP(B18,'Data qoq'!$A:$AT,MATCH($U$1,'Data qoq'!$A$1:$AT$1,),))/100+1)^4)-1</f>
        <v>1.0638122816360118E-2</v>
      </c>
      <c r="V18" s="32">
        <f>(((VLOOKUP(B18,'Data qoq'!$A:$AT,MATCH($V$1,'Data qoq'!$A$1:$AT$1,),))/100+1)^4)-1</f>
        <v>6.688779475066009E-2</v>
      </c>
      <c r="W18" s="32">
        <f>(((VLOOKUP(B18,'Data qoq'!$A:$AT,MATCH($W$1,'Data qoq'!$A$1:$AT$1,),))/100+1)^4)-1</f>
        <v>-6.563555150490108E-2</v>
      </c>
      <c r="X18" s="32">
        <f>(((VLOOKUP(B18,'Data qoq'!$A:$AT,MATCH($X$1,'Data qoq'!$A$1:$AT$1,),))/100+1)^4)-1</f>
        <v>2.432864369531007E-2</v>
      </c>
      <c r="Y18" s="32">
        <f>(((VLOOKUP(B18,'Data qoq'!$A:$AT,MATCH($Y$1,'Data qoq'!$A$1:$AT$1,),))/100+1)^4)-1</f>
        <v>1.18802504043376E-2</v>
      </c>
      <c r="Z18" s="32">
        <f>(((VLOOKUP(B18,'Data qoq'!$A:$AU,MATCH($Z$1,'Data qoq'!$A$1:$AU$1,),))/100+1)^4)-1</f>
        <v>-0.20906422740335551</v>
      </c>
      <c r="AA18" s="32">
        <f>(((VLOOKUP(B18,'Data qoq'!$A:$AU,MATCH($AA$1,'Data qoq'!$A$1:$AU$1,),))/100+1)^4)-1</f>
        <v>6.0775468397564536E-2</v>
      </c>
      <c r="AC18" s="26" t="str">
        <f t="shared" si="6"/>
        <v>2001-Q4</v>
      </c>
      <c r="AD18" s="31">
        <f t="shared" si="7"/>
        <v>-4.3175130158836783E-3</v>
      </c>
      <c r="AE18" s="27"/>
    </row>
    <row r="19" spans="1:31" hidden="1" x14ac:dyDescent="0.2">
      <c r="A19" s="30">
        <v>37316</v>
      </c>
      <c r="B19" s="24" t="s">
        <v>285</v>
      </c>
      <c r="C19" s="32">
        <f>(((VLOOKUP(B19,'Data qoq'!$A:$AT,MATCH($C$1,'Data qoq'!$A$1:$AT$1,),))/100+1)^4)-1</f>
        <v>3.3542942062238179E-2</v>
      </c>
      <c r="D19" s="32">
        <f>(((VLOOKUP(B19,'Data qoq'!$A:$AT,MATCH($D$1,'Data qoq'!$A$1:$AT$1,),))/100+1)^4)-1</f>
        <v>0</v>
      </c>
      <c r="E19" s="32">
        <f>(((VLOOKUP(B19,'Data qoq'!$A:$AT,MATCH($E$1,'Data qoq'!$A$1:$AT$1,),))/100+1)^4)-1</f>
        <v>3.7819117692592386E-3</v>
      </c>
      <c r="F19" s="32">
        <f>(((VLOOKUP(B19,'Data qoq'!$A:$AT,MATCH($F$1,'Data qoq'!$A$1:$AT$1,),))/100+1)^4)-1</f>
        <v>6.7697657940029021E-3</v>
      </c>
      <c r="G19" s="32">
        <f>(((VLOOKUP(B19,'Data qoq'!$A:$AT,MATCH($G$1,'Data qoq'!$A$1:$AT$1,),))/100+1)^4)-1</f>
        <v>-2.0809845770284441E-2</v>
      </c>
      <c r="H19" s="32">
        <f>(((VLOOKUP(B19,'Data qoq'!$A:$AT,MATCH($H$1,'Data qoq'!$A$1:$AT$1,),))/100+1)^4)-1</f>
        <v>1.4950689778256754E-2</v>
      </c>
      <c r="I19" s="32">
        <f>(((VLOOKUP(B19,'Data qoq'!$A:$AT,MATCH($I$1,'Data qoq'!$A$1:$AT$1,),))/100+1)^4)-1</f>
        <v>2.132595926930736E-2</v>
      </c>
      <c r="J19" s="32">
        <f>(((VLOOKUP(B19,'Data qoq'!$A:$AT,MATCH($J$1,'Data qoq'!$A$1:$AT$1,),))/100+1)^4)-1</f>
        <v>4.4434066560072871E-3</v>
      </c>
      <c r="K19" s="32">
        <f>(((VLOOKUP(B19,'Data qoq'!$A:$AT,MATCH($K$1,'Data qoq'!$A$1:$AT$1,),))/100+1)^4)-1</f>
        <v>1.7129107644628272E-2</v>
      </c>
      <c r="L19" s="32">
        <f>(((VLOOKUP(B19,'Data qoq'!$A:$AT,MATCH($L$1,'Data qoq'!$A$1:$AT$1,),))/100+1)^4)-1</f>
        <v>-6.1383045287309868E-3</v>
      </c>
      <c r="M19" s="32">
        <f>(((VLOOKUP(B19,'Data qoq'!$A:$AT,MATCH($M$1,'Data qoq'!$A$1:$AT$1,),))/100+1)^4)-1</f>
        <v>-2.6570177463068334E-2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3.093721114105219E-2</v>
      </c>
      <c r="R19" s="32">
        <f>(((VLOOKUP(B19,'Data qoq'!$A:$AT,MATCH($R$1,'Data qoq'!$A$1:$AT$1,),))/100+1)^4)-1</f>
        <v>-3.0760755591247024E-3</v>
      </c>
      <c r="S19" s="32">
        <f>(((VLOOKUP(B19,'Data qoq'!$A:$AT,MATCH($S$1,'Data qoq'!$A$1:$AT$1,),))/100+1)^4)-1</f>
        <v>0.10573021062983901</v>
      </c>
      <c r="T19" s="32">
        <f>(((VLOOKUP(B19,'Data qoq'!$A:$AT,MATCH($T$1,'Data qoq'!$A$1:$AT$1,),))/100+1)^4)-1</f>
        <v>9.5589228399713067E-2</v>
      </c>
      <c r="U19" s="32">
        <f>(((VLOOKUP(B19,'Data qoq'!$A:$AT,MATCH($U$1,'Data qoq'!$A$1:$AT$1,),))/100+1)^4)-1</f>
        <v>3.3084633047414158E-2</v>
      </c>
      <c r="V19" s="32">
        <f>(((VLOOKUP(B19,'Data qoq'!$A:$AT,MATCH($V$1,'Data qoq'!$A$1:$AT$1,),))/100+1)^4)-1</f>
        <v>0.11554778870270899</v>
      </c>
      <c r="W19" s="32">
        <f>(((VLOOKUP(B19,'Data qoq'!$A:$AT,MATCH($W$1,'Data qoq'!$A$1:$AT$1,),))/100+1)^4)-1</f>
        <v>0.15988304287326405</v>
      </c>
      <c r="X19" s="32">
        <f>(((VLOOKUP(B19,'Data qoq'!$A:$AT,MATCH($X$1,'Data qoq'!$A$1:$AT$1,),))/100+1)^4)-1</f>
        <v>-4.9978438811258963E-3</v>
      </c>
      <c r="Y19" s="32">
        <f>(((VLOOKUP(B19,'Data qoq'!$A:$AT,MATCH($Y$1,'Data qoq'!$A$1:$AT$1,),))/100+1)^4)-1</f>
        <v>8.4867145457270254E-3</v>
      </c>
      <c r="Z19" s="32">
        <f>(((VLOOKUP(B19,'Data qoq'!$A:$AU,MATCH($Z$1,'Data qoq'!$A$1:$AU$1,),))/100+1)^4)-1</f>
        <v>-0.18312545274801861</v>
      </c>
      <c r="AA19" s="32">
        <f>(((VLOOKUP(B19,'Data qoq'!$A:$AU,MATCH($AA$1,'Data qoq'!$A$1:$AU$1,),))/100+1)^4)-1</f>
        <v>3.6075362178437764E-2</v>
      </c>
      <c r="AC19" s="26" t="str">
        <f t="shared" si="6"/>
        <v>2002-Q1</v>
      </c>
      <c r="AD19" s="31">
        <f t="shared" si="7"/>
        <v>-1.7544047500048121E-2</v>
      </c>
      <c r="AE19" s="27"/>
    </row>
    <row r="20" spans="1:31" hidden="1" x14ac:dyDescent="0.2">
      <c r="A20" s="30">
        <v>37408</v>
      </c>
      <c r="B20" s="24" t="s">
        <v>286</v>
      </c>
      <c r="C20" s="32">
        <f>(((VLOOKUP(B20,'Data qoq'!$A:$AT,MATCH($C$1,'Data qoq'!$A$1:$AT$1,),))/100+1)^4)-1</f>
        <v>2.4848338355087707E-2</v>
      </c>
      <c r="D20" s="32">
        <f>(((VLOOKUP(B20,'Data qoq'!$A:$AT,MATCH($D$1,'Data qoq'!$A$1:$AT$1,),))/100+1)^4)-1</f>
        <v>0</v>
      </c>
      <c r="E20" s="32">
        <f>(((VLOOKUP(B20,'Data qoq'!$A:$AT,MATCH($E$1,'Data qoq'!$A$1:$AT$1,),))/100+1)^4)-1</f>
        <v>2.1881898540622391E-2</v>
      </c>
      <c r="F20" s="32">
        <f>(((VLOOKUP(B20,'Data qoq'!$A:$AT,MATCH($F$1,'Data qoq'!$A$1:$AT$1,),))/100+1)^4)-1</f>
        <v>3.2808593230736482E-2</v>
      </c>
      <c r="G20" s="32">
        <f>(((VLOOKUP(B20,'Data qoq'!$A:$AT,MATCH($G$1,'Data qoq'!$A$1:$AT$1,),))/100+1)^4)-1</f>
        <v>1.7923888021986301E-2</v>
      </c>
      <c r="H20" s="32">
        <f>(((VLOOKUP(B20,'Data qoq'!$A:$AT,MATCH($H$1,'Data qoq'!$A$1:$AT$1,),))/100+1)^4)-1</f>
        <v>1.8633794674137727E-2</v>
      </c>
      <c r="I20" s="32">
        <f>(((VLOOKUP(B20,'Data qoq'!$A:$AT,MATCH($I$1,'Data qoq'!$A$1:$AT$1,),))/100+1)^4)-1</f>
        <v>2.621232667143425E-2</v>
      </c>
      <c r="J20" s="32">
        <f>(((VLOOKUP(B20,'Data qoq'!$A:$AT,MATCH($J$1,'Data qoq'!$A$1:$AT$1,),))/100+1)^4)-1</f>
        <v>1.6463735233938959E-2</v>
      </c>
      <c r="K20" s="32">
        <f>(((VLOOKUP(B20,'Data qoq'!$A:$AT,MATCH($K$1,'Data qoq'!$A$1:$AT$1,),))/100+1)^4)-1</f>
        <v>3.2998383709671453E-2</v>
      </c>
      <c r="L20" s="32">
        <f>(((VLOOKUP(B20,'Data qoq'!$A:$AT,MATCH($L$1,'Data qoq'!$A$1:$AT$1,),))/100+1)^4)-1</f>
        <v>6.5054529857033083E-2</v>
      </c>
      <c r="M20" s="32">
        <f>(((VLOOKUP(B20,'Data qoq'!$A:$AT,MATCH($M$1,'Data qoq'!$A$1:$AT$1,),))/100+1)^4)-1</f>
        <v>3.7057647302383145E-2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7.0062232840228278E-2</v>
      </c>
      <c r="R20" s="32">
        <f>(((VLOOKUP(B20,'Data qoq'!$A:$AT,MATCH($R$1,'Data qoq'!$A$1:$AT$1,),))/100+1)^4)-1</f>
        <v>8.1662487532090378E-3</v>
      </c>
      <c r="S20" s="32">
        <f>(((VLOOKUP(B20,'Data qoq'!$A:$AT,MATCH($S$1,'Data qoq'!$A$1:$AT$1,),))/100+1)^4)-1</f>
        <v>7.447962834837929E-2</v>
      </c>
      <c r="T20" s="32">
        <f>(((VLOOKUP(B20,'Data qoq'!$A:$AT,MATCH($T$1,'Data qoq'!$A$1:$AT$1,),))/100+1)^4)-1</f>
        <v>2.2423120816230435E-2</v>
      </c>
      <c r="U20" s="32">
        <f>(((VLOOKUP(B20,'Data qoq'!$A:$AT,MATCH($U$1,'Data qoq'!$A$1:$AT$1,),))/100+1)^4)-1</f>
        <v>9.2583388669027489E-2</v>
      </c>
      <c r="V20" s="32">
        <f>(((VLOOKUP(B20,'Data qoq'!$A:$AT,MATCH($V$1,'Data qoq'!$A$1:$AT$1,),))/100+1)^4)-1</f>
        <v>3.0662974006268717E-2</v>
      </c>
      <c r="W20" s="32">
        <f>(((VLOOKUP(B20,'Data qoq'!$A:$AT,MATCH($W$1,'Data qoq'!$A$1:$AT$1,),))/100+1)^4)-1</f>
        <v>0.18416063870924626</v>
      </c>
      <c r="X20" s="32">
        <f>(((VLOOKUP(B20,'Data qoq'!$A:$AT,MATCH($X$1,'Data qoq'!$A$1:$AT$1,),))/100+1)^4)-1</f>
        <v>2.0679113218742051E-2</v>
      </c>
      <c r="Y20" s="32">
        <f>(((VLOOKUP(B20,'Data qoq'!$A:$AT,MATCH($Y$1,'Data qoq'!$A$1:$AT$1,),))/100+1)^4)-1</f>
        <v>3.6671164490562846E-2</v>
      </c>
      <c r="Z20" s="32">
        <f>(((VLOOKUP(B20,'Data qoq'!$A:$AU,MATCH($Z$1,'Data qoq'!$A$1:$AU$1,),))/100+1)^4)-1</f>
        <v>1.7067609665583738E-2</v>
      </c>
      <c r="AA20" s="32">
        <f>(((VLOOKUP(B20,'Data qoq'!$A:$AU,MATCH($AA$1,'Data qoq'!$A$1:$AU$1,),))/100+1)^4)-1</f>
        <v>5.3761372450616962E-2</v>
      </c>
      <c r="AC20" s="26" t="str">
        <f t="shared" si="6"/>
        <v>2002-Q2</v>
      </c>
      <c r="AD20" s="31">
        <f t="shared" si="7"/>
        <v>-4.3304281308118586E-3</v>
      </c>
      <c r="AE20" s="27"/>
    </row>
    <row r="21" spans="1:31" hidden="1" x14ac:dyDescent="0.2">
      <c r="A21" s="30">
        <v>37500</v>
      </c>
      <c r="B21" s="24" t="s">
        <v>287</v>
      </c>
      <c r="C21" s="32">
        <f>(((VLOOKUP(B21,'Data qoq'!$A:$AT,MATCH($C$1,'Data qoq'!$A$1:$AT$1,),))/100+1)^4)-1</f>
        <v>1.6239112509180753E-2</v>
      </c>
      <c r="D21" s="32">
        <f>(((VLOOKUP(B21,'Data qoq'!$A:$AT,MATCH($D$1,'Data qoq'!$A$1:$AT$1,),))/100+1)^4)-1</f>
        <v>0</v>
      </c>
      <c r="E21" s="32">
        <f>(((VLOOKUP(B21,'Data qoq'!$A:$AT,MATCH($E$1,'Data qoq'!$A$1:$AT$1,),))/100+1)^4)-1</f>
        <v>1.6708157205493901E-2</v>
      </c>
      <c r="F21" s="32">
        <f>(((VLOOKUP(B21,'Data qoq'!$A:$AT,MATCH($F$1,'Data qoq'!$A$1:$AT$1,),))/100+1)^4)-1</f>
        <v>1.2623805288847434E-2</v>
      </c>
      <c r="G21" s="32">
        <f>(((VLOOKUP(B21,'Data qoq'!$A:$AT,MATCH($G$1,'Data qoq'!$A$1:$AT$1,),))/100+1)^4)-1</f>
        <v>1.9736317306799922E-2</v>
      </c>
      <c r="H21" s="32">
        <f>(((VLOOKUP(B21,'Data qoq'!$A:$AT,MATCH($H$1,'Data qoq'!$A$1:$AT$1,),))/100+1)^4)-1</f>
        <v>1.6874970843198556E-2</v>
      </c>
      <c r="I21" s="32">
        <f>(((VLOOKUP(B21,'Data qoq'!$A:$AT,MATCH($I$1,'Data qoq'!$A$1:$AT$1,),))/100+1)^4)-1</f>
        <v>2.8353437578193752E-2</v>
      </c>
      <c r="J21" s="32">
        <f>(((VLOOKUP(B21,'Data qoq'!$A:$AT,MATCH($J$1,'Data qoq'!$A$1:$AT$1,),))/100+1)^4)-1</f>
        <v>9.1785521328491271E-3</v>
      </c>
      <c r="K21" s="32">
        <f>(((VLOOKUP(B21,'Data qoq'!$A:$AT,MATCH($K$1,'Data qoq'!$A$1:$AT$1,),))/100+1)^4)-1</f>
        <v>2.4887452795125053E-2</v>
      </c>
      <c r="L21" s="32">
        <f>(((VLOOKUP(B21,'Data qoq'!$A:$AT,MATCH($L$1,'Data qoq'!$A$1:$AT$1,),))/100+1)^4)-1</f>
        <v>2.4042398675595544E-2</v>
      </c>
      <c r="M21" s="32">
        <f>(((VLOOKUP(B21,'Data qoq'!$A:$AT,MATCH($M$1,'Data qoq'!$A$1:$AT$1,),))/100+1)^4)-1</f>
        <v>3.1573918996439243E-2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1.2093705223441109E-2</v>
      </c>
      <c r="R21" s="32">
        <f>(((VLOOKUP(B21,'Data qoq'!$A:$AT,MATCH($R$1,'Data qoq'!$A$1:$AT$1,),))/100+1)^4)-1</f>
        <v>9.2400542119090989E-3</v>
      </c>
      <c r="S21" s="32">
        <f>(((VLOOKUP(B21,'Data qoq'!$A:$AT,MATCH($S$1,'Data qoq'!$A$1:$AT$1,),))/100+1)^4)-1</f>
        <v>8.335838039532506E-2</v>
      </c>
      <c r="T21" s="32">
        <f>(((VLOOKUP(B21,'Data qoq'!$A:$AT,MATCH($T$1,'Data qoq'!$A$1:$AT$1,),))/100+1)^4)-1</f>
        <v>5.0460037474081787E-2</v>
      </c>
      <c r="U21" s="32">
        <f>(((VLOOKUP(B21,'Data qoq'!$A:$AT,MATCH($U$1,'Data qoq'!$A$1:$AT$1,),))/100+1)^4)-1</f>
        <v>2.3282354422438312E-2</v>
      </c>
      <c r="V21" s="32">
        <f>(((VLOOKUP(B21,'Data qoq'!$A:$AT,MATCH($V$1,'Data qoq'!$A$1:$AT$1,),))/100+1)^4)-1</f>
        <v>7.8103066511729713E-2</v>
      </c>
      <c r="W21" s="32">
        <f>(((VLOOKUP(B21,'Data qoq'!$A:$AT,MATCH($W$1,'Data qoq'!$A$1:$AT$1,),))/100+1)^4)-1</f>
        <v>5.5789303142248503E-2</v>
      </c>
      <c r="X21" s="32">
        <f>(((VLOOKUP(B21,'Data qoq'!$A:$AT,MATCH($X$1,'Data qoq'!$A$1:$AT$1,),))/100+1)^4)-1</f>
        <v>2.1039192703273146E-2</v>
      </c>
      <c r="Y21" s="32">
        <f>(((VLOOKUP(B21,'Data qoq'!$A:$AT,MATCH($Y$1,'Data qoq'!$A$1:$AT$1,),))/100+1)^4)-1</f>
        <v>5.022490376066524E-2</v>
      </c>
      <c r="Z21" s="32">
        <f>(((VLOOKUP(B21,'Data qoq'!$A:$AU,MATCH($Z$1,'Data qoq'!$A$1:$AU$1,),))/100+1)^4)-1</f>
        <v>2.983223923532341E-3</v>
      </c>
      <c r="AA21" s="32">
        <f>(((VLOOKUP(B21,'Data qoq'!$A:$AU,MATCH($AA$1,'Data qoq'!$A$1:$AU$1,),))/100+1)^4)-1</f>
        <v>4.7716475124942592E-2</v>
      </c>
      <c r="AC21" s="26" t="str">
        <f t="shared" si="6"/>
        <v>2002-Q3</v>
      </c>
      <c r="AD21" s="31">
        <f t="shared" si="7"/>
        <v>-1.1645280372699851E-2</v>
      </c>
      <c r="AE21" s="27"/>
    </row>
    <row r="22" spans="1:31" hidden="1" x14ac:dyDescent="0.2">
      <c r="A22" s="30">
        <v>37591</v>
      </c>
      <c r="B22" s="24" t="s">
        <v>288</v>
      </c>
      <c r="C22" s="32">
        <f>(((VLOOKUP(B22,'Data qoq'!$A:$AT,MATCH($C$1,'Data qoq'!$A$1:$AT$1,),))/100+1)^4)-1</f>
        <v>5.2364821622457036E-3</v>
      </c>
      <c r="D22" s="32">
        <f>(((VLOOKUP(B22,'Data qoq'!$A:$AT,MATCH($D$1,'Data qoq'!$A$1:$AT$1,),))/100+1)^4)-1</f>
        <v>0</v>
      </c>
      <c r="E22" s="32">
        <f>(((VLOOKUP(B22,'Data qoq'!$A:$AT,MATCH($E$1,'Data qoq'!$A$1:$AT$1,),))/100+1)^4)-1</f>
        <v>6.3187977516439009E-3</v>
      </c>
      <c r="F22" s="32">
        <f>(((VLOOKUP(B22,'Data qoq'!$A:$AT,MATCH($F$1,'Data qoq'!$A$1:$AT$1,),))/100+1)^4)-1</f>
        <v>1.1167949181253523E-2</v>
      </c>
      <c r="G22" s="32">
        <f>(((VLOOKUP(B22,'Data qoq'!$A:$AT,MATCH($G$1,'Data qoq'!$A$1:$AT$1,),))/100+1)^4)-1</f>
        <v>-5.5584903422046805E-3</v>
      </c>
      <c r="H22" s="32">
        <f>(((VLOOKUP(B22,'Data qoq'!$A:$AT,MATCH($H$1,'Data qoq'!$A$1:$AT$1,),))/100+1)^4)-1</f>
        <v>-2.0233803898059843E-3</v>
      </c>
      <c r="I22" s="32">
        <f>(((VLOOKUP(B22,'Data qoq'!$A:$AT,MATCH($I$1,'Data qoq'!$A$1:$AT$1,),))/100+1)^4)-1</f>
        <v>3.5669196664721792E-2</v>
      </c>
      <c r="J22" s="32">
        <f>(((VLOOKUP(B22,'Data qoq'!$A:$AT,MATCH($J$1,'Data qoq'!$A$1:$AT$1,),))/100+1)^4)-1</f>
        <v>1.4941425267111619E-2</v>
      </c>
      <c r="K22" s="32">
        <f>(((VLOOKUP(B22,'Data qoq'!$A:$AT,MATCH($K$1,'Data qoq'!$A$1:$AT$1,),))/100+1)^4)-1</f>
        <v>3.0778473931019512E-2</v>
      </c>
      <c r="L22" s="32">
        <f>(((VLOOKUP(B22,'Data qoq'!$A:$AT,MATCH($L$1,'Data qoq'!$A$1:$AT$1,),))/100+1)^4)-1</f>
        <v>5.6417254101959191E-3</v>
      </c>
      <c r="M22" s="32">
        <f>(((VLOOKUP(B22,'Data qoq'!$A:$AT,MATCH($M$1,'Data qoq'!$A$1:$AT$1,),))/100+1)^4)-1</f>
        <v>9.4247108115419476E-3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3.3210901295025685E-2</v>
      </c>
      <c r="R22" s="32">
        <f>(((VLOOKUP(B22,'Data qoq'!$A:$AT,MATCH($R$1,'Data qoq'!$A$1:$AT$1,),))/100+1)^4)-1</f>
        <v>-1.8620192572004535E-2</v>
      </c>
      <c r="S22" s="32">
        <f>(((VLOOKUP(B22,'Data qoq'!$A:$AT,MATCH($S$1,'Data qoq'!$A$1:$AT$1,),))/100+1)^4)-1</f>
        <v>4.4621971323196563E-2</v>
      </c>
      <c r="T22" s="32">
        <f>(((VLOOKUP(B22,'Data qoq'!$A:$AT,MATCH($T$1,'Data qoq'!$A$1:$AT$1,),))/100+1)^4)-1</f>
        <v>4.0982796756510176E-2</v>
      </c>
      <c r="U22" s="32">
        <f>(((VLOOKUP(B22,'Data qoq'!$A:$AT,MATCH($U$1,'Data qoq'!$A$1:$AT$1,),))/100+1)^4)-1</f>
        <v>3.1199339111408264E-2</v>
      </c>
      <c r="V22" s="32">
        <f>(((VLOOKUP(B22,'Data qoq'!$A:$AT,MATCH($V$1,'Data qoq'!$A$1:$AT$1,),))/100+1)^4)-1</f>
        <v>4.1864810441276212E-2</v>
      </c>
      <c r="W22" s="32">
        <f>(((VLOOKUP(B22,'Data qoq'!$A:$AT,MATCH($W$1,'Data qoq'!$A$1:$AT$1,),))/100+1)^4)-1</f>
        <v>8.8115911215198572E-2</v>
      </c>
      <c r="X22" s="32">
        <f>(((VLOOKUP(B22,'Data qoq'!$A:$AT,MATCH($X$1,'Data qoq'!$A$1:$AT$1,),))/100+1)^4)-1</f>
        <v>3.04780057498375E-2</v>
      </c>
      <c r="Y22" s="32">
        <f>(((VLOOKUP(B22,'Data qoq'!$A:$AT,MATCH($Y$1,'Data qoq'!$A$1:$AT$1,),))/100+1)^4)-1</f>
        <v>3.7779561923556582E-3</v>
      </c>
      <c r="Z22" s="32">
        <f>(((VLOOKUP(B22,'Data qoq'!$A:$AU,MATCH($Z$1,'Data qoq'!$A$1:$AU$1,),))/100+1)^4)-1</f>
        <v>4.1389607763960612E-2</v>
      </c>
      <c r="AA22" s="32">
        <f>(((VLOOKUP(B22,'Data qoq'!$A:$AU,MATCH($AA$1,'Data qoq'!$A$1:$AU$1,),))/100+1)^4)-1</f>
        <v>5.434055829606832E-2</v>
      </c>
      <c r="AC22" s="26" t="str">
        <f t="shared" si="6"/>
        <v>2002-Q4</v>
      </c>
      <c r="AD22" s="31">
        <f t="shared" si="7"/>
        <v>-2.9350398913077891E-2</v>
      </c>
      <c r="AE22" s="27"/>
    </row>
    <row r="23" spans="1:31" hidden="1" x14ac:dyDescent="0.2">
      <c r="A23" s="30">
        <v>37681</v>
      </c>
      <c r="B23" s="24" t="s">
        <v>289</v>
      </c>
      <c r="C23" s="32">
        <f>(((VLOOKUP(B23,'Data qoq'!$A:$AT,MATCH($C$1,'Data qoq'!$A$1:$AT$1,),))/100+1)^4)-1</f>
        <v>2.0829681770353714E-2</v>
      </c>
      <c r="D23" s="32">
        <f>(((VLOOKUP(B23,'Data qoq'!$A:$AT,MATCH($D$1,'Data qoq'!$A$1:$AT$1,),))/100+1)^4)-1</f>
        <v>0</v>
      </c>
      <c r="E23" s="32">
        <f>(((VLOOKUP(B23,'Data qoq'!$A:$AT,MATCH($E$1,'Data qoq'!$A$1:$AT$1,),))/100+1)^4)-1</f>
        <v>-1.2209655087305205E-2</v>
      </c>
      <c r="F23" s="32">
        <f>(((VLOOKUP(B23,'Data qoq'!$A:$AT,MATCH($F$1,'Data qoq'!$A$1:$AT$1,),))/100+1)^4)-1</f>
        <v>2.5056842646935529E-3</v>
      </c>
      <c r="G23" s="32">
        <f>(((VLOOKUP(B23,'Data qoq'!$A:$AT,MATCH($G$1,'Data qoq'!$A$1:$AT$1,),))/100+1)^4)-1</f>
        <v>-5.8296311057331796E-2</v>
      </c>
      <c r="H23" s="32">
        <f>(((VLOOKUP(B23,'Data qoq'!$A:$AT,MATCH($H$1,'Data qoq'!$A$1:$AT$1,),))/100+1)^4)-1</f>
        <v>7.8981859266389343E-3</v>
      </c>
      <c r="I23" s="32">
        <f>(((VLOOKUP(B23,'Data qoq'!$A:$AT,MATCH($I$1,'Data qoq'!$A$1:$AT$1,),))/100+1)^4)-1</f>
        <v>2.2631834496352976E-2</v>
      </c>
      <c r="J23" s="32">
        <f>(((VLOOKUP(B23,'Data qoq'!$A:$AT,MATCH($J$1,'Data qoq'!$A$1:$AT$1,),))/100+1)^4)-1</f>
        <v>-1.3760480190181612E-2</v>
      </c>
      <c r="K23" s="32">
        <f>(((VLOOKUP(B23,'Data qoq'!$A:$AT,MATCH($K$1,'Data qoq'!$A$1:$AT$1,),))/100+1)^4)-1</f>
        <v>3.7751816998421672E-2</v>
      </c>
      <c r="L23" s="32">
        <f>(((VLOOKUP(B23,'Data qoq'!$A:$AT,MATCH($L$1,'Data qoq'!$A$1:$AT$1,),))/100+1)^4)-1</f>
        <v>4.8247326601558616E-2</v>
      </c>
      <c r="M23" s="32">
        <f>(((VLOOKUP(B23,'Data qoq'!$A:$AT,MATCH($M$1,'Data qoq'!$A$1:$AT$1,),))/100+1)^4)-1</f>
        <v>9.6837675037810822E-3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8.2101713304973956E-3</v>
      </c>
      <c r="R23" s="32">
        <f>(((VLOOKUP(B23,'Data qoq'!$A:$AT,MATCH($R$1,'Data qoq'!$A$1:$AT$1,),))/100+1)^4)-1</f>
        <v>-2.9295572894376676E-2</v>
      </c>
      <c r="S23" s="32">
        <f>(((VLOOKUP(B23,'Data qoq'!$A:$AT,MATCH($S$1,'Data qoq'!$A$1:$AT$1,),))/100+1)^4)-1</f>
        <v>-2.6106842097201155E-2</v>
      </c>
      <c r="T23" s="32">
        <f>(((VLOOKUP(B23,'Data qoq'!$A:$AT,MATCH($T$1,'Data qoq'!$A$1:$AT$1,),))/100+1)^4)-1</f>
        <v>-1.6726167191993047E-2</v>
      </c>
      <c r="U23" s="32">
        <f>(((VLOOKUP(B23,'Data qoq'!$A:$AT,MATCH($U$1,'Data qoq'!$A$1:$AT$1,),))/100+1)^4)-1</f>
        <v>8.5915104250973595E-2</v>
      </c>
      <c r="V23" s="32">
        <f>(((VLOOKUP(B23,'Data qoq'!$A:$AT,MATCH($V$1,'Data qoq'!$A$1:$AT$1,),))/100+1)^4)-1</f>
        <v>-2.240236611719415E-2</v>
      </c>
      <c r="W23" s="32">
        <f>(((VLOOKUP(B23,'Data qoq'!$A:$AT,MATCH($W$1,'Data qoq'!$A$1:$AT$1,),))/100+1)^4)-1</f>
        <v>3.3482237437791884E-3</v>
      </c>
      <c r="X23" s="32">
        <f>(((VLOOKUP(B23,'Data qoq'!$A:$AT,MATCH($X$1,'Data qoq'!$A$1:$AT$1,),))/100+1)^4)-1</f>
        <v>4.3812116814339497E-2</v>
      </c>
      <c r="Y23" s="32">
        <f>(((VLOOKUP(B23,'Data qoq'!$A:$AT,MATCH($Y$1,'Data qoq'!$A$1:$AT$1,),))/100+1)^4)-1</f>
        <v>1.4053832411817568E-2</v>
      </c>
      <c r="Z23" s="32">
        <f>(((VLOOKUP(B23,'Data qoq'!$A:$AU,MATCH($Z$1,'Data qoq'!$A$1:$AU$1,),))/100+1)^4)-1</f>
        <v>0.15619623685230266</v>
      </c>
      <c r="AA23" s="32">
        <f>(((VLOOKUP(B23,'Data qoq'!$A:$AU,MATCH($AA$1,'Data qoq'!$A$1:$AU$1,),))/100+1)^4)-1</f>
        <v>2.2271743339437933E-2</v>
      </c>
      <c r="AC23" s="26" t="str">
        <f t="shared" si="6"/>
        <v>2003-Q1</v>
      </c>
      <c r="AD23" s="31">
        <f t="shared" si="7"/>
        <v>-3.4841489583658181E-2</v>
      </c>
      <c r="AE23" s="27"/>
    </row>
    <row r="24" spans="1:31" hidden="1" x14ac:dyDescent="0.2">
      <c r="A24" s="30">
        <v>37773</v>
      </c>
      <c r="B24" s="24" t="s">
        <v>290</v>
      </c>
      <c r="C24" s="32">
        <f>(((VLOOKUP(B24,'Data qoq'!$A:$AT,MATCH($C$1,'Data qoq'!$A$1:$AT$1,),))/100+1)^4)-1</f>
        <v>3.6216844851891805E-2</v>
      </c>
      <c r="D24" s="32">
        <f>(((VLOOKUP(B24,'Data qoq'!$A:$AT,MATCH($D$1,'Data qoq'!$A$1:$AT$1,),))/100+1)^4)-1</f>
        <v>0</v>
      </c>
      <c r="E24" s="32">
        <f>(((VLOOKUP(B24,'Data qoq'!$A:$AT,MATCH($E$1,'Data qoq'!$A$1:$AT$1,),))/100+1)^4)-1</f>
        <v>3.4637299657287457E-3</v>
      </c>
      <c r="F24" s="32">
        <f>(((VLOOKUP(B24,'Data qoq'!$A:$AT,MATCH($F$1,'Data qoq'!$A$1:$AT$1,),))/100+1)^4)-1</f>
        <v>2.7787165650039913E-2</v>
      </c>
      <c r="G24" s="32">
        <f>(((VLOOKUP(B24,'Data qoq'!$A:$AT,MATCH($G$1,'Data qoq'!$A$1:$AT$1,),))/100+1)^4)-1</f>
        <v>4.726926388360253E-3</v>
      </c>
      <c r="H24" s="32">
        <f>(((VLOOKUP(B24,'Data qoq'!$A:$AT,MATCH($H$1,'Data qoq'!$A$1:$AT$1,),))/100+1)^4)-1</f>
        <v>-8.5089482171031294E-3</v>
      </c>
      <c r="I24" s="32">
        <f>(((VLOOKUP(B24,'Data qoq'!$A:$AT,MATCH($I$1,'Data qoq'!$A$1:$AT$1,),))/100+1)^4)-1</f>
        <v>3.0883670892790871E-2</v>
      </c>
      <c r="J24" s="32">
        <f>(((VLOOKUP(B24,'Data qoq'!$A:$AT,MATCH($J$1,'Data qoq'!$A$1:$AT$1,),))/100+1)^4)-1</f>
        <v>-6.3766048044152646E-3</v>
      </c>
      <c r="K24" s="32">
        <f>(((VLOOKUP(B24,'Data qoq'!$A:$AT,MATCH($K$1,'Data qoq'!$A$1:$AT$1,),))/100+1)^4)-1</f>
        <v>2.1005981148968456E-2</v>
      </c>
      <c r="L24" s="32">
        <f>(((VLOOKUP(B24,'Data qoq'!$A:$AT,MATCH($L$1,'Data qoq'!$A$1:$AT$1,),))/100+1)^4)-1</f>
        <v>-2.3922252017216539E-2</v>
      </c>
      <c r="M24" s="32">
        <f>(((VLOOKUP(B24,'Data qoq'!$A:$AT,MATCH($M$1,'Data qoq'!$A$1:$AT$1,),))/100+1)^4)-1</f>
        <v>9.1891259838801087E-3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1.6577110101039461E-2</v>
      </c>
      <c r="R24" s="32">
        <f>(((VLOOKUP(B24,'Data qoq'!$A:$AT,MATCH($R$1,'Data qoq'!$A$1:$AT$1,),))/100+1)^4)-1</f>
        <v>2.8805033895349386E-3</v>
      </c>
      <c r="S24" s="32">
        <f>(((VLOOKUP(B24,'Data qoq'!$A:$AT,MATCH($S$1,'Data qoq'!$A$1:$AT$1,),))/100+1)^4)-1</f>
        <v>-6.1516324120223231E-3</v>
      </c>
      <c r="T24" s="32">
        <f>(((VLOOKUP(B24,'Data qoq'!$A:$AT,MATCH($T$1,'Data qoq'!$A$1:$AT$1,),))/100+1)^4)-1</f>
        <v>-3.4327777604470811E-2</v>
      </c>
      <c r="U24" s="32">
        <f>(((VLOOKUP(B24,'Data qoq'!$A:$AT,MATCH($U$1,'Data qoq'!$A$1:$AT$1,),))/100+1)^4)-1</f>
        <v>7.2751502943865898E-2</v>
      </c>
      <c r="V24" s="32">
        <f>(((VLOOKUP(B24,'Data qoq'!$A:$AT,MATCH($V$1,'Data qoq'!$A$1:$AT$1,),))/100+1)^4)-1</f>
        <v>2.445987705167707E-2</v>
      </c>
      <c r="W24" s="32">
        <f>(((VLOOKUP(B24,'Data qoq'!$A:$AT,MATCH($W$1,'Data qoq'!$A$1:$AT$1,),))/100+1)^4)-1</f>
        <v>1.3521101086878762E-2</v>
      </c>
      <c r="X24" s="32">
        <f>(((VLOOKUP(B24,'Data qoq'!$A:$AT,MATCH($X$1,'Data qoq'!$A$1:$AT$1,),))/100+1)^4)-1</f>
        <v>4.2321930202573244E-2</v>
      </c>
      <c r="Y24" s="32">
        <f>(((VLOOKUP(B24,'Data qoq'!$A:$AT,MATCH($Y$1,'Data qoq'!$A$1:$AT$1,),))/100+1)^4)-1</f>
        <v>8.65444008186671E-2</v>
      </c>
      <c r="Z24" s="32">
        <f>(((VLOOKUP(B24,'Data qoq'!$A:$AU,MATCH($Z$1,'Data qoq'!$A$1:$AU$1,),))/100+1)^4)-1</f>
        <v>0.13270851331388633</v>
      </c>
      <c r="AA24" s="32">
        <f>(((VLOOKUP(B24,'Data qoq'!$A:$AU,MATCH($AA$1,'Data qoq'!$A$1:$AU$1,),))/100+1)^4)-1</f>
        <v>1.7613948587969386E-2</v>
      </c>
      <c r="AC24" s="26" t="str">
        <f t="shared" si="6"/>
        <v>2003-Q2</v>
      </c>
      <c r="AD24" s="31">
        <f t="shared" si="7"/>
        <v>-2.7419940927062125E-2</v>
      </c>
      <c r="AE24" s="27"/>
    </row>
    <row r="25" spans="1:31" hidden="1" x14ac:dyDescent="0.2">
      <c r="A25" s="30">
        <v>37865</v>
      </c>
      <c r="B25" s="24" t="s">
        <v>291</v>
      </c>
      <c r="C25" s="32">
        <f>(((VLOOKUP(B25,'Data qoq'!$A:$AT,MATCH($C$1,'Data qoq'!$A$1:$AT$1,),))/100+1)^4)-1</f>
        <v>6.8361580081003348E-2</v>
      </c>
      <c r="D25" s="32">
        <f>(((VLOOKUP(B25,'Data qoq'!$A:$AT,MATCH($D$1,'Data qoq'!$A$1:$AT$1,),))/100+1)^4)-1</f>
        <v>0</v>
      </c>
      <c r="E25" s="32">
        <f>(((VLOOKUP(B25,'Data qoq'!$A:$AT,MATCH($E$1,'Data qoq'!$A$1:$AT$1,),))/100+1)^4)-1</f>
        <v>2.1792095317511029E-2</v>
      </c>
      <c r="F25" s="32">
        <f>(((VLOOKUP(B25,'Data qoq'!$A:$AT,MATCH($F$1,'Data qoq'!$A$1:$AT$1,),))/100+1)^4)-1</f>
        <v>1.1842878753151487E-2</v>
      </c>
      <c r="G25" s="32">
        <f>(((VLOOKUP(B25,'Data qoq'!$A:$AT,MATCH($G$1,'Data qoq'!$A$1:$AT$1,),))/100+1)^4)-1</f>
        <v>3.0988777356257824E-2</v>
      </c>
      <c r="H25" s="32">
        <f>(((VLOOKUP(B25,'Data qoq'!$A:$AT,MATCH($H$1,'Data qoq'!$A$1:$AT$1,),))/100+1)^4)-1</f>
        <v>2.7182535247887607E-2</v>
      </c>
      <c r="I25" s="32">
        <f>(((VLOOKUP(B25,'Data qoq'!$A:$AT,MATCH($I$1,'Data qoq'!$A$1:$AT$1,),))/100+1)^4)-1</f>
        <v>3.9861808519414232E-2</v>
      </c>
      <c r="J25" s="32">
        <f>(((VLOOKUP(B25,'Data qoq'!$A:$AT,MATCH($J$1,'Data qoq'!$A$1:$AT$1,),))/100+1)^4)-1</f>
        <v>-2.8824171676830046E-3</v>
      </c>
      <c r="K25" s="32">
        <f>(((VLOOKUP(B25,'Data qoq'!$A:$AT,MATCH($K$1,'Data qoq'!$A$1:$AT$1,),))/100+1)^4)-1</f>
        <v>2.6639242762196869E-2</v>
      </c>
      <c r="L25" s="32">
        <f>(((VLOOKUP(B25,'Data qoq'!$A:$AT,MATCH($L$1,'Data qoq'!$A$1:$AT$1,),))/100+1)^4)-1</f>
        <v>6.0386750083416096E-2</v>
      </c>
      <c r="M25" s="32">
        <f>(((VLOOKUP(B25,'Data qoq'!$A:$AT,MATCH($M$1,'Data qoq'!$A$1:$AT$1,),))/100+1)^4)-1</f>
        <v>-1.6353014931833609E-3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7.1058400715763304E-2</v>
      </c>
      <c r="R25" s="32">
        <f>(((VLOOKUP(B25,'Data qoq'!$A:$AT,MATCH($R$1,'Data qoq'!$A$1:$AT$1,),))/100+1)^4)-1</f>
        <v>4.0308938076946133E-2</v>
      </c>
      <c r="S25" s="32">
        <f>(((VLOOKUP(B25,'Data qoq'!$A:$AT,MATCH($S$1,'Data qoq'!$A$1:$AT$1,),))/100+1)^4)-1</f>
        <v>7.9576922453624466E-2</v>
      </c>
      <c r="T25" s="32">
        <f>(((VLOOKUP(B25,'Data qoq'!$A:$AT,MATCH($T$1,'Data qoq'!$A$1:$AT$1,),))/100+1)^4)-1</f>
        <v>3.8521772371286067E-2</v>
      </c>
      <c r="U25" s="32">
        <f>(((VLOOKUP(B25,'Data qoq'!$A:$AT,MATCH($U$1,'Data qoq'!$A$1:$AT$1,),))/100+1)^4)-1</f>
        <v>2.5329849950953109E-2</v>
      </c>
      <c r="V25" s="32">
        <f>(((VLOOKUP(B25,'Data qoq'!$A:$AT,MATCH($V$1,'Data qoq'!$A$1:$AT$1,),))/100+1)^4)-1</f>
        <v>3.2937858503558015E-2</v>
      </c>
      <c r="W25" s="32">
        <f>(((VLOOKUP(B25,'Data qoq'!$A:$AT,MATCH($W$1,'Data qoq'!$A$1:$AT$1,),))/100+1)^4)-1</f>
        <v>0.11901951901683305</v>
      </c>
      <c r="X25" s="32">
        <f>(((VLOOKUP(B25,'Data qoq'!$A:$AT,MATCH($X$1,'Data qoq'!$A$1:$AT$1,),))/100+1)^4)-1</f>
        <v>3.7616659781938067E-2</v>
      </c>
      <c r="Y25" s="32">
        <f>(((VLOOKUP(B25,'Data qoq'!$A:$AT,MATCH($Y$1,'Data qoq'!$A$1:$AT$1,),))/100+1)^4)-1</f>
        <v>4.5294565886800253E-2</v>
      </c>
      <c r="Z25" s="32">
        <f>(((VLOOKUP(B25,'Data qoq'!$A:$AU,MATCH($Z$1,'Data qoq'!$A$1:$AU$1,),))/100+1)^4)-1</f>
        <v>0.10138706964490507</v>
      </c>
      <c r="AA25" s="32">
        <f>(((VLOOKUP(B25,'Data qoq'!$A:$AU,MATCH($AA$1,'Data qoq'!$A$1:$AU$1,),))/100+1)^4)-1</f>
        <v>8.6958936341514859E-2</v>
      </c>
      <c r="AC25" s="26" t="str">
        <f t="shared" si="6"/>
        <v>2003-Q3</v>
      </c>
      <c r="AD25" s="31">
        <f t="shared" si="7"/>
        <v>-1.8069713201903204E-2</v>
      </c>
      <c r="AE25" s="27"/>
    </row>
    <row r="26" spans="1:31" hidden="1" x14ac:dyDescent="0.2">
      <c r="A26" s="30">
        <v>37956</v>
      </c>
      <c r="B26" s="24" t="s">
        <v>292</v>
      </c>
      <c r="C26" s="32">
        <f>(((VLOOKUP(B26,'Data qoq'!$A:$AT,MATCH($C$1,'Data qoq'!$A$1:$AT$1,),))/100+1)^4)-1</f>
        <v>4.6967087714720357E-2</v>
      </c>
      <c r="D26" s="32">
        <f>(((VLOOKUP(B26,'Data qoq'!$A:$AT,MATCH($D$1,'Data qoq'!$A$1:$AT$1,),))/100+1)^4)-1</f>
        <v>0</v>
      </c>
      <c r="E26" s="32">
        <f>(((VLOOKUP(B26,'Data qoq'!$A:$AT,MATCH($E$1,'Data qoq'!$A$1:$AT$1,),))/100+1)^4)-1</f>
        <v>2.9733454127911507E-2</v>
      </c>
      <c r="F26" s="32">
        <f>(((VLOOKUP(B26,'Data qoq'!$A:$AT,MATCH($F$1,'Data qoq'!$A$1:$AT$1,),))/100+1)^4)-1</f>
        <v>4.4233970417341562E-2</v>
      </c>
      <c r="G26" s="32">
        <f>(((VLOOKUP(B26,'Data qoq'!$A:$AT,MATCH($G$1,'Data qoq'!$A$1:$AT$1,),))/100+1)^4)-1</f>
        <v>1.080117832323424E-2</v>
      </c>
      <c r="H26" s="32">
        <f>(((VLOOKUP(B26,'Data qoq'!$A:$AT,MATCH($H$1,'Data qoq'!$A$1:$AT$1,),))/100+1)^4)-1</f>
        <v>2.9277708618165477E-2</v>
      </c>
      <c r="I26" s="32">
        <f>(((VLOOKUP(B26,'Data qoq'!$A:$AT,MATCH($I$1,'Data qoq'!$A$1:$AT$1,),))/100+1)^4)-1</f>
        <v>3.2018504349848431E-2</v>
      </c>
      <c r="J26" s="32">
        <f>(((VLOOKUP(B26,'Data qoq'!$A:$AT,MATCH($J$1,'Data qoq'!$A$1:$AT$1,),))/100+1)^4)-1</f>
        <v>3.7945604067024963E-2</v>
      </c>
      <c r="K26" s="32">
        <f>(((VLOOKUP(B26,'Data qoq'!$A:$AT,MATCH($K$1,'Data qoq'!$A$1:$AT$1,),))/100+1)^4)-1</f>
        <v>3.5030840238748917E-2</v>
      </c>
      <c r="L26" s="32">
        <f>(((VLOOKUP(B26,'Data qoq'!$A:$AT,MATCH($L$1,'Data qoq'!$A$1:$AT$1,),))/100+1)^4)-1</f>
        <v>2.4520244250162193E-2</v>
      </c>
      <c r="M26" s="32">
        <f>(((VLOOKUP(B26,'Data qoq'!$A:$AT,MATCH($M$1,'Data qoq'!$A$1:$AT$1,),))/100+1)^4)-1</f>
        <v>4.4735111789958815E-2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6.764280094924402E-2</v>
      </c>
      <c r="R26" s="32">
        <f>(((VLOOKUP(B26,'Data qoq'!$A:$AT,MATCH($R$1,'Data qoq'!$A$1:$AT$1,),))/100+1)^4)-1</f>
        <v>4.9093669507852544E-2</v>
      </c>
      <c r="S26" s="32">
        <f>(((VLOOKUP(B26,'Data qoq'!$A:$AT,MATCH($S$1,'Data qoq'!$A$1:$AT$1,),))/100+1)^4)-1</f>
        <v>0.10983333576093202</v>
      </c>
      <c r="T26" s="32">
        <f>(((VLOOKUP(B26,'Data qoq'!$A:$AT,MATCH($T$1,'Data qoq'!$A$1:$AT$1,),))/100+1)^4)-1</f>
        <v>4.2028372994265428E-2</v>
      </c>
      <c r="U26" s="32">
        <f>(((VLOOKUP(B26,'Data qoq'!$A:$AT,MATCH($U$1,'Data qoq'!$A$1:$AT$1,),))/100+1)^4)-1</f>
        <v>8.8266958977812449E-2</v>
      </c>
      <c r="V26" s="32">
        <f>(((VLOOKUP(B26,'Data qoq'!$A:$AT,MATCH($V$1,'Data qoq'!$A$1:$AT$1,),))/100+1)^4)-1</f>
        <v>0.22566853476154902</v>
      </c>
      <c r="W26" s="32">
        <f>(((VLOOKUP(B26,'Data qoq'!$A:$AT,MATCH($W$1,'Data qoq'!$A$1:$AT$1,),))/100+1)^4)-1</f>
        <v>0.12651502758652944</v>
      </c>
      <c r="X26" s="32">
        <f>(((VLOOKUP(B26,'Data qoq'!$A:$AT,MATCH($X$1,'Data qoq'!$A$1:$AT$1,),))/100+1)^4)-1</f>
        <v>4.1073690286386411E-2</v>
      </c>
      <c r="Y26" s="32">
        <f>(((VLOOKUP(B26,'Data qoq'!$A:$AT,MATCH($Y$1,'Data qoq'!$A$1:$AT$1,),))/100+1)^4)-1</f>
        <v>1.1249483185884257E-2</v>
      </c>
      <c r="Z26" s="32">
        <f>(((VLOOKUP(B26,'Data qoq'!$A:$AU,MATCH($Z$1,'Data qoq'!$A$1:$AU$1,),))/100+1)^4)-1</f>
        <v>7.719925891486823E-2</v>
      </c>
      <c r="AA26" s="32">
        <f>(((VLOOKUP(B26,'Data qoq'!$A:$AU,MATCH($AA$1,'Data qoq'!$A$1:$AU$1,),))/100+1)^4)-1</f>
        <v>5.3166258485275897E-2</v>
      </c>
      <c r="AC26" s="26" t="str">
        <f t="shared" si="6"/>
        <v>2003-Q4</v>
      </c>
      <c r="AD26" s="31">
        <f t="shared" si="7"/>
        <v>-2.285050221936924E-3</v>
      </c>
      <c r="AE26" s="27"/>
    </row>
    <row r="27" spans="1:31" hidden="1" x14ac:dyDescent="0.2">
      <c r="A27" s="30">
        <v>38047</v>
      </c>
      <c r="B27" s="24" t="s">
        <v>293</v>
      </c>
      <c r="C27" s="32">
        <f>(((VLOOKUP(B27,'Data qoq'!$A:$AT,MATCH($C$1,'Data qoq'!$A$1:$AT$1,),))/100+1)^4)-1</f>
        <v>2.3114352698404339E-2</v>
      </c>
      <c r="D27" s="32">
        <f>(((VLOOKUP(B27,'Data qoq'!$A:$AT,MATCH($D$1,'Data qoq'!$A$1:$AT$1,),))/100+1)^4)-1</f>
        <v>0</v>
      </c>
      <c r="E27" s="32">
        <f>(((VLOOKUP(B27,'Data qoq'!$A:$AT,MATCH($E$1,'Data qoq'!$A$1:$AT$1,),))/100+1)^4)-1</f>
        <v>1.9864035992058771E-2</v>
      </c>
      <c r="F27" s="32">
        <f>(((VLOOKUP(B27,'Data qoq'!$A:$AT,MATCH($F$1,'Data qoq'!$A$1:$AT$1,),))/100+1)^4)-1</f>
        <v>2.9692664955812687E-2</v>
      </c>
      <c r="G27" s="32">
        <f>(((VLOOKUP(B27,'Data qoq'!$A:$AT,MATCH($G$1,'Data qoq'!$A$1:$AT$1,),))/100+1)^4)-1</f>
        <v>-6.8620523118830823E-3</v>
      </c>
      <c r="H27" s="32">
        <f>(((VLOOKUP(B27,'Data qoq'!$A:$AT,MATCH($H$1,'Data qoq'!$A$1:$AT$1,),))/100+1)^4)-1</f>
        <v>3.7754560109284574E-2</v>
      </c>
      <c r="I27" s="32">
        <f>(((VLOOKUP(B27,'Data qoq'!$A:$AT,MATCH($I$1,'Data qoq'!$A$1:$AT$1,),))/100+1)^4)-1</f>
        <v>1.7997135640550832E-2</v>
      </c>
      <c r="J27" s="32">
        <f>(((VLOOKUP(B27,'Data qoq'!$A:$AT,MATCH($J$1,'Data qoq'!$A$1:$AT$1,),))/100+1)^4)-1</f>
        <v>8.544354832394685E-3</v>
      </c>
      <c r="K27" s="32">
        <f>(((VLOOKUP(B27,'Data qoq'!$A:$AT,MATCH($K$1,'Data qoq'!$A$1:$AT$1,),))/100+1)^4)-1</f>
        <v>2.4340818754655658E-2</v>
      </c>
      <c r="L27" s="32">
        <f>(((VLOOKUP(B27,'Data qoq'!$A:$AT,MATCH($L$1,'Data qoq'!$A$1:$AT$1,),))/100+1)^4)-1</f>
        <v>7.6869252066553928E-2</v>
      </c>
      <c r="M27" s="32">
        <f>(((VLOOKUP(B27,'Data qoq'!$A:$AT,MATCH($M$1,'Data qoq'!$A$1:$AT$1,),))/100+1)^4)-1</f>
        <v>5.7290843137661529E-2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3.1976141908574895E-2</v>
      </c>
      <c r="R27" s="32">
        <f>(((VLOOKUP(B27,'Data qoq'!$A:$AT,MATCH($R$1,'Data qoq'!$A$1:$AT$1,),))/100+1)^4)-1</f>
        <v>2.3219556920160755E-2</v>
      </c>
      <c r="S27" s="32">
        <f>(((VLOOKUP(B27,'Data qoq'!$A:$AT,MATCH($S$1,'Data qoq'!$A$1:$AT$1,),))/100+1)^4)-1</f>
        <v>5.1144666002388206E-2</v>
      </c>
      <c r="T27" s="32">
        <f>(((VLOOKUP(B27,'Data qoq'!$A:$AT,MATCH($T$1,'Data qoq'!$A$1:$AT$1,),))/100+1)^4)-1</f>
        <v>5.7628723294011364E-2</v>
      </c>
      <c r="U27" s="32">
        <f>(((VLOOKUP(B27,'Data qoq'!$A:$AT,MATCH($U$1,'Data qoq'!$A$1:$AT$1,),))/100+1)^4)-1</f>
        <v>7.5173338545995172E-2</v>
      </c>
      <c r="V27" s="32">
        <f>(((VLOOKUP(B27,'Data qoq'!$A:$AT,MATCH($V$1,'Data qoq'!$A$1:$AT$1,),))/100+1)^4)-1</f>
        <v>-6.7814328633181153E-3</v>
      </c>
      <c r="W27" s="32">
        <f>(((VLOOKUP(B27,'Data qoq'!$A:$AT,MATCH($W$1,'Data qoq'!$A$1:$AT$1,),))/100+1)^4)-1</f>
        <v>0.11480711696270296</v>
      </c>
      <c r="X27" s="32">
        <f>(((VLOOKUP(B27,'Data qoq'!$A:$AT,MATCH($X$1,'Data qoq'!$A$1:$AT$1,),))/100+1)^4)-1</f>
        <v>3.9522787797759973E-2</v>
      </c>
      <c r="Y27" s="32">
        <f>(((VLOOKUP(B27,'Data qoq'!$A:$AT,MATCH($Y$1,'Data qoq'!$A$1:$AT$1,),))/100+1)^4)-1</f>
        <v>0.12494860125405816</v>
      </c>
      <c r="Z27" s="32">
        <f>(((VLOOKUP(B27,'Data qoq'!$A:$AU,MATCH($Z$1,'Data qoq'!$A$1:$AU$1,),))/100+1)^4)-1</f>
        <v>0.13696828499262947</v>
      </c>
      <c r="AA27" s="32">
        <f>(((VLOOKUP(B27,'Data qoq'!$A:$AU,MATCH($AA$1,'Data qoq'!$A$1:$AU$1,),))/100+1)^4)-1</f>
        <v>7.007056431353087E-2</v>
      </c>
      <c r="AC27" s="26" t="str">
        <f t="shared" si="6"/>
        <v>2004-Q1</v>
      </c>
      <c r="AD27" s="31">
        <f t="shared" si="7"/>
        <v>1.8669003515079385E-3</v>
      </c>
      <c r="AE27" s="27"/>
    </row>
    <row r="28" spans="1:31" hidden="1" x14ac:dyDescent="0.2">
      <c r="A28" s="30">
        <v>38139</v>
      </c>
      <c r="B28" s="24" t="s">
        <v>294</v>
      </c>
      <c r="C28" s="32">
        <f>(((VLOOKUP(B28,'Data qoq'!$A:$AT,MATCH($C$1,'Data qoq'!$A$1:$AT$1,),))/100+1)^4)-1</f>
        <v>3.1515303444355602E-2</v>
      </c>
      <c r="D28" s="32">
        <f>(((VLOOKUP(B28,'Data qoq'!$A:$AT,MATCH($D$1,'Data qoq'!$A$1:$AT$1,),))/100+1)^4)-1</f>
        <v>0</v>
      </c>
      <c r="E28" s="32">
        <f>(((VLOOKUP(B28,'Data qoq'!$A:$AT,MATCH($E$1,'Data qoq'!$A$1:$AT$1,),))/100+1)^4)-1</f>
        <v>2.5606760334695444E-2</v>
      </c>
      <c r="F28" s="32">
        <f>(((VLOOKUP(B28,'Data qoq'!$A:$AT,MATCH($F$1,'Data qoq'!$A$1:$AT$1,),))/100+1)^4)-1</f>
        <v>6.7317250876008927E-4</v>
      </c>
      <c r="G28" s="32">
        <f>(((VLOOKUP(B28,'Data qoq'!$A:$AT,MATCH($G$1,'Data qoq'!$A$1:$AT$1,),))/100+1)^4)-1</f>
        <v>2.0245097384639754E-2</v>
      </c>
      <c r="H28" s="32">
        <f>(((VLOOKUP(B28,'Data qoq'!$A:$AT,MATCH($H$1,'Data qoq'!$A$1:$AT$1,),))/100+1)^4)-1</f>
        <v>2.6249342364094375E-2</v>
      </c>
      <c r="I28" s="32">
        <f>(((VLOOKUP(B28,'Data qoq'!$A:$AT,MATCH($I$1,'Data qoq'!$A$1:$AT$1,),))/100+1)^4)-1</f>
        <v>2.1904111217863953E-2</v>
      </c>
      <c r="J28" s="32">
        <f>(((VLOOKUP(B28,'Data qoq'!$A:$AT,MATCH($J$1,'Data qoq'!$A$1:$AT$1,),))/100+1)^4)-1</f>
        <v>1.7078334818268814E-2</v>
      </c>
      <c r="K28" s="32">
        <f>(((VLOOKUP(B28,'Data qoq'!$A:$AT,MATCH($K$1,'Data qoq'!$A$1:$AT$1,),))/100+1)^4)-1</f>
        <v>3.9655759979316585E-2</v>
      </c>
      <c r="L28" s="32">
        <f>(((VLOOKUP(B28,'Data qoq'!$A:$AT,MATCH($L$1,'Data qoq'!$A$1:$AT$1,),))/100+1)^4)-1</f>
        <v>1.5501572085214299E-2</v>
      </c>
      <c r="M28" s="32">
        <f>(((VLOOKUP(B28,'Data qoq'!$A:$AT,MATCH($M$1,'Data qoq'!$A$1:$AT$1,),))/100+1)^4)-1</f>
        <v>6.3542634538025222E-2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2.6377656324178433E-2</v>
      </c>
      <c r="R28" s="32">
        <f>(((VLOOKUP(B28,'Data qoq'!$A:$AT,MATCH($R$1,'Data qoq'!$A$1:$AT$1,),))/100+1)^4)-1</f>
        <v>2.991922725603624E-2</v>
      </c>
      <c r="S28" s="32">
        <f>(((VLOOKUP(B28,'Data qoq'!$A:$AT,MATCH($S$1,'Data qoq'!$A$1:$AT$1,),))/100+1)^4)-1</f>
        <v>3.0891517200644314E-2</v>
      </c>
      <c r="T28" s="32">
        <f>(((VLOOKUP(B28,'Data qoq'!$A:$AT,MATCH($T$1,'Data qoq'!$A$1:$AT$1,),))/100+1)^4)-1</f>
        <v>0.11414420819596383</v>
      </c>
      <c r="U28" s="32">
        <f>(((VLOOKUP(B28,'Data qoq'!$A:$AT,MATCH($U$1,'Data qoq'!$A$1:$AT$1,),))/100+1)^4)-1</f>
        <v>-7.4348014403313734E-4</v>
      </c>
      <c r="V28" s="32">
        <f>(((VLOOKUP(B28,'Data qoq'!$A:$AT,MATCH($V$1,'Data qoq'!$A$1:$AT$1,),))/100+1)^4)-1</f>
        <v>9.5799929658199723E-2</v>
      </c>
      <c r="W28" s="32">
        <f>(((VLOOKUP(B28,'Data qoq'!$A:$AT,MATCH($W$1,'Data qoq'!$A$1:$AT$1,),))/100+1)^4)-1</f>
        <v>9.6435407014235475E-2</v>
      </c>
      <c r="X28" s="32">
        <f>(((VLOOKUP(B28,'Data qoq'!$A:$AT,MATCH($X$1,'Data qoq'!$A$1:$AT$1,),))/100+1)^4)-1</f>
        <v>4.7577443928757068E-2</v>
      </c>
      <c r="Y28" s="32">
        <f>(((VLOOKUP(B28,'Data qoq'!$A:$AT,MATCH($Y$1,'Data qoq'!$A$1:$AT$1,),))/100+1)^4)-1</f>
        <v>3.2768667710667998E-2</v>
      </c>
      <c r="Z28" s="32">
        <f>(((VLOOKUP(B28,'Data qoq'!$A:$AU,MATCH($Z$1,'Data qoq'!$A$1:$AU$1,),))/100+1)^4)-1</f>
        <v>-4.5167657503245917E-2</v>
      </c>
      <c r="AA28" s="32">
        <f>(((VLOOKUP(B28,'Data qoq'!$A:$AU,MATCH($AA$1,'Data qoq'!$A$1:$AU$1,),))/100+1)^4)-1</f>
        <v>3.4956338661396913E-2</v>
      </c>
      <c r="AC28" s="26" t="str">
        <f t="shared" si="6"/>
        <v>2004-Q2</v>
      </c>
      <c r="AD28" s="31">
        <f t="shared" si="7"/>
        <v>3.7026491168314912E-3</v>
      </c>
      <c r="AE28" s="27"/>
    </row>
    <row r="29" spans="1:31" hidden="1" x14ac:dyDescent="0.2">
      <c r="A29" s="30">
        <v>38231</v>
      </c>
      <c r="B29" s="24" t="s">
        <v>295</v>
      </c>
      <c r="C29" s="32">
        <f>(((VLOOKUP(B29,'Data qoq'!$A:$AT,MATCH($C$1,'Data qoq'!$A$1:$AT$1,),))/100+1)^4)-1</f>
        <v>3.818480023028159E-2</v>
      </c>
      <c r="D29" s="32">
        <f>(((VLOOKUP(B29,'Data qoq'!$A:$AT,MATCH($D$1,'Data qoq'!$A$1:$AT$1,),))/100+1)^4)-1</f>
        <v>0</v>
      </c>
      <c r="E29" s="32">
        <f>(((VLOOKUP(B29,'Data qoq'!$A:$AT,MATCH($E$1,'Data qoq'!$A$1:$AT$1,),))/100+1)^4)-1</f>
        <v>9.7024631957993712E-3</v>
      </c>
      <c r="F29" s="32">
        <f>(((VLOOKUP(B29,'Data qoq'!$A:$AT,MATCH($F$1,'Data qoq'!$A$1:$AT$1,),))/100+1)^4)-1</f>
        <v>2.4688532702379806E-2</v>
      </c>
      <c r="G29" s="32">
        <f>(((VLOOKUP(B29,'Data qoq'!$A:$AT,MATCH($G$1,'Data qoq'!$A$1:$AT$1,),))/100+1)^4)-1</f>
        <v>-7.4182811748310096E-3</v>
      </c>
      <c r="H29" s="32">
        <f>(((VLOOKUP(B29,'Data qoq'!$A:$AT,MATCH($H$1,'Data qoq'!$A$1:$AT$1,),))/100+1)^4)-1</f>
        <v>1.0385821318972033E-2</v>
      </c>
      <c r="I29" s="32">
        <f>(((VLOOKUP(B29,'Data qoq'!$A:$AT,MATCH($I$1,'Data qoq'!$A$1:$AT$1,),))/100+1)^4)-1</f>
        <v>9.9043059954804225E-3</v>
      </c>
      <c r="J29" s="32">
        <f>(((VLOOKUP(B29,'Data qoq'!$A:$AT,MATCH($J$1,'Data qoq'!$A$1:$AT$1,),))/100+1)^4)-1</f>
        <v>-4.3762724255891339E-4</v>
      </c>
      <c r="K29" s="32">
        <f>(((VLOOKUP(B29,'Data qoq'!$A:$AT,MATCH($K$1,'Data qoq'!$A$1:$AT$1,),))/100+1)^4)-1</f>
        <v>3.8150709855339526E-2</v>
      </c>
      <c r="L29" s="32">
        <f>(((VLOOKUP(B29,'Data qoq'!$A:$AT,MATCH($L$1,'Data qoq'!$A$1:$AT$1,),))/100+1)^4)-1</f>
        <v>3.2527085631202324E-2</v>
      </c>
      <c r="M29" s="32">
        <f>(((VLOOKUP(B29,'Data qoq'!$A:$AT,MATCH($M$1,'Data qoq'!$A$1:$AT$1,),))/100+1)^4)-1</f>
        <v>-8.6523004170241391E-3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3.0976372135967933E-2</v>
      </c>
      <c r="R29" s="32">
        <f>(((VLOOKUP(B29,'Data qoq'!$A:$AT,MATCH($R$1,'Data qoq'!$A$1:$AT$1,),))/100+1)^4)-1</f>
        <v>1.796022490546445E-3</v>
      </c>
      <c r="S29" s="32">
        <f>(((VLOOKUP(B29,'Data qoq'!$A:$AT,MATCH($S$1,'Data qoq'!$A$1:$AT$1,),))/100+1)^4)-1</f>
        <v>1.6322412371273076E-2</v>
      </c>
      <c r="T29" s="32">
        <f>(((VLOOKUP(B29,'Data qoq'!$A:$AT,MATCH($T$1,'Data qoq'!$A$1:$AT$1,),))/100+1)^4)-1</f>
        <v>5.1119509423119602E-2</v>
      </c>
      <c r="U29" s="32">
        <f>(((VLOOKUP(B29,'Data qoq'!$A:$AT,MATCH($U$1,'Data qoq'!$A$1:$AT$1,),))/100+1)^4)-1</f>
        <v>5.4456381787802322E-2</v>
      </c>
      <c r="V29" s="32">
        <f>(((VLOOKUP(B29,'Data qoq'!$A:$AT,MATCH($V$1,'Data qoq'!$A$1:$AT$1,),))/100+1)^4)-1</f>
        <v>-2.1807546400560263E-2</v>
      </c>
      <c r="W29" s="32">
        <f>(((VLOOKUP(B29,'Data qoq'!$A:$AT,MATCH($W$1,'Data qoq'!$A$1:$AT$1,),))/100+1)^4)-1</f>
        <v>4.5878040194492486E-2</v>
      </c>
      <c r="X29" s="32">
        <f>(((VLOOKUP(B29,'Data qoq'!$A:$AT,MATCH($X$1,'Data qoq'!$A$1:$AT$1,),))/100+1)^4)-1</f>
        <v>6.4297027303454657E-2</v>
      </c>
      <c r="Y29" s="32">
        <f>(((VLOOKUP(B29,'Data qoq'!$A:$AT,MATCH($Y$1,'Data qoq'!$A$1:$AT$1,),))/100+1)^4)-1</f>
        <v>-1.9994223824990609E-2</v>
      </c>
      <c r="Z29" s="32">
        <f>(((VLOOKUP(B29,'Data qoq'!$A:$AU,MATCH($Z$1,'Data qoq'!$A$1:$AU$1,),))/100+1)^4)-1</f>
        <v>0.21614987445835987</v>
      </c>
      <c r="AA29" s="32">
        <f>(((VLOOKUP(B29,'Data qoq'!$A:$AU,MATCH($AA$1,'Data qoq'!$A$1:$AU$1,),))/100+1)^4)-1</f>
        <v>1.1528801510801934E-2</v>
      </c>
      <c r="AC29" s="26" t="str">
        <f t="shared" si="6"/>
        <v>2004-Q3</v>
      </c>
      <c r="AD29" s="31">
        <f t="shared" si="7"/>
        <v>-2.0184279968105123E-4</v>
      </c>
      <c r="AE29" s="27"/>
    </row>
    <row r="30" spans="1:31" hidden="1" x14ac:dyDescent="0.2">
      <c r="A30" s="30">
        <v>38322</v>
      </c>
      <c r="B30" s="24" t="s">
        <v>296</v>
      </c>
      <c r="C30" s="32">
        <f>(((VLOOKUP(B30,'Data qoq'!$A:$AT,MATCH($C$1,'Data qoq'!$A$1:$AT$1,),))/100+1)^4)-1</f>
        <v>4.1512099830066429E-2</v>
      </c>
      <c r="D30" s="32">
        <f>(((VLOOKUP(B30,'Data qoq'!$A:$AT,MATCH($D$1,'Data qoq'!$A$1:$AT$1,),))/100+1)^4)-1</f>
        <v>0</v>
      </c>
      <c r="E30" s="32">
        <f>(((VLOOKUP(B30,'Data qoq'!$A:$AT,MATCH($E$1,'Data qoq'!$A$1:$AT$1,),))/100+1)^4)-1</f>
        <v>1.4631643473677292E-2</v>
      </c>
      <c r="F30" s="32">
        <f>(((VLOOKUP(B30,'Data qoq'!$A:$AT,MATCH($F$1,'Data qoq'!$A$1:$AT$1,),))/100+1)^4)-1</f>
        <v>-7.7486070630902182E-3</v>
      </c>
      <c r="G30" s="32">
        <f>(((VLOOKUP(B30,'Data qoq'!$A:$AT,MATCH($G$1,'Data qoq'!$A$1:$AT$1,),))/100+1)^4)-1</f>
        <v>-4.1859783631346126E-3</v>
      </c>
      <c r="H30" s="32">
        <f>(((VLOOKUP(B30,'Data qoq'!$A:$AT,MATCH($H$1,'Data qoq'!$A$1:$AT$1,),))/100+1)^4)-1</f>
        <v>3.0461347177707543E-2</v>
      </c>
      <c r="I30" s="32">
        <f>(((VLOOKUP(B30,'Data qoq'!$A:$AT,MATCH($I$1,'Data qoq'!$A$1:$AT$1,),))/100+1)^4)-1</f>
        <v>1.4019475950346694E-2</v>
      </c>
      <c r="J30" s="32">
        <f>(((VLOOKUP(B30,'Data qoq'!$A:$AT,MATCH($J$1,'Data qoq'!$A$1:$AT$1,),))/100+1)^4)-1</f>
        <v>1.0450909752820037E-2</v>
      </c>
      <c r="K30" s="32">
        <f>(((VLOOKUP(B30,'Data qoq'!$A:$AT,MATCH($K$1,'Data qoq'!$A$1:$AT$1,),))/100+1)^4)-1</f>
        <v>2.7654691246657981E-2</v>
      </c>
      <c r="L30" s="32">
        <f>(((VLOOKUP(B30,'Data qoq'!$A:$AT,MATCH($L$1,'Data qoq'!$A$1:$AT$1,),))/100+1)^4)-1</f>
        <v>3.4063156385489179E-2</v>
      </c>
      <c r="M30" s="32">
        <f>(((VLOOKUP(B30,'Data qoq'!$A:$AT,MATCH($M$1,'Data qoq'!$A$1:$AT$1,),))/100+1)^4)-1</f>
        <v>5.4145669175895916E-2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3.1017358155252861E-2</v>
      </c>
      <c r="R30" s="32">
        <f>(((VLOOKUP(B30,'Data qoq'!$A:$AT,MATCH($R$1,'Data qoq'!$A$1:$AT$1,),))/100+1)^4)-1</f>
        <v>6.4446162509943505E-3</v>
      </c>
      <c r="S30" s="32">
        <f>(((VLOOKUP(B30,'Data qoq'!$A:$AT,MATCH($S$1,'Data qoq'!$A$1:$AT$1,),))/100+1)^4)-1</f>
        <v>3.0663774045021075E-2</v>
      </c>
      <c r="T30" s="32">
        <f>(((VLOOKUP(B30,'Data qoq'!$A:$AT,MATCH($T$1,'Data qoq'!$A$1:$AT$1,),))/100+1)^4)-1</f>
        <v>3.104850126339942E-2</v>
      </c>
      <c r="U30" s="32">
        <f>(((VLOOKUP(B30,'Data qoq'!$A:$AT,MATCH($U$1,'Data qoq'!$A$1:$AT$1,),))/100+1)^4)-1</f>
        <v>-1.516646224562157E-2</v>
      </c>
      <c r="V30" s="32">
        <f>(((VLOOKUP(B30,'Data qoq'!$A:$AT,MATCH($V$1,'Data qoq'!$A$1:$AT$1,),))/100+1)^4)-1</f>
        <v>9.8920167091582023E-2</v>
      </c>
      <c r="W30" s="32">
        <f>(((VLOOKUP(B30,'Data qoq'!$A:$AT,MATCH($W$1,'Data qoq'!$A$1:$AT$1,),))/100+1)^4)-1</f>
        <v>6.6496014398236936E-2</v>
      </c>
      <c r="X30" s="32">
        <f>(((VLOOKUP(B30,'Data qoq'!$A:$AT,MATCH($X$1,'Data qoq'!$A$1:$AT$1,),))/100+1)^4)-1</f>
        <v>7.3415968385239783E-2</v>
      </c>
      <c r="Y30" s="32">
        <f>(((VLOOKUP(B30,'Data qoq'!$A:$AT,MATCH($Y$1,'Data qoq'!$A$1:$AT$1,),))/100+1)^4)-1</f>
        <v>4.3083927953262657E-2</v>
      </c>
      <c r="Z30" s="32">
        <f>(((VLOOKUP(B30,'Data qoq'!$A:$AU,MATCH($Z$1,'Data qoq'!$A$1:$AU$1,),))/100+1)^4)-1</f>
        <v>6.1204652530410186E-2</v>
      </c>
      <c r="AA30" s="32">
        <f>(((VLOOKUP(B30,'Data qoq'!$A:$AU,MATCH($AA$1,'Data qoq'!$A$1:$AU$1,),))/100+1)^4)-1</f>
        <v>1.4153558802837862E-2</v>
      </c>
      <c r="AC30" s="26" t="str">
        <f t="shared" si="6"/>
        <v>2004-Q4</v>
      </c>
      <c r="AD30" s="31">
        <f t="shared" si="7"/>
        <v>6.1216752333059787E-4</v>
      </c>
      <c r="AE30" s="27"/>
    </row>
    <row r="31" spans="1:31" hidden="1" x14ac:dyDescent="0.2">
      <c r="A31" s="30">
        <v>38412</v>
      </c>
      <c r="B31" s="24" t="s">
        <v>297</v>
      </c>
      <c r="C31" s="32">
        <f>(((VLOOKUP(B31,'Data qoq'!$A:$AT,MATCH($C$1,'Data qoq'!$A$1:$AT$1,),))/100+1)^4)-1</f>
        <v>4.5181235099421624E-2</v>
      </c>
      <c r="D31" s="32">
        <f>(((VLOOKUP(B31,'Data qoq'!$A:$AT,MATCH($D$1,'Data qoq'!$A$1:$AT$1,),))/100+1)^4)-1</f>
        <v>0</v>
      </c>
      <c r="E31" s="32">
        <f>(((VLOOKUP(B31,'Data qoq'!$A:$AT,MATCH($E$1,'Data qoq'!$A$1:$AT$1,),))/100+1)^4)-1</f>
        <v>9.526686250813432E-3</v>
      </c>
      <c r="F31" s="32">
        <f>(((VLOOKUP(B31,'Data qoq'!$A:$AT,MATCH($F$1,'Data qoq'!$A$1:$AT$1,),))/100+1)^4)-1</f>
        <v>2.0765376966332516E-2</v>
      </c>
      <c r="G31" s="32">
        <f>(((VLOOKUP(B31,'Data qoq'!$A:$AT,MATCH($G$1,'Data qoq'!$A$1:$AT$1,),))/100+1)^4)-1</f>
        <v>1.1557376864845814E-4</v>
      </c>
      <c r="H31" s="32">
        <f>(((VLOOKUP(B31,'Data qoq'!$A:$AT,MATCH($H$1,'Data qoq'!$A$1:$AT$1,),))/100+1)^4)-1</f>
        <v>1.0823215794260488E-2</v>
      </c>
      <c r="I31" s="32">
        <f>(((VLOOKUP(B31,'Data qoq'!$A:$AT,MATCH($I$1,'Data qoq'!$A$1:$AT$1,),))/100+1)^4)-1</f>
        <v>2.4532779637353341E-2</v>
      </c>
      <c r="J31" s="32">
        <f>(((VLOOKUP(B31,'Data qoq'!$A:$AT,MATCH($J$1,'Data qoq'!$A$1:$AT$1,),))/100+1)^4)-1</f>
        <v>-8.0901800713033545E-3</v>
      </c>
      <c r="K31" s="32">
        <f>(((VLOOKUP(B31,'Data qoq'!$A:$AT,MATCH($K$1,'Data qoq'!$A$1:$AT$1,),))/100+1)^4)-1</f>
        <v>3.9627197694089178E-2</v>
      </c>
      <c r="L31" s="32">
        <f>(((VLOOKUP(B31,'Data qoq'!$A:$AT,MATCH($L$1,'Data qoq'!$A$1:$AT$1,),))/100+1)^4)-1</f>
        <v>1.6520850907037143E-2</v>
      </c>
      <c r="M31" s="32">
        <f>(((VLOOKUP(B31,'Data qoq'!$A:$AT,MATCH($M$1,'Data qoq'!$A$1:$AT$1,),))/100+1)^4)-1</f>
        <v>6.5737344216618698E-3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3.1151926033329724E-2</v>
      </c>
      <c r="R31" s="32">
        <f>(((VLOOKUP(B31,'Data qoq'!$A:$AT,MATCH($R$1,'Data qoq'!$A$1:$AT$1,),))/100+1)^4)-1</f>
        <v>3.1389148519488597E-2</v>
      </c>
      <c r="S31" s="32">
        <f>(((VLOOKUP(B31,'Data qoq'!$A:$AT,MATCH($S$1,'Data qoq'!$A$1:$AT$1,),))/100+1)^4)-1</f>
        <v>3.4473026268850626E-2</v>
      </c>
      <c r="T31" s="32">
        <f>(((VLOOKUP(B31,'Data qoq'!$A:$AT,MATCH($T$1,'Data qoq'!$A$1:$AT$1,),))/100+1)^4)-1</f>
        <v>3.0258160062172745E-2</v>
      </c>
      <c r="U31" s="32">
        <f>(((VLOOKUP(B31,'Data qoq'!$A:$AT,MATCH($U$1,'Data qoq'!$A$1:$AT$1,),))/100+1)^4)-1</f>
        <v>-2.3316921439511029E-2</v>
      </c>
      <c r="V31" s="32">
        <f>(((VLOOKUP(B31,'Data qoq'!$A:$AT,MATCH($V$1,'Data qoq'!$A$1:$AT$1,),))/100+1)^4)-1</f>
        <v>7.9432316460566588E-2</v>
      </c>
      <c r="W31" s="32">
        <f>(((VLOOKUP(B31,'Data qoq'!$A:$AT,MATCH($W$1,'Data qoq'!$A$1:$AT$1,),))/100+1)^4)-1</f>
        <v>0.19754544946508767</v>
      </c>
      <c r="X31" s="32">
        <f>(((VLOOKUP(B31,'Data qoq'!$A:$AT,MATCH($X$1,'Data qoq'!$A$1:$AT$1,),))/100+1)^4)-1</f>
        <v>7.3439452578003106E-2</v>
      </c>
      <c r="Y31" s="32">
        <f>(((VLOOKUP(B31,'Data qoq'!$A:$AT,MATCH($Y$1,'Data qoq'!$A$1:$AT$1,),))/100+1)^4)-1</f>
        <v>4.4809538945645988E-2</v>
      </c>
      <c r="Z31" s="32">
        <f>(((VLOOKUP(B31,'Data qoq'!$A:$AU,MATCH($Z$1,'Data qoq'!$A$1:$AU$1,),))/100+1)^4)-1</f>
        <v>0.11993336939461297</v>
      </c>
      <c r="AA31" s="32">
        <f>(((VLOOKUP(B31,'Data qoq'!$A:$AU,MATCH($AA$1,'Data qoq'!$A$1:$AU$1,),))/100+1)^4)-1</f>
        <v>4.7421669093428598E-2</v>
      </c>
      <c r="AC31" s="26" t="str">
        <f t="shared" si="6"/>
        <v>2005-Q1</v>
      </c>
      <c r="AD31" s="31">
        <f t="shared" si="7"/>
        <v>-1.5006093386539909E-2</v>
      </c>
      <c r="AE31" s="27"/>
    </row>
    <row r="32" spans="1:31" hidden="1" x14ac:dyDescent="0.2">
      <c r="A32" s="30">
        <v>38504</v>
      </c>
      <c r="B32" s="24" t="s">
        <v>298</v>
      </c>
      <c r="C32" s="32">
        <f>(((VLOOKUP(B32,'Data qoq'!$A:$AT,MATCH($C$1,'Data qoq'!$A$1:$AT$1,),))/100+1)^4)-1</f>
        <v>1.9606710911931335E-2</v>
      </c>
      <c r="D32" s="32">
        <f>(((VLOOKUP(B32,'Data qoq'!$A:$AT,MATCH($D$1,'Data qoq'!$A$1:$AT$1,),))/100+1)^4)-1</f>
        <v>0</v>
      </c>
      <c r="E32" s="32">
        <f>(((VLOOKUP(B32,'Data qoq'!$A:$AT,MATCH($E$1,'Data qoq'!$A$1:$AT$1,),))/100+1)^4)-1</f>
        <v>2.2919150023163359E-2</v>
      </c>
      <c r="F32" s="32">
        <f>(((VLOOKUP(B32,'Data qoq'!$A:$AT,MATCH($F$1,'Data qoq'!$A$1:$AT$1,),))/100+1)^4)-1</f>
        <v>3.1612064235197357E-2</v>
      </c>
      <c r="G32" s="32">
        <f>(((VLOOKUP(B32,'Data qoq'!$A:$AT,MATCH($G$1,'Data qoq'!$A$1:$AT$1,),))/100+1)^4)-1</f>
        <v>2.1149607238259316E-2</v>
      </c>
      <c r="H32" s="32">
        <f>(((VLOOKUP(B32,'Data qoq'!$A:$AT,MATCH($H$1,'Data qoq'!$A$1:$AT$1,),))/100+1)^4)-1</f>
        <v>7.4559727362748518E-3</v>
      </c>
      <c r="I32" s="32">
        <f>(((VLOOKUP(B32,'Data qoq'!$A:$AT,MATCH($I$1,'Data qoq'!$A$1:$AT$1,),))/100+1)^4)-1</f>
        <v>3.9093114848790522E-2</v>
      </c>
      <c r="J32" s="32">
        <f>(((VLOOKUP(B32,'Data qoq'!$A:$AT,MATCH($J$1,'Data qoq'!$A$1:$AT$1,),))/100+1)^4)-1</f>
        <v>3.0119516065639118E-2</v>
      </c>
      <c r="K32" s="32">
        <f>(((VLOOKUP(B32,'Data qoq'!$A:$AT,MATCH($K$1,'Data qoq'!$A$1:$AT$1,),))/100+1)^4)-1</f>
        <v>3.575252115157479E-2</v>
      </c>
      <c r="L32" s="32">
        <f>(((VLOOKUP(B32,'Data qoq'!$A:$AT,MATCH($L$1,'Data qoq'!$A$1:$AT$1,),))/100+1)^4)-1</f>
        <v>2.7999520592363325E-2</v>
      </c>
      <c r="M32" s="32">
        <f>(((VLOOKUP(B32,'Data qoq'!$A:$AT,MATCH($M$1,'Data qoq'!$A$1:$AT$1,),))/100+1)^4)-1</f>
        <v>1.1586547660119795E-2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1.7051572409594984E-2</v>
      </c>
      <c r="R32" s="32">
        <f>(((VLOOKUP(B32,'Data qoq'!$A:$AT,MATCH($R$1,'Data qoq'!$A$1:$AT$1,),))/100+1)^4)-1</f>
        <v>4.9417827165391115E-2</v>
      </c>
      <c r="S32" s="32">
        <f>(((VLOOKUP(B32,'Data qoq'!$A:$AT,MATCH($S$1,'Data qoq'!$A$1:$AT$1,),))/100+1)^4)-1</f>
        <v>7.7646124405284622E-2</v>
      </c>
      <c r="T32" s="32">
        <f>(((VLOOKUP(B32,'Data qoq'!$A:$AT,MATCH($T$1,'Data qoq'!$A$1:$AT$1,),))/100+1)^4)-1</f>
        <v>5.6139368726364491E-2</v>
      </c>
      <c r="U32" s="32">
        <f>(((VLOOKUP(B32,'Data qoq'!$A:$AT,MATCH($U$1,'Data qoq'!$A$1:$AT$1,),))/100+1)^4)-1</f>
        <v>9.5465961983169922E-3</v>
      </c>
      <c r="V32" s="32">
        <f>(((VLOOKUP(B32,'Data qoq'!$A:$AT,MATCH($V$1,'Data qoq'!$A$1:$AT$1,),))/100+1)^4)-1</f>
        <v>7.9815372461997214E-2</v>
      </c>
      <c r="W32" s="32">
        <f>(((VLOOKUP(B32,'Data qoq'!$A:$AT,MATCH($W$1,'Data qoq'!$A$1:$AT$1,),))/100+1)^4)-1</f>
        <v>1.6993611478246962E-2</v>
      </c>
      <c r="X32" s="32">
        <f>(((VLOOKUP(B32,'Data qoq'!$A:$AT,MATCH($X$1,'Data qoq'!$A$1:$AT$1,),))/100+1)^4)-1</f>
        <v>5.5478333603617536E-2</v>
      </c>
      <c r="Y32" s="32">
        <f>(((VLOOKUP(B32,'Data qoq'!$A:$AT,MATCH($Y$1,'Data qoq'!$A$1:$AT$1,),))/100+1)^4)-1</f>
        <v>5.9071482925168173E-3</v>
      </c>
      <c r="Z32" s="32">
        <f>(((VLOOKUP(B32,'Data qoq'!$A:$AU,MATCH($Z$1,'Data qoq'!$A$1:$AU$1,),))/100+1)^4)-1</f>
        <v>8.6650436302323719E-2</v>
      </c>
      <c r="AA32" s="32">
        <f>(((VLOOKUP(B32,'Data qoq'!$A:$AU,MATCH($AA$1,'Data qoq'!$A$1:$AU$1,),))/100+1)^4)-1</f>
        <v>6.5537673253025064E-2</v>
      </c>
      <c r="AC32" s="26" t="str">
        <f t="shared" si="6"/>
        <v>2005-Q2</v>
      </c>
      <c r="AD32" s="31">
        <f t="shared" si="7"/>
        <v>-1.6173964825627163E-2</v>
      </c>
      <c r="AE32" s="27"/>
    </row>
    <row r="33" spans="1:31" hidden="1" x14ac:dyDescent="0.2">
      <c r="A33" s="30">
        <v>38596</v>
      </c>
      <c r="B33" s="24" t="s">
        <v>299</v>
      </c>
      <c r="C33" s="32">
        <f>(((VLOOKUP(B33,'Data qoq'!$A:$AT,MATCH($C$1,'Data qoq'!$A$1:$AT$1,),))/100+1)^4)-1</f>
        <v>3.1797143696158159E-2</v>
      </c>
      <c r="D33" s="32">
        <f>(((VLOOKUP(B33,'Data qoq'!$A:$AT,MATCH($D$1,'Data qoq'!$A$1:$AT$1,),))/100+1)^4)-1</f>
        <v>0</v>
      </c>
      <c r="E33" s="32">
        <f>(((VLOOKUP(B33,'Data qoq'!$A:$AT,MATCH($E$1,'Data qoq'!$A$1:$AT$1,),))/100+1)^4)-1</f>
        <v>3.0124815027278373E-2</v>
      </c>
      <c r="F33" s="32">
        <f>(((VLOOKUP(B33,'Data qoq'!$A:$AT,MATCH($F$1,'Data qoq'!$A$1:$AT$1,),))/100+1)^4)-1</f>
        <v>4.1191570291324586E-2</v>
      </c>
      <c r="G33" s="32">
        <f>(((VLOOKUP(B33,'Data qoq'!$A:$AT,MATCH($G$1,'Data qoq'!$A$1:$AT$1,),))/100+1)^4)-1</f>
        <v>3.477130386430427E-2</v>
      </c>
      <c r="H33" s="32">
        <f>(((VLOOKUP(B33,'Data qoq'!$A:$AT,MATCH($H$1,'Data qoq'!$A$1:$AT$1,),))/100+1)^4)-1</f>
        <v>2.0094228460291186E-2</v>
      </c>
      <c r="I33" s="32">
        <f>(((VLOOKUP(B33,'Data qoq'!$A:$AT,MATCH($I$1,'Data qoq'!$A$1:$AT$1,),))/100+1)^4)-1</f>
        <v>3.5753321153568551E-2</v>
      </c>
      <c r="J33" s="32">
        <f>(((VLOOKUP(B33,'Data qoq'!$A:$AT,MATCH($J$1,'Data qoq'!$A$1:$AT$1,),))/100+1)^4)-1</f>
        <v>2.5218625955039542E-2</v>
      </c>
      <c r="K33" s="32">
        <f>(((VLOOKUP(B33,'Data qoq'!$A:$AT,MATCH($K$1,'Data qoq'!$A$1:$AT$1,),))/100+1)^4)-1</f>
        <v>3.9244494330952229E-2</v>
      </c>
      <c r="L33" s="32">
        <f>(((VLOOKUP(B33,'Data qoq'!$A:$AT,MATCH($L$1,'Data qoq'!$A$1:$AT$1,),))/100+1)^4)-1</f>
        <v>4.8336976320280556E-2</v>
      </c>
      <c r="M33" s="32">
        <f>(((VLOOKUP(B33,'Data qoq'!$A:$AT,MATCH($M$1,'Data qoq'!$A$1:$AT$1,),))/100+1)^4)-1</f>
        <v>3.3988662102300671E-2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4.5320374372504579E-2</v>
      </c>
      <c r="R33" s="32">
        <f>(((VLOOKUP(B33,'Data qoq'!$A:$AT,MATCH($R$1,'Data qoq'!$A$1:$AT$1,),))/100+1)^4)-1</f>
        <v>4.6374076086643123E-2</v>
      </c>
      <c r="S33" s="32">
        <f>(((VLOOKUP(B33,'Data qoq'!$A:$AT,MATCH($S$1,'Data qoq'!$A$1:$AT$1,),))/100+1)^4)-1</f>
        <v>6.1586544215050276E-2</v>
      </c>
      <c r="T33" s="32">
        <f>(((VLOOKUP(B33,'Data qoq'!$A:$AT,MATCH($T$1,'Data qoq'!$A$1:$AT$1,),))/100+1)^4)-1</f>
        <v>-3.0145162120509106E-2</v>
      </c>
      <c r="U33" s="32">
        <f>(((VLOOKUP(B33,'Data qoq'!$A:$AT,MATCH($U$1,'Data qoq'!$A$1:$AT$1,),))/100+1)^4)-1</f>
        <v>5.6805192883349731E-2</v>
      </c>
      <c r="V33" s="32">
        <f>(((VLOOKUP(B33,'Data qoq'!$A:$AT,MATCH($V$1,'Data qoq'!$A$1:$AT$1,),))/100+1)^4)-1</f>
        <v>-3.8017346269459629E-2</v>
      </c>
      <c r="W33" s="32">
        <f>(((VLOOKUP(B33,'Data qoq'!$A:$AT,MATCH($W$1,'Data qoq'!$A$1:$AT$1,),))/100+1)^4)-1</f>
        <v>5.7686347828877826E-2</v>
      </c>
      <c r="X33" s="32">
        <f>(((VLOOKUP(B33,'Data qoq'!$A:$AT,MATCH($X$1,'Data qoq'!$A$1:$AT$1,),))/100+1)^4)-1</f>
        <v>6.860555709558791E-2</v>
      </c>
      <c r="Y33" s="32">
        <f>(((VLOOKUP(B33,'Data qoq'!$A:$AT,MATCH($Y$1,'Data qoq'!$A$1:$AT$1,),))/100+1)^4)-1</f>
        <v>7.9574615591444964E-2</v>
      </c>
      <c r="Z33" s="32">
        <f>(((VLOOKUP(B33,'Data qoq'!$A:$AU,MATCH($Z$1,'Data qoq'!$A$1:$AU$1,),))/100+1)^4)-1</f>
        <v>2.7785692477281021E-2</v>
      </c>
      <c r="AA33" s="32">
        <f>(((VLOOKUP(B33,'Data qoq'!$A:$AU,MATCH($AA$1,'Data qoq'!$A$1:$AU$1,),))/100+1)^4)-1</f>
        <v>1.962211384127821E-2</v>
      </c>
      <c r="AC33" s="26" t="str">
        <f t="shared" si="6"/>
        <v>2005-Q3</v>
      </c>
      <c r="AD33" s="31">
        <f t="shared" si="7"/>
        <v>-5.6285061262901781E-3</v>
      </c>
      <c r="AE33" s="27"/>
    </row>
    <row r="34" spans="1:31" hidden="1" x14ac:dyDescent="0.2">
      <c r="A34" s="30">
        <v>38687</v>
      </c>
      <c r="B34" s="24" t="s">
        <v>300</v>
      </c>
      <c r="C34" s="32">
        <f>(((VLOOKUP(B34,'Data qoq'!$A:$AT,MATCH($C$1,'Data qoq'!$A$1:$AT$1,),))/100+1)^4)-1</f>
        <v>2.2911388774384589E-2</v>
      </c>
      <c r="D34" s="32">
        <f>(((VLOOKUP(B34,'Data qoq'!$A:$AT,MATCH($D$1,'Data qoq'!$A$1:$AT$1,),))/100+1)^4)-1</f>
        <v>0</v>
      </c>
      <c r="E34" s="32">
        <f>(((VLOOKUP(B34,'Data qoq'!$A:$AT,MATCH($E$1,'Data qoq'!$A$1:$AT$1,),))/100+1)^4)-1</f>
        <v>2.6309457318568263E-2</v>
      </c>
      <c r="F34" s="32">
        <f>(((VLOOKUP(B34,'Data qoq'!$A:$AT,MATCH($F$1,'Data qoq'!$A$1:$AT$1,),))/100+1)^4)-1</f>
        <v>6.9311939686083068E-3</v>
      </c>
      <c r="G34" s="32">
        <f>(((VLOOKUP(B34,'Data qoq'!$A:$AT,MATCH($G$1,'Data qoq'!$A$1:$AT$1,),))/100+1)^4)-1</f>
        <v>1.8990878895981833E-2</v>
      </c>
      <c r="H34" s="32">
        <f>(((VLOOKUP(B34,'Data qoq'!$A:$AT,MATCH($H$1,'Data qoq'!$A$1:$AT$1,),))/100+1)^4)-1</f>
        <v>3.1650521924670993E-2</v>
      </c>
      <c r="I34" s="32">
        <f>(((VLOOKUP(B34,'Data qoq'!$A:$AT,MATCH($I$1,'Data qoq'!$A$1:$AT$1,),))/100+1)^4)-1</f>
        <v>4.4402994663317319E-2</v>
      </c>
      <c r="J34" s="32">
        <f>(((VLOOKUP(B34,'Data qoq'!$A:$AT,MATCH($J$1,'Data qoq'!$A$1:$AT$1,),))/100+1)^4)-1</f>
        <v>6.0483064540082232E-3</v>
      </c>
      <c r="K34" s="32">
        <f>(((VLOOKUP(B34,'Data qoq'!$A:$AT,MATCH($K$1,'Data qoq'!$A$1:$AT$1,),))/100+1)^4)-1</f>
        <v>4.1175599809992081E-2</v>
      </c>
      <c r="L34" s="32">
        <f>(((VLOOKUP(B34,'Data qoq'!$A:$AT,MATCH($L$1,'Data qoq'!$A$1:$AT$1,),))/100+1)^4)-1</f>
        <v>2.7404090003324777E-2</v>
      </c>
      <c r="M34" s="32">
        <f>(((VLOOKUP(B34,'Data qoq'!$A:$AT,MATCH($M$1,'Data qoq'!$A$1:$AT$1,),))/100+1)^4)-1</f>
        <v>6.8565002903859584E-2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3.178955433977837E-2</v>
      </c>
      <c r="R34" s="32">
        <f>(((VLOOKUP(B34,'Data qoq'!$A:$AT,MATCH($R$1,'Data qoq'!$A$1:$AT$1,),))/100+1)^4)-1</f>
        <v>3.8177292459171008E-2</v>
      </c>
      <c r="S34" s="32">
        <f>(((VLOOKUP(B34,'Data qoq'!$A:$AT,MATCH($S$1,'Data qoq'!$A$1:$AT$1,),))/100+1)^4)-1</f>
        <v>4.1117799416078959E-2</v>
      </c>
      <c r="T34" s="32">
        <f>(((VLOOKUP(B34,'Data qoq'!$A:$AT,MATCH($T$1,'Data qoq'!$A$1:$AT$1,),))/100+1)^4)-1</f>
        <v>5.1289014490429441E-2</v>
      </c>
      <c r="U34" s="32">
        <f>(((VLOOKUP(B34,'Data qoq'!$A:$AT,MATCH($U$1,'Data qoq'!$A$1:$AT$1,),))/100+1)^4)-1</f>
        <v>2.0191734251196136E-2</v>
      </c>
      <c r="V34" s="32">
        <f>(((VLOOKUP(B34,'Data qoq'!$A:$AT,MATCH($V$1,'Data qoq'!$A$1:$AT$1,),))/100+1)^4)-1</f>
        <v>0.13294136161535297</v>
      </c>
      <c r="W34" s="32">
        <f>(((VLOOKUP(B34,'Data qoq'!$A:$AT,MATCH($W$1,'Data qoq'!$A$1:$AT$1,),))/100+1)^4)-1</f>
        <v>0.13897897254800995</v>
      </c>
      <c r="X34" s="32">
        <f>(((VLOOKUP(B34,'Data qoq'!$A:$AT,MATCH($X$1,'Data qoq'!$A$1:$AT$1,),))/100+1)^4)-1</f>
        <v>7.5127781053135889E-2</v>
      </c>
      <c r="Y34" s="32">
        <f>(((VLOOKUP(B34,'Data qoq'!$A:$AT,MATCH($Y$1,'Data qoq'!$A$1:$AT$1,),))/100+1)^4)-1</f>
        <v>7.5630926087270733E-2</v>
      </c>
      <c r="Z34" s="32">
        <f>(((VLOOKUP(B34,'Data qoq'!$A:$AU,MATCH($Z$1,'Data qoq'!$A$1:$AU$1,),))/100+1)^4)-1</f>
        <v>8.2910755976350448E-2</v>
      </c>
      <c r="AA34" s="32">
        <f>(((VLOOKUP(B34,'Data qoq'!$A:$AU,MATCH($AA$1,'Data qoq'!$A$1:$AU$1,),))/100+1)^4)-1</f>
        <v>-1.6006925242041503E-2</v>
      </c>
      <c r="AC34" s="26" t="str">
        <f t="shared" si="6"/>
        <v>2005-Q4</v>
      </c>
      <c r="AD34" s="31">
        <f t="shared" si="7"/>
        <v>-1.8093537344749056E-2</v>
      </c>
      <c r="AE34" s="27"/>
    </row>
    <row r="35" spans="1:31" hidden="1" x14ac:dyDescent="0.2">
      <c r="A35" s="30">
        <v>38777</v>
      </c>
      <c r="B35" s="24" t="s">
        <v>301</v>
      </c>
      <c r="C35" s="32">
        <f>(((VLOOKUP(B35,'Data qoq'!$A:$AT,MATCH($C$1,'Data qoq'!$A$1:$AT$1,),))/100+1)^4)-1</f>
        <v>5.5047830422783273E-2</v>
      </c>
      <c r="D35" s="32">
        <f>(((VLOOKUP(B35,'Data qoq'!$A:$AT,MATCH($D$1,'Data qoq'!$A$1:$AT$1,),))/100+1)^4)-1</f>
        <v>0</v>
      </c>
      <c r="E35" s="32">
        <f>(((VLOOKUP(B35,'Data qoq'!$A:$AT,MATCH($E$1,'Data qoq'!$A$1:$AT$1,),))/100+1)^4)-1</f>
        <v>3.5507595968875538E-2</v>
      </c>
      <c r="F35" s="32">
        <f>(((VLOOKUP(B35,'Data qoq'!$A:$AT,MATCH($F$1,'Data qoq'!$A$1:$AT$1,),))/100+1)^4)-1</f>
        <v>6.1657550218339185E-3</v>
      </c>
      <c r="G35" s="32">
        <f>(((VLOOKUP(B35,'Data qoq'!$A:$AT,MATCH($G$1,'Data qoq'!$A$1:$AT$1,),))/100+1)^4)-1</f>
        <v>3.9246409061111764E-2</v>
      </c>
      <c r="H35" s="32">
        <f>(((VLOOKUP(B35,'Data qoq'!$A:$AT,MATCH($H$1,'Data qoq'!$A$1:$AT$1,),))/100+1)^4)-1</f>
        <v>3.0992336458911085E-2</v>
      </c>
      <c r="I35" s="32">
        <f>(((VLOOKUP(B35,'Data qoq'!$A:$AT,MATCH($I$1,'Data qoq'!$A$1:$AT$1,),))/100+1)^4)-1</f>
        <v>2.1367606225372704E-2</v>
      </c>
      <c r="J35" s="32">
        <f>(((VLOOKUP(B35,'Data qoq'!$A:$AT,MATCH($J$1,'Data qoq'!$A$1:$AT$1,),))/100+1)^4)-1</f>
        <v>8.8009805666358076E-3</v>
      </c>
      <c r="K35" s="32">
        <f>(((VLOOKUP(B35,'Data qoq'!$A:$AT,MATCH($K$1,'Data qoq'!$A$1:$AT$1,),))/100+1)^4)-1</f>
        <v>4.6596940854899183E-2</v>
      </c>
      <c r="L35" s="32">
        <f>(((VLOOKUP(B35,'Data qoq'!$A:$AT,MATCH($L$1,'Data qoq'!$A$1:$AT$1,),))/100+1)^4)-1</f>
        <v>6.345831024349291E-2</v>
      </c>
      <c r="M35" s="32">
        <f>(((VLOOKUP(B35,'Data qoq'!$A:$AT,MATCH($M$1,'Data qoq'!$A$1:$AT$1,),))/100+1)^4)-1</f>
        <v>7.2204172335873507E-2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4.7550924864918631E-3</v>
      </c>
      <c r="R35" s="32">
        <f>(((VLOOKUP(B35,'Data qoq'!$A:$AT,MATCH($R$1,'Data qoq'!$A$1:$AT$1,),))/100+1)^4)-1</f>
        <v>4.5168189973606276E-2</v>
      </c>
      <c r="S35" s="32">
        <f>(((VLOOKUP(B35,'Data qoq'!$A:$AT,MATCH($S$1,'Data qoq'!$A$1:$AT$1,),))/100+1)^4)-1</f>
        <v>6.7194395995877398E-2</v>
      </c>
      <c r="T35" s="32">
        <f>(((VLOOKUP(B35,'Data qoq'!$A:$AT,MATCH($T$1,'Data qoq'!$A$1:$AT$1,),))/100+1)^4)-1</f>
        <v>6.9979637599754563E-2</v>
      </c>
      <c r="U35" s="32">
        <f>(((VLOOKUP(B35,'Data qoq'!$A:$AT,MATCH($U$1,'Data qoq'!$A$1:$AT$1,),))/100+1)^4)-1</f>
        <v>0.1368379209151287</v>
      </c>
      <c r="V35" s="32">
        <f>(((VLOOKUP(B35,'Data qoq'!$A:$AT,MATCH($V$1,'Data qoq'!$A$1:$AT$1,),))/100+1)^4)-1</f>
        <v>7.2107711112684436E-2</v>
      </c>
      <c r="W35" s="32">
        <f>(((VLOOKUP(B35,'Data qoq'!$A:$AT,MATCH($W$1,'Data qoq'!$A$1:$AT$1,),))/100+1)^4)-1</f>
        <v>4.6598152710893848E-2</v>
      </c>
      <c r="X35" s="32">
        <f>(((VLOOKUP(B35,'Data qoq'!$A:$AT,MATCH($X$1,'Data qoq'!$A$1:$AT$1,),))/100+1)^4)-1</f>
        <v>7.2189579932468106E-2</v>
      </c>
      <c r="Y35" s="32">
        <f>(((VLOOKUP(B35,'Data qoq'!$A:$AT,MATCH($Y$1,'Data qoq'!$A$1:$AT$1,),))/100+1)^4)-1</f>
        <v>6.1502513422016403E-2</v>
      </c>
      <c r="Z35" s="32">
        <f>(((VLOOKUP(B35,'Data qoq'!$A:$AU,MATCH($Z$1,'Data qoq'!$A$1:$AU$1,),))/100+1)^4)-1</f>
        <v>0.10766840005008116</v>
      </c>
      <c r="AA35" s="32">
        <f>(((VLOOKUP(B35,'Data qoq'!$A:$AU,MATCH($AA$1,'Data qoq'!$A$1:$AU$1,),))/100+1)^4)-1</f>
        <v>6.7407479517568758E-2</v>
      </c>
      <c r="AC35" s="26" t="str">
        <f t="shared" si="6"/>
        <v>2006-Q1</v>
      </c>
      <c r="AD35" s="31">
        <f t="shared" si="7"/>
        <v>1.4139989743502834E-2</v>
      </c>
      <c r="AE35" s="27"/>
    </row>
    <row r="36" spans="1:31" hidden="1" x14ac:dyDescent="0.2">
      <c r="A36" s="30">
        <v>38869</v>
      </c>
      <c r="B36" s="24" t="s">
        <v>302</v>
      </c>
      <c r="C36" s="32">
        <f>(((VLOOKUP(B36,'Data qoq'!$A:$AT,MATCH($C$1,'Data qoq'!$A$1:$AT$1,),))/100+1)^4)-1</f>
        <v>9.8595953436981798E-3</v>
      </c>
      <c r="D36" s="32">
        <f>(((VLOOKUP(B36,'Data qoq'!$A:$AT,MATCH($D$1,'Data qoq'!$A$1:$AT$1,),))/100+1)^4)-1</f>
        <v>0</v>
      </c>
      <c r="E36" s="32">
        <f>(((VLOOKUP(B36,'Data qoq'!$A:$AT,MATCH($E$1,'Data qoq'!$A$1:$AT$1,),))/100+1)^4)-1</f>
        <v>4.4674256764954068E-2</v>
      </c>
      <c r="F36" s="32">
        <f>(((VLOOKUP(B36,'Data qoq'!$A:$AT,MATCH($F$1,'Data qoq'!$A$1:$AT$1,),))/100+1)^4)-1</f>
        <v>6.5758776899045301E-3</v>
      </c>
      <c r="G36" s="32">
        <f>(((VLOOKUP(B36,'Data qoq'!$A:$AT,MATCH($G$1,'Data qoq'!$A$1:$AT$1,),))/100+1)^4)-1</f>
        <v>7.0712009757274874E-2</v>
      </c>
      <c r="H36" s="32">
        <f>(((VLOOKUP(B36,'Data qoq'!$A:$AT,MATCH($H$1,'Data qoq'!$A$1:$AT$1,),))/100+1)^4)-1</f>
        <v>4.062628128879564E-2</v>
      </c>
      <c r="I36" s="32">
        <f>(((VLOOKUP(B36,'Data qoq'!$A:$AT,MATCH($I$1,'Data qoq'!$A$1:$AT$1,),))/100+1)^4)-1</f>
        <v>1.3911226625189288E-2</v>
      </c>
      <c r="J36" s="32">
        <f>(((VLOOKUP(B36,'Data qoq'!$A:$AT,MATCH($J$1,'Data qoq'!$A$1:$AT$1,),))/100+1)^4)-1</f>
        <v>2.724100804605234E-2</v>
      </c>
      <c r="K36" s="32">
        <f>(((VLOOKUP(B36,'Data qoq'!$A:$AT,MATCH($K$1,'Data qoq'!$A$1:$AT$1,),))/100+1)^4)-1</f>
        <v>3.9335866543422915E-2</v>
      </c>
      <c r="L36" s="32">
        <f>(((VLOOKUP(B36,'Data qoq'!$A:$AT,MATCH($L$1,'Data qoq'!$A$1:$AT$1,),))/100+1)^4)-1</f>
        <v>6.6354827420635809E-2</v>
      </c>
      <c r="M36" s="32">
        <f>(((VLOOKUP(B36,'Data qoq'!$A:$AT,MATCH($M$1,'Data qoq'!$A$1:$AT$1,),))/100+1)^4)-1</f>
        <v>3.9475991314527281E-2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7.5201173101477892E-3</v>
      </c>
      <c r="R36" s="32">
        <f>(((VLOOKUP(B36,'Data qoq'!$A:$AT,MATCH($R$1,'Data qoq'!$A$1:$AT$1,),))/100+1)^4)-1</f>
        <v>3.465669603334498E-2</v>
      </c>
      <c r="S36" s="32">
        <f>(((VLOOKUP(B36,'Data qoq'!$A:$AT,MATCH($S$1,'Data qoq'!$A$1:$AT$1,),))/100+1)^4)-1</f>
        <v>2.9545911484218479E-2</v>
      </c>
      <c r="T36" s="32">
        <f>(((VLOOKUP(B36,'Data qoq'!$A:$AT,MATCH($T$1,'Data qoq'!$A$1:$AT$1,),))/100+1)^4)-1</f>
        <v>1.0068552198105651E-2</v>
      </c>
      <c r="U36" s="32">
        <f>(((VLOOKUP(B36,'Data qoq'!$A:$AT,MATCH($U$1,'Data qoq'!$A$1:$AT$1,),))/100+1)^4)-1</f>
        <v>1.2338704333578976E-2</v>
      </c>
      <c r="V36" s="32">
        <f>(((VLOOKUP(B36,'Data qoq'!$A:$AT,MATCH($V$1,'Data qoq'!$A$1:$AT$1,),))/100+1)^4)-1</f>
        <v>1.1234638803424124E-2</v>
      </c>
      <c r="W36" s="32">
        <f>(((VLOOKUP(B36,'Data qoq'!$A:$AT,MATCH($W$1,'Data qoq'!$A$1:$AT$1,),))/100+1)^4)-1</f>
        <v>0.1275261189976824</v>
      </c>
      <c r="X36" s="32">
        <f>(((VLOOKUP(B36,'Data qoq'!$A:$AT,MATCH($X$1,'Data qoq'!$A$1:$AT$1,),))/100+1)^4)-1</f>
        <v>8.3944201937545815E-2</v>
      </c>
      <c r="Y36" s="32">
        <f>(((VLOOKUP(B36,'Data qoq'!$A:$AT,MATCH($Y$1,'Data qoq'!$A$1:$AT$1,),))/100+1)^4)-1</f>
        <v>9.5212090378498981E-2</v>
      </c>
      <c r="Z36" s="32">
        <f>(((VLOOKUP(B36,'Data qoq'!$A:$AU,MATCH($Z$1,'Data qoq'!$A$1:$AU$1,),))/100+1)^4)-1</f>
        <v>4.852771969929659E-2</v>
      </c>
      <c r="AA36" s="32">
        <f>(((VLOOKUP(B36,'Data qoq'!$A:$AU,MATCH($AA$1,'Data qoq'!$A$1:$AU$1,),))/100+1)^4)-1</f>
        <v>1.8383245165853657E-2</v>
      </c>
      <c r="AC36" s="26" t="str">
        <f t="shared" si="6"/>
        <v>2006-Q2</v>
      </c>
      <c r="AD36" s="31">
        <f t="shared" si="7"/>
        <v>3.076303013976478E-2</v>
      </c>
      <c r="AE36" s="27"/>
    </row>
    <row r="37" spans="1:31" hidden="1" x14ac:dyDescent="0.2">
      <c r="A37" s="30">
        <v>38961</v>
      </c>
      <c r="B37" s="24" t="s">
        <v>303</v>
      </c>
      <c r="C37" s="32">
        <f>(((VLOOKUP(B37,'Data qoq'!$A:$AT,MATCH($C$1,'Data qoq'!$A$1:$AT$1,),))/100+1)^4)-1</f>
        <v>6.0318433873747246E-3</v>
      </c>
      <c r="D37" s="32">
        <f>(((VLOOKUP(B37,'Data qoq'!$A:$AT,MATCH($D$1,'Data qoq'!$A$1:$AT$1,),))/100+1)^4)-1</f>
        <v>0</v>
      </c>
      <c r="E37" s="32">
        <f>(((VLOOKUP(B37,'Data qoq'!$A:$AT,MATCH($E$1,'Data qoq'!$A$1:$AT$1,),))/100+1)^4)-1</f>
        <v>2.33451136284899E-2</v>
      </c>
      <c r="F37" s="32">
        <f>(((VLOOKUP(B37,'Data qoq'!$A:$AT,MATCH($F$1,'Data qoq'!$A$1:$AT$1,),))/100+1)^4)-1</f>
        <v>-7.9573805295648503E-3</v>
      </c>
      <c r="G37" s="32">
        <f>(((VLOOKUP(B37,'Data qoq'!$A:$AT,MATCH($G$1,'Data qoq'!$A$1:$AT$1,),))/100+1)^4)-1</f>
        <v>3.1108691907771213E-2</v>
      </c>
      <c r="H37" s="32">
        <f>(((VLOOKUP(B37,'Data qoq'!$A:$AT,MATCH($H$1,'Data qoq'!$A$1:$AT$1,),))/100+1)^4)-1</f>
        <v>4.7218626692946408E-4</v>
      </c>
      <c r="I37" s="32">
        <f>(((VLOOKUP(B37,'Data qoq'!$A:$AT,MATCH($I$1,'Data qoq'!$A$1:$AT$1,),))/100+1)^4)-1</f>
        <v>9.3343488797434926E-3</v>
      </c>
      <c r="J37" s="32">
        <f>(((VLOOKUP(B37,'Data qoq'!$A:$AT,MATCH($J$1,'Data qoq'!$A$1:$AT$1,),))/100+1)^4)-1</f>
        <v>1.7240465078148581E-2</v>
      </c>
      <c r="K37" s="32">
        <f>(((VLOOKUP(B37,'Data qoq'!$A:$AT,MATCH($K$1,'Data qoq'!$A$1:$AT$1,),))/100+1)^4)-1</f>
        <v>3.768679438523681E-2</v>
      </c>
      <c r="L37" s="32">
        <f>(((VLOOKUP(B37,'Data qoq'!$A:$AT,MATCH($L$1,'Data qoq'!$A$1:$AT$1,),))/100+1)^4)-1</f>
        <v>4.836317846377991E-2</v>
      </c>
      <c r="M37" s="32">
        <f>(((VLOOKUP(B37,'Data qoq'!$A:$AT,MATCH($M$1,'Data qoq'!$A$1:$AT$1,),))/100+1)^4)-1</f>
        <v>1.1120920131489909E-2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6.0904837073108675E-2</v>
      </c>
      <c r="R37" s="32">
        <f>(((VLOOKUP(B37,'Data qoq'!$A:$AT,MATCH($R$1,'Data qoq'!$A$1:$AT$1,),))/100+1)^4)-1</f>
        <v>3.4657509885908544E-2</v>
      </c>
      <c r="S37" s="32">
        <f>(((VLOOKUP(B37,'Data qoq'!$A:$AT,MATCH($S$1,'Data qoq'!$A$1:$AT$1,),))/100+1)^4)-1</f>
        <v>6.613799268876619E-2</v>
      </c>
      <c r="T37" s="32">
        <f>(((VLOOKUP(B37,'Data qoq'!$A:$AT,MATCH($T$1,'Data qoq'!$A$1:$AT$1,),))/100+1)^4)-1</f>
        <v>6.6805071674019612E-2</v>
      </c>
      <c r="U37" s="32">
        <f>(((VLOOKUP(B37,'Data qoq'!$A:$AT,MATCH($U$1,'Data qoq'!$A$1:$AT$1,),))/100+1)^4)-1</f>
        <v>1.9234763142594646E-2</v>
      </c>
      <c r="V37" s="32">
        <f>(((VLOOKUP(B37,'Data qoq'!$A:$AT,MATCH($V$1,'Data qoq'!$A$1:$AT$1,),))/100+1)^4)-1</f>
        <v>4.8103316407864805E-2</v>
      </c>
      <c r="W37" s="32">
        <f>(((VLOOKUP(B37,'Data qoq'!$A:$AT,MATCH($W$1,'Data qoq'!$A$1:$AT$1,),))/100+1)^4)-1</f>
        <v>-2.9800507487606209E-2</v>
      </c>
      <c r="X37" s="32">
        <f>(((VLOOKUP(B37,'Data qoq'!$A:$AT,MATCH($X$1,'Data qoq'!$A$1:$AT$1,),))/100+1)^4)-1</f>
        <v>5.1775363647534212E-2</v>
      </c>
      <c r="Y37" s="32">
        <f>(((VLOOKUP(B37,'Data qoq'!$A:$AT,MATCH($Y$1,'Data qoq'!$A$1:$AT$1,),))/100+1)^4)-1</f>
        <v>6.7695550373904068E-2</v>
      </c>
      <c r="Z37" s="32">
        <f>(((VLOOKUP(B37,'Data qoq'!$A:$AU,MATCH($Z$1,'Data qoq'!$A$1:$AU$1,),))/100+1)^4)-1</f>
        <v>0.11689979581963805</v>
      </c>
      <c r="AA37" s="32">
        <f>(((VLOOKUP(B37,'Data qoq'!$A:$AU,MATCH($AA$1,'Data qoq'!$A$1:$AU$1,),))/100+1)^4)-1</f>
        <v>2.5916134301772198E-2</v>
      </c>
      <c r="AC37" s="26" t="str">
        <f t="shared" si="6"/>
        <v>2006-Q3</v>
      </c>
      <c r="AD37" s="31">
        <f t="shared" si="7"/>
        <v>1.4010764748746407E-2</v>
      </c>
      <c r="AE37" s="27"/>
    </row>
    <row r="38" spans="1:31" hidden="1" x14ac:dyDescent="0.2">
      <c r="A38" s="30">
        <v>39052</v>
      </c>
      <c r="B38" s="24" t="s">
        <v>304</v>
      </c>
      <c r="C38" s="32">
        <f>(((VLOOKUP(B38,'Data qoq'!$A:$AT,MATCH($C$1,'Data qoq'!$A$1:$AT$1,),))/100+1)^4)-1</f>
        <v>3.4177984945622075E-2</v>
      </c>
      <c r="D38" s="32">
        <f>(((VLOOKUP(B38,'Data qoq'!$A:$AT,MATCH($D$1,'Data qoq'!$A$1:$AT$1,),))/100+1)^4)-1</f>
        <v>0</v>
      </c>
      <c r="E38" s="32">
        <f>(((VLOOKUP(B38,'Data qoq'!$A:$AT,MATCH($E$1,'Data qoq'!$A$1:$AT$1,),))/100+1)^4)-1</f>
        <v>4.7907920060662468E-2</v>
      </c>
      <c r="F38" s="32">
        <f>(((VLOOKUP(B38,'Data qoq'!$A:$AT,MATCH($F$1,'Data qoq'!$A$1:$AT$1,),))/100+1)^4)-1</f>
        <v>5.4637735183803215E-2</v>
      </c>
      <c r="G38" s="32">
        <f>(((VLOOKUP(B38,'Data qoq'!$A:$AT,MATCH($G$1,'Data qoq'!$A$1:$AT$1,),))/100+1)^4)-1</f>
        <v>6.1983238648990691E-2</v>
      </c>
      <c r="H38" s="32">
        <f>(((VLOOKUP(B38,'Data qoq'!$A:$AT,MATCH($H$1,'Data qoq'!$A$1:$AT$1,),))/100+1)^4)-1</f>
        <v>3.2286203666346269E-2</v>
      </c>
      <c r="I38" s="32">
        <f>(((VLOOKUP(B38,'Data qoq'!$A:$AT,MATCH($I$1,'Data qoq'!$A$1:$AT$1,),))/100+1)^4)-1</f>
        <v>2.57660263061259E-2</v>
      </c>
      <c r="J38" s="32">
        <f>(((VLOOKUP(B38,'Data qoq'!$A:$AT,MATCH($J$1,'Data qoq'!$A$1:$AT$1,),))/100+1)^4)-1</f>
        <v>5.1839820865188235E-2</v>
      </c>
      <c r="K38" s="32">
        <f>(((VLOOKUP(B38,'Data qoq'!$A:$AT,MATCH($K$1,'Data qoq'!$A$1:$AT$1,),))/100+1)^4)-1</f>
        <v>3.901762923056018E-2</v>
      </c>
      <c r="L38" s="32">
        <f>(((VLOOKUP(B38,'Data qoq'!$A:$AT,MATCH($L$1,'Data qoq'!$A$1:$AT$1,),))/100+1)^4)-1</f>
        <v>2.6779801174945828E-2</v>
      </c>
      <c r="M38" s="32">
        <f>(((VLOOKUP(B38,'Data qoq'!$A:$AT,MATCH($M$1,'Data qoq'!$A$1:$AT$1,),))/100+1)^4)-1</f>
        <v>1.0022377019738071E-2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5.344976085909714E-2</v>
      </c>
      <c r="R38" s="32">
        <f>(((VLOOKUP(B38,'Data qoq'!$A:$AT,MATCH($R$1,'Data qoq'!$A$1:$AT$1,),))/100+1)^4)-1</f>
        <v>5.2834954142660928E-2</v>
      </c>
      <c r="S38" s="32">
        <f>(((VLOOKUP(B38,'Data qoq'!$A:$AT,MATCH($S$1,'Data qoq'!$A$1:$AT$1,),))/100+1)^4)-1</f>
        <v>3.1540640786499319E-2</v>
      </c>
      <c r="T38" s="32">
        <f>(((VLOOKUP(B38,'Data qoq'!$A:$AT,MATCH($T$1,'Data qoq'!$A$1:$AT$1,),))/100+1)^4)-1</f>
        <v>4.8325545179762175E-2</v>
      </c>
      <c r="U38" s="32">
        <f>(((VLOOKUP(B38,'Data qoq'!$A:$AT,MATCH($U$1,'Data qoq'!$A$1:$AT$1,),))/100+1)^4)-1</f>
        <v>0.10566373897334769</v>
      </c>
      <c r="V38" s="32">
        <f>(((VLOOKUP(B38,'Data qoq'!$A:$AT,MATCH($V$1,'Data qoq'!$A$1:$AT$1,),))/100+1)^4)-1</f>
        <v>1.2979296911199034E-2</v>
      </c>
      <c r="W38" s="32">
        <f>(((VLOOKUP(B38,'Data qoq'!$A:$AT,MATCH($W$1,'Data qoq'!$A$1:$AT$1,),))/100+1)^4)-1</f>
        <v>9.3455946723747685E-2</v>
      </c>
      <c r="X38" s="32">
        <f>(((VLOOKUP(B38,'Data qoq'!$A:$AT,MATCH($X$1,'Data qoq'!$A$1:$AT$1,),))/100+1)^4)-1</f>
        <v>5.2188141218598938E-2</v>
      </c>
      <c r="Y38" s="32">
        <f>(((VLOOKUP(B38,'Data qoq'!$A:$AT,MATCH($Y$1,'Data qoq'!$A$1:$AT$1,),))/100+1)^4)-1</f>
        <v>-5.861218484064501E-2</v>
      </c>
      <c r="Z38" s="32">
        <f>(((VLOOKUP(B38,'Data qoq'!$A:$AU,MATCH($Z$1,'Data qoq'!$A$1:$AU$1,),))/100+1)^4)-1</f>
        <v>9.0815168596278584E-2</v>
      </c>
      <c r="AA38" s="32">
        <f>(((VLOOKUP(B38,'Data qoq'!$A:$AU,MATCH($AA$1,'Data qoq'!$A$1:$AU$1,),))/100+1)^4)-1</f>
        <v>3.5749396343302209E-2</v>
      </c>
      <c r="AC38" s="26" t="str">
        <f t="shared" si="6"/>
        <v>2006-Q4</v>
      </c>
      <c r="AD38" s="31">
        <f t="shared" si="7"/>
        <v>2.2141893754536568E-2</v>
      </c>
      <c r="AE38" s="27"/>
    </row>
    <row r="39" spans="1:31" hidden="1" x14ac:dyDescent="0.2">
      <c r="A39" s="30">
        <v>39142</v>
      </c>
      <c r="B39" s="24" t="s">
        <v>305</v>
      </c>
      <c r="C39" s="32">
        <f>(((VLOOKUP(B39,'Data qoq'!$A:$AT,MATCH($C$1,'Data qoq'!$A$1:$AT$1,),))/100+1)^4)-1</f>
        <v>1.1795775922242457E-2</v>
      </c>
      <c r="D39" s="32">
        <f>(((VLOOKUP(B39,'Data qoq'!$A:$AT,MATCH($D$1,'Data qoq'!$A$1:$AT$1,),))/100+1)^4)-1</f>
        <v>0</v>
      </c>
      <c r="E39" s="32">
        <f>(((VLOOKUP(B39,'Data qoq'!$A:$AT,MATCH($E$1,'Data qoq'!$A$1:$AT$1,),))/100+1)^4)-1</f>
        <v>2.5283444477074868E-2</v>
      </c>
      <c r="F39" s="32">
        <f>(((VLOOKUP(B39,'Data qoq'!$A:$AT,MATCH($F$1,'Data qoq'!$A$1:$AT$1,),))/100+1)^4)-1</f>
        <v>2.6758341952143549E-2</v>
      </c>
      <c r="G39" s="32">
        <f>(((VLOOKUP(B39,'Data qoq'!$A:$AT,MATCH($G$1,'Data qoq'!$A$1:$AT$1,),))/100+1)^4)-1</f>
        <v>3.056690524514627E-3</v>
      </c>
      <c r="H39" s="32">
        <f>(((VLOOKUP(B39,'Data qoq'!$A:$AT,MATCH($H$1,'Data qoq'!$A$1:$AT$1,),))/100+1)^4)-1</f>
        <v>3.0079057544950105E-2</v>
      </c>
      <c r="I39" s="32">
        <f>(((VLOOKUP(B39,'Data qoq'!$A:$AT,MATCH($I$1,'Data qoq'!$A$1:$AT$1,),))/100+1)^4)-1</f>
        <v>3.1719995038870463E-2</v>
      </c>
      <c r="J39" s="32">
        <f>(((VLOOKUP(B39,'Data qoq'!$A:$AT,MATCH($J$1,'Data qoq'!$A$1:$AT$1,),))/100+1)^4)-1</f>
        <v>-6.167920515836256E-3</v>
      </c>
      <c r="K39" s="32">
        <f>(((VLOOKUP(B39,'Data qoq'!$A:$AT,MATCH($K$1,'Data qoq'!$A$1:$AT$1,),))/100+1)^4)-1</f>
        <v>3.7095766771283456E-2</v>
      </c>
      <c r="L39" s="32">
        <f>(((VLOOKUP(B39,'Data qoq'!$A:$AT,MATCH($L$1,'Data qoq'!$A$1:$AT$1,),))/100+1)^4)-1</f>
        <v>3.9444186947696691E-2</v>
      </c>
      <c r="M39" s="32">
        <f>(((VLOOKUP(B39,'Data qoq'!$A:$AT,MATCH($M$1,'Data qoq'!$A$1:$AT$1,),))/100+1)^4)-1</f>
        <v>2.8437575684447269E-2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5.6809880902119803E-2</v>
      </c>
      <c r="R39" s="32">
        <f>(((VLOOKUP(B39,'Data qoq'!$A:$AT,MATCH($R$1,'Data qoq'!$A$1:$AT$1,),))/100+1)^4)-1</f>
        <v>2.2773383869677755E-2</v>
      </c>
      <c r="S39" s="32">
        <f>(((VLOOKUP(B39,'Data qoq'!$A:$AT,MATCH($S$1,'Data qoq'!$A$1:$AT$1,),))/100+1)^4)-1</f>
        <v>6.8662041058624279E-2</v>
      </c>
      <c r="T39" s="32">
        <f>(((VLOOKUP(B39,'Data qoq'!$A:$AT,MATCH($T$1,'Data qoq'!$A$1:$AT$1,),))/100+1)^4)-1</f>
        <v>8.1948172205213776E-2</v>
      </c>
      <c r="U39" s="32">
        <f>(((VLOOKUP(B39,'Data qoq'!$A:$AT,MATCH($U$1,'Data qoq'!$A$1:$AT$1,),))/100+1)^4)-1</f>
        <v>-3.1043355594225108E-2</v>
      </c>
      <c r="V39" s="32">
        <f>(((VLOOKUP(B39,'Data qoq'!$A:$AT,MATCH($V$1,'Data qoq'!$A$1:$AT$1,),))/100+1)^4)-1</f>
        <v>0.25527055070485449</v>
      </c>
      <c r="W39" s="32">
        <f>(((VLOOKUP(B39,'Data qoq'!$A:$AT,MATCH($W$1,'Data qoq'!$A$1:$AT$1,),))/100+1)^4)-1</f>
        <v>7.4941738531141278E-2</v>
      </c>
      <c r="X39" s="32">
        <f>(((VLOOKUP(B39,'Data qoq'!$A:$AT,MATCH($X$1,'Data qoq'!$A$1:$AT$1,),))/100+1)^4)-1</f>
        <v>6.9055544638014776E-2</v>
      </c>
      <c r="Y39" s="32">
        <f>(((VLOOKUP(B39,'Data qoq'!$A:$AT,MATCH($Y$1,'Data qoq'!$A$1:$AT$1,),))/100+1)^4)-1</f>
        <v>0.19663210182508495</v>
      </c>
      <c r="Z39" s="32">
        <f>(((VLOOKUP(B39,'Data qoq'!$A:$AU,MATCH($Z$1,'Data qoq'!$A$1:$AU$1,),))/100+1)^4)-1</f>
        <v>9.5829311989632071E-2</v>
      </c>
      <c r="AA39" s="32">
        <f>(((VLOOKUP(B39,'Data qoq'!$A:$AU,MATCH($AA$1,'Data qoq'!$A$1:$AU$1,),))/100+1)^4)-1</f>
        <v>5.0124342959315449E-2</v>
      </c>
      <c r="AC39" s="26" t="str">
        <f t="shared" si="6"/>
        <v>2007-Q1</v>
      </c>
      <c r="AD39" s="31">
        <f t="shared" si="7"/>
        <v>-6.4365505617955954E-3</v>
      </c>
      <c r="AE39" s="27"/>
    </row>
    <row r="40" spans="1:31" hidden="1" x14ac:dyDescent="0.2">
      <c r="A40" s="30">
        <v>39234</v>
      </c>
      <c r="B40" s="24" t="s">
        <v>306</v>
      </c>
      <c r="C40" s="32">
        <f>(((VLOOKUP(B40,'Data qoq'!$A:$AT,MATCH($C$1,'Data qoq'!$A$1:$AT$1,),))/100+1)^4)-1</f>
        <v>2.5782982951032762E-2</v>
      </c>
      <c r="D40" s="32">
        <f>(((VLOOKUP(B40,'Data qoq'!$A:$AT,MATCH($D$1,'Data qoq'!$A$1:$AT$1,),))/100+1)^4)-1</f>
        <v>0</v>
      </c>
      <c r="E40" s="32">
        <f>(((VLOOKUP(B40,'Data qoq'!$A:$AT,MATCH($E$1,'Data qoq'!$A$1:$AT$1,),))/100+1)^4)-1</f>
        <v>2.9061734916792092E-2</v>
      </c>
      <c r="F40" s="32">
        <f>(((VLOOKUP(B40,'Data qoq'!$A:$AT,MATCH($F$1,'Data qoq'!$A$1:$AT$1,),))/100+1)^4)-1</f>
        <v>1.8730534278081912E-3</v>
      </c>
      <c r="G40" s="32">
        <f>(((VLOOKUP(B40,'Data qoq'!$A:$AT,MATCH($G$1,'Data qoq'!$A$1:$AT$1,),))/100+1)^4)-1</f>
        <v>3.3945860871504197E-2</v>
      </c>
      <c r="H40" s="32">
        <f>(((VLOOKUP(B40,'Data qoq'!$A:$AT,MATCH($H$1,'Data qoq'!$A$1:$AT$1,),))/100+1)^4)-1</f>
        <v>3.0599294821452183E-2</v>
      </c>
      <c r="I40" s="32">
        <f>(((VLOOKUP(B40,'Data qoq'!$A:$AT,MATCH($I$1,'Data qoq'!$A$1:$AT$1,),))/100+1)^4)-1</f>
        <v>1.8679338392989298E-2</v>
      </c>
      <c r="J40" s="32">
        <f>(((VLOOKUP(B40,'Data qoq'!$A:$AT,MATCH($J$1,'Data qoq'!$A$1:$AT$1,),))/100+1)^4)-1</f>
        <v>7.2023689081077702E-3</v>
      </c>
      <c r="K40" s="32">
        <f>(((VLOOKUP(B40,'Data qoq'!$A:$AT,MATCH($K$1,'Data qoq'!$A$1:$AT$1,),))/100+1)^4)-1</f>
        <v>3.6335070806449377E-2</v>
      </c>
      <c r="L40" s="32">
        <f>(((VLOOKUP(B40,'Data qoq'!$A:$AT,MATCH($L$1,'Data qoq'!$A$1:$AT$1,),))/100+1)^4)-1</f>
        <v>1.982232948416951E-2</v>
      </c>
      <c r="M40" s="32">
        <f>(((VLOOKUP(B40,'Data qoq'!$A:$AT,MATCH($M$1,'Data qoq'!$A$1:$AT$1,),))/100+1)^4)-1</f>
        <v>3.1123159724589566E-2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2.4533805720880597E-2</v>
      </c>
      <c r="R40" s="32">
        <f>(((VLOOKUP(B40,'Data qoq'!$A:$AT,MATCH($R$1,'Data qoq'!$A$1:$AT$1,),))/100+1)^4)-1</f>
        <v>5.9150470850146242E-2</v>
      </c>
      <c r="S40" s="32">
        <f>(((VLOOKUP(B40,'Data qoq'!$A:$AT,MATCH($S$1,'Data qoq'!$A$1:$AT$1,),))/100+1)^4)-1</f>
        <v>7.1028789100476386E-2</v>
      </c>
      <c r="T40" s="32">
        <f>(((VLOOKUP(B40,'Data qoq'!$A:$AT,MATCH($T$1,'Data qoq'!$A$1:$AT$1,),))/100+1)^4)-1</f>
        <v>6.3943327311807741E-2</v>
      </c>
      <c r="U40" s="32">
        <f>(((VLOOKUP(B40,'Data qoq'!$A:$AT,MATCH($U$1,'Data qoq'!$A$1:$AT$1,),))/100+1)^4)-1</f>
        <v>0.12165520988855727</v>
      </c>
      <c r="V40" s="32">
        <f>(((VLOOKUP(B40,'Data qoq'!$A:$AT,MATCH($V$1,'Data qoq'!$A$1:$AT$1,),))/100+1)^4)-1</f>
        <v>-5.855124556775182E-2</v>
      </c>
      <c r="W40" s="32">
        <f>(((VLOOKUP(B40,'Data qoq'!$A:$AT,MATCH($W$1,'Data qoq'!$A$1:$AT$1,),))/100+1)^4)-1</f>
        <v>1.2219798041721575E-3</v>
      </c>
      <c r="X40" s="32">
        <f>(((VLOOKUP(B40,'Data qoq'!$A:$AT,MATCH($X$1,'Data qoq'!$A$1:$AT$1,),))/100+1)^4)-1</f>
        <v>3.4386905895300135E-2</v>
      </c>
      <c r="Y40" s="32">
        <f>(((VLOOKUP(B40,'Data qoq'!$A:$AT,MATCH($Y$1,'Data qoq'!$A$1:$AT$1,),))/100+1)^4)-1</f>
        <v>4.6374786969316295E-2</v>
      </c>
      <c r="Z40" s="32">
        <f>(((VLOOKUP(B40,'Data qoq'!$A:$AU,MATCH($Z$1,'Data qoq'!$A$1:$AU$1,),))/100+1)^4)-1</f>
        <v>8.9008911634800736E-2</v>
      </c>
      <c r="AA40" s="32">
        <f>(((VLOOKUP(B40,'Data qoq'!$A:$AU,MATCH($AA$1,'Data qoq'!$A$1:$AU$1,),))/100+1)^4)-1</f>
        <v>3.6902510642357278E-2</v>
      </c>
      <c r="AC40" s="26" t="str">
        <f t="shared" si="6"/>
        <v>2007-Q2</v>
      </c>
      <c r="AD40" s="31">
        <f t="shared" si="7"/>
        <v>1.0382396523802795E-2</v>
      </c>
      <c r="AE40" s="27"/>
    </row>
    <row r="41" spans="1:31" hidden="1" x14ac:dyDescent="0.2">
      <c r="A41" s="30">
        <v>39326</v>
      </c>
      <c r="B41" s="24" t="s">
        <v>307</v>
      </c>
      <c r="C41" s="32">
        <f>(((VLOOKUP(B41,'Data qoq'!$A:$AT,MATCH($C$1,'Data qoq'!$A$1:$AT$1,),))/100+1)^4)-1</f>
        <v>2.4310805584600859E-2</v>
      </c>
      <c r="D41" s="32">
        <f>(((VLOOKUP(B41,'Data qoq'!$A:$AT,MATCH($D$1,'Data qoq'!$A$1:$AT$1,),))/100+1)^4)-1</f>
        <v>0</v>
      </c>
      <c r="E41" s="32">
        <f>(((VLOOKUP(B41,'Data qoq'!$A:$AT,MATCH($E$1,'Data qoq'!$A$1:$AT$1,),))/100+1)^4)-1</f>
        <v>1.7280870043802299E-2</v>
      </c>
      <c r="F41" s="32">
        <f>(((VLOOKUP(B41,'Data qoq'!$A:$AT,MATCH($F$1,'Data qoq'!$A$1:$AT$1,),))/100+1)^4)-1</f>
        <v>-2.1487409347332176E-2</v>
      </c>
      <c r="G41" s="32">
        <f>(((VLOOKUP(B41,'Data qoq'!$A:$AT,MATCH($G$1,'Data qoq'!$A$1:$AT$1,),))/100+1)^4)-1</f>
        <v>2.0008060155331631E-2</v>
      </c>
      <c r="H41" s="32">
        <f>(((VLOOKUP(B41,'Data qoq'!$A:$AT,MATCH($H$1,'Data qoq'!$A$1:$AT$1,),))/100+1)^4)-1</f>
        <v>1.4386992905680573E-2</v>
      </c>
      <c r="I41" s="32">
        <f>(((VLOOKUP(B41,'Data qoq'!$A:$AT,MATCH($I$1,'Data qoq'!$A$1:$AT$1,),))/100+1)^4)-1</f>
        <v>2.7578250166856888E-2</v>
      </c>
      <c r="J41" s="32">
        <f>(((VLOOKUP(B41,'Data qoq'!$A:$AT,MATCH($J$1,'Data qoq'!$A$1:$AT$1,),))/100+1)^4)-1</f>
        <v>9.0511507681527714E-3</v>
      </c>
      <c r="K41" s="32">
        <f>(((VLOOKUP(B41,'Data qoq'!$A:$AT,MATCH($K$1,'Data qoq'!$A$1:$AT$1,),))/100+1)^4)-1</f>
        <v>3.1025308731111423E-2</v>
      </c>
      <c r="L41" s="32">
        <f>(((VLOOKUP(B41,'Data qoq'!$A:$AT,MATCH($L$1,'Data qoq'!$A$1:$AT$1,),))/100+1)^4)-1</f>
        <v>3.1783927664865042E-2</v>
      </c>
      <c r="M41" s="32">
        <f>(((VLOOKUP(B41,'Data qoq'!$A:$AT,MATCH($M$1,'Data qoq'!$A$1:$AT$1,),))/100+1)^4)-1</f>
        <v>2.537526659998135E-2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4.6437322638996914E-2</v>
      </c>
      <c r="R41" s="32">
        <f>(((VLOOKUP(B41,'Data qoq'!$A:$AT,MATCH($R$1,'Data qoq'!$A$1:$AT$1,),))/100+1)^4)-1</f>
        <v>3.8254531598020947E-2</v>
      </c>
      <c r="S41" s="32">
        <f>(((VLOOKUP(B41,'Data qoq'!$A:$AT,MATCH($S$1,'Data qoq'!$A$1:$AT$1,),))/100+1)^4)-1</f>
        <v>4.7786474870416873E-2</v>
      </c>
      <c r="T41" s="32">
        <f>(((VLOOKUP(B41,'Data qoq'!$A:$AT,MATCH($T$1,'Data qoq'!$A$1:$AT$1,),))/100+1)^4)-1</f>
        <v>4.1844861467887684E-2</v>
      </c>
      <c r="U41" s="32">
        <f>(((VLOOKUP(B41,'Data qoq'!$A:$AT,MATCH($U$1,'Data qoq'!$A$1:$AT$1,),))/100+1)^4)-1</f>
        <v>-2.4692542329537104E-2</v>
      </c>
      <c r="V41" s="32">
        <f>(((VLOOKUP(B41,'Data qoq'!$A:$AT,MATCH($V$1,'Data qoq'!$A$1:$AT$1,),))/100+1)^4)-1</f>
        <v>-9.9175853975354444E-2</v>
      </c>
      <c r="W41" s="32">
        <f>(((VLOOKUP(B41,'Data qoq'!$A:$AT,MATCH($W$1,'Data qoq'!$A$1:$AT$1,),))/100+1)^4)-1</f>
        <v>2.3662906865193234E-2</v>
      </c>
      <c r="X41" s="32">
        <f>(((VLOOKUP(B41,'Data qoq'!$A:$AT,MATCH($X$1,'Data qoq'!$A$1:$AT$1,),))/100+1)^4)-1</f>
        <v>5.9770041656603823E-2</v>
      </c>
      <c r="Y41" s="32">
        <f>(((VLOOKUP(B41,'Data qoq'!$A:$AT,MATCH($Y$1,'Data qoq'!$A$1:$AT$1,),))/100+1)^4)-1</f>
        <v>6.963353552493623E-2</v>
      </c>
      <c r="Z41" s="32">
        <f>(((VLOOKUP(B41,'Data qoq'!$A:$AU,MATCH($Z$1,'Data qoq'!$A$1:$AU$1,),))/100+1)^4)-1</f>
        <v>5.5403292356178913E-2</v>
      </c>
      <c r="AA41" s="32">
        <f>(((VLOOKUP(B41,'Data qoq'!$A:$AU,MATCH($AA$1,'Data qoq'!$A$1:$AU$1,),))/100+1)^4)-1</f>
        <v>3.0073991760685814E-2</v>
      </c>
      <c r="AC41" s="26" t="str">
        <f t="shared" si="6"/>
        <v>2007-Q3</v>
      </c>
      <c r="AD41" s="31">
        <f t="shared" si="7"/>
        <v>-1.0297380123054589E-2</v>
      </c>
      <c r="AE41" s="27"/>
    </row>
    <row r="42" spans="1:31" hidden="1" x14ac:dyDescent="0.2">
      <c r="A42" s="30">
        <v>39417</v>
      </c>
      <c r="B42" s="24" t="s">
        <v>308</v>
      </c>
      <c r="C42" s="32">
        <f>(((VLOOKUP(B42,'Data qoq'!$A:$AT,MATCH($C$1,'Data qoq'!$A$1:$AT$1,),))/100+1)^4)-1</f>
        <v>2.4609667322921247E-2</v>
      </c>
      <c r="D42" s="32">
        <f>(((VLOOKUP(B42,'Data qoq'!$A:$AT,MATCH($D$1,'Data qoq'!$A$1:$AT$1,),))/100+1)^4)-1</f>
        <v>0</v>
      </c>
      <c r="E42" s="32">
        <f>(((VLOOKUP(B42,'Data qoq'!$A:$AT,MATCH($E$1,'Data qoq'!$A$1:$AT$1,),))/100+1)^4)-1</f>
        <v>2.1678355775272884E-2</v>
      </c>
      <c r="F42" s="32">
        <f>(((VLOOKUP(B42,'Data qoq'!$A:$AT,MATCH($F$1,'Data qoq'!$A$1:$AT$1,),))/100+1)^4)-1</f>
        <v>1.7006364294996024E-2</v>
      </c>
      <c r="G42" s="32">
        <f>(((VLOOKUP(B42,'Data qoq'!$A:$AT,MATCH($G$1,'Data qoq'!$A$1:$AT$1,),))/100+1)^4)-1</f>
        <v>2.6902540058866276E-2</v>
      </c>
      <c r="H42" s="32">
        <f>(((VLOOKUP(B42,'Data qoq'!$A:$AT,MATCH($H$1,'Data qoq'!$A$1:$AT$1,),))/100+1)^4)-1</f>
        <v>9.5039336172639821E-3</v>
      </c>
      <c r="I42" s="32">
        <f>(((VLOOKUP(B42,'Data qoq'!$A:$AT,MATCH($I$1,'Data qoq'!$A$1:$AT$1,),))/100+1)^4)-1</f>
        <v>1.5498423128117889E-2</v>
      </c>
      <c r="J42" s="32">
        <f>(((VLOOKUP(B42,'Data qoq'!$A:$AT,MATCH($J$1,'Data qoq'!$A$1:$AT$1,),))/100+1)^4)-1</f>
        <v>-1.3592465858539571E-2</v>
      </c>
      <c r="K42" s="32">
        <f>(((VLOOKUP(B42,'Data qoq'!$A:$AT,MATCH($K$1,'Data qoq'!$A$1:$AT$1,),))/100+1)^4)-1</f>
        <v>2.5962838856655068E-2</v>
      </c>
      <c r="L42" s="32">
        <f>(((VLOOKUP(B42,'Data qoq'!$A:$AT,MATCH($L$1,'Data qoq'!$A$1:$AT$1,),))/100+1)^4)-1</f>
        <v>4.6737738874544021E-2</v>
      </c>
      <c r="M42" s="32">
        <f>(((VLOOKUP(B42,'Data qoq'!$A:$AT,MATCH($M$1,'Data qoq'!$A$1:$AT$1,),))/100+1)^4)-1</f>
        <v>1.5834753987491679E-2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1.7670101570310237E-2</v>
      </c>
      <c r="R42" s="32">
        <f>(((VLOOKUP(B42,'Data qoq'!$A:$AT,MATCH($R$1,'Data qoq'!$A$1:$AT$1,),))/100+1)^4)-1</f>
        <v>4.3190990215796754E-2</v>
      </c>
      <c r="S42" s="32">
        <f>(((VLOOKUP(B42,'Data qoq'!$A:$AT,MATCH($S$1,'Data qoq'!$A$1:$AT$1,),))/100+1)^4)-1</f>
        <v>8.9109755075500008E-2</v>
      </c>
      <c r="T42" s="32">
        <f>(((VLOOKUP(B42,'Data qoq'!$A:$AT,MATCH($T$1,'Data qoq'!$A$1:$AT$1,),))/100+1)^4)-1</f>
        <v>6.3416928964059815E-2</v>
      </c>
      <c r="U42" s="32">
        <f>(((VLOOKUP(B42,'Data qoq'!$A:$AT,MATCH($U$1,'Data qoq'!$A$1:$AT$1,),))/100+1)^4)-1</f>
        <v>-1.968802174359896E-2</v>
      </c>
      <c r="V42" s="32">
        <f>(((VLOOKUP(B42,'Data qoq'!$A:$AT,MATCH($V$1,'Data qoq'!$A$1:$AT$1,),))/100+1)^4)-1</f>
        <v>0.17720789037169937</v>
      </c>
      <c r="W42" s="32">
        <f>(((VLOOKUP(B42,'Data qoq'!$A:$AT,MATCH($W$1,'Data qoq'!$A$1:$AT$1,),))/100+1)^4)-1</f>
        <v>0.14453677760350536</v>
      </c>
      <c r="X42" s="32">
        <f>(((VLOOKUP(B42,'Data qoq'!$A:$AT,MATCH($X$1,'Data qoq'!$A$1:$AT$1,),))/100+1)^4)-1</f>
        <v>4.8307754221247112E-2</v>
      </c>
      <c r="Y42" s="32">
        <f>(((VLOOKUP(B42,'Data qoq'!$A:$AT,MATCH($Y$1,'Data qoq'!$A$1:$AT$1,),))/100+1)^4)-1</f>
        <v>5.483293292230651E-2</v>
      </c>
      <c r="Z42" s="32">
        <f>(((VLOOKUP(B42,'Data qoq'!$A:$AU,MATCH($Z$1,'Data qoq'!$A$1:$AU$1,),))/100+1)^4)-1</f>
        <v>0.12873359771527038</v>
      </c>
      <c r="AA42" s="32">
        <f>(((VLOOKUP(B42,'Data qoq'!$A:$AU,MATCH($AA$1,'Data qoq'!$A$1:$AU$1,),))/100+1)^4)-1</f>
        <v>6.5875581781011938E-3</v>
      </c>
      <c r="AC42" s="26" t="str">
        <f t="shared" si="6"/>
        <v>2007-Q4</v>
      </c>
      <c r="AD42" s="31">
        <f t="shared" si="7"/>
        <v>6.1799326471549954E-3</v>
      </c>
      <c r="AE42" s="27"/>
    </row>
    <row r="43" spans="1:31" hidden="1" x14ac:dyDescent="0.2">
      <c r="A43" s="30">
        <v>39508</v>
      </c>
      <c r="B43" s="24" t="s">
        <v>309</v>
      </c>
      <c r="C43" s="32">
        <f>(((VLOOKUP(B43,'Data qoq'!$A:$AT,MATCH($C$1,'Data qoq'!$A$1:$AT$1,),))/100+1)^4)-1</f>
        <v>-1.6197849949850074E-2</v>
      </c>
      <c r="D43" s="32">
        <f>(((VLOOKUP(B43,'Data qoq'!$A:$AT,MATCH($D$1,'Data qoq'!$A$1:$AT$1,),))/100+1)^4)-1</f>
        <v>0</v>
      </c>
      <c r="E43" s="32">
        <f>(((VLOOKUP(B43,'Data qoq'!$A:$AT,MATCH($E$1,'Data qoq'!$A$1:$AT$1,),))/100+1)^4)-1</f>
        <v>1.910074982574228E-2</v>
      </c>
      <c r="F43" s="32">
        <f>(((VLOOKUP(B43,'Data qoq'!$A:$AT,MATCH($F$1,'Data qoq'!$A$1:$AT$1,),))/100+1)^4)-1</f>
        <v>1.4224728861900404E-2</v>
      </c>
      <c r="G43" s="32">
        <f>(((VLOOKUP(B43,'Data qoq'!$A:$AT,MATCH($G$1,'Data qoq'!$A$1:$AT$1,),))/100+1)^4)-1</f>
        <v>2.5417811898791109E-2</v>
      </c>
      <c r="H43" s="32">
        <f>(((VLOOKUP(B43,'Data qoq'!$A:$AT,MATCH($H$1,'Data qoq'!$A$1:$AT$1,),))/100+1)^4)-1</f>
        <v>1.5847427137736236E-2</v>
      </c>
      <c r="I43" s="32">
        <f>(((VLOOKUP(B43,'Data qoq'!$A:$AT,MATCH($I$1,'Data qoq'!$A$1:$AT$1,),))/100+1)^4)-1</f>
        <v>2.4350098870321801E-2</v>
      </c>
      <c r="J43" s="32">
        <f>(((VLOOKUP(B43,'Data qoq'!$A:$AT,MATCH($J$1,'Data qoq'!$A$1:$AT$1,),))/100+1)^4)-1</f>
        <v>4.5367825790155303E-2</v>
      </c>
      <c r="K43" s="32">
        <f>(((VLOOKUP(B43,'Data qoq'!$A:$AT,MATCH($K$1,'Data qoq'!$A$1:$AT$1,),))/100+1)^4)-1</f>
        <v>8.6586241724806445E-3</v>
      </c>
      <c r="L43" s="32">
        <f>(((VLOOKUP(B43,'Data qoq'!$A:$AT,MATCH($L$1,'Data qoq'!$A$1:$AT$1,),))/100+1)^4)-1</f>
        <v>-3.1804378774075048E-2</v>
      </c>
      <c r="M43" s="32">
        <f>(((VLOOKUP(B43,'Data qoq'!$A:$AT,MATCH($M$1,'Data qoq'!$A$1:$AT$1,),))/100+1)^4)-1</f>
        <v>-8.0444904424189501E-3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4.2050941240806994E-2</v>
      </c>
      <c r="R43" s="32">
        <f>(((VLOOKUP(B43,'Data qoq'!$A:$AT,MATCH($R$1,'Data qoq'!$A$1:$AT$1,),))/100+1)^4)-1</f>
        <v>3.4675023569390229E-2</v>
      </c>
      <c r="S43" s="32">
        <f>(((VLOOKUP(B43,'Data qoq'!$A:$AT,MATCH($S$1,'Data qoq'!$A$1:$AT$1,),))/100+1)^4)-1</f>
        <v>1.6193208180944829E-2</v>
      </c>
      <c r="T43" s="32">
        <f>(((VLOOKUP(B43,'Data qoq'!$A:$AT,MATCH($T$1,'Data qoq'!$A$1:$AT$1,),))/100+1)^4)-1</f>
        <v>4.6135027051607436E-2</v>
      </c>
      <c r="U43" s="32">
        <f>(((VLOOKUP(B43,'Data qoq'!$A:$AT,MATCH($U$1,'Data qoq'!$A$1:$AT$1,),))/100+1)^4)-1</f>
        <v>2.4689251694475001E-2</v>
      </c>
      <c r="V43" s="32">
        <f>(((VLOOKUP(B43,'Data qoq'!$A:$AT,MATCH($V$1,'Data qoq'!$A$1:$AT$1,),))/100+1)^4)-1</f>
        <v>-0.10320657079527906</v>
      </c>
      <c r="W43" s="32">
        <f>(((VLOOKUP(B43,'Data qoq'!$A:$AT,MATCH($W$1,'Data qoq'!$A$1:$AT$1,),))/100+1)^4)-1</f>
        <v>8.6959655243317613E-2</v>
      </c>
      <c r="X43" s="32">
        <f>(((VLOOKUP(B43,'Data qoq'!$A:$AT,MATCH($X$1,'Data qoq'!$A$1:$AT$1,),))/100+1)^4)-1</f>
        <v>2.1401692443874243E-2</v>
      </c>
      <c r="Y43" s="32">
        <f>(((VLOOKUP(B43,'Data qoq'!$A:$AT,MATCH($Y$1,'Data qoq'!$A$1:$AT$1,),))/100+1)^4)-1</f>
        <v>7.8943343559919832E-2</v>
      </c>
      <c r="Z43" s="32">
        <f>(((VLOOKUP(B43,'Data qoq'!$A:$AU,MATCH($Z$1,'Data qoq'!$A$1:$AU$1,),))/100+1)^4)-1</f>
        <v>3.6509294926610592E-2</v>
      </c>
      <c r="AA43" s="32">
        <f>(((VLOOKUP(B43,'Data qoq'!$A:$AU,MATCH($AA$1,'Data qoq'!$A$1:$AU$1,),))/100+1)^4)-1</f>
        <v>-1.2485856364482628E-2</v>
      </c>
      <c r="AC43" s="26" t="str">
        <f t="shared" ref="AC43:AC74" si="8">B43</f>
        <v>2008-Q1</v>
      </c>
      <c r="AD43" s="31">
        <f t="shared" ref="AD43:AD74" si="9">(VLOOKUP(AC43,B:Y,MATCH($AE$6,$B$1:$Y$1,),))-(VLOOKUP(AC43,B:Y,MATCH($AE$7,$B$1:$Y$1,),))</f>
        <v>-5.249349044579521E-3</v>
      </c>
      <c r="AE43" s="27"/>
    </row>
    <row r="44" spans="1:31" hidden="1" x14ac:dyDescent="0.2">
      <c r="A44" s="30">
        <v>39600</v>
      </c>
      <c r="B44" s="24" t="s">
        <v>310</v>
      </c>
      <c r="C44" s="32">
        <f>(((VLOOKUP(B44,'Data qoq'!$A:$AT,MATCH($C$1,'Data qoq'!$A$1:$AT$1,),))/100+1)^4)-1</f>
        <v>2.3089077807028735E-2</v>
      </c>
      <c r="D44" s="32">
        <f>(((VLOOKUP(B44,'Data qoq'!$A:$AT,MATCH($D$1,'Data qoq'!$A$1:$AT$1,),))/100+1)^4)-1</f>
        <v>0</v>
      </c>
      <c r="E44" s="32">
        <f>(((VLOOKUP(B44,'Data qoq'!$A:$AT,MATCH($E$1,'Data qoq'!$A$1:$AT$1,),))/100+1)^4)-1</f>
        <v>-1.2972887179836357E-2</v>
      </c>
      <c r="F44" s="32">
        <f>(((VLOOKUP(B44,'Data qoq'!$A:$AT,MATCH($F$1,'Data qoq'!$A$1:$AT$1,),))/100+1)^4)-1</f>
        <v>-2.250692908746732E-2</v>
      </c>
      <c r="G44" s="32">
        <f>(((VLOOKUP(B44,'Data qoq'!$A:$AT,MATCH($G$1,'Data qoq'!$A$1:$AT$1,),))/100+1)^4)-1</f>
        <v>-9.2971010668124743E-3</v>
      </c>
      <c r="H44" s="32">
        <f>(((VLOOKUP(B44,'Data qoq'!$A:$AT,MATCH($H$1,'Data qoq'!$A$1:$AT$1,),))/100+1)^4)-1</f>
        <v>-1.6976496344485947E-2</v>
      </c>
      <c r="I44" s="32">
        <f>(((VLOOKUP(B44,'Data qoq'!$A:$AT,MATCH($I$1,'Data qoq'!$A$1:$AT$1,),))/100+1)^4)-1</f>
        <v>-1.7898855207907793E-2</v>
      </c>
      <c r="J44" s="32">
        <f>(((VLOOKUP(B44,'Data qoq'!$A:$AT,MATCH($J$1,'Data qoq'!$A$1:$AT$1,),))/100+1)^4)-1</f>
        <v>-3.7312246498431012E-2</v>
      </c>
      <c r="K44" s="32">
        <f>(((VLOOKUP(B44,'Data qoq'!$A:$AT,MATCH($K$1,'Data qoq'!$A$1:$AT$1,),))/100+1)^4)-1</f>
        <v>4.3772580540031303E-3</v>
      </c>
      <c r="L44" s="32">
        <f>(((VLOOKUP(B44,'Data qoq'!$A:$AT,MATCH($L$1,'Data qoq'!$A$1:$AT$1,),))/100+1)^4)-1</f>
        <v>-8.8517498265894279E-4</v>
      </c>
      <c r="M44" s="32">
        <f>(((VLOOKUP(B44,'Data qoq'!$A:$AT,MATCH($M$1,'Data qoq'!$A$1:$AT$1,),))/100+1)^4)-1</f>
        <v>3.0989811723097782E-2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1.1482790703130297E-2</v>
      </c>
      <c r="R44" s="32">
        <f>(((VLOOKUP(B44,'Data qoq'!$A:$AT,MATCH($R$1,'Data qoq'!$A$1:$AT$1,),))/100+1)^4)-1</f>
        <v>3.6413356099574079E-2</v>
      </c>
      <c r="S44" s="32">
        <f>(((VLOOKUP(B44,'Data qoq'!$A:$AT,MATCH($S$1,'Data qoq'!$A$1:$AT$1,),))/100+1)^4)-1</f>
        <v>2.1103909038446167E-2</v>
      </c>
      <c r="T44" s="32">
        <f>(((VLOOKUP(B44,'Data qoq'!$A:$AT,MATCH($T$1,'Data qoq'!$A$1:$AT$1,),))/100+1)^4)-1</f>
        <v>9.6170787245567713E-2</v>
      </c>
      <c r="U44" s="32">
        <f>(((VLOOKUP(B44,'Data qoq'!$A:$AT,MATCH($U$1,'Data qoq'!$A$1:$AT$1,),))/100+1)^4)-1</f>
        <v>-2.5344947265725559E-2</v>
      </c>
      <c r="V44" s="32">
        <f>(((VLOOKUP(B44,'Data qoq'!$A:$AT,MATCH($V$1,'Data qoq'!$A$1:$AT$1,),))/100+1)^4)-1</f>
        <v>-9.5408837537113822E-2</v>
      </c>
      <c r="W44" s="32">
        <f>(((VLOOKUP(B44,'Data qoq'!$A:$AT,MATCH($W$1,'Data qoq'!$A$1:$AT$1,),))/100+1)^4)-1</f>
        <v>-0.13456556967107314</v>
      </c>
      <c r="X44" s="32">
        <f>(((VLOOKUP(B44,'Data qoq'!$A:$AT,MATCH($X$1,'Data qoq'!$A$1:$AT$1,),))/100+1)^4)-1</f>
        <v>2.7543661777435835E-2</v>
      </c>
      <c r="Y44" s="32">
        <f>(((VLOOKUP(B44,'Data qoq'!$A:$AT,MATCH($Y$1,'Data qoq'!$A$1:$AT$1,),))/100+1)^4)-1</f>
        <v>9.7586054185445636E-3</v>
      </c>
      <c r="Z44" s="32">
        <f>(((VLOOKUP(B44,'Data qoq'!$A:$AU,MATCH($Z$1,'Data qoq'!$A$1:$AU$1,),))/100+1)^4)-1</f>
        <v>2.3363849599304043E-2</v>
      </c>
      <c r="AA44" s="32">
        <f>(((VLOOKUP(B44,'Data qoq'!$A:$AU,MATCH($AA$1,'Data qoq'!$A$1:$AU$1,),))/100+1)^4)-1</f>
        <v>-1.1996107650426913E-2</v>
      </c>
      <c r="AC44" s="26" t="str">
        <f t="shared" si="8"/>
        <v>2008-Q2</v>
      </c>
      <c r="AD44" s="31">
        <f t="shared" si="9"/>
        <v>4.9259680280714369E-3</v>
      </c>
      <c r="AE44" s="27"/>
    </row>
    <row r="45" spans="1:31" hidden="1" x14ac:dyDescent="0.2">
      <c r="A45" s="30">
        <v>39692</v>
      </c>
      <c r="B45" s="24" t="s">
        <v>311</v>
      </c>
      <c r="C45" s="32">
        <f>(((VLOOKUP(B45,'Data qoq'!$A:$AT,MATCH($C$1,'Data qoq'!$A$1:$AT$1,),))/100+1)^4)-1</f>
        <v>-2.0909730727059928E-2</v>
      </c>
      <c r="D45" s="32">
        <f>(((VLOOKUP(B45,'Data qoq'!$A:$AT,MATCH($D$1,'Data qoq'!$A$1:$AT$1,),))/100+1)^4)-1</f>
        <v>0</v>
      </c>
      <c r="E45" s="32">
        <f>(((VLOOKUP(B45,'Data qoq'!$A:$AT,MATCH($E$1,'Data qoq'!$A$1:$AT$1,),))/100+1)^4)-1</f>
        <v>-2.1245998811359246E-2</v>
      </c>
      <c r="F45" s="32">
        <f>(((VLOOKUP(B45,'Data qoq'!$A:$AT,MATCH($F$1,'Data qoq'!$A$1:$AT$1,),))/100+1)^4)-1</f>
        <v>-4.8882301800291406E-2</v>
      </c>
      <c r="G45" s="32">
        <f>(((VLOOKUP(B45,'Data qoq'!$A:$AT,MATCH($G$1,'Data qoq'!$A$1:$AT$1,),))/100+1)^4)-1</f>
        <v>-2.5678918960155728E-2</v>
      </c>
      <c r="H45" s="32">
        <f>(((VLOOKUP(B45,'Data qoq'!$A:$AT,MATCH($H$1,'Data qoq'!$A$1:$AT$1,),))/100+1)^4)-1</f>
        <v>-1.1026373857698557E-2</v>
      </c>
      <c r="I45" s="32">
        <f>(((VLOOKUP(B45,'Data qoq'!$A:$AT,MATCH($I$1,'Data qoq'!$A$1:$AT$1,),))/100+1)^4)-1</f>
        <v>-5.8289475796754808E-2</v>
      </c>
      <c r="J45" s="32">
        <f>(((VLOOKUP(B45,'Data qoq'!$A:$AT,MATCH($J$1,'Data qoq'!$A$1:$AT$1,),))/100+1)^4)-1</f>
        <v>-4.8380036383926517E-2</v>
      </c>
      <c r="K45" s="32">
        <f>(((VLOOKUP(B45,'Data qoq'!$A:$AT,MATCH($K$1,'Data qoq'!$A$1:$AT$1,),))/100+1)^4)-1</f>
        <v>-7.3452726429104054E-3</v>
      </c>
      <c r="L45" s="32">
        <f>(((VLOOKUP(B45,'Data qoq'!$A:$AT,MATCH($L$1,'Data qoq'!$A$1:$AT$1,),))/100+1)^4)-1</f>
        <v>-2.0714587923870598E-2</v>
      </c>
      <c r="M45" s="32">
        <f>(((VLOOKUP(B45,'Data qoq'!$A:$AT,MATCH($M$1,'Data qoq'!$A$1:$AT$1,),))/100+1)^4)-1</f>
        <v>1.2912944751333644E-2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2.8668889853649571E-2</v>
      </c>
      <c r="R45" s="32">
        <f>(((VLOOKUP(B45,'Data qoq'!$A:$AT,MATCH($R$1,'Data qoq'!$A$1:$AT$1,),))/100+1)^4)-1</f>
        <v>1.538913622316529E-2</v>
      </c>
      <c r="S45" s="32">
        <f>(((VLOOKUP(B45,'Data qoq'!$A:$AT,MATCH($S$1,'Data qoq'!$A$1:$AT$1,),))/100+1)^4)-1</f>
        <v>3.3036815680477671E-2</v>
      </c>
      <c r="T45" s="32">
        <f>(((VLOOKUP(B45,'Data qoq'!$A:$AT,MATCH($T$1,'Data qoq'!$A$1:$AT$1,),))/100+1)^4)-1</f>
        <v>5.9771994623552871E-2</v>
      </c>
      <c r="U45" s="32">
        <f>(((VLOOKUP(B45,'Data qoq'!$A:$AT,MATCH($U$1,'Data qoq'!$A$1:$AT$1,),))/100+1)^4)-1</f>
        <v>-3.8936275669441134E-3</v>
      </c>
      <c r="V45" s="32">
        <f>(((VLOOKUP(B45,'Data qoq'!$A:$AT,MATCH($V$1,'Data qoq'!$A$1:$AT$1,),))/100+1)^4)-1</f>
        <v>-3.3253916063507249E-2</v>
      </c>
      <c r="W45" s="32">
        <f>(((VLOOKUP(B45,'Data qoq'!$A:$AT,MATCH($W$1,'Data qoq'!$A$1:$AT$1,),))/100+1)^4)-1</f>
        <v>-7.0718070162514635E-2</v>
      </c>
      <c r="X45" s="32">
        <f>(((VLOOKUP(B45,'Data qoq'!$A:$AT,MATCH($X$1,'Data qoq'!$A$1:$AT$1,),))/100+1)^4)-1</f>
        <v>6.5424815386541102E-3</v>
      </c>
      <c r="Y45" s="32">
        <f>(((VLOOKUP(B45,'Data qoq'!$A:$AT,MATCH($Y$1,'Data qoq'!$A$1:$AT$1,),))/100+1)^4)-1</f>
        <v>-1.3394976522206448E-2</v>
      </c>
      <c r="Z45" s="32">
        <f>(((VLOOKUP(B45,'Data qoq'!$A:$AU,MATCH($Z$1,'Data qoq'!$A$1:$AU$1,),))/100+1)^4)-1</f>
        <v>3.2195176945458925E-2</v>
      </c>
      <c r="AA45" s="32">
        <f>(((VLOOKUP(B45,'Data qoq'!$A:$AU,MATCH($AA$1,'Data qoq'!$A$1:$AU$1,),))/100+1)^4)-1</f>
        <v>-1.3515411359064644E-2</v>
      </c>
      <c r="AC45" s="26" t="str">
        <f t="shared" si="8"/>
        <v>2008-Q3</v>
      </c>
      <c r="AD45" s="31">
        <f t="shared" si="9"/>
        <v>3.7043476985395563E-2</v>
      </c>
      <c r="AE45" s="27"/>
    </row>
    <row r="46" spans="1:31" hidden="1" x14ac:dyDescent="0.2">
      <c r="A46" s="30">
        <v>39783</v>
      </c>
      <c r="B46" s="24" t="s">
        <v>312</v>
      </c>
      <c r="C46" s="32">
        <f>(((VLOOKUP(B46,'Data qoq'!$A:$AT,MATCH($C$1,'Data qoq'!$A$1:$AT$1,),))/100+1)^4)-1</f>
        <v>-8.4505728691842252E-2</v>
      </c>
      <c r="D46" s="32">
        <f>(((VLOOKUP(B46,'Data qoq'!$A:$AT,MATCH($D$1,'Data qoq'!$A$1:$AT$1,),))/100+1)^4)-1</f>
        <v>0</v>
      </c>
      <c r="E46" s="32">
        <f>(((VLOOKUP(B46,'Data qoq'!$A:$AT,MATCH($E$1,'Data qoq'!$A$1:$AT$1,),))/100+1)^4)-1</f>
        <v>-6.9379937612339071E-2</v>
      </c>
      <c r="F46" s="32">
        <f>(((VLOOKUP(B46,'Data qoq'!$A:$AT,MATCH($F$1,'Data qoq'!$A$1:$AT$1,),))/100+1)^4)-1</f>
        <v>-9.5431392362761214E-2</v>
      </c>
      <c r="G46" s="32">
        <f>(((VLOOKUP(B46,'Data qoq'!$A:$AT,MATCH($G$1,'Data qoq'!$A$1:$AT$1,),))/100+1)^4)-1</f>
        <v>-6.2242344783301706E-2</v>
      </c>
      <c r="H46" s="32">
        <f>(((VLOOKUP(B46,'Data qoq'!$A:$AT,MATCH($H$1,'Data qoq'!$A$1:$AT$1,),))/100+1)^4)-1</f>
        <v>-5.6808741436268462E-2</v>
      </c>
      <c r="I46" s="32">
        <f>(((VLOOKUP(B46,'Data qoq'!$A:$AT,MATCH($I$1,'Data qoq'!$A$1:$AT$1,),))/100+1)^4)-1</f>
        <v>-7.7830579369857156E-2</v>
      </c>
      <c r="J46" s="32">
        <f>(((VLOOKUP(B46,'Data qoq'!$A:$AT,MATCH($J$1,'Data qoq'!$A$1:$AT$1,),))/100+1)^4)-1</f>
        <v>-0.10075482049687179</v>
      </c>
      <c r="K46" s="32">
        <f>(((VLOOKUP(B46,'Data qoq'!$A:$AT,MATCH($K$1,'Data qoq'!$A$1:$AT$1,),))/100+1)^4)-1</f>
        <v>-6.3014422586829655E-2</v>
      </c>
      <c r="L46" s="32">
        <f>(((VLOOKUP(B46,'Data qoq'!$A:$AT,MATCH($L$1,'Data qoq'!$A$1:$AT$1,),))/100+1)^4)-1</f>
        <v>-0.1341386836943117</v>
      </c>
      <c r="M46" s="32">
        <f>(((VLOOKUP(B46,'Data qoq'!$A:$AT,MATCH($M$1,'Data qoq'!$A$1:$AT$1,),))/100+1)^4)-1</f>
        <v>-6.3676880651847401E-2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-1.7689205064314595E-2</v>
      </c>
      <c r="R46" s="32">
        <f>(((VLOOKUP(B46,'Data qoq'!$A:$AT,MATCH($R$1,'Data qoq'!$A$1:$AT$1,),))/100+1)^4)-1</f>
        <v>-0.10815955878660799</v>
      </c>
      <c r="S46" s="32">
        <f>(((VLOOKUP(B46,'Data qoq'!$A:$AT,MATCH($S$1,'Data qoq'!$A$1:$AT$1,),))/100+1)^4)-1</f>
        <v>-0.1250257063241409</v>
      </c>
      <c r="T46" s="32">
        <f>(((VLOOKUP(B46,'Data qoq'!$A:$AT,MATCH($T$1,'Data qoq'!$A$1:$AT$1,),))/100+1)^4)-1</f>
        <v>-0.14290419480212979</v>
      </c>
      <c r="U46" s="32">
        <f>(((VLOOKUP(B46,'Data qoq'!$A:$AT,MATCH($U$1,'Data qoq'!$A$1:$AT$1,),))/100+1)^4)-1</f>
        <v>-5.4720484055890917E-2</v>
      </c>
      <c r="V46" s="32">
        <f>(((VLOOKUP(B46,'Data qoq'!$A:$AT,MATCH($V$1,'Data qoq'!$A$1:$AT$1,),))/100+1)^4)-1</f>
        <v>-0.15580782862519171</v>
      </c>
      <c r="W46" s="32">
        <f>(((VLOOKUP(B46,'Data qoq'!$A:$AT,MATCH($W$1,'Data qoq'!$A$1:$AT$1,),))/100+1)^4)-1</f>
        <v>-9.779534031853121E-2</v>
      </c>
      <c r="X46" s="32">
        <f>(((VLOOKUP(B46,'Data qoq'!$A:$AT,MATCH($X$1,'Data qoq'!$A$1:$AT$1,),))/100+1)^4)-1</f>
        <v>-7.064586172820686E-2</v>
      </c>
      <c r="Y46" s="32">
        <f>(((VLOOKUP(B46,'Data qoq'!$A:$AT,MATCH($Y$1,'Data qoq'!$A$1:$AT$1,),))/100+1)^4)-1</f>
        <v>1.6293803979288368E-2</v>
      </c>
      <c r="Z46" s="32">
        <f>(((VLOOKUP(B46,'Data qoq'!$A:$AU,MATCH($Z$1,'Data qoq'!$A$1:$AU$1,),))/100+1)^4)-1</f>
        <v>-0.17670766525206327</v>
      </c>
      <c r="AA46" s="32">
        <f>(((VLOOKUP(B46,'Data qoq'!$A:$AU,MATCH($AA$1,'Data qoq'!$A$1:$AU$1,),))/100+1)^4)-1</f>
        <v>-2.6575704838769587E-2</v>
      </c>
      <c r="AC46" s="26" t="str">
        <f t="shared" si="8"/>
        <v>2008-Q4</v>
      </c>
      <c r="AD46" s="31">
        <f t="shared" si="9"/>
        <v>8.4506417575180848E-3</v>
      </c>
      <c r="AE46" s="27"/>
    </row>
    <row r="47" spans="1:31" hidden="1" x14ac:dyDescent="0.2">
      <c r="A47" s="30">
        <v>39873</v>
      </c>
      <c r="B47" s="24" t="s">
        <v>313</v>
      </c>
      <c r="C47" s="32">
        <f>(((VLOOKUP(B47,'Data qoq'!$A:$AT,MATCH($C$1,'Data qoq'!$A$1:$AT$1,),))/100+1)^4)-1</f>
        <v>-4.5819873805539646E-2</v>
      </c>
      <c r="D47" s="32">
        <f>(((VLOOKUP(B47,'Data qoq'!$A:$AT,MATCH($D$1,'Data qoq'!$A$1:$AT$1,),))/100+1)^4)-1</f>
        <v>0</v>
      </c>
      <c r="E47" s="32">
        <f>(((VLOOKUP(B47,'Data qoq'!$A:$AT,MATCH($E$1,'Data qoq'!$A$1:$AT$1,),))/100+1)^4)-1</f>
        <v>-0.118723329213408</v>
      </c>
      <c r="F47" s="32">
        <f>(((VLOOKUP(B47,'Data qoq'!$A:$AT,MATCH($F$1,'Data qoq'!$A$1:$AT$1,),))/100+1)^4)-1</f>
        <v>-0.17887148273496845</v>
      </c>
      <c r="G47" s="32">
        <f>(((VLOOKUP(B47,'Data qoq'!$A:$AT,MATCH($G$1,'Data qoq'!$A$1:$AT$1,),))/100+1)^4)-1</f>
        <v>-0.17454092433504287</v>
      </c>
      <c r="H47" s="32">
        <f>(((VLOOKUP(B47,'Data qoq'!$A:$AT,MATCH($H$1,'Data qoq'!$A$1:$AT$1,),))/100+1)^4)-1</f>
        <v>-6.4203267208107762E-2</v>
      </c>
      <c r="I47" s="32">
        <f>(((VLOOKUP(B47,'Data qoq'!$A:$AT,MATCH($I$1,'Data qoq'!$A$1:$AT$1,),))/100+1)^4)-1</f>
        <v>-7.0164229187011373E-2</v>
      </c>
      <c r="J47" s="32">
        <f>(((VLOOKUP(B47,'Data qoq'!$A:$AT,MATCH($J$1,'Data qoq'!$A$1:$AT$1,),))/100+1)^4)-1</f>
        <v>-0.10347365642472939</v>
      </c>
      <c r="K47" s="32">
        <f>(((VLOOKUP(B47,'Data qoq'!$A:$AT,MATCH($K$1,'Data qoq'!$A$1:$AT$1,),))/100+1)^4)-1</f>
        <v>-0.10021842046064044</v>
      </c>
      <c r="L47" s="32">
        <f>(((VLOOKUP(B47,'Data qoq'!$A:$AT,MATCH($L$1,'Data qoq'!$A$1:$AT$1,),))/100+1)^4)-1</f>
        <v>-5.8286357922088583E-2</v>
      </c>
      <c r="M47" s="32">
        <f>(((VLOOKUP(B47,'Data qoq'!$A:$AT,MATCH($M$1,'Data qoq'!$A$1:$AT$1,),))/100+1)^4)-1</f>
        <v>-0.18953969577624996</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3.697021468518713E-2</v>
      </c>
      <c r="R47" s="32">
        <f>(((VLOOKUP(B47,'Data qoq'!$A:$AT,MATCH($R$1,'Data qoq'!$A$1:$AT$1,),))/100+1)^4)-1</f>
        <v>-6.0769331064392862E-2</v>
      </c>
      <c r="S47" s="32">
        <f>(((VLOOKUP(B47,'Data qoq'!$A:$AT,MATCH($S$1,'Data qoq'!$A$1:$AT$1,),))/100+1)^4)-1</f>
        <v>3.6043303614470279E-3</v>
      </c>
      <c r="T47" s="32">
        <f>(((VLOOKUP(B47,'Data qoq'!$A:$AT,MATCH($T$1,'Data qoq'!$A$1:$AT$1,),))/100+1)^4)-1</f>
        <v>-5.4215337602542824E-2</v>
      </c>
      <c r="U47" s="32">
        <f>(((VLOOKUP(B47,'Data qoq'!$A:$AT,MATCH($U$1,'Data qoq'!$A$1:$AT$1,),))/100+1)^4)-1</f>
        <v>-0.17680937793396401</v>
      </c>
      <c r="V47" s="32">
        <f>(((VLOOKUP(B47,'Data qoq'!$A:$AT,MATCH($V$1,'Data qoq'!$A$1:$AT$1,),))/100+1)^4)-1</f>
        <v>1.7315467652419869E-2</v>
      </c>
      <c r="W47" s="32">
        <f>(((VLOOKUP(B47,'Data qoq'!$A:$AT,MATCH($W$1,'Data qoq'!$A$1:$AT$1,),))/100+1)^4)-1</f>
        <v>-0.20802865238462842</v>
      </c>
      <c r="X47" s="32">
        <f>(((VLOOKUP(B47,'Data qoq'!$A:$AT,MATCH($X$1,'Data qoq'!$A$1:$AT$1,),))/100+1)^4)-1</f>
        <v>-0.12855877720668962</v>
      </c>
      <c r="Y47" s="32">
        <f>(((VLOOKUP(B47,'Data qoq'!$A:$AT,MATCH($Y$1,'Data qoq'!$A$1:$AT$1,),))/100+1)^4)-1</f>
        <v>6.4661547414355036E-2</v>
      </c>
      <c r="Z47" s="32">
        <f>(((VLOOKUP(B47,'Data qoq'!$A:$AU,MATCH($Z$1,'Data qoq'!$A$1:$AU$1,),))/100+1)^4)-1</f>
        <v>-0.13837340752510963</v>
      </c>
      <c r="AA47" s="32">
        <f>(((VLOOKUP(B47,'Data qoq'!$A:$AU,MATCH($AA$1,'Data qoq'!$A$1:$AU$1,),))/100+1)^4)-1</f>
        <v>-3.9727928098129861E-2</v>
      </c>
      <c r="AC47" s="26" t="str">
        <f t="shared" si="8"/>
        <v>2009-Q1</v>
      </c>
      <c r="AD47" s="31">
        <f t="shared" si="9"/>
        <v>-4.8559100026396629E-2</v>
      </c>
      <c r="AE47" s="27"/>
    </row>
    <row r="48" spans="1:31" hidden="1" x14ac:dyDescent="0.2">
      <c r="A48" s="30">
        <v>39965</v>
      </c>
      <c r="B48" s="24" t="s">
        <v>314</v>
      </c>
      <c r="C48" s="32">
        <f>(((VLOOKUP(B48,'Data qoq'!$A:$AT,MATCH($C$1,'Data qoq'!$A$1:$AT$1,),))/100+1)^4)-1</f>
        <v>-6.7523600121504046E-3</v>
      </c>
      <c r="D48" s="32">
        <f>(((VLOOKUP(B48,'Data qoq'!$A:$AT,MATCH($D$1,'Data qoq'!$A$1:$AT$1,),))/100+1)^4)-1</f>
        <v>0</v>
      </c>
      <c r="E48" s="32">
        <f>(((VLOOKUP(B48,'Data qoq'!$A:$AT,MATCH($E$1,'Data qoq'!$A$1:$AT$1,),))/100+1)^4)-1</f>
        <v>-8.0631608065440119E-4</v>
      </c>
      <c r="F48" s="32">
        <f>(((VLOOKUP(B48,'Data qoq'!$A:$AT,MATCH($F$1,'Data qoq'!$A$1:$AT$1,),))/100+1)^4)-1</f>
        <v>8.087542658476421E-2</v>
      </c>
      <c r="G48" s="32">
        <f>(((VLOOKUP(B48,'Data qoq'!$A:$AT,MATCH($G$1,'Data qoq'!$A$1:$AT$1,),))/100+1)^4)-1</f>
        <v>6.4014243064696164E-3</v>
      </c>
      <c r="H48" s="32">
        <f>(((VLOOKUP(B48,'Data qoq'!$A:$AT,MATCH($H$1,'Data qoq'!$A$1:$AT$1,),))/100+1)^4)-1</f>
        <v>-4.0284627273025064E-3</v>
      </c>
      <c r="I48" s="32">
        <f>(((VLOOKUP(B48,'Data qoq'!$A:$AT,MATCH($I$1,'Data qoq'!$A$1:$AT$1,),))/100+1)^4)-1</f>
        <v>-1.2498338089235617E-2</v>
      </c>
      <c r="J48" s="32">
        <f>(((VLOOKUP(B48,'Data qoq'!$A:$AT,MATCH($J$1,'Data qoq'!$A$1:$AT$1,),))/100+1)^4)-1</f>
        <v>-1.2669800748533966E-2</v>
      </c>
      <c r="K48" s="32">
        <f>(((VLOOKUP(B48,'Data qoq'!$A:$AT,MATCH($K$1,'Data qoq'!$A$1:$AT$1,),))/100+1)^4)-1</f>
        <v>-4.3106090241051831E-4</v>
      </c>
      <c r="L48" s="32">
        <f>(((VLOOKUP(B48,'Data qoq'!$A:$AT,MATCH($L$1,'Data qoq'!$A$1:$AT$1,),))/100+1)^4)-1</f>
        <v>2.9380989826550685E-3</v>
      </c>
      <c r="M48" s="32">
        <f>(((VLOOKUP(B48,'Data qoq'!$A:$AT,MATCH($M$1,'Data qoq'!$A$1:$AT$1,),))/100+1)^4)-1</f>
        <v>-5.8115837452787478E-2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3.0226856153106052E-2</v>
      </c>
      <c r="R48" s="32">
        <f>(((VLOOKUP(B48,'Data qoq'!$A:$AT,MATCH($R$1,'Data qoq'!$A$1:$AT$1,),))/100+1)^4)-1</f>
        <v>2.4245251629087639E-2</v>
      </c>
      <c r="S48" s="32">
        <f>(((VLOOKUP(B48,'Data qoq'!$A:$AT,MATCH($S$1,'Data qoq'!$A$1:$AT$1,),))/100+1)^4)-1</f>
        <v>5.4386384443282143E-2</v>
      </c>
      <c r="T48" s="32">
        <f>(((VLOOKUP(B48,'Data qoq'!$A:$AT,MATCH($T$1,'Data qoq'!$A$1:$AT$1,),))/100+1)^4)-1</f>
        <v>7.4160204410195663E-2</v>
      </c>
      <c r="U48" s="32">
        <f>(((VLOOKUP(B48,'Data qoq'!$A:$AT,MATCH($U$1,'Data qoq'!$A$1:$AT$1,),))/100+1)^4)-1</f>
        <v>0.11578642852092891</v>
      </c>
      <c r="V48" s="32">
        <f>(((VLOOKUP(B48,'Data qoq'!$A:$AT,MATCH($V$1,'Data qoq'!$A$1:$AT$1,),))/100+1)^4)-1</f>
        <v>-1.9894180647614945E-2</v>
      </c>
      <c r="W48" s="32">
        <f>(((VLOOKUP(B48,'Data qoq'!$A:$AT,MATCH($W$1,'Data qoq'!$A$1:$AT$1,),))/100+1)^4)-1</f>
        <v>0.17017346987867699</v>
      </c>
      <c r="X48" s="32">
        <f>(((VLOOKUP(B48,'Data qoq'!$A:$AT,MATCH($X$1,'Data qoq'!$A$1:$AT$1,),))/100+1)^4)-1</f>
        <v>-1.5425858306419404E-2</v>
      </c>
      <c r="Y48" s="32">
        <f>(((VLOOKUP(B48,'Data qoq'!$A:$AT,MATCH($Y$1,'Data qoq'!$A$1:$AT$1,),))/100+1)^4)-1</f>
        <v>1.84596390927938E-3</v>
      </c>
      <c r="Z48" s="32">
        <f>(((VLOOKUP(B48,'Data qoq'!$A:$AU,MATCH($Z$1,'Data qoq'!$A$1:$AU$1,),))/100+1)^4)-1</f>
        <v>-8.5016305128940872E-2</v>
      </c>
      <c r="AA48" s="32">
        <f>(((VLOOKUP(B48,'Data qoq'!$A:$AU,MATCH($AA$1,'Data qoq'!$A$1:$AU$1,),))/100+1)^4)-1</f>
        <v>-2.1532963358111834E-3</v>
      </c>
      <c r="AC48" s="26" t="str">
        <f t="shared" si="8"/>
        <v>2009-Q2</v>
      </c>
      <c r="AD48" s="31">
        <f t="shared" si="9"/>
        <v>1.1692022008581215E-2</v>
      </c>
      <c r="AE48" s="27"/>
    </row>
    <row r="49" spans="1:31" hidden="1" x14ac:dyDescent="0.2">
      <c r="A49" s="30">
        <v>40057</v>
      </c>
      <c r="B49" s="24" t="s">
        <v>315</v>
      </c>
      <c r="C49" s="32">
        <f>(((VLOOKUP(B49,'Data qoq'!$A:$AT,MATCH($C$1,'Data qoq'!$A$1:$AT$1,),))/100+1)^4)-1</f>
        <v>1.455598544426584E-2</v>
      </c>
      <c r="D49" s="32">
        <f>(((VLOOKUP(B49,'Data qoq'!$A:$AT,MATCH($D$1,'Data qoq'!$A$1:$AT$1,),))/100+1)^4)-1</f>
        <v>0</v>
      </c>
      <c r="E49" s="32">
        <f>(((VLOOKUP(B49,'Data qoq'!$A:$AT,MATCH($E$1,'Data qoq'!$A$1:$AT$1,),))/100+1)^4)-1</f>
        <v>1.5675512019799331E-2</v>
      </c>
      <c r="F49" s="32">
        <f>(((VLOOKUP(B49,'Data qoq'!$A:$AT,MATCH($F$1,'Data qoq'!$A$1:$AT$1,),))/100+1)^4)-1</f>
        <v>-1.7222339975061507E-3</v>
      </c>
      <c r="G49" s="32">
        <f>(((VLOOKUP(B49,'Data qoq'!$A:$AT,MATCH($G$1,'Data qoq'!$A$1:$AT$1,),))/100+1)^4)-1</f>
        <v>2.2503094084157294E-2</v>
      </c>
      <c r="H49" s="32">
        <f>(((VLOOKUP(B49,'Data qoq'!$A:$AT,MATCH($H$1,'Data qoq'!$A$1:$AT$1,),))/100+1)^4)-1</f>
        <v>6.5570687878344636E-3</v>
      </c>
      <c r="I49" s="32">
        <f>(((VLOOKUP(B49,'Data qoq'!$A:$AT,MATCH($I$1,'Data qoq'!$A$1:$AT$1,),))/100+1)^4)-1</f>
        <v>2.5304637592720169E-3</v>
      </c>
      <c r="J49" s="32">
        <f>(((VLOOKUP(B49,'Data qoq'!$A:$AT,MATCH($J$1,'Data qoq'!$A$1:$AT$1,),))/100+1)^4)-1</f>
        <v>2.347782732224224E-2</v>
      </c>
      <c r="K49" s="32">
        <f>(((VLOOKUP(B49,'Data qoq'!$A:$AT,MATCH($K$1,'Data qoq'!$A$1:$AT$1,),))/100+1)^4)-1</f>
        <v>8.471906145283592E-3</v>
      </c>
      <c r="L49" s="32">
        <f>(((VLOOKUP(B49,'Data qoq'!$A:$AT,MATCH($L$1,'Data qoq'!$A$1:$AT$1,),))/100+1)^4)-1</f>
        <v>-2.0269524346847589E-3</v>
      </c>
      <c r="M49" s="32">
        <f>(((VLOOKUP(B49,'Data qoq'!$A:$AT,MATCH($M$1,'Data qoq'!$A$1:$AT$1,),))/100+1)^4)-1</f>
        <v>0.13863270937466532</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1.1398913231052354E-2</v>
      </c>
      <c r="R49" s="32">
        <f>(((VLOOKUP(B49,'Data qoq'!$A:$AT,MATCH($R$1,'Data qoq'!$A$1:$AT$1,),))/100+1)^4)-1</f>
        <v>4.6608681320657208E-2</v>
      </c>
      <c r="S49" s="32">
        <f>(((VLOOKUP(B49,'Data qoq'!$A:$AT,MATCH($S$1,'Data qoq'!$A$1:$AT$1,),))/100+1)^4)-1</f>
        <v>0.12518866574588539</v>
      </c>
      <c r="T49" s="32">
        <f>(((VLOOKUP(B49,'Data qoq'!$A:$AT,MATCH($T$1,'Data qoq'!$A$1:$AT$1,),))/100+1)^4)-1</f>
        <v>9.7187208794661917E-2</v>
      </c>
      <c r="U49" s="32">
        <f>(((VLOOKUP(B49,'Data qoq'!$A:$AT,MATCH($U$1,'Data qoq'!$A$1:$AT$1,),))/100+1)^4)-1</f>
        <v>-2.8703244730674538E-2</v>
      </c>
      <c r="V49" s="32">
        <f>(((VLOOKUP(B49,'Data qoq'!$A:$AT,MATCH($V$1,'Data qoq'!$A$1:$AT$1,),))/100+1)^4)-1</f>
        <v>-5.4313325663303602E-2</v>
      </c>
      <c r="W49" s="32">
        <f>(((VLOOKUP(B49,'Data qoq'!$A:$AT,MATCH($W$1,'Data qoq'!$A$1:$AT$1,),))/100+1)^4)-1</f>
        <v>9.9329578595084955E-2</v>
      </c>
      <c r="X49" s="32">
        <f>(((VLOOKUP(B49,'Data qoq'!$A:$AT,MATCH($X$1,'Data qoq'!$A$1:$AT$1,),))/100+1)^4)-1</f>
        <v>1.7761235818135823E-2</v>
      </c>
      <c r="Y49" s="32">
        <f>(((VLOOKUP(B49,'Data qoq'!$A:$AT,MATCH($Y$1,'Data qoq'!$A$1:$AT$1,),))/100+1)^4)-1</f>
        <v>2.3334499138510933E-2</v>
      </c>
      <c r="Z49" s="32">
        <f>(((VLOOKUP(B49,'Data qoq'!$A:$AU,MATCH($Z$1,'Data qoq'!$A$1:$AU$1,),))/100+1)^4)-1</f>
        <v>0.16649614773675303</v>
      </c>
      <c r="AA49" s="32">
        <f>(((VLOOKUP(B49,'Data qoq'!$A:$AU,MATCH($AA$1,'Data qoq'!$A$1:$AU$1,),))/100+1)^4)-1</f>
        <v>1.9955728476441781E-2</v>
      </c>
      <c r="AC49" s="26" t="str">
        <f t="shared" si="8"/>
        <v>2009-Q3</v>
      </c>
      <c r="AD49" s="31">
        <f t="shared" si="9"/>
        <v>1.3145048260527314E-2</v>
      </c>
      <c r="AE49" s="27"/>
    </row>
    <row r="50" spans="1:31" hidden="1" x14ac:dyDescent="0.2">
      <c r="A50" s="30">
        <v>40148</v>
      </c>
      <c r="B50" s="24" t="s">
        <v>316</v>
      </c>
      <c r="C50" s="32">
        <f>(((VLOOKUP(B50,'Data qoq'!$A:$AT,MATCH($C$1,'Data qoq'!$A$1:$AT$1,),))/100+1)^4)-1</f>
        <v>4.3407688869303573E-2</v>
      </c>
      <c r="D50" s="32">
        <f>(((VLOOKUP(B50,'Data qoq'!$A:$AT,MATCH($D$1,'Data qoq'!$A$1:$AT$1,),))/100+1)^4)-1</f>
        <v>0</v>
      </c>
      <c r="E50" s="32">
        <f>(((VLOOKUP(B50,'Data qoq'!$A:$AT,MATCH($E$1,'Data qoq'!$A$1:$AT$1,),))/100+1)^4)-1</f>
        <v>1.8395270068272129E-2</v>
      </c>
      <c r="F50" s="32">
        <f>(((VLOOKUP(B50,'Data qoq'!$A:$AT,MATCH($F$1,'Data qoq'!$A$1:$AT$1,),))/100+1)^4)-1</f>
        <v>5.0197185004710709E-2</v>
      </c>
      <c r="G50" s="32">
        <f>(((VLOOKUP(B50,'Data qoq'!$A:$AT,MATCH($G$1,'Data qoq'!$A$1:$AT$1,),))/100+1)^4)-1</f>
        <v>2.9765092882296562E-2</v>
      </c>
      <c r="H50" s="32">
        <f>(((VLOOKUP(B50,'Data qoq'!$A:$AT,MATCH($H$1,'Data qoq'!$A$1:$AT$1,),))/100+1)^4)-1</f>
        <v>2.8249931360672775E-2</v>
      </c>
      <c r="I50" s="32">
        <f>(((VLOOKUP(B50,'Data qoq'!$A:$AT,MATCH($I$1,'Data qoq'!$A$1:$AT$1,),))/100+1)^4)-1</f>
        <v>1.2473218038874689E-2</v>
      </c>
      <c r="J50" s="32">
        <f>(((VLOOKUP(B50,'Data qoq'!$A:$AT,MATCH($J$1,'Data qoq'!$A$1:$AT$1,),))/100+1)^4)-1</f>
        <v>1.3043493730557909E-2</v>
      </c>
      <c r="K50" s="32">
        <f>(((VLOOKUP(B50,'Data qoq'!$A:$AT,MATCH($K$1,'Data qoq'!$A$1:$AT$1,),))/100+1)^4)-1</f>
        <v>-8.1577708158275808E-4</v>
      </c>
      <c r="L50" s="32">
        <f>(((VLOOKUP(B50,'Data qoq'!$A:$AT,MATCH($L$1,'Data qoq'!$A$1:$AT$1,),))/100+1)^4)-1</f>
        <v>1.8443968804407351E-2</v>
      </c>
      <c r="M50" s="32">
        <f>(((VLOOKUP(B50,'Data qoq'!$A:$AT,MATCH($M$1,'Data qoq'!$A$1:$AT$1,),))/100+1)^4)-1</f>
        <v>6.8093003347925452E-2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3.1875920405449287E-2</v>
      </c>
      <c r="R50" s="32">
        <f>(((VLOOKUP(B50,'Data qoq'!$A:$AT,MATCH($R$1,'Data qoq'!$A$1:$AT$1,),))/100+1)^4)-1</f>
        <v>3.3683647510435177E-2</v>
      </c>
      <c r="S50" s="32">
        <f>(((VLOOKUP(B50,'Data qoq'!$A:$AT,MATCH($S$1,'Data qoq'!$A$1:$AT$1,),))/100+1)^4)-1</f>
        <v>3.0211058033513094E-2</v>
      </c>
      <c r="T50" s="32">
        <f>(((VLOOKUP(B50,'Data qoq'!$A:$AT,MATCH($T$1,'Data qoq'!$A$1:$AT$1,),))/100+1)^4)-1</f>
        <v>0.10514975171127072</v>
      </c>
      <c r="U50" s="32">
        <f>(((VLOOKUP(B50,'Data qoq'!$A:$AT,MATCH($U$1,'Data qoq'!$A$1:$AT$1,),))/100+1)^4)-1</f>
        <v>5.1385538398160957E-3</v>
      </c>
      <c r="V50" s="32">
        <f>(((VLOOKUP(B50,'Data qoq'!$A:$AT,MATCH($V$1,'Data qoq'!$A$1:$AT$1,),))/100+1)^4)-1</f>
        <v>-5.0150307893462975E-2</v>
      </c>
      <c r="W50" s="32">
        <f>(((VLOOKUP(B50,'Data qoq'!$A:$AT,MATCH($W$1,'Data qoq'!$A$1:$AT$1,),))/100+1)^4)-1</f>
        <v>8.0411219025574798E-2</v>
      </c>
      <c r="X50" s="32">
        <f>(((VLOOKUP(B50,'Data qoq'!$A:$AT,MATCH($X$1,'Data qoq'!$A$1:$AT$1,),))/100+1)^4)-1</f>
        <v>3.8652529287654946E-3</v>
      </c>
      <c r="Y50" s="32">
        <f>(((VLOOKUP(B50,'Data qoq'!$A:$AT,MATCH($Y$1,'Data qoq'!$A$1:$AT$1,),))/100+1)^4)-1</f>
        <v>9.9367507784017928E-2</v>
      </c>
      <c r="Z50" s="32">
        <f>(((VLOOKUP(B50,'Data qoq'!$A:$AU,MATCH($Z$1,'Data qoq'!$A$1:$AU$1,),))/100+1)^4)-1</f>
        <v>7.7031562049742819E-2</v>
      </c>
      <c r="AA50" s="32">
        <f>(((VLOOKUP(B50,'Data qoq'!$A:$AU,MATCH($AA$1,'Data qoq'!$A$1:$AU$1,),))/100+1)^4)-1</f>
        <v>5.1758561179999552E-2</v>
      </c>
      <c r="AC50" s="26" t="str">
        <f t="shared" si="8"/>
        <v>2009-Q4</v>
      </c>
      <c r="AD50" s="31">
        <f t="shared" si="9"/>
        <v>5.9220520293974399E-3</v>
      </c>
      <c r="AE50" s="27"/>
    </row>
    <row r="51" spans="1:31" hidden="1" x14ac:dyDescent="0.2">
      <c r="A51" s="30">
        <v>40238</v>
      </c>
      <c r="B51" s="24" t="s">
        <v>317</v>
      </c>
      <c r="C51" s="32">
        <f>(((VLOOKUP(B51,'Data qoq'!$A:$AT,MATCH($C$1,'Data qoq'!$A$1:$AT$1,),))/100+1)^4)-1</f>
        <v>2.0152672116043657E-2</v>
      </c>
      <c r="D51" s="32">
        <f>(((VLOOKUP(B51,'Data qoq'!$A:$AT,MATCH($D$1,'Data qoq'!$A$1:$AT$1,),))/100+1)^4)-1</f>
        <v>0</v>
      </c>
      <c r="E51" s="32">
        <f>(((VLOOKUP(B51,'Data qoq'!$A:$AT,MATCH($E$1,'Data qoq'!$A$1:$AT$1,),))/100+1)^4)-1</f>
        <v>1.6129816185454615E-2</v>
      </c>
      <c r="F51" s="32">
        <f>(((VLOOKUP(B51,'Data qoq'!$A:$AT,MATCH($F$1,'Data qoq'!$A$1:$AT$1,),))/100+1)^4)-1</f>
        <v>4.2790972019035145E-2</v>
      </c>
      <c r="G51" s="32">
        <f>(((VLOOKUP(B51,'Data qoq'!$A:$AT,MATCH($G$1,'Data qoq'!$A$1:$AT$1,),))/100+1)^4)-1</f>
        <v>3.2652999956630735E-2</v>
      </c>
      <c r="H51" s="32">
        <f>(((VLOOKUP(B51,'Data qoq'!$A:$AT,MATCH($H$1,'Data qoq'!$A$1:$AT$1,),))/100+1)^4)-1</f>
        <v>1.4286390166849516E-2</v>
      </c>
      <c r="I51" s="32">
        <f>(((VLOOKUP(B51,'Data qoq'!$A:$AT,MATCH($I$1,'Data qoq'!$A$1:$AT$1,),))/100+1)^4)-1</f>
        <v>2.8232942833071428E-2</v>
      </c>
      <c r="J51" s="32">
        <f>(((VLOOKUP(B51,'Data qoq'!$A:$AT,MATCH($J$1,'Data qoq'!$A$1:$AT$1,),))/100+1)^4)-1</f>
        <v>1.0770475396948198E-2</v>
      </c>
      <c r="K51" s="32">
        <f>(((VLOOKUP(B51,'Data qoq'!$A:$AT,MATCH($K$1,'Data qoq'!$A$1:$AT$1,),))/100+1)^4)-1</f>
        <v>-1.1273538088562018E-3</v>
      </c>
      <c r="L51" s="32">
        <f>(((VLOOKUP(B51,'Data qoq'!$A:$AT,MATCH($L$1,'Data qoq'!$A$1:$AT$1,),))/100+1)^4)-1</f>
        <v>0.11109306076572434</v>
      </c>
      <c r="M51" s="32">
        <f>(((VLOOKUP(B51,'Data qoq'!$A:$AT,MATCH($M$1,'Data qoq'!$A$1:$AT$1,),))/100+1)^4)-1</f>
        <v>4.2714603155015629E-2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1.7490323574129274E-2</v>
      </c>
      <c r="R51" s="32">
        <f>(((VLOOKUP(B51,'Data qoq'!$A:$AT,MATCH($R$1,'Data qoq'!$A$1:$AT$1,),))/100+1)^4)-1</f>
        <v>2.8956387159520869E-2</v>
      </c>
      <c r="S51" s="32">
        <f>(((VLOOKUP(B51,'Data qoq'!$A:$AT,MATCH($S$1,'Data qoq'!$A$1:$AT$1,),))/100+1)^4)-1</f>
        <v>8.0696081465059244E-2</v>
      </c>
      <c r="T51" s="32">
        <f>(((VLOOKUP(B51,'Data qoq'!$A:$AT,MATCH($T$1,'Data qoq'!$A$1:$AT$1,),))/100+1)^4)-1</f>
        <v>9.4365859898481563E-2</v>
      </c>
      <c r="U51" s="32">
        <f>(((VLOOKUP(B51,'Data qoq'!$A:$AT,MATCH($U$1,'Data qoq'!$A$1:$AT$1,),))/100+1)^4)-1</f>
        <v>-0.2046270384586919</v>
      </c>
      <c r="V51" s="32">
        <f>(((VLOOKUP(B51,'Data qoq'!$A:$AT,MATCH($V$1,'Data qoq'!$A$1:$AT$1,),))/100+1)^4)-1</f>
        <v>0.12390972786261134</v>
      </c>
      <c r="W51" s="32">
        <f>(((VLOOKUP(B51,'Data qoq'!$A:$AT,MATCH($W$1,'Data qoq'!$A$1:$AT$1,),))/100+1)^4)-1</f>
        <v>-1.1747688664888067E-2</v>
      </c>
      <c r="X51" s="32">
        <f>(((VLOOKUP(B51,'Data qoq'!$A:$AT,MATCH($X$1,'Data qoq'!$A$1:$AT$1,),))/100+1)^4)-1</f>
        <v>2.8294180966196292E-2</v>
      </c>
      <c r="Y51" s="32">
        <f>(((VLOOKUP(B51,'Data qoq'!$A:$AT,MATCH($Y$1,'Data qoq'!$A$1:$AT$1,),))/100+1)^4)-1</f>
        <v>-1.6791524078322073E-2</v>
      </c>
      <c r="Z51" s="32">
        <f>(((VLOOKUP(B51,'Data qoq'!$A:$AU,MATCH($Z$1,'Data qoq'!$A$1:$AU$1,),))/100+1)^4)-1</f>
        <v>0.12714638603325978</v>
      </c>
      <c r="AA51" s="32">
        <f>(((VLOOKUP(B51,'Data qoq'!$A:$AU,MATCH($AA$1,'Data qoq'!$A$1:$AU$1,),))/100+1)^4)-1</f>
        <v>1.3225706071111842E-2</v>
      </c>
      <c r="AC51" s="26" t="str">
        <f t="shared" si="8"/>
        <v>2010-Q1</v>
      </c>
      <c r="AD51" s="31">
        <f t="shared" si="9"/>
        <v>-1.2103126647616813E-2</v>
      </c>
      <c r="AE51" s="27"/>
    </row>
    <row r="52" spans="1:31" hidden="1" x14ac:dyDescent="0.2">
      <c r="A52" s="30">
        <v>40330</v>
      </c>
      <c r="B52" s="24" t="s">
        <v>318</v>
      </c>
      <c r="C52" s="32">
        <f>(((VLOOKUP(B52,'Data qoq'!$A:$AT,MATCH($C$1,'Data qoq'!$A$1:$AT$1,),))/100+1)^4)-1</f>
        <v>3.9273690527251048E-2</v>
      </c>
      <c r="D52" s="32">
        <f>(((VLOOKUP(B52,'Data qoq'!$A:$AT,MATCH($D$1,'Data qoq'!$A$1:$AT$1,),))/100+1)^4)-1</f>
        <v>0</v>
      </c>
      <c r="E52" s="32">
        <f>(((VLOOKUP(B52,'Data qoq'!$A:$AT,MATCH($E$1,'Data qoq'!$A$1:$AT$1,),))/100+1)^4)-1</f>
        <v>3.9392534377021615E-2</v>
      </c>
      <c r="F52" s="32">
        <f>(((VLOOKUP(B52,'Data qoq'!$A:$AT,MATCH($F$1,'Data qoq'!$A$1:$AT$1,),))/100+1)^4)-1</f>
        <v>4.8914815323735761E-2</v>
      </c>
      <c r="G52" s="32">
        <f>(((VLOOKUP(B52,'Data qoq'!$A:$AT,MATCH($G$1,'Data qoq'!$A$1:$AT$1,),))/100+1)^4)-1</f>
        <v>9.2700508158469086E-2</v>
      </c>
      <c r="H52" s="32">
        <f>(((VLOOKUP(B52,'Data qoq'!$A:$AT,MATCH($H$1,'Data qoq'!$A$1:$AT$1,),))/100+1)^4)-1</f>
        <v>2.0599532747328952E-2</v>
      </c>
      <c r="I52" s="32">
        <f>(((VLOOKUP(B52,'Data qoq'!$A:$AT,MATCH($I$1,'Data qoq'!$A$1:$AT$1,),))/100+1)^4)-1</f>
        <v>4.6116003554498519E-2</v>
      </c>
      <c r="J52" s="32">
        <f>(((VLOOKUP(B52,'Data qoq'!$A:$AT,MATCH($J$1,'Data qoq'!$A$1:$AT$1,),))/100+1)^4)-1</f>
        <v>3.0237964790241323E-2</v>
      </c>
      <c r="K52" s="32">
        <f>(((VLOOKUP(B52,'Data qoq'!$A:$AT,MATCH($K$1,'Data qoq'!$A$1:$AT$1,),))/100+1)^4)-1</f>
        <v>6.0105014748539354E-3</v>
      </c>
      <c r="L52" s="32">
        <f>(((VLOOKUP(B52,'Data qoq'!$A:$AT,MATCH($L$1,'Data qoq'!$A$1:$AT$1,),))/100+1)^4)-1</f>
        <v>8.5795897746793637E-2</v>
      </c>
      <c r="M52" s="32">
        <f>(((VLOOKUP(B52,'Data qoq'!$A:$AT,MATCH($M$1,'Data qoq'!$A$1:$AT$1,),))/100+1)^4)-1</f>
        <v>4.4680160393963053E-2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2.5868666918254402E-2</v>
      </c>
      <c r="R52" s="32">
        <f>(((VLOOKUP(B52,'Data qoq'!$A:$AT,MATCH($R$1,'Data qoq'!$A$1:$AT$1,),))/100+1)^4)-1</f>
        <v>3.3667417963278101E-2</v>
      </c>
      <c r="S52" s="32">
        <f>(((VLOOKUP(B52,'Data qoq'!$A:$AT,MATCH($S$1,'Data qoq'!$A$1:$AT$1,),))/100+1)^4)-1</f>
        <v>7.8185159694679873E-2</v>
      </c>
      <c r="T52" s="32">
        <f>(((VLOOKUP(B52,'Data qoq'!$A:$AT,MATCH($T$1,'Data qoq'!$A$1:$AT$1,),))/100+1)^4)-1</f>
        <v>3.9523286116065037E-2</v>
      </c>
      <c r="U52" s="32">
        <f>(((VLOOKUP(B52,'Data qoq'!$A:$AT,MATCH($U$1,'Data qoq'!$A$1:$AT$1,),))/100+1)^4)-1</f>
        <v>-0.14190818363967717</v>
      </c>
      <c r="V52" s="32">
        <f>(((VLOOKUP(B52,'Data qoq'!$A:$AT,MATCH($V$1,'Data qoq'!$A$1:$AT$1,),))/100+1)^4)-1</f>
        <v>2.393605229784157E-3</v>
      </c>
      <c r="W52" s="32">
        <f>(((VLOOKUP(B52,'Data qoq'!$A:$AT,MATCH($W$1,'Data qoq'!$A$1:$AT$1,),))/100+1)^4)-1</f>
        <v>0.16091730554145811</v>
      </c>
      <c r="X52" s="32">
        <f>(((VLOOKUP(B52,'Data qoq'!$A:$AT,MATCH($X$1,'Data qoq'!$A$1:$AT$1,),))/100+1)^4)-1</f>
        <v>4.5704905500629334E-2</v>
      </c>
      <c r="Y52" s="32">
        <f>(((VLOOKUP(B52,'Data qoq'!$A:$AT,MATCH($Y$1,'Data qoq'!$A$1:$AT$1,),))/100+1)^4)-1</f>
        <v>6.2450486730982746E-2</v>
      </c>
      <c r="Z52" s="32">
        <f>(((VLOOKUP(B52,'Data qoq'!$A:$AU,MATCH($Z$1,'Data qoq'!$A$1:$AU$1,),))/100+1)^4)-1</f>
        <v>0.19103977579814901</v>
      </c>
      <c r="AA52" s="32">
        <f>(((VLOOKUP(B52,'Data qoq'!$A:$AU,MATCH($AA$1,'Data qoq'!$A$1:$AU$1,),))/100+1)^4)-1</f>
        <v>2.860828102821511E-2</v>
      </c>
      <c r="AC52" s="26" t="str">
        <f t="shared" si="8"/>
        <v>2010-Q2</v>
      </c>
      <c r="AD52" s="31">
        <f t="shared" si="9"/>
        <v>-6.723469177476904E-3</v>
      </c>
      <c r="AE52" s="27"/>
    </row>
    <row r="53" spans="1:31" hidden="1" x14ac:dyDescent="0.2">
      <c r="A53" s="30">
        <v>40422</v>
      </c>
      <c r="B53" s="24" t="s">
        <v>319</v>
      </c>
      <c r="C53" s="32">
        <f>(((VLOOKUP(B53,'Data qoq'!$A:$AT,MATCH($C$1,'Data qoq'!$A$1:$AT$1,),))/100+1)^4)-1</f>
        <v>3.1286269292547075E-2</v>
      </c>
      <c r="D53" s="32">
        <f>(((VLOOKUP(B53,'Data qoq'!$A:$AT,MATCH($D$1,'Data qoq'!$A$1:$AT$1,),))/100+1)^4)-1</f>
        <v>0</v>
      </c>
      <c r="E53" s="32">
        <f>(((VLOOKUP(B53,'Data qoq'!$A:$AT,MATCH($E$1,'Data qoq'!$A$1:$AT$1,),))/100+1)^4)-1</f>
        <v>1.7729916715233385E-2</v>
      </c>
      <c r="F53" s="32">
        <f>(((VLOOKUP(B53,'Data qoq'!$A:$AT,MATCH($F$1,'Data qoq'!$A$1:$AT$1,),))/100+1)^4)-1</f>
        <v>7.4605940046466257E-2</v>
      </c>
      <c r="G53" s="32">
        <f>(((VLOOKUP(B53,'Data qoq'!$A:$AT,MATCH($G$1,'Data qoq'!$A$1:$AT$1,),))/100+1)^4)-1</f>
        <v>3.4013403380532825E-2</v>
      </c>
      <c r="H53" s="32">
        <f>(((VLOOKUP(B53,'Data qoq'!$A:$AT,MATCH($H$1,'Data qoq'!$A$1:$AT$1,),))/100+1)^4)-1</f>
        <v>2.6481684394871197E-2</v>
      </c>
      <c r="I53" s="32">
        <f>(((VLOOKUP(B53,'Data qoq'!$A:$AT,MATCH($I$1,'Data qoq'!$A$1:$AT$1,),))/100+1)^4)-1</f>
        <v>2.8333690590375715E-2</v>
      </c>
      <c r="J53" s="32">
        <f>(((VLOOKUP(B53,'Data qoq'!$A:$AT,MATCH($J$1,'Data qoq'!$A$1:$AT$1,),))/100+1)^4)-1</f>
        <v>1.9259373521545164E-2</v>
      </c>
      <c r="K53" s="32">
        <f>(((VLOOKUP(B53,'Data qoq'!$A:$AT,MATCH($K$1,'Data qoq'!$A$1:$AT$1,),))/100+1)^4)-1</f>
        <v>-2.0438457601756888E-3</v>
      </c>
      <c r="L53" s="32">
        <f>(((VLOOKUP(B53,'Data qoq'!$A:$AT,MATCH($L$1,'Data qoq'!$A$1:$AT$1,),))/100+1)^4)-1</f>
        <v>4.9365604425405385E-2</v>
      </c>
      <c r="M53" s="32">
        <f>(((VLOOKUP(B53,'Data qoq'!$A:$AT,MATCH($M$1,'Data qoq'!$A$1:$AT$1,),))/100+1)^4)-1</f>
        <v>3.8168917791835177E-2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2.8314138479440532E-2</v>
      </c>
      <c r="R53" s="32">
        <f>(((VLOOKUP(B53,'Data qoq'!$A:$AT,MATCH($R$1,'Data qoq'!$A$1:$AT$1,),))/100+1)^4)-1</f>
        <v>2.358108926972724E-2</v>
      </c>
      <c r="S53" s="32">
        <f>(((VLOOKUP(B53,'Data qoq'!$A:$AT,MATCH($S$1,'Data qoq'!$A$1:$AT$1,),))/100+1)^4)-1</f>
        <v>4.7015500777328967E-2</v>
      </c>
      <c r="T53" s="32">
        <f>(((VLOOKUP(B53,'Data qoq'!$A:$AT,MATCH($T$1,'Data qoq'!$A$1:$AT$1,),))/100+1)^4)-1</f>
        <v>4.1608215535207993E-2</v>
      </c>
      <c r="U53" s="32">
        <f>(((VLOOKUP(B53,'Data qoq'!$A:$AT,MATCH($U$1,'Data qoq'!$A$1:$AT$1,),))/100+1)^4)-1</f>
        <v>-0.12693147300387975</v>
      </c>
      <c r="V53" s="32">
        <f>(((VLOOKUP(B53,'Data qoq'!$A:$AT,MATCH($V$1,'Data qoq'!$A$1:$AT$1,),))/100+1)^4)-1</f>
        <v>1.7734950114001169E-2</v>
      </c>
      <c r="W53" s="32">
        <f>(((VLOOKUP(B53,'Data qoq'!$A:$AT,MATCH($W$1,'Data qoq'!$A$1:$AT$1,),))/100+1)^4)-1</f>
        <v>0.11551981408130807</v>
      </c>
      <c r="X53" s="32">
        <f>(((VLOOKUP(B53,'Data qoq'!$A:$AT,MATCH($X$1,'Data qoq'!$A$1:$AT$1,),))/100+1)^4)-1</f>
        <v>3.3944339084635899E-2</v>
      </c>
      <c r="Y53" s="32">
        <f>(((VLOOKUP(B53,'Data qoq'!$A:$AT,MATCH($Y$1,'Data qoq'!$A$1:$AT$1,),))/100+1)^4)-1</f>
        <v>5.3799909257243206E-2</v>
      </c>
      <c r="Z53" s="32">
        <f>(((VLOOKUP(B53,'Data qoq'!$A:$AU,MATCH($Z$1,'Data qoq'!$A$1:$AU$1,),))/100+1)^4)-1</f>
        <v>2.184445093406473E-2</v>
      </c>
      <c r="AA53" s="32">
        <f>(((VLOOKUP(B53,'Data qoq'!$A:$AU,MATCH($AA$1,'Data qoq'!$A$1:$AU$1,),))/100+1)^4)-1</f>
        <v>-9.9093735808478689E-3</v>
      </c>
      <c r="AC53" s="26" t="str">
        <f t="shared" si="8"/>
        <v>2010-Q3</v>
      </c>
      <c r="AD53" s="31">
        <f t="shared" si="9"/>
        <v>-1.060377387514233E-2</v>
      </c>
      <c r="AE53" s="27"/>
    </row>
    <row r="54" spans="1:31" hidden="1" x14ac:dyDescent="0.2">
      <c r="A54" s="30">
        <v>40513</v>
      </c>
      <c r="B54" s="24" t="s">
        <v>320</v>
      </c>
      <c r="C54" s="32">
        <f>(((VLOOKUP(B54,'Data qoq'!$A:$AT,MATCH($C$1,'Data qoq'!$A$1:$AT$1,),))/100+1)^4)-1</f>
        <v>2.0946355685835361E-2</v>
      </c>
      <c r="D54" s="32">
        <f>(((VLOOKUP(B54,'Data qoq'!$A:$AT,MATCH($D$1,'Data qoq'!$A$1:$AT$1,),))/100+1)^4)-1</f>
        <v>0</v>
      </c>
      <c r="E54" s="32">
        <f>(((VLOOKUP(B54,'Data qoq'!$A:$AT,MATCH($E$1,'Data qoq'!$A$1:$AT$1,),))/100+1)^4)-1</f>
        <v>2.5278186946280368E-2</v>
      </c>
      <c r="F54" s="32">
        <f>(((VLOOKUP(B54,'Data qoq'!$A:$AT,MATCH($F$1,'Data qoq'!$A$1:$AT$1,),))/100+1)^4)-1</f>
        <v>-3.2316524634269594E-2</v>
      </c>
      <c r="G54" s="32">
        <f>(((VLOOKUP(B54,'Data qoq'!$A:$AT,MATCH($G$1,'Data qoq'!$A$1:$AT$1,),))/100+1)^4)-1</f>
        <v>3.2839897230533932E-2</v>
      </c>
      <c r="H54" s="32">
        <f>(((VLOOKUP(B54,'Data qoq'!$A:$AT,MATCH($H$1,'Data qoq'!$A$1:$AT$1,),))/100+1)^4)-1</f>
        <v>2.8690841607729389E-2</v>
      </c>
      <c r="I54" s="32">
        <f>(((VLOOKUP(B54,'Data qoq'!$A:$AT,MATCH($I$1,'Data qoq'!$A$1:$AT$1,),))/100+1)^4)-1</f>
        <v>4.836218938307546E-3</v>
      </c>
      <c r="J54" s="32">
        <f>(((VLOOKUP(B54,'Data qoq'!$A:$AT,MATCH($J$1,'Data qoq'!$A$1:$AT$1,),))/100+1)^4)-1</f>
        <v>2.2130813479138922E-2</v>
      </c>
      <c r="K54" s="32">
        <f>(((VLOOKUP(B54,'Data qoq'!$A:$AT,MATCH($K$1,'Data qoq'!$A$1:$AT$1,),))/100+1)^4)-1</f>
        <v>2.6868287481414121E-3</v>
      </c>
      <c r="L54" s="32">
        <f>(((VLOOKUP(B54,'Data qoq'!$A:$AT,MATCH($L$1,'Data qoq'!$A$1:$AT$1,),))/100+1)^4)-1</f>
        <v>6.5774452287984175E-2</v>
      </c>
      <c r="M54" s="32">
        <f>(((VLOOKUP(B54,'Data qoq'!$A:$AT,MATCH($M$1,'Data qoq'!$A$1:$AT$1,),))/100+1)^4)-1</f>
        <v>3.1375610544300159E-2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3.7255757270736822E-2</v>
      </c>
      <c r="R54" s="32">
        <f>(((VLOOKUP(B54,'Data qoq'!$A:$AT,MATCH($R$1,'Data qoq'!$A$1:$AT$1,),))/100+1)^4)-1</f>
        <v>3.0173467262994302E-2</v>
      </c>
      <c r="S54" s="32">
        <f>(((VLOOKUP(B54,'Data qoq'!$A:$AT,MATCH($S$1,'Data qoq'!$A$1:$AT$1,),))/100+1)^4)-1</f>
        <v>4.967206464572671E-2</v>
      </c>
      <c r="T54" s="32">
        <f>(((VLOOKUP(B54,'Data qoq'!$A:$AT,MATCH($T$1,'Data qoq'!$A$1:$AT$1,),))/100+1)^4)-1</f>
        <v>5.5319920120565191E-2</v>
      </c>
      <c r="U54" s="32">
        <f>(((VLOOKUP(B54,'Data qoq'!$A:$AT,MATCH($U$1,'Data qoq'!$A$1:$AT$1,),))/100+1)^4)-1</f>
        <v>-3.1386257437254983E-2</v>
      </c>
      <c r="V54" s="32">
        <f>(((VLOOKUP(B54,'Data qoq'!$A:$AT,MATCH($V$1,'Data qoq'!$A$1:$AT$1,),))/100+1)^4)-1</f>
        <v>-1.7747188085449839E-2</v>
      </c>
      <c r="W54" s="32">
        <f>(((VLOOKUP(B54,'Data qoq'!$A:$AT,MATCH($W$1,'Data qoq'!$A$1:$AT$1,),))/100+1)^4)-1</f>
        <v>0.12652273982063234</v>
      </c>
      <c r="X54" s="32">
        <f>(((VLOOKUP(B54,'Data qoq'!$A:$AT,MATCH($X$1,'Data qoq'!$A$1:$AT$1,),))/100+1)^4)-1</f>
        <v>1.5112897517171042E-2</v>
      </c>
      <c r="Y54" s="32">
        <f>(((VLOOKUP(B54,'Data qoq'!$A:$AT,MATCH($Y$1,'Data qoq'!$A$1:$AT$1,),))/100+1)^4)-1</f>
        <v>3.967914063068223E-2</v>
      </c>
      <c r="Z54" s="32">
        <f>(((VLOOKUP(B54,'Data qoq'!$A:$AU,MATCH($Z$1,'Data qoq'!$A$1:$AU$1,),))/100+1)^4)-1</f>
        <v>5.5587187148683714E-2</v>
      </c>
      <c r="AA54" s="32">
        <f>(((VLOOKUP(B54,'Data qoq'!$A:$AU,MATCH($AA$1,'Data qoq'!$A$1:$AU$1,),))/100+1)^4)-1</f>
        <v>-2.061423465511536E-2</v>
      </c>
      <c r="AC54" s="26" t="str">
        <f t="shared" si="8"/>
        <v>2010-Q4</v>
      </c>
      <c r="AD54" s="31">
        <f t="shared" si="9"/>
        <v>2.0441968007972822E-2</v>
      </c>
      <c r="AE54" s="27"/>
    </row>
    <row r="55" spans="1:31" hidden="1" x14ac:dyDescent="0.2">
      <c r="A55" s="30">
        <v>40603</v>
      </c>
      <c r="B55" s="24" t="s">
        <v>321</v>
      </c>
      <c r="C55" s="32">
        <f>(((VLOOKUP(B55,'Data qoq'!$A:$AT,MATCH($C$1,'Data qoq'!$A$1:$AT$1,),))/100+1)^4)-1</f>
        <v>-9.6018742868266838E-3</v>
      </c>
      <c r="D55" s="32">
        <f>(((VLOOKUP(B55,'Data qoq'!$A:$AT,MATCH($D$1,'Data qoq'!$A$1:$AT$1,),))/100+1)^4)-1</f>
        <v>0.10381289062499977</v>
      </c>
      <c r="E55" s="32">
        <f>(((VLOOKUP(B55,'Data qoq'!$A:$AT,MATCH($E$1,'Data qoq'!$A$1:$AT$1,),))/100+1)^4)-1</f>
        <v>3.4253314066712282E-2</v>
      </c>
      <c r="F55" s="32">
        <f>(((VLOOKUP(B55,'Data qoq'!$A:$AT,MATCH($F$1,'Data qoq'!$A$1:$AT$1,),))/100+1)^4)-1</f>
        <v>-4.1704972904498483E-2</v>
      </c>
      <c r="G55" s="32">
        <f>(((VLOOKUP(B55,'Data qoq'!$A:$AT,MATCH($G$1,'Data qoq'!$A$1:$AT$1,),))/100+1)^4)-1</f>
        <v>7.9506971010742333E-2</v>
      </c>
      <c r="H55" s="32">
        <f>(((VLOOKUP(B55,'Data qoq'!$A:$AT,MATCH($H$1,'Data qoq'!$A$1:$AT$1,),))/100+1)^4)-1</f>
        <v>3.9967636898076364E-2</v>
      </c>
      <c r="I55" s="32">
        <f>(((VLOOKUP(B55,'Data qoq'!$A:$AT,MATCH($I$1,'Data qoq'!$A$1:$AT$1,),))/100+1)^4)-1</f>
        <v>1.8622904523366124E-2</v>
      </c>
      <c r="J55" s="32">
        <f>(((VLOOKUP(B55,'Data qoq'!$A:$AT,MATCH($J$1,'Data qoq'!$A$1:$AT$1,),))/100+1)^4)-1</f>
        <v>1.9205665913303305E-2</v>
      </c>
      <c r="K55" s="32">
        <f>(((VLOOKUP(B55,'Data qoq'!$A:$AT,MATCH($K$1,'Data qoq'!$A$1:$AT$1,),))/100+1)^4)-1</f>
        <v>-6.2244194066513048E-3</v>
      </c>
      <c r="L55" s="32">
        <f>(((VLOOKUP(B55,'Data qoq'!$A:$AT,MATCH($L$1,'Data qoq'!$A$1:$AT$1,),))/100+1)^4)-1</f>
        <v>1.4575934111923372E-2</v>
      </c>
      <c r="M55" s="32">
        <f>(((VLOOKUP(B55,'Data qoq'!$A:$AT,MATCH($M$1,'Data qoq'!$A$1:$AT$1,),))/100+1)^4)-1</f>
        <v>3.0821241196580917E-2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-1.20327999871358E-2</v>
      </c>
      <c r="R55" s="32">
        <f>(((VLOOKUP(B55,'Data qoq'!$A:$AT,MATCH($R$1,'Data qoq'!$A$1:$AT$1,),))/100+1)^4)-1</f>
        <v>2.671802580979743E-2</v>
      </c>
      <c r="S55" s="32">
        <f>(((VLOOKUP(B55,'Data qoq'!$A:$AT,MATCH($S$1,'Data qoq'!$A$1:$AT$1,),))/100+1)^4)-1</f>
        <v>3.785092613561658E-2</v>
      </c>
      <c r="T55" s="32">
        <f>(((VLOOKUP(B55,'Data qoq'!$A:$AT,MATCH($T$1,'Data qoq'!$A$1:$AT$1,),))/100+1)^4)-1</f>
        <v>5.9246612536534515E-2</v>
      </c>
      <c r="U55" s="32">
        <f>(((VLOOKUP(B55,'Data qoq'!$A:$AT,MATCH($U$1,'Data qoq'!$A$1:$AT$1,),))/100+1)^4)-1</f>
        <v>-0.14343536068802332</v>
      </c>
      <c r="V55" s="32">
        <f>(((VLOOKUP(B55,'Data qoq'!$A:$AT,MATCH($V$1,'Data qoq'!$A$1:$AT$1,),))/100+1)^4)-1</f>
        <v>3.2765130605289183E-2</v>
      </c>
      <c r="W55" s="32">
        <f>(((VLOOKUP(B55,'Data qoq'!$A:$AT,MATCH($W$1,'Data qoq'!$A$1:$AT$1,),))/100+1)^4)-1</f>
        <v>9.3248308427080318E-2</v>
      </c>
      <c r="X55" s="32">
        <f>(((VLOOKUP(B55,'Data qoq'!$A:$AT,MATCH($X$1,'Data qoq'!$A$1:$AT$1,),))/100+1)^4)-1</f>
        <v>2.4127552800125018E-2</v>
      </c>
      <c r="Y55" s="32">
        <f>(((VLOOKUP(B55,'Data qoq'!$A:$AT,MATCH($Y$1,'Data qoq'!$A$1:$AT$1,),))/100+1)^4)-1</f>
        <v>4.5892788424925834E-2</v>
      </c>
      <c r="Z55" s="32">
        <f>(((VLOOKUP(B55,'Data qoq'!$A:$AU,MATCH($Z$1,'Data qoq'!$A$1:$AU$1,),))/100+1)^4)-1</f>
        <v>9.9319563107528319E-2</v>
      </c>
      <c r="AA55" s="32">
        <f>(((VLOOKUP(B55,'Data qoq'!$A:$AU,MATCH($AA$1,'Data qoq'!$A$1:$AU$1,),))/100+1)^4)-1</f>
        <v>4.4391612901257149E-2</v>
      </c>
      <c r="AC55" s="26" t="str">
        <f t="shared" si="8"/>
        <v>2011-Q1</v>
      </c>
      <c r="AD55" s="31">
        <f t="shared" si="9"/>
        <v>1.5630409543346158E-2</v>
      </c>
      <c r="AE55" s="27"/>
    </row>
    <row r="56" spans="1:31" hidden="1" x14ac:dyDescent="0.2">
      <c r="A56" s="30">
        <v>40695</v>
      </c>
      <c r="B56" s="24" t="s">
        <v>322</v>
      </c>
      <c r="C56" s="32">
        <f>(((VLOOKUP(B56,'Data qoq'!$A:$AT,MATCH($C$1,'Data qoq'!$A$1:$AT$1,),))/100+1)^4)-1</f>
        <v>2.7399130789267812E-2</v>
      </c>
      <c r="D56" s="32">
        <f>(((VLOOKUP(B56,'Data qoq'!$A:$AT,MATCH($D$1,'Data qoq'!$A$1:$AT$1,),))/100+1)^4)-1</f>
        <v>9.0946826256000035E-2</v>
      </c>
      <c r="E56" s="32">
        <f>(((VLOOKUP(B56,'Data qoq'!$A:$AT,MATCH($E$1,'Data qoq'!$A$1:$AT$1,),))/100+1)^4)-1</f>
        <v>-8.8677050990249029E-5</v>
      </c>
      <c r="F56" s="32">
        <f>(((VLOOKUP(B56,'Data qoq'!$A:$AT,MATCH($F$1,'Data qoq'!$A$1:$AT$1,),))/100+1)^4)-1</f>
        <v>-3.387241040905864E-2</v>
      </c>
      <c r="G56" s="32">
        <f>(((VLOOKUP(B56,'Data qoq'!$A:$AT,MATCH($G$1,'Data qoq'!$A$1:$AT$1,),))/100+1)^4)-1</f>
        <v>3.3720225030580142E-3</v>
      </c>
      <c r="H56" s="32">
        <f>(((VLOOKUP(B56,'Data qoq'!$A:$AT,MATCH($H$1,'Data qoq'!$A$1:$AT$1,),))/100+1)^4)-1</f>
        <v>1.0801311908135158E-3</v>
      </c>
      <c r="I56" s="32">
        <f>(((VLOOKUP(B56,'Data qoq'!$A:$AT,MATCH($I$1,'Data qoq'!$A$1:$AT$1,),))/100+1)^4)-1</f>
        <v>4.0504404996146715E-3</v>
      </c>
      <c r="J56" s="32">
        <f>(((VLOOKUP(B56,'Data qoq'!$A:$AT,MATCH($J$1,'Data qoq'!$A$1:$AT$1,),))/100+1)^4)-1</f>
        <v>1.8001099540359E-3</v>
      </c>
      <c r="K56" s="32">
        <f>(((VLOOKUP(B56,'Data qoq'!$A:$AT,MATCH($K$1,'Data qoq'!$A$1:$AT$1,),))/100+1)^4)-1</f>
        <v>-1.2615482438152914E-2</v>
      </c>
      <c r="L56" s="32">
        <f>(((VLOOKUP(B56,'Data qoq'!$A:$AT,MATCH($L$1,'Data qoq'!$A$1:$AT$1,),))/100+1)^4)-1</f>
        <v>1.2863148180628947E-2</v>
      </c>
      <c r="M56" s="32">
        <f>(((VLOOKUP(B56,'Data qoq'!$A:$AT,MATCH($M$1,'Data qoq'!$A$1:$AT$1,),))/100+1)^4)-1</f>
        <v>2.1413196962259518E-2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5.1779540055216566E-2</v>
      </c>
      <c r="R56" s="32">
        <f>(((VLOOKUP(B56,'Data qoq'!$A:$AT,MATCH($R$1,'Data qoq'!$A$1:$AT$1,),))/100+1)^4)-1</f>
        <v>1.8755184371151756E-2</v>
      </c>
      <c r="S56" s="32">
        <f>(((VLOOKUP(B56,'Data qoq'!$A:$AT,MATCH($S$1,'Data qoq'!$A$1:$AT$1,),))/100+1)^4)-1</f>
        <v>1.9776641418433272E-2</v>
      </c>
      <c r="T56" s="32">
        <f>(((VLOOKUP(B56,'Data qoq'!$A:$AT,MATCH($T$1,'Data qoq'!$A$1:$AT$1,),))/100+1)^4)-1</f>
        <v>3.9235598153687379E-2</v>
      </c>
      <c r="U56" s="32">
        <f>(((VLOOKUP(B56,'Data qoq'!$A:$AT,MATCH($U$1,'Data qoq'!$A$1:$AT$1,),))/100+1)^4)-1</f>
        <v>-7.07248661224259E-2</v>
      </c>
      <c r="V56" s="32">
        <f>(((VLOOKUP(B56,'Data qoq'!$A:$AT,MATCH($V$1,'Data qoq'!$A$1:$AT$1,),))/100+1)^4)-1</f>
        <v>5.6341141554200558E-2</v>
      </c>
      <c r="W56" s="32">
        <f>(((VLOOKUP(B56,'Data qoq'!$A:$AT,MATCH($W$1,'Data qoq'!$A$1:$AT$1,),))/100+1)^4)-1</f>
        <v>0.11452106368858472</v>
      </c>
      <c r="X56" s="32">
        <f>(((VLOOKUP(B56,'Data qoq'!$A:$AT,MATCH($X$1,'Data qoq'!$A$1:$AT$1,),))/100+1)^4)-1</f>
        <v>1.0481882033513745E-2</v>
      </c>
      <c r="Y56" s="32">
        <f>(((VLOOKUP(B56,'Data qoq'!$A:$AT,MATCH($Y$1,'Data qoq'!$A$1:$AT$1,),))/100+1)^4)-1</f>
        <v>5.4473874800627264E-2</v>
      </c>
      <c r="Z56" s="32">
        <f>(((VLOOKUP(B56,'Data qoq'!$A:$AU,MATCH($Z$1,'Data qoq'!$A$1:$AU$1,),))/100+1)^4)-1</f>
        <v>3.6434040319377914E-2</v>
      </c>
      <c r="AA56" s="32">
        <f>(((VLOOKUP(B56,'Data qoq'!$A:$AU,MATCH($AA$1,'Data qoq'!$A$1:$AU$1,),))/100+1)^4)-1</f>
        <v>2.0374549200286474E-2</v>
      </c>
      <c r="AC56" s="26" t="str">
        <f t="shared" si="8"/>
        <v>2011-Q2</v>
      </c>
      <c r="AD56" s="31">
        <f t="shared" si="9"/>
        <v>-4.1391175506049205E-3</v>
      </c>
      <c r="AE56" s="27"/>
    </row>
    <row r="57" spans="1:31" hidden="1" x14ac:dyDescent="0.2">
      <c r="A57" s="30">
        <v>40787</v>
      </c>
      <c r="B57" s="24" t="s">
        <v>323</v>
      </c>
      <c r="C57" s="32">
        <f>(((VLOOKUP(B57,'Data qoq'!$A:$AT,MATCH($C$1,'Data qoq'!$A$1:$AT$1,),))/100+1)^4)-1</f>
        <v>-1.5497850172727645E-3</v>
      </c>
      <c r="D57" s="32">
        <f>(((VLOOKUP(B57,'Data qoq'!$A:$AT,MATCH($D$1,'Data qoq'!$A$1:$AT$1,),))/100+1)^4)-1</f>
        <v>7.819356632099983E-2</v>
      </c>
      <c r="E57" s="32">
        <f>(((VLOOKUP(B57,'Data qoq'!$A:$AT,MATCH($E$1,'Data qoq'!$A$1:$AT$1,),))/100+1)^4)-1</f>
        <v>4.9890669740326743E-3</v>
      </c>
      <c r="F57" s="32">
        <f>(((VLOOKUP(B57,'Data qoq'!$A:$AT,MATCH($F$1,'Data qoq'!$A$1:$AT$1,),))/100+1)^4)-1</f>
        <v>0.10083796700660486</v>
      </c>
      <c r="G57" s="32">
        <f>(((VLOOKUP(B57,'Data qoq'!$A:$AT,MATCH($G$1,'Data qoq'!$A$1:$AT$1,),))/100+1)^4)-1</f>
        <v>3.6233888012051851E-2</v>
      </c>
      <c r="H57" s="32">
        <f>(((VLOOKUP(B57,'Data qoq'!$A:$AT,MATCH($H$1,'Data qoq'!$A$1:$AT$1,),))/100+1)^4)-1</f>
        <v>1.502067765568027E-2</v>
      </c>
      <c r="I57" s="32">
        <f>(((VLOOKUP(B57,'Data qoq'!$A:$AT,MATCH($I$1,'Data qoq'!$A$1:$AT$1,),))/100+1)^4)-1</f>
        <v>1.2835789976667122E-2</v>
      </c>
      <c r="J57" s="32">
        <f>(((VLOOKUP(B57,'Data qoq'!$A:$AT,MATCH($J$1,'Data qoq'!$A$1:$AT$1,),))/100+1)^4)-1</f>
        <v>-2.074300843233412E-2</v>
      </c>
      <c r="K57" s="32">
        <f>(((VLOOKUP(B57,'Data qoq'!$A:$AT,MATCH($K$1,'Data qoq'!$A$1:$AT$1,),))/100+1)^4)-1</f>
        <v>-2.5672251585736716E-2</v>
      </c>
      <c r="L57" s="32">
        <f>(((VLOOKUP(B57,'Data qoq'!$A:$AT,MATCH($L$1,'Data qoq'!$A$1:$AT$1,),))/100+1)^4)-1</f>
        <v>5.407050359444443E-2</v>
      </c>
      <c r="M57" s="32">
        <f>(((VLOOKUP(B57,'Data qoq'!$A:$AT,MATCH($M$1,'Data qoq'!$A$1:$AT$1,),))/100+1)^4)-1</f>
        <v>8.0064004415087764E-2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5.4941702358995537E-2</v>
      </c>
      <c r="R57" s="32">
        <f>(((VLOOKUP(B57,'Data qoq'!$A:$AT,MATCH($R$1,'Data qoq'!$A$1:$AT$1,),))/100+1)^4)-1</f>
        <v>-1.473500663294669E-2</v>
      </c>
      <c r="S57" s="32">
        <f>(((VLOOKUP(B57,'Data qoq'!$A:$AT,MATCH($S$1,'Data qoq'!$A$1:$AT$1,),))/100+1)^4)-1</f>
        <v>2.1219739432011941E-2</v>
      </c>
      <c r="T57" s="32">
        <f>(((VLOOKUP(B57,'Data qoq'!$A:$AT,MATCH($T$1,'Data qoq'!$A$1:$AT$1,),))/100+1)^4)-1</f>
        <v>-8.3832497141639317E-3</v>
      </c>
      <c r="U57" s="32">
        <f>(((VLOOKUP(B57,'Data qoq'!$A:$AT,MATCH($U$1,'Data qoq'!$A$1:$AT$1,),))/100+1)^4)-1</f>
        <v>-7.7687674872588874E-2</v>
      </c>
      <c r="V57" s="32">
        <f>(((VLOOKUP(B57,'Data qoq'!$A:$AT,MATCH($V$1,'Data qoq'!$A$1:$AT$1,),))/100+1)^4)-1</f>
        <v>-7.0430064795439451E-2</v>
      </c>
      <c r="W57" s="32">
        <f>(((VLOOKUP(B57,'Data qoq'!$A:$AT,MATCH($W$1,'Data qoq'!$A$1:$AT$1,),))/100+1)^4)-1</f>
        <v>0.11067107889866001</v>
      </c>
      <c r="X57" s="32">
        <f>(((VLOOKUP(B57,'Data qoq'!$A:$AT,MATCH($X$1,'Data qoq'!$A$1:$AT$1,),))/100+1)^4)-1</f>
        <v>-3.2392600262555193E-3</v>
      </c>
      <c r="Y57" s="32">
        <f>(((VLOOKUP(B57,'Data qoq'!$A:$AT,MATCH($Y$1,'Data qoq'!$A$1:$AT$1,),))/100+1)^4)-1</f>
        <v>5.2540056455217199E-2</v>
      </c>
      <c r="Z57" s="32">
        <f>(((VLOOKUP(B57,'Data qoq'!$A:$AU,MATCH($Z$1,'Data qoq'!$A$1:$AU$1,),))/100+1)^4)-1</f>
        <v>3.4018748448111147E-2</v>
      </c>
      <c r="AA57" s="32">
        <f>(((VLOOKUP(B57,'Data qoq'!$A:$AU,MATCH($AA$1,'Data qoq'!$A$1:$AU$1,),))/100+1)^4)-1</f>
        <v>4.1871593440460986E-2</v>
      </c>
      <c r="AC57" s="26" t="str">
        <f t="shared" si="8"/>
        <v>2011-Q3</v>
      </c>
      <c r="AD57" s="31">
        <f t="shared" si="9"/>
        <v>-7.8467230026344481E-3</v>
      </c>
      <c r="AE57" s="27"/>
    </row>
    <row r="58" spans="1:31" hidden="1" x14ac:dyDescent="0.2">
      <c r="A58" s="30">
        <v>40878</v>
      </c>
      <c r="B58" s="24" t="s">
        <v>324</v>
      </c>
      <c r="C58" s="32">
        <f>(((VLOOKUP(B58,'Data qoq'!$A:$AT,MATCH($C$1,'Data qoq'!$A$1:$AT$1,),))/100+1)^4)-1</f>
        <v>4.5627685328668566E-2</v>
      </c>
      <c r="D58" s="32">
        <f>(((VLOOKUP(B58,'Data qoq'!$A:$AT,MATCH($D$1,'Data qoq'!$A$1:$AT$1,),))/100+1)^4)-1</f>
        <v>6.136355062499943E-2</v>
      </c>
      <c r="E58" s="32">
        <f>(((VLOOKUP(B58,'Data qoq'!$A:$AT,MATCH($E$1,'Data qoq'!$A$1:$AT$1,),))/100+1)^4)-1</f>
        <v>-1.625836385400059E-2</v>
      </c>
      <c r="F58" s="32">
        <f>(((VLOOKUP(B58,'Data qoq'!$A:$AT,MATCH($F$1,'Data qoq'!$A$1:$AT$1,),))/100+1)^4)-1</f>
        <v>-5.7014538922449676E-3</v>
      </c>
      <c r="G58" s="32">
        <f>(((VLOOKUP(B58,'Data qoq'!$A:$AT,MATCH($G$1,'Data qoq'!$A$1:$AT$1,),))/100+1)^4)-1</f>
        <v>-1.2447569101925682E-2</v>
      </c>
      <c r="H58" s="32">
        <f>(((VLOOKUP(B58,'Data qoq'!$A:$AT,MATCH($H$1,'Data qoq'!$A$1:$AT$1,),))/100+1)^4)-1</f>
        <v>7.0235846800184021E-3</v>
      </c>
      <c r="I58" s="32">
        <f>(((VLOOKUP(B58,'Data qoq'!$A:$AT,MATCH($I$1,'Data qoq'!$A$1:$AT$1,),))/100+1)^4)-1</f>
        <v>5.0982238314523087E-3</v>
      </c>
      <c r="J58" s="32">
        <f>(((VLOOKUP(B58,'Data qoq'!$A:$AT,MATCH($J$1,'Data qoq'!$A$1:$AT$1,),))/100+1)^4)-1</f>
        <v>-3.7392486945476588E-2</v>
      </c>
      <c r="K58" s="32">
        <f>(((VLOOKUP(B58,'Data qoq'!$A:$AT,MATCH($K$1,'Data qoq'!$A$1:$AT$1,),))/100+1)^4)-1</f>
        <v>-2.5691109126753431E-2</v>
      </c>
      <c r="L58" s="32">
        <f>(((VLOOKUP(B58,'Data qoq'!$A:$AT,MATCH($L$1,'Data qoq'!$A$1:$AT$1,),))/100+1)^4)-1</f>
        <v>-5.5713526457433549E-2</v>
      </c>
      <c r="M58" s="32">
        <f>(((VLOOKUP(B58,'Data qoq'!$A:$AT,MATCH($M$1,'Data qoq'!$A$1:$AT$1,),))/100+1)^4)-1</f>
        <v>2.6544124475186281E-2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4.5145871248834624E-2</v>
      </c>
      <c r="R58" s="32">
        <f>(((VLOOKUP(B58,'Data qoq'!$A:$AT,MATCH($R$1,'Data qoq'!$A$1:$AT$1,),))/100+1)^4)-1</f>
        <v>4.0150469461199823E-3</v>
      </c>
      <c r="S58" s="32">
        <f>(((VLOOKUP(B58,'Data qoq'!$A:$AT,MATCH($S$1,'Data qoq'!$A$1:$AT$1,),))/100+1)^4)-1</f>
        <v>1.9026183910156647E-2</v>
      </c>
      <c r="T58" s="32">
        <f>(((VLOOKUP(B58,'Data qoq'!$A:$AT,MATCH($T$1,'Data qoq'!$A$1:$AT$1,),))/100+1)^4)-1</f>
        <v>3.3214879516366702E-2</v>
      </c>
      <c r="U58" s="32">
        <f>(((VLOOKUP(B58,'Data qoq'!$A:$AT,MATCH($U$1,'Data qoq'!$A$1:$AT$1,),))/100+1)^4)-1</f>
        <v>-0.16556121608932672</v>
      </c>
      <c r="V58" s="32">
        <f>(((VLOOKUP(B58,'Data qoq'!$A:$AT,MATCH($V$1,'Data qoq'!$A$1:$AT$1,),))/100+1)^4)-1</f>
        <v>1.4261655352447278E-2</v>
      </c>
      <c r="W58" s="32">
        <f>(((VLOOKUP(B58,'Data qoq'!$A:$AT,MATCH($W$1,'Data qoq'!$A$1:$AT$1,),))/100+1)^4)-1</f>
        <v>5.5407892449708784E-2</v>
      </c>
      <c r="X58" s="32">
        <f>(((VLOOKUP(B58,'Data qoq'!$A:$AT,MATCH($X$1,'Data qoq'!$A$1:$AT$1,),))/100+1)^4)-1</f>
        <v>3.3573836298879112E-3</v>
      </c>
      <c r="Y58" s="32">
        <f>(((VLOOKUP(B58,'Data qoq'!$A:$AT,MATCH($Y$1,'Data qoq'!$A$1:$AT$1,),))/100+1)^4)-1</f>
        <v>2.5584940345148688E-2</v>
      </c>
      <c r="Z58" s="32">
        <f>(((VLOOKUP(B58,'Data qoq'!$A:$AU,MATCH($Z$1,'Data qoq'!$A$1:$AU$1,),))/100+1)^4)-1</f>
        <v>3.4842879674352734E-3</v>
      </c>
      <c r="AA58" s="32">
        <f>(((VLOOKUP(B58,'Data qoq'!$A:$AU,MATCH($AA$1,'Data qoq'!$A$1:$AU$1,),))/100+1)^4)-1</f>
        <v>2.3140738914901648E-2</v>
      </c>
      <c r="AC58" s="26" t="str">
        <f t="shared" si="8"/>
        <v>2011-Q4</v>
      </c>
      <c r="AD58" s="31">
        <f t="shared" si="9"/>
        <v>-2.1356587685452899E-2</v>
      </c>
      <c r="AE58" s="27"/>
    </row>
    <row r="59" spans="1:31" hidden="1" x14ac:dyDescent="0.2">
      <c r="A59" s="30">
        <v>40969</v>
      </c>
      <c r="B59" s="24" t="s">
        <v>325</v>
      </c>
      <c r="C59" s="32">
        <f>(((VLOOKUP(B59,'Data qoq'!$A:$AT,MATCH($C$1,'Data qoq'!$A$1:$AT$1,),))/100+1)^4)-1</f>
        <v>3.3120505698075231E-2</v>
      </c>
      <c r="D59" s="32">
        <f>(((VLOOKUP(B59,'Data qoq'!$A:$AT,MATCH($D$1,'Data qoq'!$A$1:$AT$1,),))/100+1)^4)-1</f>
        <v>6.9753735520999616E-2</v>
      </c>
      <c r="E59" s="32">
        <f>(((VLOOKUP(B59,'Data qoq'!$A:$AT,MATCH($E$1,'Data qoq'!$A$1:$AT$1,),))/100+1)^4)-1</f>
        <v>-8.4168227166573351E-3</v>
      </c>
      <c r="F59" s="32">
        <f>(((VLOOKUP(B59,'Data qoq'!$A:$AT,MATCH($F$1,'Data qoq'!$A$1:$AT$1,),))/100+1)^4)-1</f>
        <v>5.6136552284449914E-2</v>
      </c>
      <c r="G59" s="32">
        <f>(((VLOOKUP(B59,'Data qoq'!$A:$AT,MATCH($G$1,'Data qoq'!$A$1:$AT$1,),))/100+1)^4)-1</f>
        <v>8.4956184712206007E-3</v>
      </c>
      <c r="H59" s="32">
        <f>(((VLOOKUP(B59,'Data qoq'!$A:$AT,MATCH($H$1,'Data qoq'!$A$1:$AT$1,),))/100+1)^4)-1</f>
        <v>3.4366180612634967E-3</v>
      </c>
      <c r="I59" s="32">
        <f>(((VLOOKUP(B59,'Data qoq'!$A:$AT,MATCH($I$1,'Data qoq'!$A$1:$AT$1,),))/100+1)^4)-1</f>
        <v>2.7380953389638307E-2</v>
      </c>
      <c r="J59" s="32">
        <f>(((VLOOKUP(B59,'Data qoq'!$A:$AT,MATCH($J$1,'Data qoq'!$A$1:$AT$1,),))/100+1)^4)-1</f>
        <v>-4.2726002430329868E-2</v>
      </c>
      <c r="K59" s="32">
        <f>(((VLOOKUP(B59,'Data qoq'!$A:$AT,MATCH($K$1,'Data qoq'!$A$1:$AT$1,),))/100+1)^4)-1</f>
        <v>-3.6962013107229019E-2</v>
      </c>
      <c r="L59" s="32">
        <f>(((VLOOKUP(B59,'Data qoq'!$A:$AT,MATCH($L$1,'Data qoq'!$A$1:$AT$1,),))/100+1)^4)-1</f>
        <v>8.0239580539991362E-3</v>
      </c>
      <c r="M59" s="32">
        <f>(((VLOOKUP(B59,'Data qoq'!$A:$AT,MATCH($M$1,'Data qoq'!$A$1:$AT$1,),))/100+1)^4)-1</f>
        <v>2.6041427686211094E-2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3.8460556171548088E-2</v>
      </c>
      <c r="R59" s="32">
        <f>(((VLOOKUP(B59,'Data qoq'!$A:$AT,MATCH($R$1,'Data qoq'!$A$1:$AT$1,),))/100+1)^4)-1</f>
        <v>4.2462807602611452E-2</v>
      </c>
      <c r="S59" s="32">
        <f>(((VLOOKUP(B59,'Data qoq'!$A:$AT,MATCH($S$1,'Data qoq'!$A$1:$AT$1,),))/100+1)^4)-1</f>
        <v>3.5078865103473689E-2</v>
      </c>
      <c r="T59" s="32">
        <f>(((VLOOKUP(B59,'Data qoq'!$A:$AT,MATCH($T$1,'Data qoq'!$A$1:$AT$1,),))/100+1)^4)-1</f>
        <v>-5.0520452438770014E-2</v>
      </c>
      <c r="U59" s="32">
        <f>(((VLOOKUP(B59,'Data qoq'!$A:$AT,MATCH($U$1,'Data qoq'!$A$1:$AT$1,),))/100+1)^4)-1</f>
        <v>-1.7014081706775208E-2</v>
      </c>
      <c r="V59" s="32">
        <f>(((VLOOKUP(B59,'Data qoq'!$A:$AT,MATCH($V$1,'Data qoq'!$A$1:$AT$1,),))/100+1)^4)-1</f>
        <v>-2.6615101742052172E-2</v>
      </c>
      <c r="W59" s="32">
        <f>(((VLOOKUP(B59,'Data qoq'!$A:$AT,MATCH($W$1,'Data qoq'!$A$1:$AT$1,),))/100+1)^4)-1</f>
        <v>-3.5118743335027403E-2</v>
      </c>
      <c r="X59" s="32">
        <f>(((VLOOKUP(B59,'Data qoq'!$A:$AT,MATCH($X$1,'Data qoq'!$A$1:$AT$1,),))/100+1)^4)-1</f>
        <v>-9.3781581678111792E-3</v>
      </c>
      <c r="Y59" s="32">
        <f>(((VLOOKUP(B59,'Data qoq'!$A:$AT,MATCH($Y$1,'Data qoq'!$A$1:$AT$1,),))/100+1)^4)-1</f>
        <v>2.77017505985655E-3</v>
      </c>
      <c r="Z59" s="32">
        <f>(((VLOOKUP(B59,'Data qoq'!$A:$AU,MATCH($Z$1,'Data qoq'!$A$1:$AU$1,),))/100+1)^4)-1</f>
        <v>-4.2363517400163753E-2</v>
      </c>
      <c r="AA59" s="32">
        <f>(((VLOOKUP(B59,'Data qoq'!$A:$AU,MATCH($AA$1,'Data qoq'!$A$1:$AU$1,),))/100+1)^4)-1</f>
        <v>2.4931808764655283E-2</v>
      </c>
      <c r="AC59" s="26" t="str">
        <f t="shared" si="8"/>
        <v>2012-Q1</v>
      </c>
      <c r="AD59" s="31">
        <f t="shared" si="9"/>
        <v>-3.5797776106295642E-2</v>
      </c>
      <c r="AE59" s="27"/>
    </row>
    <row r="60" spans="1:31" hidden="1" x14ac:dyDescent="0.2">
      <c r="A60" s="30">
        <v>41061</v>
      </c>
      <c r="B60" s="24" t="s">
        <v>326</v>
      </c>
      <c r="C60" s="32">
        <f>(((VLOOKUP(B60,'Data qoq'!$A:$AT,MATCH($C$1,'Data qoq'!$A$1:$AT$1,),))/100+1)^4)-1</f>
        <v>1.8359463834497713E-2</v>
      </c>
      <c r="D60" s="32">
        <f>(((VLOOKUP(B60,'Data qoq'!$A:$AT,MATCH($D$1,'Data qoq'!$A$1:$AT$1,),))/100+1)^4)-1</f>
        <v>9.5222947840999606E-2</v>
      </c>
      <c r="E60" s="32">
        <f>(((VLOOKUP(B60,'Data qoq'!$A:$AT,MATCH($E$1,'Data qoq'!$A$1:$AT$1,),))/100+1)^4)-1</f>
        <v>-1.0554606026249136E-2</v>
      </c>
      <c r="F60" s="32">
        <f>(((VLOOKUP(B60,'Data qoq'!$A:$AT,MATCH($F$1,'Data qoq'!$A$1:$AT$1,),))/100+1)^4)-1</f>
        <v>-3.5374464196172961E-2</v>
      </c>
      <c r="G60" s="32">
        <f>(((VLOOKUP(B60,'Data qoq'!$A:$AT,MATCH($G$1,'Data qoq'!$A$1:$AT$1,),))/100+1)^4)-1</f>
        <v>7.5327511595826291E-3</v>
      </c>
      <c r="H60" s="32">
        <f>(((VLOOKUP(B60,'Data qoq'!$A:$AT,MATCH($H$1,'Data qoq'!$A$1:$AT$1,),))/100+1)^4)-1</f>
        <v>-6.3072447132168641E-3</v>
      </c>
      <c r="I60" s="32">
        <f>(((VLOOKUP(B60,'Data qoq'!$A:$AT,MATCH($I$1,'Data qoq'!$A$1:$AT$1,),))/100+1)^4)-1</f>
        <v>-2.3519220230575621E-3</v>
      </c>
      <c r="J60" s="32">
        <f>(((VLOOKUP(B60,'Data qoq'!$A:$AT,MATCH($J$1,'Data qoq'!$A$1:$AT$1,),))/100+1)^4)-1</f>
        <v>-2.9212191045890568E-2</v>
      </c>
      <c r="K60" s="32">
        <f>(((VLOOKUP(B60,'Data qoq'!$A:$AT,MATCH($K$1,'Data qoq'!$A$1:$AT$1,),))/100+1)^4)-1</f>
        <v>-3.7898546614003936E-2</v>
      </c>
      <c r="L60" s="32">
        <f>(((VLOOKUP(B60,'Data qoq'!$A:$AT,MATCH($L$1,'Data qoq'!$A$1:$AT$1,),))/100+1)^4)-1</f>
        <v>4.8520135995386848E-3</v>
      </c>
      <c r="M60" s="32">
        <f>(((VLOOKUP(B60,'Data qoq'!$A:$AT,MATCH($M$1,'Data qoq'!$A$1:$AT$1,),))/100+1)^4)-1</f>
        <v>3.5470876647721861E-2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2.9025525011615372E-2</v>
      </c>
      <c r="R60" s="32">
        <f>(((VLOOKUP(B60,'Data qoq'!$A:$AT,MATCH($R$1,'Data qoq'!$A$1:$AT$1,),))/100+1)^4)-1</f>
        <v>-2.2460790508069817E-3</v>
      </c>
      <c r="S60" s="32">
        <f>(((VLOOKUP(B60,'Data qoq'!$A:$AT,MATCH($S$1,'Data qoq'!$A$1:$AT$1,),))/100+1)^4)-1</f>
        <v>2.2831907295441045E-2</v>
      </c>
      <c r="T60" s="32">
        <f>(((VLOOKUP(B60,'Data qoq'!$A:$AT,MATCH($T$1,'Data qoq'!$A$1:$AT$1,),))/100+1)^4)-1</f>
        <v>7.0506638504008068E-2</v>
      </c>
      <c r="U60" s="32">
        <f>(((VLOOKUP(B60,'Data qoq'!$A:$AT,MATCH($U$1,'Data qoq'!$A$1:$AT$1,),))/100+1)^4)-1</f>
        <v>-6.3646414894371506E-2</v>
      </c>
      <c r="V60" s="32">
        <f>(((VLOOKUP(B60,'Data qoq'!$A:$AT,MATCH($V$1,'Data qoq'!$A$1:$AT$1,),))/100+1)^4)-1</f>
        <v>8.2803836353625426E-2</v>
      </c>
      <c r="W60" s="32">
        <f>(((VLOOKUP(B60,'Data qoq'!$A:$AT,MATCH($W$1,'Data qoq'!$A$1:$AT$1,),))/100+1)^4)-1</f>
        <v>7.091239531984761E-2</v>
      </c>
      <c r="X60" s="32">
        <f>(((VLOOKUP(B60,'Data qoq'!$A:$AT,MATCH($X$1,'Data qoq'!$A$1:$AT$1,),))/100+1)^4)-1</f>
        <v>-1.8361154912787447E-2</v>
      </c>
      <c r="Y60" s="32">
        <f>(((VLOOKUP(B60,'Data qoq'!$A:$AT,MATCH($Y$1,'Data qoq'!$A$1:$AT$1,),))/100+1)^4)-1</f>
        <v>-9.7863772396823423E-3</v>
      </c>
      <c r="Z60" s="32">
        <f>(((VLOOKUP(B60,'Data qoq'!$A:$AU,MATCH($Z$1,'Data qoq'!$A$1:$AU$1,),))/100+1)^4)-1</f>
        <v>-0.13295545936948516</v>
      </c>
      <c r="AA60" s="32">
        <f>(((VLOOKUP(B60,'Data qoq'!$A:$AU,MATCH($AA$1,'Data qoq'!$A$1:$AU$1,),))/100+1)^4)-1</f>
        <v>1.3541243064798536E-2</v>
      </c>
      <c r="AC60" s="26" t="str">
        <f t="shared" si="8"/>
        <v>2012-Q2</v>
      </c>
      <c r="AD60" s="31">
        <f t="shared" si="9"/>
        <v>-8.2026840031915738E-3</v>
      </c>
      <c r="AE60" s="27"/>
    </row>
    <row r="61" spans="1:31" hidden="1" x14ac:dyDescent="0.2">
      <c r="A61" s="30">
        <v>41153</v>
      </c>
      <c r="B61" s="24" t="s">
        <v>327</v>
      </c>
      <c r="C61" s="32">
        <f>(((VLOOKUP(B61,'Data qoq'!$A:$AT,MATCH($C$1,'Data qoq'!$A$1:$AT$1,),))/100+1)^4)-1</f>
        <v>7.0136909574731732E-3</v>
      </c>
      <c r="D61" s="32">
        <f>(((VLOOKUP(B61,'Data qoq'!$A:$AT,MATCH($D$1,'Data qoq'!$A$1:$AT$1,),))/100+1)^4)-1</f>
        <v>7.819356632099983E-2</v>
      </c>
      <c r="E61" s="32">
        <f>(((VLOOKUP(B61,'Data qoq'!$A:$AT,MATCH($E$1,'Data qoq'!$A$1:$AT$1,),))/100+1)^4)-1</f>
        <v>-4.6200141607954937E-3</v>
      </c>
      <c r="F61" s="32">
        <f>(((VLOOKUP(B61,'Data qoq'!$A:$AT,MATCH($F$1,'Data qoq'!$A$1:$AT$1,),))/100+1)^4)-1</f>
        <v>-1.5007022346798737E-2</v>
      </c>
      <c r="G61" s="32">
        <f>(((VLOOKUP(B61,'Data qoq'!$A:$AT,MATCH($G$1,'Data qoq'!$A$1:$AT$1,),))/100+1)^4)-1</f>
        <v>1.1713986632237106E-2</v>
      </c>
      <c r="H61" s="32">
        <f>(((VLOOKUP(B61,'Data qoq'!$A:$AT,MATCH($H$1,'Data qoq'!$A$1:$AT$1,),))/100+1)^4)-1</f>
        <v>8.0358441377768042E-3</v>
      </c>
      <c r="I61" s="32">
        <f>(((VLOOKUP(B61,'Data qoq'!$A:$AT,MATCH($I$1,'Data qoq'!$A$1:$AT$1,),))/100+1)^4)-1</f>
        <v>4.9889146412143148E-2</v>
      </c>
      <c r="J61" s="32">
        <f>(((VLOOKUP(B61,'Data qoq'!$A:$AT,MATCH($J$1,'Data qoq'!$A$1:$AT$1,),))/100+1)^4)-1</f>
        <v>-2.0565303934302892E-2</v>
      </c>
      <c r="K61" s="32">
        <f>(((VLOOKUP(B61,'Data qoq'!$A:$AT,MATCH($K$1,'Data qoq'!$A$1:$AT$1,),))/100+1)^4)-1</f>
        <v>-2.0232269063222397E-2</v>
      </c>
      <c r="L61" s="32">
        <f>(((VLOOKUP(B61,'Data qoq'!$A:$AT,MATCH($L$1,'Data qoq'!$A$1:$AT$1,),))/100+1)^4)-1</f>
        <v>-4.7226909145554608E-3</v>
      </c>
      <c r="M61" s="32">
        <f>(((VLOOKUP(B61,'Data qoq'!$A:$AT,MATCH($M$1,'Data qoq'!$A$1:$AT$1,),))/100+1)^4)-1</f>
        <v>2.2910587313088149E-2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2.3855373963840742E-2</v>
      </c>
      <c r="R61" s="32">
        <f>(((VLOOKUP(B61,'Data qoq'!$A:$AT,MATCH($R$1,'Data qoq'!$A$1:$AT$1,),))/100+1)^4)-1</f>
        <v>2.8590491271204277E-2</v>
      </c>
      <c r="S61" s="32">
        <f>(((VLOOKUP(B61,'Data qoq'!$A:$AT,MATCH($S$1,'Data qoq'!$A$1:$AT$1,),))/100+1)^4)-1</f>
        <v>1.8193908293724803E-2</v>
      </c>
      <c r="T61" s="32">
        <f>(((VLOOKUP(B61,'Data qoq'!$A:$AT,MATCH($T$1,'Data qoq'!$A$1:$AT$1,),))/100+1)^4)-1</f>
        <v>7.157876629964588E-2</v>
      </c>
      <c r="U61" s="32">
        <f>(((VLOOKUP(B61,'Data qoq'!$A:$AT,MATCH($U$1,'Data qoq'!$A$1:$AT$1,),))/100+1)^4)-1</f>
        <v>-5.5737967354459794E-2</v>
      </c>
      <c r="V61" s="32">
        <f>(((VLOOKUP(B61,'Data qoq'!$A:$AT,MATCH($V$1,'Data qoq'!$A$1:$AT$1,),))/100+1)^4)-1</f>
        <v>-7.5652319281410474E-2</v>
      </c>
      <c r="W61" s="32">
        <f>(((VLOOKUP(B61,'Data qoq'!$A:$AT,MATCH($W$1,'Data qoq'!$A$1:$AT$1,),))/100+1)^4)-1</f>
        <v>7.2482536490507066E-2</v>
      </c>
      <c r="X61" s="32">
        <f>(((VLOOKUP(B61,'Data qoq'!$A:$AT,MATCH($X$1,'Data qoq'!$A$1:$AT$1,),))/100+1)^4)-1</f>
        <v>-1.2188074423372108E-2</v>
      </c>
      <c r="Y61" s="32">
        <f>(((VLOOKUP(B61,'Data qoq'!$A:$AT,MATCH($Y$1,'Data qoq'!$A$1:$AT$1,),))/100+1)^4)-1</f>
        <v>1.7645669445244261E-2</v>
      </c>
      <c r="Z61" s="32">
        <f>(((VLOOKUP(B61,'Data qoq'!$A:$AU,MATCH($Z$1,'Data qoq'!$A$1:$AU$1,),))/100+1)^4)-1</f>
        <v>0.13507148682754888</v>
      </c>
      <c r="AA61" s="32">
        <f>(((VLOOKUP(B61,'Data qoq'!$A:$AU,MATCH($AA$1,'Data qoq'!$A$1:$AU$1,),))/100+1)^4)-1</f>
        <v>1.0124840068087559E-2</v>
      </c>
      <c r="AC61" s="26" t="str">
        <f t="shared" si="8"/>
        <v>2012-Q3</v>
      </c>
      <c r="AD61" s="31">
        <f t="shared" si="9"/>
        <v>-5.4509160572938642E-2</v>
      </c>
      <c r="AE61" s="27"/>
    </row>
    <row r="62" spans="1:31" hidden="1" x14ac:dyDescent="0.2">
      <c r="A62" s="30">
        <v>41244</v>
      </c>
      <c r="B62" s="24" t="s">
        <v>328</v>
      </c>
      <c r="C62" s="32">
        <f>(((VLOOKUP(B62,'Data qoq'!$A:$AT,MATCH($C$1,'Data qoq'!$A$1:$AT$1,),))/100+1)^4)-1</f>
        <v>4.4007666225549524E-3</v>
      </c>
      <c r="D62" s="32">
        <f>(((VLOOKUP(B62,'Data qoq'!$A:$AT,MATCH($D$1,'Data qoq'!$A$1:$AT$1,),))/100+1)^4)-1</f>
        <v>7.819356632099983E-2</v>
      </c>
      <c r="E62" s="32">
        <f>(((VLOOKUP(B62,'Data qoq'!$A:$AT,MATCH($E$1,'Data qoq'!$A$1:$AT$1,),))/100+1)^4)-1</f>
        <v>-1.658365915018789E-2</v>
      </c>
      <c r="F62" s="32">
        <f>(((VLOOKUP(B62,'Data qoq'!$A:$AT,MATCH($F$1,'Data qoq'!$A$1:$AT$1,),))/100+1)^4)-1</f>
        <v>-2.9045076674666381E-3</v>
      </c>
      <c r="G62" s="32">
        <f>(((VLOOKUP(B62,'Data qoq'!$A:$AT,MATCH($G$1,'Data qoq'!$A$1:$AT$1,),))/100+1)^4)-1</f>
        <v>-1.7739730415393229E-2</v>
      </c>
      <c r="H62" s="32">
        <f>(((VLOOKUP(B62,'Data qoq'!$A:$AT,MATCH($H$1,'Data qoq'!$A$1:$AT$1,),))/100+1)^4)-1</f>
        <v>-2.95641904083499E-3</v>
      </c>
      <c r="I62" s="32">
        <f>(((VLOOKUP(B62,'Data qoq'!$A:$AT,MATCH($I$1,'Data qoq'!$A$1:$AT$1,),))/100+1)^4)-1</f>
        <v>-9.8364090490182798E-3</v>
      </c>
      <c r="J62" s="32">
        <f>(((VLOOKUP(B62,'Data qoq'!$A:$AT,MATCH($J$1,'Data qoq'!$A$1:$AT$1,),))/100+1)^4)-1</f>
        <v>-2.9745448781823947E-2</v>
      </c>
      <c r="K62" s="32">
        <f>(((VLOOKUP(B62,'Data qoq'!$A:$AT,MATCH($K$1,'Data qoq'!$A$1:$AT$1,),))/100+1)^4)-1</f>
        <v>-3.0159058069810674E-2</v>
      </c>
      <c r="L62" s="32">
        <f>(((VLOOKUP(B62,'Data qoq'!$A:$AT,MATCH($L$1,'Data qoq'!$A$1:$AT$1,),))/100+1)^4)-1</f>
        <v>-2.9084339712975082E-2</v>
      </c>
      <c r="M62" s="32">
        <f>(((VLOOKUP(B62,'Data qoq'!$A:$AT,MATCH($M$1,'Data qoq'!$A$1:$AT$1,),))/100+1)^4)-1</f>
        <v>3.4614574966227885E-2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2.0786605528677171E-2</v>
      </c>
      <c r="R62" s="32">
        <f>(((VLOOKUP(B62,'Data qoq'!$A:$AT,MATCH($R$1,'Data qoq'!$A$1:$AT$1,),))/100+1)^4)-1</f>
        <v>-4.3762578284588516E-3</v>
      </c>
      <c r="S62" s="32">
        <f>(((VLOOKUP(B62,'Data qoq'!$A:$AT,MATCH($S$1,'Data qoq'!$A$1:$AT$1,),))/100+1)^4)-1</f>
        <v>2.0241808681939366E-2</v>
      </c>
      <c r="T62" s="32">
        <f>(((VLOOKUP(B62,'Data qoq'!$A:$AT,MATCH($T$1,'Data qoq'!$A$1:$AT$1,),))/100+1)^4)-1</f>
        <v>-1.0507741786349722E-3</v>
      </c>
      <c r="U62" s="32">
        <f>(((VLOOKUP(B62,'Data qoq'!$A:$AT,MATCH($U$1,'Data qoq'!$A$1:$AT$1,),))/100+1)^4)-1</f>
        <v>-3.4868001015255001E-2</v>
      </c>
      <c r="V62" s="32">
        <f>(((VLOOKUP(B62,'Data qoq'!$A:$AT,MATCH($V$1,'Data qoq'!$A$1:$AT$1,),))/100+1)^4)-1</f>
        <v>5.3070225051493614E-2</v>
      </c>
      <c r="W62" s="32">
        <f>(((VLOOKUP(B62,'Data qoq'!$A:$AT,MATCH($W$1,'Data qoq'!$A$1:$AT$1,),))/100+1)^4)-1</f>
        <v>6.5673769498015178E-2</v>
      </c>
      <c r="X62" s="32">
        <f>(((VLOOKUP(B62,'Data qoq'!$A:$AT,MATCH($X$1,'Data qoq'!$A$1:$AT$1,),))/100+1)^4)-1</f>
        <v>-9.402118188404307E-3</v>
      </c>
      <c r="Y62" s="32">
        <f>(((VLOOKUP(B62,'Data qoq'!$A:$AT,MATCH($Y$1,'Data qoq'!$A$1:$AT$1,),))/100+1)^4)-1</f>
        <v>-2.0906973962943942E-2</v>
      </c>
      <c r="Z62" s="32">
        <f>(((VLOOKUP(B62,'Data qoq'!$A:$AU,MATCH($Z$1,'Data qoq'!$A$1:$AU$1,),))/100+1)^4)-1</f>
        <v>6.9770745863884542E-2</v>
      </c>
      <c r="AA62" s="32">
        <f>(((VLOOKUP(B62,'Data qoq'!$A:$AU,MATCH($AA$1,'Data qoq'!$A$1:$AU$1,),))/100+1)^4)-1</f>
        <v>6.2906418778659434E-2</v>
      </c>
      <c r="AC62" s="26" t="str">
        <f t="shared" si="8"/>
        <v>2012-Q4</v>
      </c>
      <c r="AD62" s="31">
        <f t="shared" si="9"/>
        <v>-6.7472501011696107E-3</v>
      </c>
      <c r="AE62" s="27"/>
    </row>
    <row r="63" spans="1:31" hidden="1" x14ac:dyDescent="0.2">
      <c r="A63" s="30">
        <v>41334</v>
      </c>
      <c r="B63" s="24" t="s">
        <v>329</v>
      </c>
      <c r="C63" s="32">
        <f>(((VLOOKUP(B63,'Data qoq'!$A:$AT,MATCH($C$1,'Data qoq'!$A$1:$AT$1,),))/100+1)^4)-1</f>
        <v>3.5166036796619116E-2</v>
      </c>
      <c r="D63" s="32">
        <f>(((VLOOKUP(B63,'Data qoq'!$A:$AT,MATCH($D$1,'Data qoq'!$A$1:$AT$1,),))/100+1)^4)-1</f>
        <v>7.819356632099983E-2</v>
      </c>
      <c r="E63" s="32">
        <f>(((VLOOKUP(B63,'Data qoq'!$A:$AT,MATCH($E$1,'Data qoq'!$A$1:$AT$1,),))/100+1)^4)-1</f>
        <v>-1.5053112465312823E-2</v>
      </c>
      <c r="F63" s="32">
        <f>(((VLOOKUP(B63,'Data qoq'!$A:$AT,MATCH($F$1,'Data qoq'!$A$1:$AT$1,),))/100+1)^4)-1</f>
        <v>5.6243954160018816E-2</v>
      </c>
      <c r="G63" s="32">
        <f>(((VLOOKUP(B63,'Data qoq'!$A:$AT,MATCH($G$1,'Data qoq'!$A$1:$AT$1,),))/100+1)^4)-1</f>
        <v>-1.8539968587899303E-2</v>
      </c>
      <c r="H63" s="32">
        <f>(((VLOOKUP(B63,'Data qoq'!$A:$AT,MATCH($H$1,'Data qoq'!$A$1:$AT$1,),))/100+1)^4)-1</f>
        <v>-5.6656846526625948E-4</v>
      </c>
      <c r="I63" s="32">
        <f>(((VLOOKUP(B63,'Data qoq'!$A:$AT,MATCH($I$1,'Data qoq'!$A$1:$AT$1,),))/100+1)^4)-1</f>
        <v>1.8492375071403888E-2</v>
      </c>
      <c r="J63" s="32">
        <f>(((VLOOKUP(B63,'Data qoq'!$A:$AT,MATCH($J$1,'Data qoq'!$A$1:$AT$1,),))/100+1)^4)-1</f>
        <v>-3.6791768178167428E-2</v>
      </c>
      <c r="K63" s="32">
        <f>(((VLOOKUP(B63,'Data qoq'!$A:$AT,MATCH($K$1,'Data qoq'!$A$1:$AT$1,),))/100+1)^4)-1</f>
        <v>-1.2724106160600157E-2</v>
      </c>
      <c r="L63" s="32">
        <f>(((VLOOKUP(B63,'Data qoq'!$A:$AT,MATCH($L$1,'Data qoq'!$A$1:$AT$1,),))/100+1)^4)-1</f>
        <v>5.7858470937027784E-2</v>
      </c>
      <c r="M63" s="32">
        <f>(((VLOOKUP(B63,'Data qoq'!$A:$AT,MATCH($M$1,'Data qoq'!$A$1:$AT$1,),))/100+1)^4)-1</f>
        <v>9.9085566256229551E-3</v>
      </c>
      <c r="N63" s="32">
        <f>(((VLOOKUP(B63,'Data qoq'!$A:$AT,MATCH($N$1,'Data qoq'!$A$1:$AT$1,),))/100+1)^4)-1</f>
        <v>2.9957314531627421E-2</v>
      </c>
      <c r="O63" s="32">
        <f>(((VLOOKUP(B63,'Data qoq'!$A:$AT,MATCH($O$1,'Data qoq'!$A$1:$AT$1,),))/100+1)^4)-1</f>
        <v>6.5499592405639406E-2</v>
      </c>
      <c r="P63" s="32">
        <f>(((VLOOKUP(B63,'Data qoq'!$A:$AT,MATCH($P$1,'Data qoq'!$A$1:$AT$1,),))/100+1)^4)-1</f>
        <v>3.6365858284001185E-2</v>
      </c>
      <c r="Q63" s="32">
        <f>(((VLOOKUP(B63,'Data qoq'!$A:$AT,MATCH($Q$1,'Data qoq'!$A$1:$AT$1,),))/100+1)^4)-1</f>
        <v>1.7109412458775841E-2</v>
      </c>
      <c r="R63" s="32">
        <f>(((VLOOKUP(B63,'Data qoq'!$A:$AT,MATCH($R$1,'Data qoq'!$A$1:$AT$1,),))/100+1)^4)-1</f>
        <v>1.7813874174564148E-2</v>
      </c>
      <c r="S63" s="32">
        <f>(((VLOOKUP(B63,'Data qoq'!$A:$AT,MATCH($S$1,'Data qoq'!$A$1:$AT$1,),))/100+1)^4)-1</f>
        <v>3.4974398133742479E-2</v>
      </c>
      <c r="T63" s="32">
        <f>(((VLOOKUP(B63,'Data qoq'!$A:$AT,MATCH($T$1,'Data qoq'!$A$1:$AT$1,),))/100+1)^4)-1</f>
        <v>1.8311522485581655E-2</v>
      </c>
      <c r="U63" s="32">
        <f>(((VLOOKUP(B63,'Data qoq'!$A:$AT,MATCH($U$1,'Data qoq'!$A$1:$AT$1,),))/100+1)^4)-1</f>
        <v>-3.7044558062843347E-2</v>
      </c>
      <c r="V63" s="32">
        <f>(((VLOOKUP(B63,'Data qoq'!$A:$AT,MATCH($V$1,'Data qoq'!$A$1:$AT$1,),))/100+1)^4)-1</f>
        <v>-7.6773385363651969E-2</v>
      </c>
      <c r="W63" s="32">
        <f>(((VLOOKUP(B63,'Data qoq'!$A:$AT,MATCH($W$1,'Data qoq'!$A$1:$AT$1,),))/100+1)^4)-1</f>
        <v>0.1224473036553404</v>
      </c>
      <c r="X63" s="32">
        <f>(((VLOOKUP(B63,'Data qoq'!$A:$AT,MATCH($X$1,'Data qoq'!$A$1:$AT$1,),))/100+1)^4)-1</f>
        <v>-1.4392855960004169E-2</v>
      </c>
      <c r="Y63" s="32">
        <f>(((VLOOKUP(B63,'Data qoq'!$A:$AT,MATCH($Y$1,'Data qoq'!$A$1:$AT$1,),))/100+1)^4)-1</f>
        <v>2.5685263375547773E-3</v>
      </c>
      <c r="Z63" s="32">
        <f>(((VLOOKUP(B63,'Data qoq'!$A:$AU,MATCH($Z$1,'Data qoq'!$A$1:$AU$1,),))/100+1)^4)-1</f>
        <v>-8.9083880758888956E-4</v>
      </c>
      <c r="AA63" s="32">
        <f>(((VLOOKUP(B63,'Data qoq'!$A:$AU,MATCH($AA$1,'Data qoq'!$A$1:$AU$1,),))/100+1)^4)-1</f>
        <v>-1.2484830833685789E-2</v>
      </c>
      <c r="AC63" s="26" t="str">
        <f t="shared" si="8"/>
        <v>2013-Q1</v>
      </c>
      <c r="AD63" s="31">
        <f t="shared" si="9"/>
        <v>-3.3545487536716712E-2</v>
      </c>
      <c r="AE63" s="27"/>
    </row>
    <row r="64" spans="1:31" hidden="1" x14ac:dyDescent="0.2">
      <c r="A64" s="30">
        <v>41426</v>
      </c>
      <c r="B64" s="24" t="s">
        <v>330</v>
      </c>
      <c r="C64" s="32">
        <f>(((VLOOKUP(B64,'Data qoq'!$A:$AT,MATCH($C$1,'Data qoq'!$A$1:$AT$1,),))/100+1)^4)-1</f>
        <v>5.5870765795456023E-3</v>
      </c>
      <c r="D64" s="32">
        <f>(((VLOOKUP(B64,'Data qoq'!$A:$AT,MATCH($D$1,'Data qoq'!$A$1:$AT$1,),))/100+1)^4)-1</f>
        <v>7.3967432976000058E-2</v>
      </c>
      <c r="E64" s="32">
        <f>(((VLOOKUP(B64,'Data qoq'!$A:$AT,MATCH($E$1,'Data qoq'!$A$1:$AT$1,),))/100+1)^4)-1</f>
        <v>2.1627911791608057E-2</v>
      </c>
      <c r="F64" s="32">
        <f>(((VLOOKUP(B64,'Data qoq'!$A:$AT,MATCH($F$1,'Data qoq'!$A$1:$AT$1,),))/100+1)^4)-1</f>
        <v>3.6689347043741938E-2</v>
      </c>
      <c r="G64" s="32">
        <f>(((VLOOKUP(B64,'Data qoq'!$A:$AT,MATCH($G$1,'Data qoq'!$A$1:$AT$1,),))/100+1)^4)-1</f>
        <v>4.3444215073715542E-2</v>
      </c>
      <c r="H64" s="32">
        <f>(((VLOOKUP(B64,'Data qoq'!$A:$AT,MATCH($H$1,'Data qoq'!$A$1:$AT$1,),))/100+1)^4)-1</f>
        <v>2.6535454370631539E-2</v>
      </c>
      <c r="I64" s="32">
        <f>(((VLOOKUP(B64,'Data qoq'!$A:$AT,MATCH($I$1,'Data qoq'!$A$1:$AT$1,),))/100+1)^4)-1</f>
        <v>2.6546124837026897E-2</v>
      </c>
      <c r="J64" s="32">
        <f>(((VLOOKUP(B64,'Data qoq'!$A:$AT,MATCH($J$1,'Data qoq'!$A$1:$AT$1,),))/100+1)^4)-1</f>
        <v>7.8310506508194599E-4</v>
      </c>
      <c r="K64" s="32">
        <f>(((VLOOKUP(B64,'Data qoq'!$A:$AT,MATCH($K$1,'Data qoq'!$A$1:$AT$1,),))/100+1)^4)-1</f>
        <v>-3.4949044555692144E-3</v>
      </c>
      <c r="L64" s="32">
        <f>(((VLOOKUP(B64,'Data qoq'!$A:$AT,MATCH($L$1,'Data qoq'!$A$1:$AT$1,),))/100+1)^4)-1</f>
        <v>-4.0938345435952428E-3</v>
      </c>
      <c r="M64" s="32">
        <f>(((VLOOKUP(B64,'Data qoq'!$A:$AT,MATCH($M$1,'Data qoq'!$A$1:$AT$1,),))/100+1)^4)-1</f>
        <v>-2.2176247007369088E-2</v>
      </c>
      <c r="N64" s="32">
        <f>(((VLOOKUP(B64,'Data qoq'!$A:$AT,MATCH($N$1,'Data qoq'!$A$1:$AT$1,),))/100+1)^4)-1</f>
        <v>1.3690153208094635E-2</v>
      </c>
      <c r="O64" s="32">
        <f>(((VLOOKUP(B64,'Data qoq'!$A:$AT,MATCH($O$1,'Data qoq'!$A$1:$AT$1,),))/100+1)^4)-1</f>
        <v>5.7346331284217289E-2</v>
      </c>
      <c r="P64" s="32">
        <f>(((VLOOKUP(B64,'Data qoq'!$A:$AT,MATCH($P$1,'Data qoq'!$A$1:$AT$1,),))/100+1)^4)-1</f>
        <v>2.3417159346724281E-2</v>
      </c>
      <c r="Q64" s="32">
        <f>(((VLOOKUP(B64,'Data qoq'!$A:$AT,MATCH($Q$1,'Data qoq'!$A$1:$AT$1,),))/100+1)^4)-1</f>
        <v>1.6073915964965657E-2</v>
      </c>
      <c r="R64" s="32">
        <f>(((VLOOKUP(B64,'Data qoq'!$A:$AT,MATCH($R$1,'Data qoq'!$A$1:$AT$1,),))/100+1)^4)-1</f>
        <v>3.6624313793653052E-2</v>
      </c>
      <c r="S64" s="32">
        <f>(((VLOOKUP(B64,'Data qoq'!$A:$AT,MATCH($S$1,'Data qoq'!$A$1:$AT$1,),))/100+1)^4)-1</f>
        <v>4.7455894728616776E-2</v>
      </c>
      <c r="T64" s="32">
        <f>(((VLOOKUP(B64,'Data qoq'!$A:$AT,MATCH($T$1,'Data qoq'!$A$1:$AT$1,),))/100+1)^4)-1</f>
        <v>6.929855821422537E-2</v>
      </c>
      <c r="U64" s="32">
        <f>(((VLOOKUP(B64,'Data qoq'!$A:$AT,MATCH($U$1,'Data qoq'!$A$1:$AT$1,),))/100+1)^4)-1</f>
        <v>6.3780182010890751E-3</v>
      </c>
      <c r="V64" s="32">
        <f>(((VLOOKUP(B64,'Data qoq'!$A:$AT,MATCH($V$1,'Data qoq'!$A$1:$AT$1,),))/100+1)^4)-1</f>
        <v>0.12029136455472544</v>
      </c>
      <c r="W64" s="32">
        <f>(((VLOOKUP(B64,'Data qoq'!$A:$AT,MATCH($W$1,'Data qoq'!$A$1:$AT$1,),))/100+1)^4)-1</f>
        <v>0.1227042674353831</v>
      </c>
      <c r="X64" s="32">
        <f>(((VLOOKUP(B64,'Data qoq'!$A:$AT,MATCH($X$1,'Data qoq'!$A$1:$AT$1,),))/100+1)^4)-1</f>
        <v>1.4504269051121232E-2</v>
      </c>
      <c r="Y64" s="32">
        <f>(((VLOOKUP(B64,'Data qoq'!$A:$AT,MATCH($Y$1,'Data qoq'!$A$1:$AT$1,),))/100+1)^4)-1</f>
        <v>4.3743879127335017E-2</v>
      </c>
      <c r="Z64" s="32">
        <f>(((VLOOKUP(B64,'Data qoq'!$A:$AU,MATCH($Z$1,'Data qoq'!$A$1:$AU$1,),))/100+1)^4)-1</f>
        <v>2.0077954734472714E-2</v>
      </c>
      <c r="AA64" s="32">
        <f>(((VLOOKUP(B64,'Data qoq'!$A:$AU,MATCH($AA$1,'Data qoq'!$A$1:$AU$1,),))/100+1)^4)-1</f>
        <v>4.7803993488941598E-2</v>
      </c>
      <c r="AC64" s="26" t="str">
        <f t="shared" si="8"/>
        <v>2013-Q2</v>
      </c>
      <c r="AD64" s="31">
        <f t="shared" si="9"/>
        <v>-4.91821304541884E-3</v>
      </c>
      <c r="AE64" s="27"/>
    </row>
    <row r="65" spans="1:31" hidden="1" x14ac:dyDescent="0.2">
      <c r="A65" s="30">
        <v>41518</v>
      </c>
      <c r="B65" s="24" t="s">
        <v>331</v>
      </c>
      <c r="C65" s="32">
        <f>(((VLOOKUP(B65,'Data qoq'!$A:$AT,MATCH($C$1,'Data qoq'!$A$1:$AT$1,),))/100+1)^4)-1</f>
        <v>3.2044154006267478E-2</v>
      </c>
      <c r="D65" s="32">
        <f>(((VLOOKUP(B65,'Data qoq'!$A:$AT,MATCH($D$1,'Data qoq'!$A$1:$AT$1,),))/100+1)^4)-1</f>
        <v>8.6683238480999458E-2</v>
      </c>
      <c r="E65" s="32">
        <f>(((VLOOKUP(B65,'Data qoq'!$A:$AT,MATCH($E$1,'Data qoq'!$A$1:$AT$1,),))/100+1)^4)-1</f>
        <v>1.2582538067974491E-2</v>
      </c>
      <c r="F65" s="32">
        <f>(((VLOOKUP(B65,'Data qoq'!$A:$AT,MATCH($F$1,'Data qoq'!$A$1:$AT$1,),))/100+1)^4)-1</f>
        <v>3.8889620217353649E-2</v>
      </c>
      <c r="G65" s="32">
        <f>(((VLOOKUP(B65,'Data qoq'!$A:$AT,MATCH($G$1,'Data qoq'!$A$1:$AT$1,),))/100+1)^4)-1</f>
        <v>2.3427286273790537E-2</v>
      </c>
      <c r="H65" s="32">
        <f>(((VLOOKUP(B65,'Data qoq'!$A:$AT,MATCH($H$1,'Data qoq'!$A$1:$AT$1,),))/100+1)^4)-1</f>
        <v>7.4346018504667377E-4</v>
      </c>
      <c r="I65" s="32">
        <f>(((VLOOKUP(B65,'Data qoq'!$A:$AT,MATCH($I$1,'Data qoq'!$A$1:$AT$1,),))/100+1)^4)-1</f>
        <v>3.1042268533485462E-2</v>
      </c>
      <c r="J65" s="32">
        <f>(((VLOOKUP(B65,'Data qoq'!$A:$AT,MATCH($J$1,'Data qoq'!$A$1:$AT$1,),))/100+1)^4)-1</f>
        <v>9.2491175882343235E-3</v>
      </c>
      <c r="K65" s="32">
        <f>(((VLOOKUP(B65,'Data qoq'!$A:$AT,MATCH($K$1,'Data qoq'!$A$1:$AT$1,),))/100+1)^4)-1</f>
        <v>-2.1873026775236504E-3</v>
      </c>
      <c r="L65" s="32">
        <f>(((VLOOKUP(B65,'Data qoq'!$A:$AT,MATCH($L$1,'Data qoq'!$A$1:$AT$1,),))/100+1)^4)-1</f>
        <v>1.8514625701240961E-2</v>
      </c>
      <c r="M65" s="32">
        <f>(((VLOOKUP(B65,'Data qoq'!$A:$AT,MATCH($M$1,'Data qoq'!$A$1:$AT$1,),))/100+1)^4)-1</f>
        <v>3.8261944378700896E-2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3.1773317208597662E-2</v>
      </c>
      <c r="R65" s="32">
        <f>(((VLOOKUP(B65,'Data qoq'!$A:$AT,MATCH($R$1,'Data qoq'!$A$1:$AT$1,),))/100+1)^4)-1</f>
        <v>3.1031912145327967E-2</v>
      </c>
      <c r="S65" s="32">
        <f>(((VLOOKUP(B65,'Data qoq'!$A:$AT,MATCH($S$1,'Data qoq'!$A$1:$AT$1,),))/100+1)^4)-1</f>
        <v>3.6449828148867436E-2</v>
      </c>
      <c r="T65" s="32">
        <f>(((VLOOKUP(B65,'Data qoq'!$A:$AT,MATCH($T$1,'Data qoq'!$A$1:$AT$1,),))/100+1)^4)-1</f>
        <v>1.2956274267546863E-2</v>
      </c>
      <c r="U65" s="32">
        <f>(((VLOOKUP(B65,'Data qoq'!$A:$AT,MATCH($U$1,'Data qoq'!$A$1:$AT$1,),))/100+1)^4)-1</f>
        <v>-2.7988249987276337E-4</v>
      </c>
      <c r="V65" s="32">
        <f>(((VLOOKUP(B65,'Data qoq'!$A:$AT,MATCH($V$1,'Data qoq'!$A$1:$AT$1,),))/100+1)^4)-1</f>
        <v>7.4530309299395414E-2</v>
      </c>
      <c r="W65" s="32">
        <f>(((VLOOKUP(B65,'Data qoq'!$A:$AT,MATCH($W$1,'Data qoq'!$A$1:$AT$1,),))/100+1)^4)-1</f>
        <v>5.9941146073761553E-2</v>
      </c>
      <c r="X65" s="32">
        <f>(((VLOOKUP(B65,'Data qoq'!$A:$AT,MATCH($X$1,'Data qoq'!$A$1:$AT$1,),))/100+1)^4)-1</f>
        <v>1.4171822709071247E-2</v>
      </c>
      <c r="Y65" s="32">
        <f>(((VLOOKUP(B65,'Data qoq'!$A:$AT,MATCH($Y$1,'Data qoq'!$A$1:$AT$1,),))/100+1)^4)-1</f>
        <v>3.0623873083962971E-2</v>
      </c>
      <c r="Z65" s="32">
        <f>(((VLOOKUP(B65,'Data qoq'!$A:$AU,MATCH($Z$1,'Data qoq'!$A$1:$AU$1,),))/100+1)^4)-1</f>
        <v>2.7193483430550947E-2</v>
      </c>
      <c r="AA65" s="32">
        <f>(((VLOOKUP(B65,'Data qoq'!$A:$AU,MATCH($AA$1,'Data qoq'!$A$1:$AU$1,),))/100+1)^4)-1</f>
        <v>2.3197513126845815E-2</v>
      </c>
      <c r="AC65" s="26" t="str">
        <f t="shared" si="8"/>
        <v>2013-Q3</v>
      </c>
      <c r="AD65" s="31">
        <f t="shared" si="9"/>
        <v>-1.8459730465510971E-2</v>
      </c>
      <c r="AE65" s="27"/>
    </row>
    <row r="66" spans="1:31" hidden="1" x14ac:dyDescent="0.2">
      <c r="A66" s="30">
        <v>41609</v>
      </c>
      <c r="B66" s="24" t="s">
        <v>332</v>
      </c>
      <c r="C66" s="32">
        <f>(((VLOOKUP(B66,'Data qoq'!$A:$AT,MATCH($C$1,'Data qoq'!$A$1:$AT$1,),))/100+1)^4)-1</f>
        <v>2.8751739893740247E-2</v>
      </c>
      <c r="D66" s="32">
        <f>(((VLOOKUP(B66,'Data qoq'!$A:$AT,MATCH($D$1,'Data qoq'!$A$1:$AT$1,),))/100+1)^4)-1</f>
        <v>6.136355062499943E-2</v>
      </c>
      <c r="E66" s="32">
        <f>(((VLOOKUP(B66,'Data qoq'!$A:$AT,MATCH($E$1,'Data qoq'!$A$1:$AT$1,),))/100+1)^4)-1</f>
        <v>1.1037392087156928E-2</v>
      </c>
      <c r="F66" s="32">
        <f>(((VLOOKUP(B66,'Data qoq'!$A:$AT,MATCH($F$1,'Data qoq'!$A$1:$AT$1,),))/100+1)^4)-1</f>
        <v>-4.5767854105142058E-3</v>
      </c>
      <c r="G66" s="32">
        <f>(((VLOOKUP(B66,'Data qoq'!$A:$AT,MATCH($G$1,'Data qoq'!$A$1:$AT$1,),))/100+1)^4)-1</f>
        <v>1.2011491084859216E-2</v>
      </c>
      <c r="H66" s="32">
        <f>(((VLOOKUP(B66,'Data qoq'!$A:$AT,MATCH($H$1,'Data qoq'!$A$1:$AT$1,),))/100+1)^4)-1</f>
        <v>1.950712099505858E-2</v>
      </c>
      <c r="I66" s="32">
        <f>(((VLOOKUP(B66,'Data qoq'!$A:$AT,MATCH($I$1,'Data qoq'!$A$1:$AT$1,),))/100+1)^4)-1</f>
        <v>2.1205241132855601E-2</v>
      </c>
      <c r="J66" s="32">
        <f>(((VLOOKUP(B66,'Data qoq'!$A:$AT,MATCH($J$1,'Data qoq'!$A$1:$AT$1,),))/100+1)^4)-1</f>
        <v>-8.8214467972886901E-3</v>
      </c>
      <c r="K66" s="32">
        <f>(((VLOOKUP(B66,'Data qoq'!$A:$AT,MATCH($K$1,'Data qoq'!$A$1:$AT$1,),))/100+1)^4)-1</f>
        <v>6.6814388610600961E-3</v>
      </c>
      <c r="L66" s="32">
        <f>(((VLOOKUP(B66,'Data qoq'!$A:$AT,MATCH($L$1,'Data qoq'!$A$1:$AT$1,),))/100+1)^4)-1</f>
        <v>2.7620313629787896E-2</v>
      </c>
      <c r="M66" s="32">
        <f>(((VLOOKUP(B66,'Data qoq'!$A:$AT,MATCH($M$1,'Data qoq'!$A$1:$AT$1,),))/100+1)^4)-1</f>
        <v>2.2325131278400079E-2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3.3721781654030503E-2</v>
      </c>
      <c r="R66" s="32">
        <f>(((VLOOKUP(B66,'Data qoq'!$A:$AT,MATCH($R$1,'Data qoq'!$A$1:$AT$1,),))/100+1)^4)-1</f>
        <v>1.2772576006578884E-2</v>
      </c>
      <c r="S66" s="32">
        <f>(((VLOOKUP(B66,'Data qoq'!$A:$AT,MATCH($S$1,'Data qoq'!$A$1:$AT$1,),))/100+1)^4)-1</f>
        <v>3.1396327717235328E-2</v>
      </c>
      <c r="T66" s="32">
        <f>(((VLOOKUP(B66,'Data qoq'!$A:$AT,MATCH($T$1,'Data qoq'!$A$1:$AT$1,),))/100+1)^4)-1</f>
        <v>4.3660278534678465E-3</v>
      </c>
      <c r="U66" s="32">
        <f>(((VLOOKUP(B66,'Data qoq'!$A:$AT,MATCH($U$1,'Data qoq'!$A$1:$AT$1,),))/100+1)^4)-1</f>
        <v>2.7270976976216721E-2</v>
      </c>
      <c r="V66" s="32">
        <f>(((VLOOKUP(B66,'Data qoq'!$A:$AT,MATCH($V$1,'Data qoq'!$A$1:$AT$1,),))/100+1)^4)-1</f>
        <v>7.0687768813271212E-3</v>
      </c>
      <c r="W66" s="32">
        <f>(((VLOOKUP(B66,'Data qoq'!$A:$AT,MATCH($W$1,'Data qoq'!$A$1:$AT$1,),))/100+1)^4)-1</f>
        <v>7.7757517919521124E-3</v>
      </c>
      <c r="X66" s="32">
        <f>(((VLOOKUP(B66,'Data qoq'!$A:$AT,MATCH($X$1,'Data qoq'!$A$1:$AT$1,),))/100+1)^4)-1</f>
        <v>5.2022964630358048E-2</v>
      </c>
      <c r="Y66" s="32">
        <f>(((VLOOKUP(B66,'Data qoq'!$A:$AT,MATCH($Y$1,'Data qoq'!$A$1:$AT$1,),))/100+1)^4)-1</f>
        <v>1.0589214595410512E-2</v>
      </c>
      <c r="Z66" s="32">
        <f>(((VLOOKUP(B66,'Data qoq'!$A:$AU,MATCH($Z$1,'Data qoq'!$A$1:$AU$1,),))/100+1)^4)-1</f>
        <v>-3.9324927519739816E-2</v>
      </c>
      <c r="AA66" s="32">
        <f>(((VLOOKUP(B66,'Data qoq'!$A:$AU,MATCH($AA$1,'Data qoq'!$A$1:$AU$1,),))/100+1)^4)-1</f>
        <v>9.6964532436225603E-3</v>
      </c>
      <c r="AC66" s="26" t="str">
        <f t="shared" si="8"/>
        <v>2013-Q4</v>
      </c>
      <c r="AD66" s="31">
        <f t="shared" si="9"/>
        <v>-1.0167849045698674E-2</v>
      </c>
      <c r="AE66" s="27"/>
    </row>
    <row r="67" spans="1:31" hidden="1" x14ac:dyDescent="0.2">
      <c r="A67" s="30">
        <v>41699</v>
      </c>
      <c r="B67" s="24" t="s">
        <v>333</v>
      </c>
      <c r="C67" s="32">
        <f>(((VLOOKUP(B67,'Data qoq'!$A:$AT,MATCH($C$1,'Data qoq'!$A$1:$AT$1,),))/100+1)^4)-1</f>
        <v>-1.3931014894348004E-2</v>
      </c>
      <c r="D67" s="32">
        <f>(((VLOOKUP(B67,'Data qoq'!$A:$AT,MATCH($D$1,'Data qoq'!$A$1:$AT$1,),))/100+1)^4)-1</f>
        <v>7.819356632099983E-2</v>
      </c>
      <c r="E67" s="32">
        <f>(((VLOOKUP(B67,'Data qoq'!$A:$AT,MATCH($E$1,'Data qoq'!$A$1:$AT$1,),))/100+1)^4)-1</f>
        <v>1.6109453427031406E-2</v>
      </c>
      <c r="F67" s="32">
        <f>(((VLOOKUP(B67,'Data qoq'!$A:$AT,MATCH($F$1,'Data qoq'!$A$1:$AT$1,),))/100+1)^4)-1</f>
        <v>3.2996422124779823E-2</v>
      </c>
      <c r="G67" s="32">
        <f>(((VLOOKUP(B67,'Data qoq'!$A:$AT,MATCH($G$1,'Data qoq'!$A$1:$AT$1,),))/100+1)^4)-1</f>
        <v>3.7935947129519532E-2</v>
      </c>
      <c r="H67" s="32">
        <f>(((VLOOKUP(B67,'Data qoq'!$A:$AT,MATCH($H$1,'Data qoq'!$A$1:$AT$1,),))/100+1)^4)-1</f>
        <v>2.7817539083045961E-3</v>
      </c>
      <c r="I67" s="32">
        <f>(((VLOOKUP(B67,'Data qoq'!$A:$AT,MATCH($I$1,'Data qoq'!$A$1:$AT$1,),))/100+1)^4)-1</f>
        <v>3.7835920384277744E-2</v>
      </c>
      <c r="J67" s="32">
        <f>(((VLOOKUP(B67,'Data qoq'!$A:$AT,MATCH($J$1,'Data qoq'!$A$1:$AT$1,),))/100+1)^4)-1</f>
        <v>6.3376449913150612E-3</v>
      </c>
      <c r="K67" s="32">
        <f>(((VLOOKUP(B67,'Data qoq'!$A:$AT,MATCH($K$1,'Data qoq'!$A$1:$AT$1,),))/100+1)^4)-1</f>
        <v>1.4778645393433765E-2</v>
      </c>
      <c r="L67" s="32">
        <f>(((VLOOKUP(B67,'Data qoq'!$A:$AT,MATCH($L$1,'Data qoq'!$A$1:$AT$1,),))/100+1)^4)-1</f>
        <v>3.4087388691501408E-2</v>
      </c>
      <c r="M67" s="32">
        <f>(((VLOOKUP(B67,'Data qoq'!$A:$AT,MATCH($M$1,'Data qoq'!$A$1:$AT$1,),))/100+1)^4)-1</f>
        <v>2.788052352746373E-2</v>
      </c>
      <c r="N67" s="32">
        <f>(((VLOOKUP(B67,'Data qoq'!$A:$AT,MATCH($N$1,'Data qoq'!$A$1:$AT$1,),))/100+1)^4)-1</f>
        <v>-2.9839992324354192E-4</v>
      </c>
      <c r="O67" s="32">
        <f>(((VLOOKUP(B67,'Data qoq'!$A:$AT,MATCH($O$1,'Data qoq'!$A$1:$AT$1,),))/100+1)^4)-1</f>
        <v>4.7172628164632302E-2</v>
      </c>
      <c r="P67" s="32">
        <f>(((VLOOKUP(B67,'Data qoq'!$A:$AT,MATCH($P$1,'Data qoq'!$A$1:$AT$1,),))/100+1)^4)-1</f>
        <v>6.5539570156214477E-3</v>
      </c>
      <c r="Q67" s="32">
        <f>(((VLOOKUP(B67,'Data qoq'!$A:$AT,MATCH($Q$1,'Data qoq'!$A$1:$AT$1,),))/100+1)^4)-1</f>
        <v>3.0652028215226057E-2</v>
      </c>
      <c r="R67" s="32">
        <f>(((VLOOKUP(B67,'Data qoq'!$A:$AT,MATCH($R$1,'Data qoq'!$A$1:$AT$1,),))/100+1)^4)-1</f>
        <v>2.6122624374231851E-2</v>
      </c>
      <c r="S67" s="32">
        <f>(((VLOOKUP(B67,'Data qoq'!$A:$AT,MATCH($S$1,'Data qoq'!$A$1:$AT$1,),))/100+1)^4)-1</f>
        <v>3.7750475056650634E-2</v>
      </c>
      <c r="T67" s="32">
        <f>(((VLOOKUP(B67,'Data qoq'!$A:$AT,MATCH($T$1,'Data qoq'!$A$1:$AT$1,),))/100+1)^4)-1</f>
        <v>3.6665644269921138E-2</v>
      </c>
      <c r="U67" s="32">
        <f>(((VLOOKUP(B67,'Data qoq'!$A:$AT,MATCH($U$1,'Data qoq'!$A$1:$AT$1,),))/100+1)^4)-1</f>
        <v>-7.6586694461500127E-4</v>
      </c>
      <c r="V67" s="32">
        <f>(((VLOOKUP(B67,'Data qoq'!$A:$AT,MATCH($V$1,'Data qoq'!$A$1:$AT$1,),))/100+1)^4)-1</f>
        <v>0.13319330313270528</v>
      </c>
      <c r="W67" s="32">
        <f>(((VLOOKUP(B67,'Data qoq'!$A:$AT,MATCH($W$1,'Data qoq'!$A$1:$AT$1,),))/100+1)^4)-1</f>
        <v>0.12119114235902662</v>
      </c>
      <c r="X67" s="32">
        <f>(((VLOOKUP(B67,'Data qoq'!$A:$AT,MATCH($X$1,'Data qoq'!$A$1:$AT$1,),))/100+1)^4)-1</f>
        <v>-2.3453822007669323E-2</v>
      </c>
      <c r="Y67" s="32">
        <f>(((VLOOKUP(B67,'Data qoq'!$A:$AT,MATCH($Y$1,'Data qoq'!$A$1:$AT$1,),))/100+1)^4)-1</f>
        <v>4.1993856122545248E-2</v>
      </c>
      <c r="Z67" s="32">
        <f>(((VLOOKUP(B67,'Data qoq'!$A:$AU,MATCH($Z$1,'Data qoq'!$A$1:$AU$1,),))/100+1)^4)-1</f>
        <v>-5.8461877496062686E-2</v>
      </c>
      <c r="AA67" s="32">
        <f>(((VLOOKUP(B67,'Data qoq'!$A:$AU,MATCH($AA$1,'Data qoq'!$A$1:$AU$1,),))/100+1)^4)-1</f>
        <v>6.1150151540254383E-2</v>
      </c>
      <c r="AC67" s="26" t="str">
        <f t="shared" si="8"/>
        <v>2014-Q1</v>
      </c>
      <c r="AD67" s="31">
        <f t="shared" si="9"/>
        <v>-2.1726466957246338E-2</v>
      </c>
      <c r="AE67" s="27"/>
    </row>
    <row r="68" spans="1:31" hidden="1" x14ac:dyDescent="0.2">
      <c r="A68" s="30">
        <v>41791</v>
      </c>
      <c r="B68" s="24" t="s">
        <v>334</v>
      </c>
      <c r="C68" s="32">
        <f>(((VLOOKUP(B68,'Data qoq'!$A:$AT,MATCH($C$1,'Data qoq'!$A$1:$AT$1,),))/100+1)^4)-1</f>
        <v>5.2363045749210579E-2</v>
      </c>
      <c r="D68" s="32">
        <f>(((VLOOKUP(B68,'Data qoq'!$A:$AT,MATCH($D$1,'Data qoq'!$A$1:$AT$1,),))/100+1)^4)-1</f>
        <v>7.3967432976000058E-2</v>
      </c>
      <c r="E68" s="32">
        <f>(((VLOOKUP(B68,'Data qoq'!$A:$AT,MATCH($E$1,'Data qoq'!$A$1:$AT$1,),))/100+1)^4)-1</f>
        <v>9.0727456628409975E-3</v>
      </c>
      <c r="F68" s="32">
        <f>(((VLOOKUP(B68,'Data qoq'!$A:$AT,MATCH($F$1,'Data qoq'!$A$1:$AT$1,),))/100+1)^4)-1</f>
        <v>-7.0773370855051532E-2</v>
      </c>
      <c r="G68" s="32">
        <f>(((VLOOKUP(B68,'Data qoq'!$A:$AT,MATCH($G$1,'Data qoq'!$A$1:$AT$1,),))/100+1)^4)-1</f>
        <v>0</v>
      </c>
      <c r="H68" s="32">
        <f>(((VLOOKUP(B68,'Data qoq'!$A:$AT,MATCH($H$1,'Data qoq'!$A$1:$AT$1,),))/100+1)^4)-1</f>
        <v>4.8460103794958354E-3</v>
      </c>
      <c r="I68" s="32">
        <f>(((VLOOKUP(B68,'Data qoq'!$A:$AT,MATCH($I$1,'Data qoq'!$A$1:$AT$1,),))/100+1)^4)-1</f>
        <v>3.2638834175332532E-2</v>
      </c>
      <c r="J68" s="32">
        <f>(((VLOOKUP(B68,'Data qoq'!$A:$AT,MATCH($J$1,'Data qoq'!$A$1:$AT$1,),))/100+1)^4)-1</f>
        <v>-1.2751563071854433E-3</v>
      </c>
      <c r="K68" s="32">
        <f>(((VLOOKUP(B68,'Data qoq'!$A:$AT,MATCH($K$1,'Data qoq'!$A$1:$AT$1,),))/100+1)^4)-1</f>
        <v>1.8663295707963767E-2</v>
      </c>
      <c r="L68" s="32">
        <f>(((VLOOKUP(B68,'Data qoq'!$A:$AT,MATCH($L$1,'Data qoq'!$A$1:$AT$1,),))/100+1)^4)-1</f>
        <v>3.2849915532845664E-2</v>
      </c>
      <c r="M68" s="32">
        <f>(((VLOOKUP(B68,'Data qoq'!$A:$AT,MATCH($M$1,'Data qoq'!$A$1:$AT$1,),))/100+1)^4)-1</f>
        <v>5.1300257310835429E-2</v>
      </c>
      <c r="N68" s="32">
        <f>(((VLOOKUP(B68,'Data qoq'!$A:$AT,MATCH($N$1,'Data qoq'!$A$1:$AT$1,),))/100+1)^4)-1</f>
        <v>1.9404227307294741E-2</v>
      </c>
      <c r="O68" s="32">
        <f>(((VLOOKUP(B68,'Data qoq'!$A:$AT,MATCH($O$1,'Data qoq'!$A$1:$AT$1,),))/100+1)^4)-1</f>
        <v>9.4779787045407238E-2</v>
      </c>
      <c r="P68" s="32">
        <f>(((VLOOKUP(B68,'Data qoq'!$A:$AT,MATCH($P$1,'Data qoq'!$A$1:$AT$1,),))/100+1)^4)-1</f>
        <v>3.7036720636870024E-2</v>
      </c>
      <c r="Q68" s="32">
        <f>(((VLOOKUP(B68,'Data qoq'!$A:$AT,MATCH($Q$1,'Data qoq'!$A$1:$AT$1,),))/100+1)^4)-1</f>
        <v>1.7441549024859837E-2</v>
      </c>
      <c r="R68" s="32">
        <f>(((VLOOKUP(B68,'Data qoq'!$A:$AT,MATCH($R$1,'Data qoq'!$A$1:$AT$1,),))/100+1)^4)-1</f>
        <v>2.7143130669087689E-2</v>
      </c>
      <c r="S68" s="32">
        <f>(((VLOOKUP(B68,'Data qoq'!$A:$AT,MATCH($S$1,'Data qoq'!$A$1:$AT$1,),))/100+1)^4)-1</f>
        <v>3.4425402369477442E-2</v>
      </c>
      <c r="T68" s="32">
        <f>(((VLOOKUP(B68,'Data qoq'!$A:$AT,MATCH($T$1,'Data qoq'!$A$1:$AT$1,),))/100+1)^4)-1</f>
        <v>-5.9370351194949045E-2</v>
      </c>
      <c r="U68" s="32">
        <f>(((VLOOKUP(B68,'Data qoq'!$A:$AT,MATCH($U$1,'Data qoq'!$A$1:$AT$1,),))/100+1)^4)-1</f>
        <v>-1.1285395392319764E-2</v>
      </c>
      <c r="V68" s="32">
        <f>(((VLOOKUP(B68,'Data qoq'!$A:$AT,MATCH($V$1,'Data qoq'!$A$1:$AT$1,),))/100+1)^4)-1</f>
        <v>0.17560721734842311</v>
      </c>
      <c r="W68" s="32">
        <f>(((VLOOKUP(B68,'Data qoq'!$A:$AT,MATCH($W$1,'Data qoq'!$A$1:$AT$1,),))/100+1)^4)-1</f>
        <v>-6.3333940352729212E-2</v>
      </c>
      <c r="X68" s="32">
        <f>(((VLOOKUP(B68,'Data qoq'!$A:$AT,MATCH($X$1,'Data qoq'!$A$1:$AT$1,),))/100+1)^4)-1</f>
        <v>4.0916230941928422E-2</v>
      </c>
      <c r="Y68" s="32">
        <f>(((VLOOKUP(B68,'Data qoq'!$A:$AT,MATCH($Y$1,'Data qoq'!$A$1:$AT$1,),))/100+1)^4)-1</f>
        <v>4.6257903572285208E-2</v>
      </c>
      <c r="Z68" s="32">
        <f>(((VLOOKUP(B68,'Data qoq'!$A:$AU,MATCH($Z$1,'Data qoq'!$A$1:$AU$1,),))/100+1)^4)-1</f>
        <v>-2.4515018302483926E-2</v>
      </c>
      <c r="AA68" s="32">
        <f>(((VLOOKUP(B68,'Data qoq'!$A:$AU,MATCH($AA$1,'Data qoq'!$A$1:$AU$1,),))/100+1)^4)-1</f>
        <v>2.0847740155638839E-2</v>
      </c>
      <c r="AC68" s="26" t="str">
        <f t="shared" si="8"/>
        <v>2014-Q2</v>
      </c>
      <c r="AD68" s="31">
        <f t="shared" si="9"/>
        <v>-2.3566088512491534E-2</v>
      </c>
      <c r="AE68" s="27"/>
    </row>
    <row r="69" spans="1:31" hidden="1" x14ac:dyDescent="0.2">
      <c r="A69" s="30">
        <v>41883</v>
      </c>
      <c r="B69" s="24" t="s">
        <v>335</v>
      </c>
      <c r="C69" s="32">
        <f>(((VLOOKUP(B69,'Data qoq'!$A:$AT,MATCH($C$1,'Data qoq'!$A$1:$AT$1,),))/100+1)^4)-1</f>
        <v>4.7419089601193898E-2</v>
      </c>
      <c r="D69" s="32">
        <f>(((VLOOKUP(B69,'Data qoq'!$A:$AT,MATCH($D$1,'Data qoq'!$A$1:$AT$1,),))/100+1)^4)-1</f>
        <v>7.3967432976000058E-2</v>
      </c>
      <c r="E69" s="32">
        <f>(((VLOOKUP(B69,'Data qoq'!$A:$AT,MATCH($E$1,'Data qoq'!$A$1:$AT$1,),))/100+1)^4)-1</f>
        <v>1.8118216095938555E-2</v>
      </c>
      <c r="F69" s="32">
        <f>(((VLOOKUP(B69,'Data qoq'!$A:$AT,MATCH($F$1,'Data qoq'!$A$1:$AT$1,),))/100+1)^4)-1</f>
        <v>3.5277286857711143E-3</v>
      </c>
      <c r="G69" s="32">
        <f>(((VLOOKUP(B69,'Data qoq'!$A:$AT,MATCH($G$1,'Data qoq'!$A$1:$AT$1,),))/100+1)^4)-1</f>
        <v>2.1761655482142261E-2</v>
      </c>
      <c r="H69" s="32">
        <f>(((VLOOKUP(B69,'Data qoq'!$A:$AT,MATCH($H$1,'Data qoq'!$A$1:$AT$1,),))/100+1)^4)-1</f>
        <v>2.0313530281805381E-2</v>
      </c>
      <c r="I69" s="32">
        <f>(((VLOOKUP(B69,'Data qoq'!$A:$AT,MATCH($I$1,'Data qoq'!$A$1:$AT$1,),))/100+1)^4)-1</f>
        <v>2.7363315560970269E-2</v>
      </c>
      <c r="J69" s="32">
        <f>(((VLOOKUP(B69,'Data qoq'!$A:$AT,MATCH($J$1,'Data qoq'!$A$1:$AT$1,),))/100+1)^4)-1</f>
        <v>4.1161817945667423E-3</v>
      </c>
      <c r="K69" s="32">
        <f>(((VLOOKUP(B69,'Data qoq'!$A:$AT,MATCH($K$1,'Data qoq'!$A$1:$AT$1,),))/100+1)^4)-1</f>
        <v>2.9931618682006667E-2</v>
      </c>
      <c r="L69" s="32">
        <f>(((VLOOKUP(B69,'Data qoq'!$A:$AT,MATCH($L$1,'Data qoq'!$A$1:$AT$1,),))/100+1)^4)-1</f>
        <v>2.9565457976882037E-2</v>
      </c>
      <c r="M69" s="32">
        <f>(((VLOOKUP(B69,'Data qoq'!$A:$AT,MATCH($M$1,'Data qoq'!$A$1:$AT$1,),))/100+1)^4)-1</f>
        <v>1.5163680317900496E-2</v>
      </c>
      <c r="N69" s="32">
        <f>(((VLOOKUP(B69,'Data qoq'!$A:$AT,MATCH($N$1,'Data qoq'!$A$1:$AT$1,),))/100+1)^4)-1</f>
        <v>-1.2664165326743859E-2</v>
      </c>
      <c r="O69" s="32">
        <f>(((VLOOKUP(B69,'Data qoq'!$A:$AT,MATCH($O$1,'Data qoq'!$A$1:$AT$1,),))/100+1)^4)-1</f>
        <v>7.5056584059783882E-2</v>
      </c>
      <c r="P69" s="32">
        <f>(((VLOOKUP(B69,'Data qoq'!$A:$AT,MATCH($P$1,'Data qoq'!$A$1:$AT$1,),))/100+1)^4)-1</f>
        <v>3.8917456889357993E-2</v>
      </c>
      <c r="Q69" s="32">
        <f>(((VLOOKUP(B69,'Data qoq'!$A:$AT,MATCH($Q$1,'Data qoq'!$A$1:$AT$1,),))/100+1)^4)-1</f>
        <v>1.9141324165789619E-2</v>
      </c>
      <c r="R69" s="32">
        <f>(((VLOOKUP(B69,'Data qoq'!$A:$AT,MATCH($R$1,'Data qoq'!$A$1:$AT$1,),))/100+1)^4)-1</f>
        <v>2.2337808945804616E-2</v>
      </c>
      <c r="S69" s="32">
        <f>(((VLOOKUP(B69,'Data qoq'!$A:$AT,MATCH($S$1,'Data qoq'!$A$1:$AT$1,),))/100+1)^4)-1</f>
        <v>1.3812209018818855E-2</v>
      </c>
      <c r="T69" s="32">
        <f>(((VLOOKUP(B69,'Data qoq'!$A:$AT,MATCH($T$1,'Data qoq'!$A$1:$AT$1,),))/100+1)^4)-1</f>
        <v>-1.10227655670736E-3</v>
      </c>
      <c r="U69" s="32">
        <f>(((VLOOKUP(B69,'Data qoq'!$A:$AT,MATCH($U$1,'Data qoq'!$A$1:$AT$1,),))/100+1)^4)-1</f>
        <v>4.3810721248124462E-2</v>
      </c>
      <c r="V69" s="32">
        <f>(((VLOOKUP(B69,'Data qoq'!$A:$AT,MATCH($V$1,'Data qoq'!$A$1:$AT$1,),))/100+1)^4)-1</f>
        <v>4.0282623070799772E-3</v>
      </c>
      <c r="W69" s="32">
        <f>(((VLOOKUP(B69,'Data qoq'!$A:$AT,MATCH($W$1,'Data qoq'!$A$1:$AT$1,),))/100+1)^4)-1</f>
        <v>0.10201275941615906</v>
      </c>
      <c r="X69" s="32">
        <f>(((VLOOKUP(B69,'Data qoq'!$A:$AT,MATCH($X$1,'Data qoq'!$A$1:$AT$1,),))/100+1)^4)-1</f>
        <v>4.4131698833780098E-2</v>
      </c>
      <c r="Y69" s="32">
        <f>(((VLOOKUP(B69,'Data qoq'!$A:$AT,MATCH($Y$1,'Data qoq'!$A$1:$AT$1,),))/100+1)^4)-1</f>
        <v>3.3908812007178879E-2</v>
      </c>
      <c r="Z69" s="32">
        <f>(((VLOOKUP(B69,'Data qoq'!$A:$AU,MATCH($Z$1,'Data qoq'!$A$1:$AU$1,),))/100+1)^4)-1</f>
        <v>-3.1513209646384377E-2</v>
      </c>
      <c r="AA69" s="32">
        <f>(((VLOOKUP(B69,'Data qoq'!$A:$AU,MATCH($AA$1,'Data qoq'!$A$1:$AU$1,),))/100+1)^4)-1</f>
        <v>5.1932495310743176E-2</v>
      </c>
      <c r="AC69" s="26" t="str">
        <f t="shared" si="8"/>
        <v>2014-Q3</v>
      </c>
      <c r="AD69" s="31">
        <f t="shared" si="9"/>
        <v>-9.2450994650317142E-3</v>
      </c>
      <c r="AE69" s="27"/>
    </row>
    <row r="70" spans="1:31" hidden="1" x14ac:dyDescent="0.2">
      <c r="A70" s="30">
        <v>41974</v>
      </c>
      <c r="B70" s="24" t="s">
        <v>336</v>
      </c>
      <c r="C70" s="32">
        <f>(((VLOOKUP(B70,'Data qoq'!$A:$AT,MATCH($C$1,'Data qoq'!$A$1:$AT$1,),))/100+1)^4)-1</f>
        <v>1.8081055590863704E-2</v>
      </c>
      <c r="D70" s="32">
        <f>(((VLOOKUP(B70,'Data qoq'!$A:$AT,MATCH($D$1,'Data qoq'!$A$1:$AT$1,),))/100+1)^4)-1</f>
        <v>6.9753735520999616E-2</v>
      </c>
      <c r="E70" s="32">
        <f>(((VLOOKUP(B70,'Data qoq'!$A:$AT,MATCH($E$1,'Data qoq'!$A$1:$AT$1,),))/100+1)^4)-1</f>
        <v>1.6755502771993447E-2</v>
      </c>
      <c r="F70" s="32">
        <f>(((VLOOKUP(B70,'Data qoq'!$A:$AT,MATCH($F$1,'Data qoq'!$A$1:$AT$1,),))/100+1)^4)-1</f>
        <v>1.9252047390887483E-2</v>
      </c>
      <c r="G70" s="32">
        <f>(((VLOOKUP(B70,'Data qoq'!$A:$AT,MATCH($G$1,'Data qoq'!$A$1:$AT$1,),))/100+1)^4)-1</f>
        <v>3.2804541189019876E-2</v>
      </c>
      <c r="H70" s="32">
        <f>(((VLOOKUP(B70,'Data qoq'!$A:$AT,MATCH($H$1,'Data qoq'!$A$1:$AT$1,),))/100+1)^4)-1</f>
        <v>3.8259801976781027E-3</v>
      </c>
      <c r="I70" s="32">
        <f>(((VLOOKUP(B70,'Data qoq'!$A:$AT,MATCH($I$1,'Data qoq'!$A$1:$AT$1,),))/100+1)^4)-1</f>
        <v>2.260850303035733E-2</v>
      </c>
      <c r="J70" s="32">
        <f>(((VLOOKUP(B70,'Data qoq'!$A:$AT,MATCH($J$1,'Data qoq'!$A$1:$AT$1,),))/100+1)^4)-1</f>
        <v>-1.0697373796494491E-2</v>
      </c>
      <c r="K70" s="32">
        <f>(((VLOOKUP(B70,'Data qoq'!$A:$AT,MATCH($K$1,'Data qoq'!$A$1:$AT$1,),))/100+1)^4)-1</f>
        <v>3.4779716201644773E-2</v>
      </c>
      <c r="L70" s="32">
        <f>(((VLOOKUP(B70,'Data qoq'!$A:$AT,MATCH($L$1,'Data qoq'!$A$1:$AT$1,),))/100+1)^4)-1</f>
        <v>3.0882820390789378E-2</v>
      </c>
      <c r="M70" s="32">
        <f>(((VLOOKUP(B70,'Data qoq'!$A:$AT,MATCH($M$1,'Data qoq'!$A$1:$AT$1,),))/100+1)^4)-1</f>
        <v>4.1971780534877157E-2</v>
      </c>
      <c r="N70" s="32">
        <f>(((VLOOKUP(B70,'Data qoq'!$A:$AT,MATCH($N$1,'Data qoq'!$A$1:$AT$1,),))/100+1)^4)-1</f>
        <v>-9.3784322639379747E-3</v>
      </c>
      <c r="O70" s="32">
        <f>(((VLOOKUP(B70,'Data qoq'!$A:$AT,MATCH($O$1,'Data qoq'!$A$1:$AT$1,),))/100+1)^4)-1</f>
        <v>6.2785131863736243E-2</v>
      </c>
      <c r="P70" s="32">
        <f>(((VLOOKUP(B70,'Data qoq'!$A:$AT,MATCH($P$1,'Data qoq'!$A$1:$AT$1,),))/100+1)^4)-1</f>
        <v>2.7967652563583023E-2</v>
      </c>
      <c r="Q70" s="32">
        <f>(((VLOOKUP(B70,'Data qoq'!$A:$AT,MATCH($Q$1,'Data qoq'!$A$1:$AT$1,),))/100+1)^4)-1</f>
        <v>1.5836693953375613E-2</v>
      </c>
      <c r="R70" s="32">
        <f>(((VLOOKUP(B70,'Data qoq'!$A:$AT,MATCH($R$1,'Data qoq'!$A$1:$AT$1,),))/100+1)^4)-1</f>
        <v>2.0532323715139578E-2</v>
      </c>
      <c r="S70" s="32">
        <f>(((VLOOKUP(B70,'Data qoq'!$A:$AT,MATCH($S$1,'Data qoq'!$A$1:$AT$1,),))/100+1)^4)-1</f>
        <v>1.7207645362036228E-2</v>
      </c>
      <c r="T70" s="32">
        <f>(((VLOOKUP(B70,'Data qoq'!$A:$AT,MATCH($T$1,'Data qoq'!$A$1:$AT$1,),))/100+1)^4)-1</f>
        <v>2.0056535240079887E-2</v>
      </c>
      <c r="U70" s="32">
        <f>(((VLOOKUP(B70,'Data qoq'!$A:$AT,MATCH($U$1,'Data qoq'!$A$1:$AT$1,),))/100+1)^4)-1</f>
        <v>-4.1332072089726779E-2</v>
      </c>
      <c r="V70" s="32">
        <f>(((VLOOKUP(B70,'Data qoq'!$A:$AT,MATCH($V$1,'Data qoq'!$A$1:$AT$1,),))/100+1)^4)-1</f>
        <v>2.8054750057189271E-2</v>
      </c>
      <c r="W70" s="32">
        <f>(((VLOOKUP(B70,'Data qoq'!$A:$AT,MATCH($W$1,'Data qoq'!$A$1:$AT$1,),))/100+1)^4)-1</f>
        <v>5.5001746373369631E-2</v>
      </c>
      <c r="X70" s="32">
        <f>(((VLOOKUP(B70,'Data qoq'!$A:$AT,MATCH($X$1,'Data qoq'!$A$1:$AT$1,),))/100+1)^4)-1</f>
        <v>5.1927438005218374E-2</v>
      </c>
      <c r="Y70" s="32">
        <f>(((VLOOKUP(B70,'Data qoq'!$A:$AT,MATCH($Y$1,'Data qoq'!$A$1:$AT$1,),))/100+1)^4)-1</f>
        <v>2.6396527083381471E-2</v>
      </c>
      <c r="Z70" s="32">
        <f>(((VLOOKUP(B70,'Data qoq'!$A:$AU,MATCH($Z$1,'Data qoq'!$A$1:$AU$1,),))/100+1)^4)-1</f>
        <v>1.9256265332185496E-2</v>
      </c>
      <c r="AA70" s="32">
        <f>(((VLOOKUP(B70,'Data qoq'!$A:$AU,MATCH($AA$1,'Data qoq'!$A$1:$AU$1,),))/100+1)^4)-1</f>
        <v>6.6493543699549074E-2</v>
      </c>
      <c r="AC70" s="26" t="str">
        <f t="shared" si="8"/>
        <v>2014-Q4</v>
      </c>
      <c r="AD70" s="31">
        <f t="shared" si="9"/>
        <v>-5.8530002583638829E-3</v>
      </c>
      <c r="AE70" s="27"/>
    </row>
    <row r="71" spans="1:31" x14ac:dyDescent="0.2">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7.819356632099983E-2</v>
      </c>
      <c r="E71" s="32">
        <f>IF((((VLOOKUP(B71,'Data qoq'!$A:$AT,MATCH($E$1,'Data qoq'!$A$1:$AT$1,),))/100+1)^4)-1=0,#N/A,(((VLOOKUP(B71,'Data qoq'!$A:$AT,MATCH($E$1,'Data qoq'!$A$1:$AT$1,),))/100+1)^4)-1)</f>
        <v>2.6307662704238233E-2</v>
      </c>
      <c r="F71" s="32">
        <f>IF((((VLOOKUP(B71,'Data qoq'!$A:$AT,MATCH($F$1,'Data qoq'!$A$1:$AT$1,),))/100+1)^4)-1=0,#N/A,(((VLOOKUP(B71,'Data qoq'!$A:$AT,MATCH($F$1,'Data qoq'!$A$1:$AT$1,),))/100+1)^4)-1)</f>
        <v>6.3222472229653492E-2</v>
      </c>
      <c r="G71" s="32">
        <f>IF((((VLOOKUP(B71,'Data qoq'!$A:$AT,MATCH($G$1,'Data qoq'!$A$1:$AT$1,),))/100+1)^4)-1=0,#N/A,(((VLOOKUP(B71,'Data qoq'!$A:$AT,MATCH($G$1,'Data qoq'!$A$1:$AT$1,),))/100+1)^4)-1)</f>
        <v>-2.0930558084741202E-2</v>
      </c>
      <c r="H71" s="32">
        <f>IF((((VLOOKUP(B71,'Data qoq'!$A:$AT,MATCH($H$1,'Data qoq'!$A$1:$AT$1,),))/100+1)^4)-1=0,#N/A,(((VLOOKUP(B71,'Data qoq'!$A:$AT,MATCH($H$1,'Data qoq'!$A$1:$AT$1,),))/100+1)^4)-1)</f>
        <v>1.8860487168701701E-2</v>
      </c>
      <c r="I71" s="32">
        <f>IF((((VLOOKUP(B71,'Data qoq'!$A:$AT,MATCH($I$1,'Data qoq'!$A$1:$AT$1,),))/100+1)^4)-1=0,#N/A,(((VLOOKUP(B71,'Data qoq'!$A:$AT,MATCH($I$1,'Data qoq'!$A$1:$AT$1,),))/100+1)^4)-1)</f>
        <v>2.6040013113683536E-2</v>
      </c>
      <c r="J71" s="32">
        <f>IF((((VLOOKUP(B71,'Data qoq'!$A:$AT,MATCH($J$1,'Data qoq'!$A$1:$AT$1,),))/100+1)^4)-1=0,#N/A,(((VLOOKUP(B71,'Data qoq'!$A:$AT,MATCH($J$1,'Data qoq'!$A$1:$AT$1,),))/100+1)^4)-1)</f>
        <v>1.0622365989384042E-2</v>
      </c>
      <c r="K71" s="32">
        <f>IF((((VLOOKUP(B71,'Data qoq'!$A:$AT,MATCH($K$1,'Data qoq'!$A$1:$AT$1,),))/100+1)^4)-1=0,#N/A,(((VLOOKUP(B71,'Data qoq'!$A:$AT,MATCH($K$1,'Data qoq'!$A$1:$AT$1,),))/100+1)^4)-1)</f>
        <v>4.6700009742218107E-2</v>
      </c>
      <c r="L71" s="32">
        <f>IF((((VLOOKUP(B71,'Data qoq'!$A:$AT,MATCH($L$1,'Data qoq'!$A$1:$AT$1,),))/100+1)^4)-1=0,#N/A,(((VLOOKUP(B71,'Data qoq'!$A:$AT,MATCH($L$1,'Data qoq'!$A$1:$AT$1,),))/100+1)^4)-1)</f>
        <v>5.7537070349918729E-2</v>
      </c>
      <c r="M71" s="32">
        <f>IF((((VLOOKUP(B71,'Data qoq'!$A:$AT,MATCH($M$1,'Data qoq'!$A$1:$AT$1,),))/100+1)^4)-1=0,#N/A,(((VLOOKUP(B71,'Data qoq'!$A:$AT,MATCH($M$1,'Data qoq'!$A$1:$AT$1,),))/100+1)^4)-1)</f>
        <v>2.2048527818561592E-2</v>
      </c>
      <c r="N71" s="32">
        <f>IF((((VLOOKUP(B71,'Data qoq'!$A:$AT,MATCH($N$1,'Data qoq'!$A$1:$AT$1,),))/100+1)^4)-1=0,#N/A,(((VLOOKUP(B71,'Data qoq'!$A:$AT,MATCH($N$1,'Data qoq'!$A$1:$AT$1,),))/100+1)^4)-1)</f>
        <v>-4.0072254884535807E-2</v>
      </c>
      <c r="O71" s="32">
        <f>IF((((VLOOKUP(B71,'Data qoq'!$A:$AT,MATCH($O$1,'Data qoq'!$A$1:$AT$1,),))/100+1)^4)-1=0,#N/A,(((VLOOKUP(B71,'Data qoq'!$A:$AT,MATCH($O$1,'Data qoq'!$A$1:$AT$1,),))/100+1)^4)-1)</f>
        <v>6.9093733463028384E-2</v>
      </c>
      <c r="P71" s="32">
        <f>IF((((VLOOKUP(B71,'Data qoq'!$A:$AT,MATCH($P$1,'Data qoq'!$A$1:$AT$1,),))/100+1)^4)-1=0,#N/A,(((VLOOKUP(B71,'Data qoq'!$A:$AT,MATCH($P$1,'Data qoq'!$A$1:$AT$1,),))/100+1)^4)-1)</f>
        <v>-2.180025621724524E-2</v>
      </c>
      <c r="Q71" s="32">
        <f>IF((((VLOOKUP(B71,'Data qoq'!$A:$AT,MATCH($Q$1,'Data qoq'!$A$1:$AT$1,),))/100+1)^4)-1=0,#N/A,(((VLOOKUP(B71,'Data qoq'!$A:$AT,MATCH($Q$1,'Data qoq'!$A$1:$AT$1,),))/100+1)^4)-1)</f>
        <v>3.6764862922184838E-2</v>
      </c>
      <c r="R71" s="32">
        <f>IF((((VLOOKUP(B71,'Data qoq'!$A:$AT,MATCH($R$1,'Data qoq'!$A$1:$AT$1,),))/100+1)^4)-1=0,#N/A,(((VLOOKUP(B71,'Data qoq'!$A:$AT,MATCH($R$1,'Data qoq'!$A$1:$AT$1,),))/100+1)^4)-1)</f>
        <v>-6.0288356735532789E-3</v>
      </c>
      <c r="S71" s="32">
        <f>IF((((VLOOKUP(B71,'Data qoq'!$A:$AT,MATCH($S$1,'Data qoq'!$A$1:$AT$1,),))/100+1)^4)-1=0,#N/A,(((VLOOKUP(B71,'Data qoq'!$A:$AT,MATCH($S$1,'Data qoq'!$A$1:$AT$1,),))/100+1)^4)-1)</f>
        <v>3.3938495330396057E-2</v>
      </c>
      <c r="T71" s="32">
        <f>IF((((VLOOKUP(B71,'Data qoq'!$A:$AT,MATCH($T$1,'Data qoq'!$A$1:$AT$1,),))/100+1)^4)-1=0,#N/A,(((VLOOKUP(B71,'Data qoq'!$A:$AT,MATCH($T$1,'Data qoq'!$A$1:$AT$1,),))/100+1)^4)-1)</f>
        <v>-2.610260550461474E-2</v>
      </c>
      <c r="U71" s="32">
        <f>IF((((VLOOKUP(B71,'Data qoq'!$A:$AT,MATCH($U$1,'Data qoq'!$A$1:$AT$1,),))/100+1)^4)-1=0,#N/A,(((VLOOKUP(B71,'Data qoq'!$A:$AT,MATCH($U$1,'Data qoq'!$A$1:$AT$1,),))/100+1)^4)-1)</f>
        <v>2.2991075354077406E-2</v>
      </c>
      <c r="V71" s="32">
        <f>IF((((VLOOKUP(B71,'Data qoq'!$A:$AT,MATCH($V$1,'Data qoq'!$A$1:$AT$1,),))/100+1)^4)-1=0,#N/A,(((VLOOKUP(B71,'Data qoq'!$A:$AT,MATCH($V$1,'Data qoq'!$A$1:$AT$1,),))/100+1)^4)-1)</f>
        <v>1.3169098241497617</v>
      </c>
      <c r="W71" s="32">
        <f>IF((((VLOOKUP(B71,'Data qoq'!$A:$AT,MATCH($W$1,'Data qoq'!$A$1:$AT$1,),))/100+1)^4)-1=0,#N/A,(((VLOOKUP(B71,'Data qoq'!$A:$AT,MATCH($W$1,'Data qoq'!$A$1:$AT$1,),))/100+1)^4)-1)</f>
        <v>7.7802115968033325E-2</v>
      </c>
      <c r="X71" s="32">
        <f>IF((((VLOOKUP(B71,'Data qoq'!$A:$AT,MATCH($X$1,'Data qoq'!$A$1:$AT$1,),))/100+1)^4)-1=0,#N/A,(((VLOOKUP(B71,'Data qoq'!$A:$AT,MATCH($X$1,'Data qoq'!$A$1:$AT$1,),))/100+1)^4)-1)</f>
        <v>7.4613222868712636E-2</v>
      </c>
      <c r="Y71" s="32">
        <f>IF((((VLOOKUP(B71,'Data qoq'!$A:$AT,MATCH($Y$1,'Data qoq'!$A$1:$AT$1,),))/100+1)^4)-1=0,#N/A,(((VLOOKUP(B71,'Data qoq'!$A:$AT,MATCH($Y$1,'Data qoq'!$A$1:$AT$1,),))/100+1)^4)-1)</f>
        <v>5.7953916741649625E-2</v>
      </c>
      <c r="Z71" s="32">
        <f>IF((((VLOOKUP(B71,'Data qoq'!$A:$AU,MATCH($Z$1,'Data qoq'!$A$1:$AU$1,),))/100+1)^4)-1=0,#N/A,(((VLOOKUP(B71,'Data qoq'!$A:$AU,MATCH($Z$1,'Data qoq'!$A$1:$AU$1,),))/100+1)^4)-1)</f>
        <v>6.0890611664242034E-2</v>
      </c>
      <c r="AA71" s="32">
        <f>IF((((VLOOKUP(B71,'Data qoq'!$A:$AU,MATCH($AA$1,'Data qoq'!$A$1:$AU$1,),))/100+1)^4)-1=0,#N/A,(((VLOOKUP(B71,'Data qoq'!$A:$AU,MATCH($AA$1,'Data qoq'!$A$1:$AU$1,),))/100+1)^4)-1)</f>
        <v>1.2706871935157737E-2</v>
      </c>
      <c r="AC71" s="26" t="str">
        <f t="shared" si="8"/>
        <v>2015-Q1</v>
      </c>
      <c r="AD71" s="31">
        <f t="shared" si="9"/>
        <v>2.6764959055469717E-4</v>
      </c>
      <c r="AE71" s="27"/>
    </row>
    <row r="72" spans="1:31" x14ac:dyDescent="0.2">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7.3967432976000058E-2</v>
      </c>
      <c r="E72" s="32">
        <f>IF((((VLOOKUP(B72,'Data qoq'!$A:$AT,MATCH($E$1,'Data qoq'!$A$1:$AT$1,),))/100+1)^4)-1=0,#N/A,(((VLOOKUP(B72,'Data qoq'!$A:$AT,MATCH($E$1,'Data qoq'!$A$1:$AT$1,),))/100+1)^4)-1)</f>
        <v>1.7816614710413736E-2</v>
      </c>
      <c r="F72" s="32">
        <f>IF((((VLOOKUP(B72,'Data qoq'!$A:$AT,MATCH($F$1,'Data qoq'!$A$1:$AT$1,),))/100+1)^4)-1=0,#N/A,(((VLOOKUP(B72,'Data qoq'!$A:$AT,MATCH($F$1,'Data qoq'!$A$1:$AT$1,),))/100+1)^4)-1)</f>
        <v>5.5578078090543492E-3</v>
      </c>
      <c r="G72" s="32">
        <f>IF((((VLOOKUP(B72,'Data qoq'!$A:$AT,MATCH($G$1,'Data qoq'!$A$1:$AT$1,),))/100+1)^4)-1=0,#N/A,(((VLOOKUP(B72,'Data qoq'!$A:$AT,MATCH($G$1,'Data qoq'!$A$1:$AT$1,),))/100+1)^4)-1)</f>
        <v>2.8578749480621113E-2</v>
      </c>
      <c r="H72" s="32">
        <f>IF((((VLOOKUP(B72,'Data qoq'!$A:$AT,MATCH($H$1,'Data qoq'!$A$1:$AT$1,),))/100+1)^4)-1=0,#N/A,(((VLOOKUP(B72,'Data qoq'!$A:$AT,MATCH($H$1,'Data qoq'!$A$1:$AT$1,),))/100+1)^4)-1)</f>
        <v>4.1316671960256457E-4</v>
      </c>
      <c r="I72" s="32">
        <f>IF((((VLOOKUP(B72,'Data qoq'!$A:$AT,MATCH($I$1,'Data qoq'!$A$1:$AT$1,),))/100+1)^4)-1=0,#N/A,(((VLOOKUP(B72,'Data qoq'!$A:$AT,MATCH($I$1,'Data qoq'!$A$1:$AT$1,),))/100+1)^4)-1)</f>
        <v>2.9866759653651487E-2</v>
      </c>
      <c r="J72" s="32">
        <f>IF((((VLOOKUP(B72,'Data qoq'!$A:$AT,MATCH($J$1,'Data qoq'!$A$1:$AT$1,),))/100+1)^4)-1=0,#N/A,(((VLOOKUP(B72,'Data qoq'!$A:$AT,MATCH($J$1,'Data qoq'!$A$1:$AT$1,),))/100+1)^4)-1)</f>
        <v>1.5944946153946038E-2</v>
      </c>
      <c r="K72" s="32">
        <f>IF((((VLOOKUP(B72,'Data qoq'!$A:$AT,MATCH($K$1,'Data qoq'!$A$1:$AT$1,),))/100+1)^4)-1=0,#N/A,(((VLOOKUP(B72,'Data qoq'!$A:$AT,MATCH($K$1,'Data qoq'!$A$1:$AT$1,),))/100+1)^4)-1)</f>
        <v>4.3606542458971775E-2</v>
      </c>
      <c r="L72" s="32">
        <f>IF((((VLOOKUP(B72,'Data qoq'!$A:$AT,MATCH($L$1,'Data qoq'!$A$1:$AT$1,),))/100+1)^4)-1=0,#N/A,(((VLOOKUP(B72,'Data qoq'!$A:$AT,MATCH($L$1,'Data qoq'!$A$1:$AT$1,),))/100+1)^4)-1)</f>
        <v>4.0415826622381967E-2</v>
      </c>
      <c r="M72" s="32">
        <f>IF((((VLOOKUP(B72,'Data qoq'!$A:$AT,MATCH($M$1,'Data qoq'!$A$1:$AT$1,),))/100+1)^4)-1=0,#N/A,(((VLOOKUP(B72,'Data qoq'!$A:$AT,MATCH($M$1,'Data qoq'!$A$1:$AT$1,),))/100+1)^4)-1)</f>
        <v>4.7142551359151907E-2</v>
      </c>
      <c r="N72" s="32">
        <f>IF((((VLOOKUP(B72,'Data qoq'!$A:$AT,MATCH($N$1,'Data qoq'!$A$1:$AT$1,),))/100+1)^4)-1=0,#N/A,(((VLOOKUP(B72,'Data qoq'!$A:$AT,MATCH($N$1,'Data qoq'!$A$1:$AT$1,),))/100+1)^4)-1)</f>
        <v>-2.6524319336895252E-2</v>
      </c>
      <c r="O72" s="32">
        <f>IF((((VLOOKUP(B72,'Data qoq'!$A:$AT,MATCH($O$1,'Data qoq'!$A$1:$AT$1,),))/100+1)^4)-1=0,#N/A,(((VLOOKUP(B72,'Data qoq'!$A:$AT,MATCH($O$1,'Data qoq'!$A$1:$AT$1,),))/100+1)^4)-1)</f>
        <v>8.8463042644700396E-2</v>
      </c>
      <c r="P72" s="32">
        <f>IF((((VLOOKUP(B72,'Data qoq'!$A:$AT,MATCH($P$1,'Data qoq'!$A$1:$AT$1,),))/100+1)^4)-1=0,#N/A,(((VLOOKUP(B72,'Data qoq'!$A:$AT,MATCH($P$1,'Data qoq'!$A$1:$AT$1,),))/100+1)^4)-1)</f>
        <v>-1.0842517326931644E-2</v>
      </c>
      <c r="Q72" s="32">
        <f>IF((((VLOOKUP(B72,'Data qoq'!$A:$AT,MATCH($Q$1,'Data qoq'!$A$1:$AT$1,),))/100+1)^4)-1=0,#N/A,(((VLOOKUP(B72,'Data qoq'!$A:$AT,MATCH($Q$1,'Data qoq'!$A$1:$AT$1,),))/100+1)^4)-1)</f>
        <v>3.4105714612338023E-3</v>
      </c>
      <c r="R72" s="32">
        <f>IF((((VLOOKUP(B72,'Data qoq'!$A:$AT,MATCH($R$1,'Data qoq'!$A$1:$AT$1,),))/100+1)^4)-1=0,#N/A,(((VLOOKUP(B72,'Data qoq'!$A:$AT,MATCH($R$1,'Data qoq'!$A$1:$AT$1,),))/100+1)^4)-1)</f>
        <v>2.9158793024036234E-2</v>
      </c>
      <c r="S72" s="32">
        <f>IF((((VLOOKUP(B72,'Data qoq'!$A:$AT,MATCH($S$1,'Data qoq'!$A$1:$AT$1,),))/100+1)^4)-1=0,#N/A,(((VLOOKUP(B72,'Data qoq'!$A:$AT,MATCH($S$1,'Data qoq'!$A$1:$AT$1,),))/100+1)^4)-1)</f>
        <v>1.6892720819133622E-2</v>
      </c>
      <c r="T72" s="32">
        <f>IF((((VLOOKUP(B72,'Data qoq'!$A:$AT,MATCH($T$1,'Data qoq'!$A$1:$AT$1,),))/100+1)^4)-1=0,#N/A,(((VLOOKUP(B72,'Data qoq'!$A:$AT,MATCH($T$1,'Data qoq'!$A$1:$AT$1,),))/100+1)^4)-1)</f>
        <v>-0.10023743105923277</v>
      </c>
      <c r="U72" s="32">
        <f>IF((((VLOOKUP(B72,'Data qoq'!$A:$AT,MATCH($U$1,'Data qoq'!$A$1:$AT$1,),))/100+1)^4)-1=0,#N/A,(((VLOOKUP(B72,'Data qoq'!$A:$AT,MATCH($U$1,'Data qoq'!$A$1:$AT$1,),))/100+1)^4)-1)</f>
        <v>-3.0050438933176826E-3</v>
      </c>
      <c r="V72" s="32">
        <f>IF((((VLOOKUP(B72,'Data qoq'!$A:$AT,MATCH($V$1,'Data qoq'!$A$1:$AT$1,),))/100+1)^4)-1=0,#N/A,(((VLOOKUP(B72,'Data qoq'!$A:$AT,MATCH($V$1,'Data qoq'!$A$1:$AT$1,),))/100+1)^4)-1)</f>
        <v>-8.6190172623332284E-2</v>
      </c>
      <c r="W72" s="32">
        <f>IF((((VLOOKUP(B72,'Data qoq'!$A:$AT,MATCH($W$1,'Data qoq'!$A$1:$AT$1,),))/100+1)^4)-1=0,#N/A,(((VLOOKUP(B72,'Data qoq'!$A:$AT,MATCH($W$1,'Data qoq'!$A$1:$AT$1,),))/100+1)^4)-1)</f>
        <v>6.235810602809555E-2</v>
      </c>
      <c r="X72" s="32">
        <f>IF((((VLOOKUP(B72,'Data qoq'!$A:$AT,MATCH($X$1,'Data qoq'!$A$1:$AT$1,),))/100+1)^4)-1=0,#N/A,(((VLOOKUP(B72,'Data qoq'!$A:$AT,MATCH($X$1,'Data qoq'!$A$1:$AT$1,),))/100+1)^4)-1)</f>
        <v>5.9395877778115835E-2</v>
      </c>
      <c r="Y72" s="32">
        <f>IF((((VLOOKUP(B72,'Data qoq'!$A:$AT,MATCH($Y$1,'Data qoq'!$A$1:$AT$1,),))/100+1)^4)-1=0,#N/A,(((VLOOKUP(B72,'Data qoq'!$A:$AT,MATCH($Y$1,'Data qoq'!$A$1:$AT$1,),))/100+1)^4)-1)</f>
        <v>3.169342589774149E-2</v>
      </c>
      <c r="Z72" s="32">
        <f>IF((((VLOOKUP(B72,'Data qoq'!$A:$AU,MATCH($Z$1,'Data qoq'!$A$1:$AU$1,),))/100+1)^4)-1=0,#N/A,(((VLOOKUP(B72,'Data qoq'!$A:$AU,MATCH($Z$1,'Data qoq'!$A$1:$AU$1,),))/100+1)^4)-1)</f>
        <v>9.7374372689409849E-2</v>
      </c>
      <c r="AA72" s="32">
        <f>IF((((VLOOKUP(B72,'Data qoq'!$A:$AU,MATCH($AA$1,'Data qoq'!$A$1:$AU$1,),))/100+1)^4)-1=0,#N/A,(((VLOOKUP(B72,'Data qoq'!$A:$AU,MATCH($AA$1,'Data qoq'!$A$1:$AU$1,),))/100+1)^4)-1)</f>
        <v>2.9093811885170684E-2</v>
      </c>
      <c r="AC72" s="26" t="str">
        <f t="shared" si="8"/>
        <v>2015-Q2</v>
      </c>
      <c r="AD72" s="31">
        <f t="shared" si="9"/>
        <v>-1.2050144943237751E-2</v>
      </c>
      <c r="AE72" s="27"/>
    </row>
    <row r="73" spans="1:31" x14ac:dyDescent="0.2">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1.795702938348076E-2</v>
      </c>
      <c r="F73" s="32">
        <f>IF((((VLOOKUP(B73,'Data qoq'!$A:$AT,MATCH($F$1,'Data qoq'!$A$1:$AT$1,),))/100+1)^4)-1=0,#N/A,(((VLOOKUP(B73,'Data qoq'!$A:$AT,MATCH($F$1,'Data qoq'!$A$1:$AT$1,),))/100+1)^4)-1)</f>
        <v>3.083852823682065E-3</v>
      </c>
      <c r="G73" s="32">
        <f>IF((((VLOOKUP(B73,'Data qoq'!$A:$AT,MATCH($G$1,'Data qoq'!$A$1:$AT$1,),))/100+1)^4)-1=0,#N/A,(((VLOOKUP(B73,'Data qoq'!$A:$AT,MATCH($G$1,'Data qoq'!$A$1:$AT$1,),))/100+1)^4)-1)</f>
        <v>2.0207180190208174E-2</v>
      </c>
      <c r="H73" s="32">
        <f>IF((((VLOOKUP(B73,'Data qoq'!$A:$AT,MATCH($H$1,'Data qoq'!$A$1:$AT$1,),))/100+1)^4)-1=0,#N/A,(((VLOOKUP(B73,'Data qoq'!$A:$AT,MATCH($H$1,'Data qoq'!$A$1:$AT$1,),))/100+1)^4)-1)</f>
        <v>1.3671010639011216E-2</v>
      </c>
      <c r="I73" s="32">
        <f>IF((((VLOOKUP(B73,'Data qoq'!$A:$AT,MATCH($I$1,'Data qoq'!$A$1:$AT$1,),))/100+1)^4)-1=0,#N/A,(((VLOOKUP(B73,'Data qoq'!$A:$AT,MATCH($I$1,'Data qoq'!$A$1:$AT$1,),))/100+1)^4)-1)</f>
        <v>2.1663908687612921E-2</v>
      </c>
      <c r="J73" s="32">
        <f>IF((((VLOOKUP(B73,'Data qoq'!$A:$AT,MATCH($J$1,'Data qoq'!$A$1:$AT$1,),))/100+1)^4)-1=0,#N/A,(((VLOOKUP(B73,'Data qoq'!$A:$AT,MATCH($J$1,'Data qoq'!$A$1:$AT$1,),))/100+1)^4)-1)</f>
        <v>9.6377701388816739E-3</v>
      </c>
      <c r="K73" s="32">
        <f>IF((((VLOOKUP(B73,'Data qoq'!$A:$AT,MATCH($K$1,'Data qoq'!$A$1:$AT$1,),))/100+1)^4)-1=0,#N/A,(((VLOOKUP(B73,'Data qoq'!$A:$AT,MATCH($K$1,'Data qoq'!$A$1:$AT$1,),))/100+1)^4)-1)</f>
        <v>3.6901102404791386E-2</v>
      </c>
      <c r="L73" s="32">
        <f>IF((((VLOOKUP(B73,'Data qoq'!$A:$AT,MATCH($L$1,'Data qoq'!$A$1:$AT$1,),))/100+1)^4)-1=0,#N/A,(((VLOOKUP(B73,'Data qoq'!$A:$AT,MATCH($L$1,'Data qoq'!$A$1:$AT$1,),))/100+1)^4)-1)</f>
        <v>5.6965338439172619E-2</v>
      </c>
      <c r="M73" s="32">
        <f>IF((((VLOOKUP(B73,'Data qoq'!$A:$AT,MATCH($M$1,'Data qoq'!$A$1:$AT$1,),))/100+1)^4)-1=0,#N/A,(((VLOOKUP(B73,'Data qoq'!$A:$AT,MATCH($M$1,'Data qoq'!$A$1:$AT$1,),))/100+1)^4)-1)</f>
        <v>5.487542606114304E-2</v>
      </c>
      <c r="N73" s="32">
        <f>IF((((VLOOKUP(B73,'Data qoq'!$A:$AT,MATCH($N$1,'Data qoq'!$A$1:$AT$1,),))/100+1)^4)-1=0,#N/A,(((VLOOKUP(B73,'Data qoq'!$A:$AT,MATCH($N$1,'Data qoq'!$A$1:$AT$1,),))/100+1)^4)-1)</f>
        <v>7.7635353645317817E-3</v>
      </c>
      <c r="O73" s="32">
        <f>IF((((VLOOKUP(B73,'Data qoq'!$A:$AT,MATCH($O$1,'Data qoq'!$A$1:$AT$1,),))/100+1)^4)-1=0,#N/A,(((VLOOKUP(B73,'Data qoq'!$A:$AT,MATCH($O$1,'Data qoq'!$A$1:$AT$1,),))/100+1)^4)-1)</f>
        <v>7.5919204726077716E-2</v>
      </c>
      <c r="P73" s="32">
        <f>IF((((VLOOKUP(B73,'Data qoq'!$A:$AT,MATCH($P$1,'Data qoq'!$A$1:$AT$1,),))/100+1)^4)-1=0,#N/A,(((VLOOKUP(B73,'Data qoq'!$A:$AT,MATCH($P$1,'Data qoq'!$A$1:$AT$1,),))/100+1)^4)-1)</f>
        <v>1.422331330626192E-2</v>
      </c>
      <c r="Q73" s="32">
        <f>IF((((VLOOKUP(B73,'Data qoq'!$A:$AT,MATCH($Q$1,'Data qoq'!$A$1:$AT$1,),))/100+1)^4)-1=0,#N/A,(((VLOOKUP(B73,'Data qoq'!$A:$AT,MATCH($Q$1,'Data qoq'!$A$1:$AT$1,),))/100+1)^4)-1)</f>
        <v>4.235614570288071E-2</v>
      </c>
      <c r="R73" s="32">
        <f>IF((((VLOOKUP(B73,'Data qoq'!$A:$AT,MATCH($R$1,'Data qoq'!$A$1:$AT$1,),))/100+1)^4)-1=0,#N/A,(((VLOOKUP(B73,'Data qoq'!$A:$AT,MATCH($R$1,'Data qoq'!$A$1:$AT$1,),))/100+1)^4)-1)</f>
        <v>2.5324372885606961E-2</v>
      </c>
      <c r="S73" s="32">
        <f>IF((((VLOOKUP(B73,'Data qoq'!$A:$AT,MATCH($S$1,'Data qoq'!$A$1:$AT$1,),))/100+1)^4)-1=0,#N/A,(((VLOOKUP(B73,'Data qoq'!$A:$AT,MATCH($S$1,'Data qoq'!$A$1:$AT$1,),))/100+1)^4)-1)</f>
        <v>6.1910540281637338E-2</v>
      </c>
      <c r="T73" s="32">
        <f>IF((((VLOOKUP(B73,'Data qoq'!$A:$AT,MATCH($T$1,'Data qoq'!$A$1:$AT$1,),))/100+1)^4)-1=0,#N/A,(((VLOOKUP(B73,'Data qoq'!$A:$AT,MATCH($T$1,'Data qoq'!$A$1:$AT$1,),))/100+1)^4)-1)</f>
        <v>-5.8435666433558242E-2</v>
      </c>
      <c r="U73" s="32">
        <f>IF((((VLOOKUP(B73,'Data qoq'!$A:$AT,MATCH($U$1,'Data qoq'!$A$1:$AT$1,),))/100+1)^4)-1=0,#N/A,(((VLOOKUP(B73,'Data qoq'!$A:$AT,MATCH($U$1,'Data qoq'!$A$1:$AT$1,),))/100+1)^4)-1)</f>
        <v>-7.5799570520744486E-2</v>
      </c>
      <c r="V73" s="32">
        <f>IF((((VLOOKUP(B73,'Data qoq'!$A:$AT,MATCH($V$1,'Data qoq'!$A$1:$AT$1,),))/100+1)^4)-1=0,#N/A,(((VLOOKUP(B73,'Data qoq'!$A:$AT,MATCH($V$1,'Data qoq'!$A$1:$AT$1,),))/100+1)^4)-1)</f>
        <v>0.11298704928450776</v>
      </c>
      <c r="W73" s="32">
        <f>IF((((VLOOKUP(B73,'Data qoq'!$A:$AT,MATCH($W$1,'Data qoq'!$A$1:$AT$1,),))/100+1)^4)-1=0,#N/A,(((VLOOKUP(B73,'Data qoq'!$A:$AT,MATCH($W$1,'Data qoq'!$A$1:$AT$1,),))/100+1)^4)-1)</f>
        <v>5.7250151038428454E-2</v>
      </c>
      <c r="X73" s="32">
        <f>IF((((VLOOKUP(B73,'Data qoq'!$A:$AT,MATCH($X$1,'Data qoq'!$A$1:$AT$1,),))/100+1)^4)-1=0,#N/A,(((VLOOKUP(B73,'Data qoq'!$A:$AT,MATCH($X$1,'Data qoq'!$A$1:$AT$1,),))/100+1)^4)-1)</f>
        <v>4.4590691753515044E-2</v>
      </c>
      <c r="Y73" s="32">
        <f>IF((((VLOOKUP(B73,'Data qoq'!$A:$AT,MATCH($Y$1,'Data qoq'!$A$1:$AT$1,),))/100+1)^4)-1=0,#N/A,(((VLOOKUP(B73,'Data qoq'!$A:$AT,MATCH($Y$1,'Data qoq'!$A$1:$AT$1,),))/100+1)^4)-1)</f>
        <v>5.1725101331712153E-2</v>
      </c>
      <c r="Z73" s="32">
        <f>IF((((VLOOKUP(B73,'Data qoq'!$A:$AU,MATCH($Z$1,'Data qoq'!$A$1:$AU$1,),))/100+1)^4)-1=0,#N/A,(((VLOOKUP(B73,'Data qoq'!$A:$AU,MATCH($Z$1,'Data qoq'!$A$1:$AU$1,),))/100+1)^4)-1)</f>
        <v>-3.2688848388101599E-3</v>
      </c>
      <c r="AA73" s="32">
        <f>IF((((VLOOKUP(B73,'Data qoq'!$A:$AU,MATCH($AA$1,'Data qoq'!$A$1:$AU$1,),))/100+1)^4)-1=0,#N/A,(((VLOOKUP(B73,'Data qoq'!$A:$AU,MATCH($AA$1,'Data qoq'!$A$1:$AU$1,),))/100+1)^4)-1)</f>
        <v>4.4238023979601859E-2</v>
      </c>
      <c r="AC73" s="26" t="str">
        <f t="shared" si="8"/>
        <v>2015-Q3</v>
      </c>
      <c r="AD73" s="31">
        <f t="shared" si="9"/>
        <v>-3.7068793041321602E-3</v>
      </c>
      <c r="AE73" s="27"/>
    </row>
    <row r="74" spans="1:31" x14ac:dyDescent="0.2">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6.9753735520999616E-2</v>
      </c>
      <c r="E74" s="32">
        <f>IF((((VLOOKUP(B74,'Data qoq'!$A:$AT,MATCH($E$1,'Data qoq'!$A$1:$AT$1,),))/100+1)^4)-1=0,#N/A,(((VLOOKUP(B74,'Data qoq'!$A:$AT,MATCH($E$1,'Data qoq'!$A$1:$AT$1,),))/100+1)^4)-1)</f>
        <v>1.8572528304220848E-2</v>
      </c>
      <c r="F74" s="32">
        <f>IF((((VLOOKUP(B74,'Data qoq'!$A:$AT,MATCH($F$1,'Data qoq'!$A$1:$AT$1,),))/100+1)^4)-1=0,#N/A,(((VLOOKUP(B74,'Data qoq'!$A:$AT,MATCH($F$1,'Data qoq'!$A$1:$AT$1,),))/100+1)^4)-1)</f>
        <v>-5.3401798138860146E-3</v>
      </c>
      <c r="G74" s="32">
        <f>IF((((VLOOKUP(B74,'Data qoq'!$A:$AT,MATCH($G$1,'Data qoq'!$A$1:$AT$1,),))/100+1)^4)-1=0,#N/A,(((VLOOKUP(B74,'Data qoq'!$A:$AT,MATCH($G$1,'Data qoq'!$A$1:$AT$1,),))/100+1)^4)-1)</f>
        <v>1.7273162740635062E-2</v>
      </c>
      <c r="H74" s="32">
        <f>IF((((VLOOKUP(B74,'Data qoq'!$A:$AT,MATCH($H$1,'Data qoq'!$A$1:$AT$1,),))/100+1)^4)-1=0,#N/A,(((VLOOKUP(B74,'Data qoq'!$A:$AT,MATCH($H$1,'Data qoq'!$A$1:$AT$1,),))/100+1)^4)-1)</f>
        <v>6.329543037504104E-3</v>
      </c>
      <c r="I74" s="32">
        <f>IF((((VLOOKUP(B74,'Data qoq'!$A:$AT,MATCH($I$1,'Data qoq'!$A$1:$AT$1,),))/100+1)^4)-1=0,#N/A,(((VLOOKUP(B74,'Data qoq'!$A:$AT,MATCH($I$1,'Data qoq'!$A$1:$AT$1,),))/100+1)^4)-1)</f>
        <v>2.7473054174189215E-2</v>
      </c>
      <c r="J74" s="32">
        <f>IF((((VLOOKUP(B74,'Data qoq'!$A:$AT,MATCH($J$1,'Data qoq'!$A$1:$AT$1,),))/100+1)^4)-1=0,#N/A,(((VLOOKUP(B74,'Data qoq'!$A:$AT,MATCH($J$1,'Data qoq'!$A$1:$AT$1,),))/100+1)^4)-1)</f>
        <v>2.1306481207162609E-2</v>
      </c>
      <c r="K74" s="32">
        <f>IF((((VLOOKUP(B74,'Data qoq'!$A:$AT,MATCH($K$1,'Data qoq'!$A$1:$AT$1,),))/100+1)^4)-1=0,#N/A,(((VLOOKUP(B74,'Data qoq'!$A:$AT,MATCH($K$1,'Data qoq'!$A$1:$AT$1,),))/100+1)^4)-1)</f>
        <v>3.932959471339359E-2</v>
      </c>
      <c r="L74" s="32">
        <f>IF((((VLOOKUP(B74,'Data qoq'!$A:$AT,MATCH($L$1,'Data qoq'!$A$1:$AT$1,),))/100+1)^4)-1=0,#N/A,(((VLOOKUP(B74,'Data qoq'!$A:$AT,MATCH($L$1,'Data qoq'!$A$1:$AT$1,),))/100+1)^4)-1)</f>
        <v>3.0531251213607558E-2</v>
      </c>
      <c r="M74" s="32">
        <f>IF((((VLOOKUP(B74,'Data qoq'!$A:$AT,MATCH($M$1,'Data qoq'!$A$1:$AT$1,),))/100+1)^4)-1=0,#N/A,(((VLOOKUP(B74,'Data qoq'!$A:$AT,MATCH($M$1,'Data qoq'!$A$1:$AT$1,),))/100+1)^4)-1)</f>
        <v>-1.43401549999983E-2</v>
      </c>
      <c r="N74" s="32">
        <f>IF((((VLOOKUP(B74,'Data qoq'!$A:$AT,MATCH($N$1,'Data qoq'!$A$1:$AT$1,),))/100+1)^4)-1=0,#N/A,(((VLOOKUP(B74,'Data qoq'!$A:$AT,MATCH($N$1,'Data qoq'!$A$1:$AT$1,),))/100+1)^4)-1)</f>
        <v>-1.0271847345456719E-2</v>
      </c>
      <c r="O74" s="32">
        <f>IF((((VLOOKUP(B74,'Data qoq'!$A:$AT,MATCH($O$1,'Data qoq'!$A$1:$AT$1,),))/100+1)^4)-1=0,#N/A,(((VLOOKUP(B74,'Data qoq'!$A:$AT,MATCH($O$1,'Data qoq'!$A$1:$AT$1,),))/100+1)^4)-1)</f>
        <v>8.3811540115649397E-2</v>
      </c>
      <c r="P74" s="32">
        <f>IF((((VLOOKUP(B74,'Data qoq'!$A:$AT,MATCH($P$1,'Data qoq'!$A$1:$AT$1,),))/100+1)^4)-1=0,#N/A,(((VLOOKUP(B74,'Data qoq'!$A:$AT,MATCH($P$1,'Data qoq'!$A$1:$AT$1,),))/100+1)^4)-1)</f>
        <v>2.9984606924127188E-3</v>
      </c>
      <c r="Q74" s="32">
        <f>IF((((VLOOKUP(B74,'Data qoq'!$A:$AT,MATCH($Q$1,'Data qoq'!$A$1:$AT$1,),))/100+1)^4)-1=0,#N/A,(((VLOOKUP(B74,'Data qoq'!$A:$AT,MATCH($Q$1,'Data qoq'!$A$1:$AT$1,),))/100+1)^4)-1)</f>
        <v>2.5323104761968862E-2</v>
      </c>
      <c r="R74" s="32">
        <f>IF((((VLOOKUP(B74,'Data qoq'!$A:$AT,MATCH($R$1,'Data qoq'!$A$1:$AT$1,),))/100+1)^4)-1=0,#N/A,(((VLOOKUP(B74,'Data qoq'!$A:$AT,MATCH($R$1,'Data qoq'!$A$1:$AT$1,),))/100+1)^4)-1)</f>
        <v>1.5545909179929485E-2</v>
      </c>
      <c r="S74" s="32">
        <f>IF((((VLOOKUP(B74,'Data qoq'!$A:$AT,MATCH($S$1,'Data qoq'!$A$1:$AT$1,),))/100+1)^4)-1=0,#N/A,(((VLOOKUP(B74,'Data qoq'!$A:$AT,MATCH($S$1,'Data qoq'!$A$1:$AT$1,),))/100+1)^4)-1)</f>
        <v>2.6634585966872626E-2</v>
      </c>
      <c r="T74" s="32">
        <f>IF((((VLOOKUP(B74,'Data qoq'!$A:$AT,MATCH($T$1,'Data qoq'!$A$1:$AT$1,),))/100+1)^4)-1=0,#N/A,(((VLOOKUP(B74,'Data qoq'!$A:$AT,MATCH($T$1,'Data qoq'!$A$1:$AT$1,),))/100+1)^4)-1)</f>
        <v>-3.1071209916066489E-2</v>
      </c>
      <c r="U74" s="32">
        <f>IF((((VLOOKUP(B74,'Data qoq'!$A:$AT,MATCH($U$1,'Data qoq'!$A$1:$AT$1,),))/100+1)^4)-1=0,#N/A,(((VLOOKUP(B74,'Data qoq'!$A:$AT,MATCH($U$1,'Data qoq'!$A$1:$AT$1,),))/100+1)^4)-1)</f>
        <v>7.3802479265475673E-2</v>
      </c>
      <c r="V74" s="32">
        <f>IF((((VLOOKUP(B74,'Data qoq'!$A:$AT,MATCH($V$1,'Data qoq'!$A$1:$AT$1,),))/100+1)^4)-1=0,#N/A,(((VLOOKUP(B74,'Data qoq'!$A:$AT,MATCH($V$1,'Data qoq'!$A$1:$AT$1,),))/100+1)^4)-1)</f>
        <v>6.1734119036485735E-2</v>
      </c>
      <c r="W74" s="32">
        <f>IF((((VLOOKUP(B74,'Data qoq'!$A:$AT,MATCH($W$1,'Data qoq'!$A$1:$AT$1,),))/100+1)^4)-1=0,#N/A,(((VLOOKUP(B74,'Data qoq'!$A:$AT,MATCH($W$1,'Data qoq'!$A$1:$AT$1,),))/100+1)^4)-1)</f>
        <v>4.749799531248744E-2</v>
      </c>
      <c r="X74" s="32">
        <f>IF((((VLOOKUP(B74,'Data qoq'!$A:$AT,MATCH($X$1,'Data qoq'!$A$1:$AT$1,),))/100+1)^4)-1=0,#N/A,(((VLOOKUP(B74,'Data qoq'!$A:$AT,MATCH($X$1,'Data qoq'!$A$1:$AT$1,),))/100+1)^4)-1)</f>
        <v>2.5968984646334681E-2</v>
      </c>
      <c r="Y74" s="32">
        <f>IF((((VLOOKUP(B74,'Data qoq'!$A:$AT,MATCH($Y$1,'Data qoq'!$A$1:$AT$1,),))/100+1)^4)-1=0,#N/A,(((VLOOKUP(B74,'Data qoq'!$A:$AT,MATCH($Y$1,'Data qoq'!$A$1:$AT$1,),))/100+1)^4)-1)</f>
        <v>5.0614907307605428E-2</v>
      </c>
      <c r="Z74" s="32">
        <f>IF((((VLOOKUP(B74,'Data qoq'!$A:$AU,MATCH($Z$1,'Data qoq'!$A$1:$AU$1,),))/100+1)^4)-1=0,#N/A,(((VLOOKUP(B74,'Data qoq'!$A:$AU,MATCH($Z$1,'Data qoq'!$A$1:$AU$1,),))/100+1)^4)-1)</f>
        <v>-4.5331261736229589E-2</v>
      </c>
      <c r="AA74" s="32">
        <f>IF((((VLOOKUP(B74,'Data qoq'!$A:$AU,MATCH($AA$1,'Data qoq'!$A$1:$AU$1,),))/100+1)^4)-1=0,#N/A,(((VLOOKUP(B74,'Data qoq'!$A:$AU,MATCH($AA$1,'Data qoq'!$A$1:$AU$1,),))/100+1)^4)-1)</f>
        <v>4.2011320864758561E-2</v>
      </c>
      <c r="AC74" s="26" t="str">
        <f t="shared" si="8"/>
        <v>2015-Q4</v>
      </c>
      <c r="AD74" s="31">
        <f t="shared" si="9"/>
        <v>-8.9005258699683676E-3</v>
      </c>
      <c r="AE74" s="27"/>
    </row>
    <row r="75" spans="1:31" x14ac:dyDescent="0.2">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2.2253126308213966E-2</v>
      </c>
      <c r="F75" s="32">
        <f>IF((((VLOOKUP(B75,'Data qoq'!$A:$AT,MATCH($F$1,'Data qoq'!$A$1:$AT$1,),))/100+1)^4)-1=0,#N/A,(((VLOOKUP(B75,'Data qoq'!$A:$AT,MATCH($F$1,'Data qoq'!$A$1:$AT$1,),))/100+1)^4)-1)</f>
        <v>2.9561067317084522E-2</v>
      </c>
      <c r="G75" s="32">
        <f>IF((((VLOOKUP(B75,'Data qoq'!$A:$AT,MATCH($G$1,'Data qoq'!$A$1:$AT$1,),))/100+1)^4)-1=0,#N/A,(((VLOOKUP(B75,'Data qoq'!$A:$AT,MATCH($G$1,'Data qoq'!$A$1:$AT$1,),))/100+1)^4)-1)</f>
        <v>3.3092082069765549E-2</v>
      </c>
      <c r="H75" s="32">
        <f>IF((((VLOOKUP(B75,'Data qoq'!$A:$AT,MATCH($H$1,'Data qoq'!$A$1:$AT$1,),))/100+1)^4)-1=0,#N/A,(((VLOOKUP(B75,'Data qoq'!$A:$AT,MATCH($H$1,'Data qoq'!$A$1:$AT$1,),))/100+1)^4)-1)</f>
        <v>2.494949094158283E-2</v>
      </c>
      <c r="I75" s="32">
        <f>IF((((VLOOKUP(B75,'Data qoq'!$A:$AT,MATCH($I$1,'Data qoq'!$A$1:$AT$1,),))/100+1)^4)-1=0,#N/A,(((VLOOKUP(B75,'Data qoq'!$A:$AT,MATCH($I$1,'Data qoq'!$A$1:$AT$1,),))/100+1)^4)-1)</f>
        <v>1.7783264226068463E-2</v>
      </c>
      <c r="J75" s="32">
        <f>IF((((VLOOKUP(B75,'Data qoq'!$A:$AT,MATCH($J$1,'Data qoq'!$A$1:$AT$1,),))/100+1)^4)-1=0,#N/A,(((VLOOKUP(B75,'Data qoq'!$A:$AT,MATCH($J$1,'Data qoq'!$A$1:$AT$1,),))/100+1)^4)-1)</f>
        <v>1.0948051529422687E-2</v>
      </c>
      <c r="K75" s="32">
        <f>IF((((VLOOKUP(B75,'Data qoq'!$A:$AT,MATCH($K$1,'Data qoq'!$A$1:$AT$1,),))/100+1)^4)-1=0,#N/A,(((VLOOKUP(B75,'Data qoq'!$A:$AT,MATCH($K$1,'Data qoq'!$A$1:$AT$1,),))/100+1)^4)-1)</f>
        <v>2.7382815578478992E-2</v>
      </c>
      <c r="L75" s="32">
        <f>IF((((VLOOKUP(B75,'Data qoq'!$A:$AT,MATCH($L$1,'Data qoq'!$A$1:$AT$1,),))/100+1)^4)-1=0,#N/A,(((VLOOKUP(B75,'Data qoq'!$A:$AT,MATCH($L$1,'Data qoq'!$A$1:$AT$1,),))/100+1)^4)-1)</f>
        <v>-4.3594811182104953E-3</v>
      </c>
      <c r="M75" s="32">
        <f>IF((((VLOOKUP(B75,'Data qoq'!$A:$AT,MATCH($M$1,'Data qoq'!$A$1:$AT$1,),))/100+1)^4)-1=0,#N/A,(((VLOOKUP(B75,'Data qoq'!$A:$AT,MATCH($M$1,'Data qoq'!$A$1:$AT$1,),))/100+1)^4)-1)</f>
        <v>2.2982055637937648E-2</v>
      </c>
      <c r="N75" s="32">
        <f>IF((((VLOOKUP(B75,'Data qoq'!$A:$AT,MATCH($N$1,'Data qoq'!$A$1:$AT$1,),))/100+1)^4)-1=0,#N/A,(((VLOOKUP(B75,'Data qoq'!$A:$AT,MATCH($N$1,'Data qoq'!$A$1:$AT$1,),))/100+1)^4)-1)</f>
        <v>7.6240015514328352E-3</v>
      </c>
      <c r="O75" s="32">
        <f>IF((((VLOOKUP(B75,'Data qoq'!$A:$AT,MATCH($O$1,'Data qoq'!$A$1:$AT$1,),))/100+1)^4)-1=0,#N/A,(((VLOOKUP(B75,'Data qoq'!$A:$AT,MATCH($O$1,'Data qoq'!$A$1:$AT$1,),))/100+1)^4)-1)</f>
        <v>0.12124537669821378</v>
      </c>
      <c r="P75" s="32">
        <f>IF((((VLOOKUP(B75,'Data qoq'!$A:$AT,MATCH($P$1,'Data qoq'!$A$1:$AT$1,),))/100+1)^4)-1=0,#N/A,(((VLOOKUP(B75,'Data qoq'!$A:$AT,MATCH($P$1,'Data qoq'!$A$1:$AT$1,),))/100+1)^4)-1)</f>
        <v>2.212120648088356E-2</v>
      </c>
      <c r="Q75" s="32">
        <f>IF((((VLOOKUP(B75,'Data qoq'!$A:$AT,MATCH($Q$1,'Data qoq'!$A$1:$AT$1,),))/100+1)^4)-1=0,#N/A,(((VLOOKUP(B75,'Data qoq'!$A:$AT,MATCH($Q$1,'Data qoq'!$A$1:$AT$1,),))/100+1)^4)-1)</f>
        <v>3.4735008305948334E-2</v>
      </c>
      <c r="R75" s="32">
        <f>IF((((VLOOKUP(B75,'Data qoq'!$A:$AT,MATCH($R$1,'Data qoq'!$A$1:$AT$1,),))/100+1)^4)-1=0,#N/A,(((VLOOKUP(B75,'Data qoq'!$A:$AT,MATCH($R$1,'Data qoq'!$A$1:$AT$1,),))/100+1)^4)-1)</f>
        <v>1.7980118570336767E-2</v>
      </c>
      <c r="S75" s="32">
        <f>IF((((VLOOKUP(B75,'Data qoq'!$A:$AT,MATCH($S$1,'Data qoq'!$A$1:$AT$1,),))/100+1)^4)-1=0,#N/A,(((VLOOKUP(B75,'Data qoq'!$A:$AT,MATCH($S$1,'Data qoq'!$A$1:$AT$1,),))/100+1)^4)-1)</f>
        <v>1.2347869554163227E-2</v>
      </c>
      <c r="T75" s="32">
        <f>IF((((VLOOKUP(B75,'Data qoq'!$A:$AT,MATCH($T$1,'Data qoq'!$A$1:$AT$1,),))/100+1)^4)-1=0,#N/A,(((VLOOKUP(B75,'Data qoq'!$A:$AT,MATCH($T$1,'Data qoq'!$A$1:$AT$1,),))/100+1)^4)-1)</f>
        <v>-6.2221906188936749E-2</v>
      </c>
      <c r="U75" s="32">
        <f>IF((((VLOOKUP(B75,'Data qoq'!$A:$AT,MATCH($U$1,'Data qoq'!$A$1:$AT$1,),))/100+1)^4)-1=0,#N/A,(((VLOOKUP(B75,'Data qoq'!$A:$AT,MATCH($U$1,'Data qoq'!$A$1:$AT$1,),))/100+1)^4)-1)</f>
        <v>-3.4623688582480439E-2</v>
      </c>
      <c r="V75" s="32">
        <f>IF((((VLOOKUP(B75,'Data qoq'!$A:$AT,MATCH($V$1,'Data qoq'!$A$1:$AT$1,),))/100+1)^4)-1=0,#N/A,(((VLOOKUP(B75,'Data qoq'!$A:$AT,MATCH($V$1,'Data qoq'!$A$1:$AT$1,),))/100+1)^4)-1)</f>
        <v>-0.11414042164452509</v>
      </c>
      <c r="W75" s="32">
        <f>IF((((VLOOKUP(B75,'Data qoq'!$A:$AT,MATCH($W$1,'Data qoq'!$A$1:$AT$1,),))/100+1)^4)-1=0,#N/A,(((VLOOKUP(B75,'Data qoq'!$A:$AT,MATCH($W$1,'Data qoq'!$A$1:$AT$1,),))/100+1)^4)-1)</f>
        <v>1.4540133738314642E-2</v>
      </c>
      <c r="X75" s="32">
        <f>IF((((VLOOKUP(B75,'Data qoq'!$A:$AT,MATCH($X$1,'Data qoq'!$A$1:$AT$1,),))/100+1)^4)-1=0,#N/A,(((VLOOKUP(B75,'Data qoq'!$A:$AT,MATCH($X$1,'Data qoq'!$A$1:$AT$1,),))/100+1)^4)-1)</f>
        <v>6.5498400605046303E-3</v>
      </c>
      <c r="Y75" s="32">
        <f>IF((((VLOOKUP(B75,'Data qoq'!$A:$AT,MATCH($Y$1,'Data qoq'!$A$1:$AT$1,),))/100+1)^4)-1=0,#N/A,(((VLOOKUP(B75,'Data qoq'!$A:$AT,MATCH($Y$1,'Data qoq'!$A$1:$AT$1,),))/100+1)^4)-1)</f>
        <v>-1.177238299458927E-2</v>
      </c>
      <c r="Z75" s="32">
        <f>IF((((VLOOKUP(B75,'Data qoq'!$A:$AU,MATCH($Z$1,'Data qoq'!$A$1:$AU$1,),))/100+1)^4)-1=0,#N/A,(((VLOOKUP(B75,'Data qoq'!$A:$AU,MATCH($Z$1,'Data qoq'!$A$1:$AU$1,),))/100+1)^4)-1)</f>
        <v>-3.4506444957995153E-2</v>
      </c>
      <c r="AA75" s="32">
        <f>IF((((VLOOKUP(B75,'Data qoq'!$A:$AU,MATCH($AA$1,'Data qoq'!$A$1:$AU$1,),))/100+1)^4)-1=0,#N/A,(((VLOOKUP(B75,'Data qoq'!$A:$AU,MATCH($AA$1,'Data qoq'!$A$1:$AU$1,),))/100+1)^4)-1)</f>
        <v>4.7098878128063904E-2</v>
      </c>
      <c r="AC75" s="26" t="str">
        <f t="shared" ref="AC75:AC98" si="10">B75</f>
        <v>2016-Q1</v>
      </c>
      <c r="AD75" s="31">
        <f t="shared" ref="AD75:AD106" si="11">(VLOOKUP(AC75,B:Y,MATCH($AE$6,$B$1:$Y$1,),))-(VLOOKUP(AC75,B:Y,MATCH($AE$7,$B$1:$Y$1,),))</f>
        <v>4.4698620821455037E-3</v>
      </c>
      <c r="AE75" s="27"/>
    </row>
    <row r="76" spans="1:31" x14ac:dyDescent="0.2">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8.2432159999999977E-2</v>
      </c>
      <c r="E76" s="32">
        <f>IF((((VLOOKUP(B76,'Data qoq'!$A:$AT,MATCH($E$1,'Data qoq'!$A$1:$AT$1,),))/100+1)^4)-1=0,#N/A,(((VLOOKUP(B76,'Data qoq'!$A:$AT,MATCH($E$1,'Data qoq'!$A$1:$AT$1,),))/100+1)^4)-1)</f>
        <v>1.0091123301702698E-2</v>
      </c>
      <c r="F76" s="32">
        <f>IF((((VLOOKUP(B76,'Data qoq'!$A:$AT,MATCH($F$1,'Data qoq'!$A$1:$AT$1,),))/100+1)^4)-1=0,#N/A,(((VLOOKUP(B76,'Data qoq'!$A:$AT,MATCH($F$1,'Data qoq'!$A$1:$AT$1,),))/100+1)^4)-1)</f>
        <v>-5.8834103860975207E-3</v>
      </c>
      <c r="G76" s="32">
        <f>IF((((VLOOKUP(B76,'Data qoq'!$A:$AT,MATCH($G$1,'Data qoq'!$A$1:$AT$1,),))/100+1)^4)-1=0,#N/A,(((VLOOKUP(B76,'Data qoq'!$A:$AT,MATCH($G$1,'Data qoq'!$A$1:$AT$1,),))/100+1)^4)-1)</f>
        <v>1.6659544101505608E-2</v>
      </c>
      <c r="H76" s="32">
        <f>IF((((VLOOKUP(B76,'Data qoq'!$A:$AT,MATCH($H$1,'Data qoq'!$A$1:$AT$1,),))/100+1)^4)-1=0,#N/A,(((VLOOKUP(B76,'Data qoq'!$A:$AT,MATCH($H$1,'Data qoq'!$A$1:$AT$1,),))/100+1)^4)-1)</f>
        <v>-6.3746092401614218E-3</v>
      </c>
      <c r="I76" s="32">
        <f>IF((((VLOOKUP(B76,'Data qoq'!$A:$AT,MATCH($I$1,'Data qoq'!$A$1:$AT$1,),))/100+1)^4)-1=0,#N/A,(((VLOOKUP(B76,'Data qoq'!$A:$AT,MATCH($I$1,'Data qoq'!$A$1:$AT$1,),))/100+1)^4)-1)</f>
        <v>2.3294255420756471E-2</v>
      </c>
      <c r="J76" s="32">
        <f>IF((((VLOOKUP(B76,'Data qoq'!$A:$AT,MATCH($J$1,'Data qoq'!$A$1:$AT$1,),))/100+1)^4)-1=0,#N/A,(((VLOOKUP(B76,'Data qoq'!$A:$AT,MATCH($J$1,'Data qoq'!$A$1:$AT$1,),))/100+1)^4)-1)</f>
        <v>8.2504561003382548E-3</v>
      </c>
      <c r="K76" s="32">
        <f>IF((((VLOOKUP(B76,'Data qoq'!$A:$AT,MATCH($K$1,'Data qoq'!$A$1:$AT$1,),))/100+1)^4)-1=0,#N/A,(((VLOOKUP(B76,'Data qoq'!$A:$AT,MATCH($K$1,'Data qoq'!$A$1:$AT$1,),))/100+1)^4)-1)</f>
        <v>1.6882202618370146E-2</v>
      </c>
      <c r="L76" s="32">
        <f>IF((((VLOOKUP(B76,'Data qoq'!$A:$AT,MATCH($L$1,'Data qoq'!$A$1:$AT$1,),))/100+1)^4)-1=0,#N/A,(((VLOOKUP(B76,'Data qoq'!$A:$AT,MATCH($L$1,'Data qoq'!$A$1:$AT$1,),))/100+1)^4)-1)</f>
        <v>3.6204225824654213E-3</v>
      </c>
      <c r="M76" s="32">
        <f>IF((((VLOOKUP(B76,'Data qoq'!$A:$AT,MATCH($M$1,'Data qoq'!$A$1:$AT$1,),))/100+1)^4)-1=0,#N/A,(((VLOOKUP(B76,'Data qoq'!$A:$AT,MATCH($M$1,'Data qoq'!$A$1:$AT$1,),))/100+1)^4)-1)</f>
        <v>1.7196829365352384E-2</v>
      </c>
      <c r="N76" s="32">
        <f>IF((((VLOOKUP(B76,'Data qoq'!$A:$AT,MATCH($N$1,'Data qoq'!$A$1:$AT$1,),))/100+1)^4)-1=0,#N/A,(((VLOOKUP(B76,'Data qoq'!$A:$AT,MATCH($N$1,'Data qoq'!$A$1:$AT$1,),))/100+1)^4)-1)</f>
        <v>2.1556900768069376E-3</v>
      </c>
      <c r="O76" s="32">
        <f>IF((((VLOOKUP(B76,'Data qoq'!$A:$AT,MATCH($O$1,'Data qoq'!$A$1:$AT$1,),))/100+1)^4)-1=0,#N/A,(((VLOOKUP(B76,'Data qoq'!$A:$AT,MATCH($O$1,'Data qoq'!$A$1:$AT$1,),))/100+1)^4)-1)</f>
        <v>7.3156595685922809E-2</v>
      </c>
      <c r="P76" s="32">
        <f>IF((((VLOOKUP(B76,'Data qoq'!$A:$AT,MATCH($P$1,'Data qoq'!$A$1:$AT$1,),))/100+1)^4)-1=0,#N/A,(((VLOOKUP(B76,'Data qoq'!$A:$AT,MATCH($P$1,'Data qoq'!$A$1:$AT$1,),))/100+1)^4)-1)</f>
        <v>-1.9523875668778556E-2</v>
      </c>
      <c r="Q76" s="32">
        <f>IF((((VLOOKUP(B76,'Data qoq'!$A:$AT,MATCH($Q$1,'Data qoq'!$A$1:$AT$1,),))/100+1)^4)-1=0,#N/A,(((VLOOKUP(B76,'Data qoq'!$A:$AT,MATCH($Q$1,'Data qoq'!$A$1:$AT$1,),))/100+1)^4)-1)</f>
        <v>2.5449843179228049E-2</v>
      </c>
      <c r="R76" s="32">
        <f>IF((((VLOOKUP(B76,'Data qoq'!$A:$AT,MATCH($R$1,'Data qoq'!$A$1:$AT$1,),))/100+1)^4)-1=0,#N/A,(((VLOOKUP(B76,'Data qoq'!$A:$AT,MATCH($R$1,'Data qoq'!$A$1:$AT$1,),))/100+1)^4)-1)</f>
        <v>2.0997491760946119E-2</v>
      </c>
      <c r="S76" s="32">
        <f>IF((((VLOOKUP(B76,'Data qoq'!$A:$AT,MATCH($S$1,'Data qoq'!$A$1:$AT$1,),))/100+1)^4)-1=0,#N/A,(((VLOOKUP(B76,'Data qoq'!$A:$AT,MATCH($S$1,'Data qoq'!$A$1:$AT$1,),))/100+1)^4)-1)</f>
        <v>4.6644433202276847E-2</v>
      </c>
      <c r="T76" s="32">
        <f>IF((((VLOOKUP(B76,'Data qoq'!$A:$AT,MATCH($T$1,'Data qoq'!$A$1:$AT$1,),))/100+1)^4)-1=0,#N/A,(((VLOOKUP(B76,'Data qoq'!$A:$AT,MATCH($T$1,'Data qoq'!$A$1:$AT$1,),))/100+1)^4)-1)</f>
        <v>2.2692270993106334E-2</v>
      </c>
      <c r="U76" s="32">
        <f>IF((((VLOOKUP(B76,'Data qoq'!$A:$AT,MATCH($U$1,'Data qoq'!$A$1:$AT$1,),))/100+1)^4)-1=0,#N/A,(((VLOOKUP(B76,'Data qoq'!$A:$AT,MATCH($U$1,'Data qoq'!$A$1:$AT$1,),))/100+1)^4)-1)</f>
        <v>-1.3347750776601885E-2</v>
      </c>
      <c r="V76" s="32">
        <f>IF((((VLOOKUP(B76,'Data qoq'!$A:$AT,MATCH($V$1,'Data qoq'!$A$1:$AT$1,),))/100+1)^4)-1=0,#N/A,(((VLOOKUP(B76,'Data qoq'!$A:$AT,MATCH($V$1,'Data qoq'!$A$1:$AT$1,),))/100+1)^4)-1)</f>
        <v>6.4365103165049398E-2</v>
      </c>
      <c r="W76" s="32">
        <f>IF((((VLOOKUP(B76,'Data qoq'!$A:$AT,MATCH($W$1,'Data qoq'!$A$1:$AT$1,),))/100+1)^4)-1=0,#N/A,(((VLOOKUP(B76,'Data qoq'!$A:$AT,MATCH($W$1,'Data qoq'!$A$1:$AT$1,),))/100+1)^4)-1)</f>
        <v>5.8475678129921604E-2</v>
      </c>
      <c r="X76" s="32">
        <f>IF((((VLOOKUP(B76,'Data qoq'!$A:$AT,MATCH($X$1,'Data qoq'!$A$1:$AT$1,),))/100+1)^4)-1=0,#N/A,(((VLOOKUP(B76,'Data qoq'!$A:$AT,MATCH($X$1,'Data qoq'!$A$1:$AT$1,),))/100+1)^4)-1)</f>
        <v>1.3516027002217212E-2</v>
      </c>
      <c r="Y76" s="32">
        <f>IF((((VLOOKUP(B76,'Data qoq'!$A:$AT,MATCH($Y$1,'Data qoq'!$A$1:$AT$1,),))/100+1)^4)-1=0,#N/A,(((VLOOKUP(B76,'Data qoq'!$A:$AT,MATCH($Y$1,'Data qoq'!$A$1:$AT$1,),))/100+1)^4)-1)</f>
        <v>5.3227643294222249E-2</v>
      </c>
      <c r="Z76" s="32">
        <f>IF((((VLOOKUP(B76,'Data qoq'!$A:$AU,MATCH($Z$1,'Data qoq'!$A$1:$AU$1,),))/100+1)^4)-1=0,#N/A,(((VLOOKUP(B76,'Data qoq'!$A:$AU,MATCH($Z$1,'Data qoq'!$A$1:$AU$1,),))/100+1)^4)-1)</f>
        <v>-6.0840943285591642E-2</v>
      </c>
      <c r="AA76" s="32">
        <f>IF((((VLOOKUP(B76,'Data qoq'!$A:$AU,MATCH($AA$1,'Data qoq'!$A$1:$AU$1,),))/100+1)^4)-1=0,#N/A,(((VLOOKUP(B76,'Data qoq'!$A:$AU,MATCH($AA$1,'Data qoq'!$A$1:$AU$1,),))/100+1)^4)-1)</f>
        <v>3.8055499698017137E-2</v>
      </c>
      <c r="AC76" s="26" t="str">
        <f t="shared" si="10"/>
        <v>2016-Q2</v>
      </c>
      <c r="AD76" s="31">
        <f t="shared" si="11"/>
        <v>-1.3203132119053773E-2</v>
      </c>
      <c r="AE76" s="27"/>
    </row>
    <row r="77" spans="1:31" x14ac:dyDescent="0.2">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1.8346772418229573E-2</v>
      </c>
      <c r="F77" s="32">
        <f>IF((((VLOOKUP(B77,'Data qoq'!$A:$AT,MATCH($F$1,'Data qoq'!$A$1:$AT$1,),))/100+1)^4)-1=0,#N/A,(((VLOOKUP(B77,'Data qoq'!$A:$AT,MATCH($F$1,'Data qoq'!$A$1:$AT$1,),))/100+1)^4)-1)</f>
        <v>6.2776625470910563E-3</v>
      </c>
      <c r="G77" s="32">
        <f>IF((((VLOOKUP(B77,'Data qoq'!$A:$AT,MATCH($G$1,'Data qoq'!$A$1:$AT$1,),))/100+1)^4)-1=0,#N/A,(((VLOOKUP(B77,'Data qoq'!$A:$AT,MATCH($G$1,'Data qoq'!$A$1:$AT$1,),))/100+1)^4)-1)</f>
        <v>1.3811439745116116E-2</v>
      </c>
      <c r="H77" s="32">
        <f>IF((((VLOOKUP(B77,'Data qoq'!$A:$AT,MATCH($H$1,'Data qoq'!$A$1:$AT$1,),))/100+1)^4)-1=0,#N/A,(((VLOOKUP(B77,'Data qoq'!$A:$AT,MATCH($H$1,'Data qoq'!$A$1:$AT$1,),))/100+1)^4)-1)</f>
        <v>7.7522709450896787E-3</v>
      </c>
      <c r="I77" s="32">
        <f>IF((((VLOOKUP(B77,'Data qoq'!$A:$AT,MATCH($I$1,'Data qoq'!$A$1:$AT$1,),))/100+1)^4)-1=0,#N/A,(((VLOOKUP(B77,'Data qoq'!$A:$AT,MATCH($I$1,'Data qoq'!$A$1:$AT$1,),))/100+1)^4)-1)</f>
        <v>1.7929417822736271E-2</v>
      </c>
      <c r="J77" s="32">
        <f>IF((((VLOOKUP(B77,'Data qoq'!$A:$AT,MATCH($J$1,'Data qoq'!$A$1:$AT$1,),))/100+1)^4)-1=0,#N/A,(((VLOOKUP(B77,'Data qoq'!$A:$AT,MATCH($J$1,'Data qoq'!$A$1:$AT$1,),))/100+1)^4)-1)</f>
        <v>2.2861565214560287E-2</v>
      </c>
      <c r="K77" s="32">
        <f>IF((((VLOOKUP(B77,'Data qoq'!$A:$AT,MATCH($K$1,'Data qoq'!$A$1:$AT$1,),))/100+1)^4)-1=0,#N/A,(((VLOOKUP(B77,'Data qoq'!$A:$AT,MATCH($K$1,'Data qoq'!$A$1:$AT$1,),))/100+1)^4)-1)</f>
        <v>3.5957719022935875E-2</v>
      </c>
      <c r="L77" s="32">
        <f>IF((((VLOOKUP(B77,'Data qoq'!$A:$AT,MATCH($L$1,'Data qoq'!$A$1:$AT$1,),))/100+1)^4)-1=0,#N/A,(((VLOOKUP(B77,'Data qoq'!$A:$AT,MATCH($L$1,'Data qoq'!$A$1:$AT$1,),))/100+1)^4)-1)</f>
        <v>1.2131286244827288E-2</v>
      </c>
      <c r="M77" s="32">
        <f>IF((((VLOOKUP(B77,'Data qoq'!$A:$AT,MATCH($M$1,'Data qoq'!$A$1:$AT$1,),))/100+1)^4)-1=0,#N/A,(((VLOOKUP(B77,'Data qoq'!$A:$AT,MATCH($M$1,'Data qoq'!$A$1:$AT$1,),))/100+1)^4)-1)</f>
        <v>4.4513916080764826E-2</v>
      </c>
      <c r="N77" s="32">
        <f>IF((((VLOOKUP(B77,'Data qoq'!$A:$AT,MATCH($N$1,'Data qoq'!$A$1:$AT$1,),))/100+1)^4)-1=0,#N/A,(((VLOOKUP(B77,'Data qoq'!$A:$AT,MATCH($N$1,'Data qoq'!$A$1:$AT$1,),))/100+1)^4)-1)</f>
        <v>4.0347489312948515E-3</v>
      </c>
      <c r="O77" s="32">
        <f>IF((((VLOOKUP(B77,'Data qoq'!$A:$AT,MATCH($O$1,'Data qoq'!$A$1:$AT$1,),))/100+1)^4)-1=0,#N/A,(((VLOOKUP(B77,'Data qoq'!$A:$AT,MATCH($O$1,'Data qoq'!$A$1:$AT$1,),))/100+1)^4)-1)</f>
        <v>9.4851711247077475E-2</v>
      </c>
      <c r="P77" s="32">
        <f>IF((((VLOOKUP(B77,'Data qoq'!$A:$AT,MATCH($P$1,'Data qoq'!$A$1:$AT$1,),))/100+1)^4)-1=0,#N/A,(((VLOOKUP(B77,'Data qoq'!$A:$AT,MATCH($P$1,'Data qoq'!$A$1:$AT$1,),))/100+1)^4)-1)</f>
        <v>4.189098596035401E-2</v>
      </c>
      <c r="Q77" s="32">
        <f>IF((((VLOOKUP(B77,'Data qoq'!$A:$AT,MATCH($Q$1,'Data qoq'!$A$1:$AT$1,),))/100+1)^4)-1=0,#N/A,(((VLOOKUP(B77,'Data qoq'!$A:$AT,MATCH($Q$1,'Data qoq'!$A$1:$AT$1,),))/100+1)^4)-1)</f>
        <v>5.2837656455355653E-3</v>
      </c>
      <c r="R77" s="32">
        <f>IF((((VLOOKUP(B77,'Data qoq'!$A:$AT,MATCH($R$1,'Data qoq'!$A$1:$AT$1,),))/100+1)^4)-1=0,#N/A,(((VLOOKUP(B77,'Data qoq'!$A:$AT,MATCH($R$1,'Data qoq'!$A$1:$AT$1,),))/100+1)^4)-1)</f>
        <v>2.2079431942071182E-2</v>
      </c>
      <c r="S77" s="32">
        <f>IF((((VLOOKUP(B77,'Data qoq'!$A:$AT,MATCH($S$1,'Data qoq'!$A$1:$AT$1,),))/100+1)^4)-1=0,#N/A,(((VLOOKUP(B77,'Data qoq'!$A:$AT,MATCH($S$1,'Data qoq'!$A$1:$AT$1,),))/100+1)^4)-1)</f>
        <v>1.9908083514255104E-2</v>
      </c>
      <c r="T77" s="32">
        <f>IF((((VLOOKUP(B77,'Data qoq'!$A:$AT,MATCH($T$1,'Data qoq'!$A$1:$AT$1,),))/100+1)^4)-1=0,#N/A,(((VLOOKUP(B77,'Data qoq'!$A:$AT,MATCH($T$1,'Data qoq'!$A$1:$AT$1,),))/100+1)^4)-1)</f>
        <v>-2.4926817945888691E-2</v>
      </c>
      <c r="U77" s="32">
        <f>IF((((VLOOKUP(B77,'Data qoq'!$A:$AT,MATCH($U$1,'Data qoq'!$A$1:$AT$1,),))/100+1)^4)-1=0,#N/A,(((VLOOKUP(B77,'Data qoq'!$A:$AT,MATCH($U$1,'Data qoq'!$A$1:$AT$1,),))/100+1)^4)-1)</f>
        <v>1.3468333452779646E-2</v>
      </c>
      <c r="V77" s="32">
        <f>IF((((VLOOKUP(B77,'Data qoq'!$A:$AT,MATCH($V$1,'Data qoq'!$A$1:$AT$1,),))/100+1)^4)-1=0,#N/A,(((VLOOKUP(B77,'Data qoq'!$A:$AT,MATCH($V$1,'Data qoq'!$A$1:$AT$1,),))/100+1)^4)-1)</f>
        <v>-4.6913221644398595E-2</v>
      </c>
      <c r="W77" s="32">
        <f>IF((((VLOOKUP(B77,'Data qoq'!$A:$AT,MATCH($W$1,'Data qoq'!$A$1:$AT$1,),))/100+1)^4)-1=0,#N/A,(((VLOOKUP(B77,'Data qoq'!$A:$AT,MATCH($W$1,'Data qoq'!$A$1:$AT$1,),))/100+1)^4)-1)</f>
        <v>-0.10986646007848022</v>
      </c>
      <c r="X77" s="32">
        <f>IF((((VLOOKUP(B77,'Data qoq'!$A:$AT,MATCH($X$1,'Data qoq'!$A$1:$AT$1,),))/100+1)^4)-1=0,#N/A,(((VLOOKUP(B77,'Data qoq'!$A:$AT,MATCH($X$1,'Data qoq'!$A$1:$AT$1,),))/100+1)^4)-1)</f>
        <v>3.2553819685360752E-2</v>
      </c>
      <c r="Y77" s="32">
        <f>IF((((VLOOKUP(B77,'Data qoq'!$A:$AT,MATCH($Y$1,'Data qoq'!$A$1:$AT$1,),))/100+1)^4)-1=0,#N/A,(((VLOOKUP(B77,'Data qoq'!$A:$AT,MATCH($Y$1,'Data qoq'!$A$1:$AT$1,),))/100+1)^4)-1)</f>
        <v>1.0372204112685246E-2</v>
      </c>
      <c r="Z77" s="32">
        <f>IF((((VLOOKUP(B77,'Data qoq'!$A:$AU,MATCH($Z$1,'Data qoq'!$A$1:$AU$1,),))/100+1)^4)-1=0,#N/A,(((VLOOKUP(B77,'Data qoq'!$A:$AU,MATCH($Z$1,'Data qoq'!$A$1:$AU$1,),))/100+1)^4)-1)</f>
        <v>1.1073044545597321E-2</v>
      </c>
      <c r="AA77" s="32">
        <f>IF((((VLOOKUP(B77,'Data qoq'!$A:$AU,MATCH($AA$1,'Data qoq'!$A$1:$AU$1,),))/100+1)^4)-1=0,#N/A,(((VLOOKUP(B77,'Data qoq'!$A:$AU,MATCH($AA$1,'Data qoq'!$A$1:$AU$1,),))/100+1)^4)-1)</f>
        <v>3.8353253727399617E-2</v>
      </c>
      <c r="AC77" s="26" t="str">
        <f t="shared" si="10"/>
        <v>2016-Q3</v>
      </c>
      <c r="AD77" s="31">
        <f t="shared" si="11"/>
        <v>4.1735459549330223E-4</v>
      </c>
      <c r="AE77" s="27"/>
    </row>
    <row r="78" spans="1:31" x14ac:dyDescent="0.2">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3.025226653458235E-2</v>
      </c>
      <c r="F78" s="32">
        <f>IF((((VLOOKUP(B78,'Data qoq'!$A:$AT,MATCH($F$1,'Data qoq'!$A$1:$AT$1,),))/100+1)^4)-1=0,#N/A,(((VLOOKUP(B78,'Data qoq'!$A:$AT,MATCH($F$1,'Data qoq'!$A$1:$AT$1,),))/100+1)^4)-1)</f>
        <v>7.620375841826954E-3</v>
      </c>
      <c r="G78" s="32">
        <f>IF((((VLOOKUP(B78,'Data qoq'!$A:$AT,MATCH($G$1,'Data qoq'!$A$1:$AT$1,),))/100+1)^4)-1=0,#N/A,(((VLOOKUP(B78,'Data qoq'!$A:$AT,MATCH($G$1,'Data qoq'!$A$1:$AT$1,),))/100+1)^4)-1)</f>
        <v>1.2578388582201727E-2</v>
      </c>
      <c r="H78" s="32">
        <f>IF((((VLOOKUP(B78,'Data qoq'!$A:$AT,MATCH($H$1,'Data qoq'!$A$1:$AT$1,),))/100+1)^4)-1=0,#N/A,(((VLOOKUP(B78,'Data qoq'!$A:$AT,MATCH($H$1,'Data qoq'!$A$1:$AT$1,),))/100+1)^4)-1)</f>
        <v>2.2137626309786773E-2</v>
      </c>
      <c r="I78" s="32">
        <f>IF((((VLOOKUP(B78,'Data qoq'!$A:$AT,MATCH($I$1,'Data qoq'!$A$1:$AT$1,),))/100+1)^4)-1=0,#N/A,(((VLOOKUP(B78,'Data qoq'!$A:$AT,MATCH($I$1,'Data qoq'!$A$1:$AT$1,),))/100+1)^4)-1)</f>
        <v>2.9901432029139752E-2</v>
      </c>
      <c r="J78" s="32">
        <f>IF((((VLOOKUP(B78,'Data qoq'!$A:$AT,MATCH($J$1,'Data qoq'!$A$1:$AT$1,),))/100+1)^4)-1=0,#N/A,(((VLOOKUP(B78,'Data qoq'!$A:$AT,MATCH($J$1,'Data qoq'!$A$1:$AT$1,),))/100+1)^4)-1)</f>
        <v>1.1511244733010573E-2</v>
      </c>
      <c r="K78" s="32">
        <f>IF((((VLOOKUP(B78,'Data qoq'!$A:$AT,MATCH($K$1,'Data qoq'!$A$1:$AT$1,),))/100+1)^4)-1=0,#N/A,(((VLOOKUP(B78,'Data qoq'!$A:$AT,MATCH($K$1,'Data qoq'!$A$1:$AT$1,),))/100+1)^4)-1)</f>
        <v>1.8712588202351998E-2</v>
      </c>
      <c r="L78" s="32">
        <f>IF((((VLOOKUP(B78,'Data qoq'!$A:$AT,MATCH($L$1,'Data qoq'!$A$1:$AT$1,),))/100+1)^4)-1=0,#N/A,(((VLOOKUP(B78,'Data qoq'!$A:$AT,MATCH($L$1,'Data qoq'!$A$1:$AT$1,),))/100+1)^4)-1)</f>
        <v>3.7033656390853764E-2</v>
      </c>
      <c r="M78" s="32">
        <f>IF((((VLOOKUP(B78,'Data qoq'!$A:$AT,MATCH($M$1,'Data qoq'!$A$1:$AT$1,),))/100+1)^4)-1=0,#N/A,(((VLOOKUP(B78,'Data qoq'!$A:$AT,MATCH($M$1,'Data qoq'!$A$1:$AT$1,),))/100+1)^4)-1)</f>
        <v>4.0803556395804907E-2</v>
      </c>
      <c r="N78" s="32">
        <f>IF((((VLOOKUP(B78,'Data qoq'!$A:$AT,MATCH($N$1,'Data qoq'!$A$1:$AT$1,),))/100+1)^4)-1=0,#N/A,(((VLOOKUP(B78,'Data qoq'!$A:$AT,MATCH($N$1,'Data qoq'!$A$1:$AT$1,),))/100+1)^4)-1)</f>
        <v>3.3414968968097369E-2</v>
      </c>
      <c r="O78" s="32">
        <f>IF((((VLOOKUP(B78,'Data qoq'!$A:$AT,MATCH($O$1,'Data qoq'!$A$1:$AT$1,),))/100+1)^4)-1=0,#N/A,(((VLOOKUP(B78,'Data qoq'!$A:$AT,MATCH($O$1,'Data qoq'!$A$1:$AT$1,),))/100+1)^4)-1)</f>
        <v>5.566565362101894E-2</v>
      </c>
      <c r="P78" s="32">
        <f>IF((((VLOOKUP(B78,'Data qoq'!$A:$AT,MATCH($P$1,'Data qoq'!$A$1:$AT$1,),))/100+1)^4)-1=0,#N/A,(((VLOOKUP(B78,'Data qoq'!$A:$AT,MATCH($P$1,'Data qoq'!$A$1:$AT$1,),))/100+1)^4)-1)</f>
        <v>2.2649190488048143E-2</v>
      </c>
      <c r="Q78" s="32">
        <f>IF((((VLOOKUP(B78,'Data qoq'!$A:$AT,MATCH($Q$1,'Data qoq'!$A$1:$AT$1,),))/100+1)^4)-1=0,#N/A,(((VLOOKUP(B78,'Data qoq'!$A:$AT,MATCH($Q$1,'Data qoq'!$A$1:$AT$1,),))/100+1)^4)-1)</f>
        <v>4.3793079528208212E-2</v>
      </c>
      <c r="R78" s="32">
        <f>IF((((VLOOKUP(B78,'Data qoq'!$A:$AT,MATCH($R$1,'Data qoq'!$A$1:$AT$1,),))/100+1)^4)-1=0,#N/A,(((VLOOKUP(B78,'Data qoq'!$A:$AT,MATCH($R$1,'Data qoq'!$A$1:$AT$1,),))/100+1)^4)-1)</f>
        <v>1.2670796749022717E-2</v>
      </c>
      <c r="S78" s="32">
        <f>IF((((VLOOKUP(B78,'Data qoq'!$A:$AT,MATCH($S$1,'Data qoq'!$A$1:$AT$1,),))/100+1)^4)-1=0,#N/A,(((VLOOKUP(B78,'Data qoq'!$A:$AT,MATCH($S$1,'Data qoq'!$A$1:$AT$1,),))/100+1)^4)-1)</f>
        <v>2.4303251944687077E-2</v>
      </c>
      <c r="T78" s="32">
        <f>IF((((VLOOKUP(B78,'Data qoq'!$A:$AT,MATCH($T$1,'Data qoq'!$A$1:$AT$1,),))/100+1)^4)-1=0,#N/A,(((VLOOKUP(B78,'Data qoq'!$A:$AT,MATCH($T$1,'Data qoq'!$A$1:$AT$1,),))/100+1)^4)-1)</f>
        <v>-7.2452190774884295E-3</v>
      </c>
      <c r="U78" s="32">
        <f>IF((((VLOOKUP(B78,'Data qoq'!$A:$AT,MATCH($U$1,'Data qoq'!$A$1:$AT$1,),))/100+1)^4)-1=0,#N/A,(((VLOOKUP(B78,'Data qoq'!$A:$AT,MATCH($U$1,'Data qoq'!$A$1:$AT$1,),))/100+1)^4)-1)</f>
        <v>2.6473203346962793E-2</v>
      </c>
      <c r="V78" s="32">
        <f>IF((((VLOOKUP(B78,'Data qoq'!$A:$AT,MATCH($V$1,'Data qoq'!$A$1:$AT$1,),))/100+1)^4)-1=0,#N/A,(((VLOOKUP(B78,'Data qoq'!$A:$AT,MATCH($V$1,'Data qoq'!$A$1:$AT$1,),))/100+1)^4)-1)</f>
        <v>0.56142240565731316</v>
      </c>
      <c r="W78" s="32">
        <f>IF((((VLOOKUP(B78,'Data qoq'!$A:$AT,MATCH($W$1,'Data qoq'!$A$1:$AT$1,),))/100+1)^4)-1=0,#N/A,(((VLOOKUP(B78,'Data qoq'!$A:$AT,MATCH($W$1,'Data qoq'!$A$1:$AT$1,),))/100+1)^4)-1)</f>
        <v>0.23927616567147192</v>
      </c>
      <c r="X78" s="32">
        <f>IF((((VLOOKUP(B78,'Data qoq'!$A:$AT,MATCH($X$1,'Data qoq'!$A$1:$AT$1,),))/100+1)^4)-1=0,#N/A,(((VLOOKUP(B78,'Data qoq'!$A:$AT,MATCH($X$1,'Data qoq'!$A$1:$AT$1,),))/100+1)^4)-1)</f>
        <v>3.4488719434929926E-2</v>
      </c>
      <c r="Y78" s="32">
        <f>IF((((VLOOKUP(B78,'Data qoq'!$A:$AT,MATCH($Y$1,'Data qoq'!$A$1:$AT$1,),))/100+1)^4)-1=0,#N/A,(((VLOOKUP(B78,'Data qoq'!$A:$AT,MATCH($Y$1,'Data qoq'!$A$1:$AT$1,),))/100+1)^4)-1)</f>
        <v>9.4909091020479064E-2</v>
      </c>
      <c r="Z78" s="32">
        <f>IF((((VLOOKUP(B78,'Data qoq'!$A:$AU,MATCH($Z$1,'Data qoq'!$A$1:$AU$1,),))/100+1)^4)-1=0,#N/A,(((VLOOKUP(B78,'Data qoq'!$A:$AU,MATCH($Z$1,'Data qoq'!$A$1:$AU$1,),))/100+1)^4)-1)</f>
        <v>2.3901280767584243E-2</v>
      </c>
      <c r="AA78" s="32">
        <f>IF((((VLOOKUP(B78,'Data qoq'!$A:$AU,MATCH($AA$1,'Data qoq'!$A$1:$AU$1,),))/100+1)^4)-1=0,#N/A,(((VLOOKUP(B78,'Data qoq'!$A:$AU,MATCH($AA$1,'Data qoq'!$A$1:$AU$1,),))/100+1)^4)-1)</f>
        <v>1.3604662766151909E-2</v>
      </c>
      <c r="AC78" s="26" t="str">
        <f t="shared" si="10"/>
        <v>2016-Q4</v>
      </c>
      <c r="AD78" s="31">
        <f t="shared" si="11"/>
        <v>3.5083450544259875E-4</v>
      </c>
      <c r="AE78" s="27"/>
    </row>
    <row r="79" spans="1:31" x14ac:dyDescent="0.2">
      <c r="A79" s="30">
        <v>42795</v>
      </c>
      <c r="B79" s="24" t="s">
        <v>345</v>
      </c>
      <c r="C79" s="32">
        <f>IF((((VLOOKUP(B79,'Data qoq'!$A:$AT,MATCH($C$1,'Data qoq'!$A$1:$AT$1,),))/100+1)^4)-1=0,#N/A,(((VLOOKUP(B79,'Data qoq'!$A:$AT,MATCH($C$1,'Data qoq'!$A$1:$AT$1,),))/100+1)^4)-1)</f>
        <v>1.9011293952945207E-2</v>
      </c>
      <c r="D79" s="32">
        <f>IF((((VLOOKUP(B79,'Data qoq'!$A:$AT,MATCH($D$1,'Data qoq'!$A$1:$AT$1,),))/100+1)^4)-1=0,#N/A,(((VLOOKUP(B79,'Data qoq'!$A:$AT,MATCH($D$1,'Data qoq'!$A$1:$AT$1,),))/100+1)^4)-1)</f>
        <v>7.3967432976000058E-2</v>
      </c>
      <c r="E79" s="32">
        <f>IF((((VLOOKUP(B79,'Data qoq'!$A:$AT,MATCH($E$1,'Data qoq'!$A$1:$AT$1,),))/100+1)^4)-1=0,#N/A,(((VLOOKUP(B79,'Data qoq'!$A:$AT,MATCH($E$1,'Data qoq'!$A$1:$AT$1,),))/100+1)^4)-1)</f>
        <v>2.8628472273657612E-2</v>
      </c>
      <c r="F79" s="32">
        <f>IF((((VLOOKUP(B79,'Data qoq'!$A:$AT,MATCH($F$1,'Data qoq'!$A$1:$AT$1,),))/100+1)^4)-1=0,#N/A,(((VLOOKUP(B79,'Data qoq'!$A:$AT,MATCH($F$1,'Data qoq'!$A$1:$AT$1,),))/100+1)^4)-1)</f>
        <v>3.2719463032654827E-2</v>
      </c>
      <c r="G79" s="32">
        <f>IF((((VLOOKUP(B79,'Data qoq'!$A:$AT,MATCH($G$1,'Data qoq'!$A$1:$AT$1,),))/100+1)^4)-1=0,#N/A,(((VLOOKUP(B79,'Data qoq'!$A:$AT,MATCH($G$1,'Data qoq'!$A$1:$AT$1,),))/100+1)^4)-1)</f>
        <v>4.9650643474004497E-2</v>
      </c>
      <c r="H79" s="32">
        <f>IF((((VLOOKUP(B79,'Data qoq'!$A:$AT,MATCH($H$1,'Data qoq'!$A$1:$AT$1,),))/100+1)^4)-1=0,#N/A,(((VLOOKUP(B79,'Data qoq'!$A:$AT,MATCH($H$1,'Data qoq'!$A$1:$AT$1,),))/100+1)^4)-1)</f>
        <v>3.2397460992379834E-2</v>
      </c>
      <c r="I79" s="32">
        <f>IF((((VLOOKUP(B79,'Data qoq'!$A:$AT,MATCH($I$1,'Data qoq'!$A$1:$AT$1,),))/100+1)^4)-1=0,#N/A,(((VLOOKUP(B79,'Data qoq'!$A:$AT,MATCH($I$1,'Data qoq'!$A$1:$AT$1,),))/100+1)^4)-1)</f>
        <v>2.6247915748971673E-2</v>
      </c>
      <c r="J79" s="32">
        <f>IF((((VLOOKUP(B79,'Data qoq'!$A:$AT,MATCH($J$1,'Data qoq'!$A$1:$AT$1,),))/100+1)^4)-1=0,#N/A,(((VLOOKUP(B79,'Data qoq'!$A:$AT,MATCH($J$1,'Data qoq'!$A$1:$AT$1,),))/100+1)^4)-1)</f>
        <v>2.215209915918348E-2</v>
      </c>
      <c r="K79" s="32">
        <f>IF((((VLOOKUP(B79,'Data qoq'!$A:$AT,MATCH($K$1,'Data qoq'!$A$1:$AT$1,),))/100+1)^4)-1=0,#N/A,(((VLOOKUP(B79,'Data qoq'!$A:$AT,MATCH($K$1,'Data qoq'!$A$1:$AT$1,),))/100+1)^4)-1)</f>
        <v>3.2131652176846215E-2</v>
      </c>
      <c r="L79" s="32">
        <f>IF((((VLOOKUP(B79,'Data qoq'!$A:$AT,MATCH($L$1,'Data qoq'!$A$1:$AT$1,),))/100+1)^4)-1=0,#N/A,(((VLOOKUP(B79,'Data qoq'!$A:$AT,MATCH($L$1,'Data qoq'!$A$1:$AT$1,),))/100+1)^4)-1)</f>
        <v>1.6793185759541807E-2</v>
      </c>
      <c r="M79" s="32">
        <f>IF((((VLOOKUP(B79,'Data qoq'!$A:$AT,MATCH($M$1,'Data qoq'!$A$1:$AT$1,),))/100+1)^4)-1=0,#N/A,(((VLOOKUP(B79,'Data qoq'!$A:$AT,MATCH($M$1,'Data qoq'!$A$1:$AT$1,),))/100+1)^4)-1)</f>
        <v>1.8377302054632505E-2</v>
      </c>
      <c r="N79" s="32">
        <f>IF((((VLOOKUP(B79,'Data qoq'!$A:$AT,MATCH($N$1,'Data qoq'!$A$1:$AT$1,),))/100+1)^4)-1=0,#N/A,(((VLOOKUP(B79,'Data qoq'!$A:$AT,MATCH($N$1,'Data qoq'!$A$1:$AT$1,),))/100+1)^4)-1)</f>
        <v>8.0918382113490672E-3</v>
      </c>
      <c r="O79" s="32">
        <f>IF((((VLOOKUP(B79,'Data qoq'!$A:$AT,MATCH($O$1,'Data qoq'!$A$1:$AT$1,),))/100+1)^4)-1=0,#N/A,(((VLOOKUP(B79,'Data qoq'!$A:$AT,MATCH($O$1,'Data qoq'!$A$1:$AT$1,),))/100+1)^4)-1)</f>
        <v>3.2463892927734328E-2</v>
      </c>
      <c r="P79" s="32">
        <f>IF((((VLOOKUP(B79,'Data qoq'!$A:$AT,MATCH($P$1,'Data qoq'!$A$1:$AT$1,),))/100+1)^4)-1=0,#N/A,(((VLOOKUP(B79,'Data qoq'!$A:$AT,MATCH($P$1,'Data qoq'!$A$1:$AT$1,),))/100+1)^4)-1)</f>
        <v>4.4190769982789702E-2</v>
      </c>
      <c r="Q79" s="32">
        <f>IF((((VLOOKUP(B79,'Data qoq'!$A:$AT,MATCH($Q$1,'Data qoq'!$A$1:$AT$1,),))/100+1)^4)-1=0,#N/A,(((VLOOKUP(B79,'Data qoq'!$A:$AT,MATCH($Q$1,'Data qoq'!$A$1:$AT$1,),))/100+1)^4)-1)</f>
        <v>9.5294297741146394E-3</v>
      </c>
      <c r="R79" s="32">
        <f>IF((((VLOOKUP(B79,'Data qoq'!$A:$AT,MATCH($R$1,'Data qoq'!$A$1:$AT$1,),))/100+1)^4)-1=0,#N/A,(((VLOOKUP(B79,'Data qoq'!$A:$AT,MATCH($R$1,'Data qoq'!$A$1:$AT$1,),))/100+1)^4)-1)</f>
        <v>7.7435535901100305E-3</v>
      </c>
      <c r="S79" s="32">
        <f>IF((((VLOOKUP(B79,'Data qoq'!$A:$AT,MATCH($S$1,'Data qoq'!$A$1:$AT$1,),))/100+1)^4)-1=0,#N/A,(((VLOOKUP(B79,'Data qoq'!$A:$AT,MATCH($S$1,'Data qoq'!$A$1:$AT$1,),))/100+1)^4)-1)</f>
        <v>3.9056983403072953E-2</v>
      </c>
      <c r="T79" s="32">
        <f>IF((((VLOOKUP(B79,'Data qoq'!$A:$AT,MATCH($T$1,'Data qoq'!$A$1:$AT$1,),))/100+1)^4)-1=0,#N/A,(((VLOOKUP(B79,'Data qoq'!$A:$AT,MATCH($T$1,'Data qoq'!$A$1:$AT$1,),))/100+1)^4)-1)</f>
        <v>4.531832426338922E-2</v>
      </c>
      <c r="U79" s="32">
        <f>IF((((VLOOKUP(B79,'Data qoq'!$A:$AT,MATCH($U$1,'Data qoq'!$A$1:$AT$1,),))/100+1)^4)-1=0,#N/A,(((VLOOKUP(B79,'Data qoq'!$A:$AT,MATCH($U$1,'Data qoq'!$A$1:$AT$1,),))/100+1)^4)-1)</f>
        <v>-1.1190487467380494E-2</v>
      </c>
      <c r="V79" s="32">
        <f>IF((((VLOOKUP(B79,'Data qoq'!$A:$AT,MATCH($V$1,'Data qoq'!$A$1:$AT$1,),))/100+1)^4)-1=0,#N/A,(((VLOOKUP(B79,'Data qoq'!$A:$AT,MATCH($V$1,'Data qoq'!$A$1:$AT$1,),))/100+1)^4)-1)</f>
        <v>-0.16249105875469538</v>
      </c>
      <c r="W79" s="32">
        <f>IF((((VLOOKUP(B79,'Data qoq'!$A:$AT,MATCH($W$1,'Data qoq'!$A$1:$AT$1,),))/100+1)^4)-1=0,#N/A,(((VLOOKUP(B79,'Data qoq'!$A:$AT,MATCH($W$1,'Data qoq'!$A$1:$AT$1,),))/100+1)^4)-1)</f>
        <v>5.5889182563230388E-2</v>
      </c>
      <c r="X79" s="32">
        <f>IF((((VLOOKUP(B79,'Data qoq'!$A:$AT,MATCH($X$1,'Data qoq'!$A$1:$AT$1,),))/100+1)^4)-1=0,#N/A,(((VLOOKUP(B79,'Data qoq'!$A:$AT,MATCH($X$1,'Data qoq'!$A$1:$AT$1,),))/100+1)^4)-1)</f>
        <v>6.2852740087594006E-2</v>
      </c>
      <c r="Y79" s="32">
        <f>IF((((VLOOKUP(B79,'Data qoq'!$A:$AT,MATCH($Y$1,'Data qoq'!$A$1:$AT$1,),))/100+1)^4)-1=0,#N/A,(((VLOOKUP(B79,'Data qoq'!$A:$AT,MATCH($Y$1,'Data qoq'!$A$1:$AT$1,),))/100+1)^4)-1)</f>
        <v>3.8278313659123375E-2</v>
      </c>
      <c r="Z79" s="32">
        <f>IF((((VLOOKUP(B79,'Data qoq'!$A:$AU,MATCH($Z$1,'Data qoq'!$A$1:$AU$1,),))/100+1)^4)-1=0,#N/A,(((VLOOKUP(B79,'Data qoq'!$A:$AU,MATCH($Z$1,'Data qoq'!$A$1:$AU$1,),))/100+1)^4)-1)</f>
        <v>3.9214718612412991E-2</v>
      </c>
      <c r="AA79" s="32">
        <f>IF((((VLOOKUP(B79,'Data qoq'!$A:$AU,MATCH($AA$1,'Data qoq'!$A$1:$AU$1,),))/100+1)^4)-1=0,#N/A,(((VLOOKUP(B79,'Data qoq'!$A:$AU,MATCH($AA$1,'Data qoq'!$A$1:$AU$1,),))/100+1)^4)-1)</f>
        <v>4.1267275143287874E-2</v>
      </c>
      <c r="AC79" s="26" t="str">
        <f t="shared" si="10"/>
        <v>2017-Q1</v>
      </c>
      <c r="AD79" s="31">
        <f t="shared" si="11"/>
        <v>2.3805565246859395E-3</v>
      </c>
      <c r="AE79" s="27"/>
    </row>
    <row r="80" spans="1:31" x14ac:dyDescent="0.2">
      <c r="A80" s="30">
        <v>42887</v>
      </c>
      <c r="B80" s="24" t="s">
        <v>346</v>
      </c>
      <c r="C80" s="32">
        <f>IF((((VLOOKUP(B80,'Data qoq'!$A:$AT,MATCH($C$1,'Data qoq'!$A$1:$AT$1,),))/100+1)^4)-1=0,#N/A,(((VLOOKUP(B80,'Data qoq'!$A:$AT,MATCH($C$1,'Data qoq'!$A$1:$AT$1,),))/100+1)^4)-1)</f>
        <v>2.257929747539289E-2</v>
      </c>
      <c r="D80" s="32">
        <f>IF((((VLOOKUP(B80,'Data qoq'!$A:$AT,MATCH($D$1,'Data qoq'!$A$1:$AT$1,),))/100+1)^4)-1=0,#N/A,(((VLOOKUP(B80,'Data qoq'!$A:$AT,MATCH($D$1,'Data qoq'!$A$1:$AT$1,),))/100+1)^4)-1)</f>
        <v>6.9753735520999616E-2</v>
      </c>
      <c r="E80" s="32">
        <f>IF((((VLOOKUP(B80,'Data qoq'!$A:$AT,MATCH($E$1,'Data qoq'!$A$1:$AT$1,),))/100+1)^4)-1=0,#N/A,(((VLOOKUP(B80,'Data qoq'!$A:$AT,MATCH($E$1,'Data qoq'!$A$1:$AT$1,),))/100+1)^4)-1)</f>
        <v>3.2526537509261155E-2</v>
      </c>
      <c r="F80" s="32">
        <f>IF((((VLOOKUP(B80,'Data qoq'!$A:$AT,MATCH($F$1,'Data qoq'!$A$1:$AT$1,),))/100+1)^4)-1=0,#N/A,(((VLOOKUP(B80,'Data qoq'!$A:$AT,MATCH($F$1,'Data qoq'!$A$1:$AT$1,),))/100+1)^4)-1)</f>
        <v>1.5621445481113438E-2</v>
      </c>
      <c r="G80" s="32">
        <f>IF((((VLOOKUP(B80,'Data qoq'!$A:$AT,MATCH($G$1,'Data qoq'!$A$1:$AT$1,),))/100+1)^4)-1=0,#N/A,(((VLOOKUP(B80,'Data qoq'!$A:$AT,MATCH($G$1,'Data qoq'!$A$1:$AT$1,),))/100+1)^4)-1)</f>
        <v>3.1577935439518034E-2</v>
      </c>
      <c r="H80" s="32">
        <f>IF((((VLOOKUP(B80,'Data qoq'!$A:$AT,MATCH($H$1,'Data qoq'!$A$1:$AT$1,),))/100+1)^4)-1=0,#N/A,(((VLOOKUP(B80,'Data qoq'!$A:$AT,MATCH($H$1,'Data qoq'!$A$1:$AT$1,),))/100+1)^4)-1)</f>
        <v>3.3404955001030467E-2</v>
      </c>
      <c r="I80" s="32">
        <f>IF((((VLOOKUP(B80,'Data qoq'!$A:$AT,MATCH($I$1,'Data qoq'!$A$1:$AT$1,),))/100+1)^4)-1=0,#N/A,(((VLOOKUP(B80,'Data qoq'!$A:$AT,MATCH($I$1,'Data qoq'!$A$1:$AT$1,),))/100+1)^4)-1)</f>
        <v>1.2487974514723943E-2</v>
      </c>
      <c r="J80" s="32">
        <f>IF((((VLOOKUP(B80,'Data qoq'!$A:$AT,MATCH($J$1,'Data qoq'!$A$1:$AT$1,),))/100+1)^4)-1=0,#N/A,(((VLOOKUP(B80,'Data qoq'!$A:$AT,MATCH($J$1,'Data qoq'!$A$1:$AT$1,),))/100+1)^4)-1)</f>
        <v>1.6092040151289178E-2</v>
      </c>
      <c r="K80" s="32">
        <f>IF((((VLOOKUP(B80,'Data qoq'!$A:$AT,MATCH($K$1,'Data qoq'!$A$1:$AT$1,),))/100+1)^4)-1=0,#N/A,(((VLOOKUP(B80,'Data qoq'!$A:$AT,MATCH($K$1,'Data qoq'!$A$1:$AT$1,),))/100+1)^4)-1)</f>
        <v>4.3648256214300574E-2</v>
      </c>
      <c r="L80" s="32">
        <f>IF((((VLOOKUP(B80,'Data qoq'!$A:$AT,MATCH($L$1,'Data qoq'!$A$1:$AT$1,),))/100+1)^4)-1=0,#N/A,(((VLOOKUP(B80,'Data qoq'!$A:$AT,MATCH($L$1,'Data qoq'!$A$1:$AT$1,),))/100+1)^4)-1)</f>
        <v>5.228918121962467E-2</v>
      </c>
      <c r="M80" s="32">
        <f>IF((((VLOOKUP(B80,'Data qoq'!$A:$AT,MATCH($M$1,'Data qoq'!$A$1:$AT$1,),))/100+1)^4)-1=0,#N/A,(((VLOOKUP(B80,'Data qoq'!$A:$AT,MATCH($M$1,'Data qoq'!$A$1:$AT$1,),))/100+1)^4)-1)</f>
        <v>1.366125676639629E-2</v>
      </c>
      <c r="N80" s="32">
        <f>IF((((VLOOKUP(B80,'Data qoq'!$A:$AT,MATCH($N$1,'Data qoq'!$A$1:$AT$1,),))/100+1)^4)-1=0,#N/A,(((VLOOKUP(B80,'Data qoq'!$A:$AT,MATCH($N$1,'Data qoq'!$A$1:$AT$1,),))/100+1)^4)-1)</f>
        <v>2.7905608246182823E-2</v>
      </c>
      <c r="O80" s="32">
        <f>IF((((VLOOKUP(B80,'Data qoq'!$A:$AT,MATCH($O$1,'Data qoq'!$A$1:$AT$1,),))/100+1)^4)-1=0,#N/A,(((VLOOKUP(B80,'Data qoq'!$A:$AT,MATCH($O$1,'Data qoq'!$A$1:$AT$1,),))/100+1)^4)-1)</f>
        <v>8.4432861118614699E-2</v>
      </c>
      <c r="P80" s="32">
        <f>IF((((VLOOKUP(B80,'Data qoq'!$A:$AT,MATCH($P$1,'Data qoq'!$A$1:$AT$1,),))/100+1)^4)-1=0,#N/A,(((VLOOKUP(B80,'Data qoq'!$A:$AT,MATCH($P$1,'Data qoq'!$A$1:$AT$1,),))/100+1)^4)-1)</f>
        <v>4.155403410310865E-2</v>
      </c>
      <c r="Q80" s="32">
        <f>IF((((VLOOKUP(B80,'Data qoq'!$A:$AT,MATCH($Q$1,'Data qoq'!$A$1:$AT$1,),))/100+1)^4)-1=0,#N/A,(((VLOOKUP(B80,'Data qoq'!$A:$AT,MATCH($Q$1,'Data qoq'!$A$1:$AT$1,),))/100+1)^4)-1)</f>
        <v>2.6338931422181133E-2</v>
      </c>
      <c r="R80" s="32">
        <f>IF((((VLOOKUP(B80,'Data qoq'!$A:$AT,MATCH($R$1,'Data qoq'!$A$1:$AT$1,),))/100+1)^4)-1=0,#N/A,(((VLOOKUP(B80,'Data qoq'!$A:$AT,MATCH($R$1,'Data qoq'!$A$1:$AT$1,),))/100+1)^4)-1)</f>
        <v>1.2144063497708357E-2</v>
      </c>
      <c r="S80" s="32">
        <f>IF((((VLOOKUP(B80,'Data qoq'!$A:$AT,MATCH($S$1,'Data qoq'!$A$1:$AT$1,),))/100+1)^4)-1=0,#N/A,(((VLOOKUP(B80,'Data qoq'!$A:$AT,MATCH($S$1,'Data qoq'!$A$1:$AT$1,),))/100+1)^4)-1)</f>
        <v>2.7122924075202226E-2</v>
      </c>
      <c r="T80" s="32">
        <f>IF((((VLOOKUP(B80,'Data qoq'!$A:$AT,MATCH($T$1,'Data qoq'!$A$1:$AT$1,),))/100+1)^4)-1=0,#N/A,(((VLOOKUP(B80,'Data qoq'!$A:$AT,MATCH($T$1,'Data qoq'!$A$1:$AT$1,),))/100+1)^4)-1)</f>
        <v>2.9974856887084789E-2</v>
      </c>
      <c r="U80" s="32">
        <f>IF((((VLOOKUP(B80,'Data qoq'!$A:$AT,MATCH($U$1,'Data qoq'!$A$1:$AT$1,),))/100+1)^4)-1=0,#N/A,(((VLOOKUP(B80,'Data qoq'!$A:$AT,MATCH($U$1,'Data qoq'!$A$1:$AT$1,),))/100+1)^4)-1)</f>
        <v>2.4396508418237817E-2</v>
      </c>
      <c r="V80" s="32">
        <f>IF((((VLOOKUP(B80,'Data qoq'!$A:$AT,MATCH($V$1,'Data qoq'!$A$1:$AT$1,),))/100+1)^4)-1=0,#N/A,(((VLOOKUP(B80,'Data qoq'!$A:$AT,MATCH($V$1,'Data qoq'!$A$1:$AT$1,),))/100+1)^4)-1)</f>
        <v>0.13386305705908041</v>
      </c>
      <c r="W80" s="32">
        <f>IF((((VLOOKUP(B80,'Data qoq'!$A:$AT,MATCH($W$1,'Data qoq'!$A$1:$AT$1,),))/100+1)^4)-1=0,#N/A,(((VLOOKUP(B80,'Data qoq'!$A:$AT,MATCH($W$1,'Data qoq'!$A$1:$AT$1,),))/100+1)^4)-1)</f>
        <v>9.4380364836343045E-2</v>
      </c>
      <c r="X80" s="32">
        <f>IF((((VLOOKUP(B80,'Data qoq'!$A:$AT,MATCH($X$1,'Data qoq'!$A$1:$AT$1,),))/100+1)^4)-1=0,#N/A,(((VLOOKUP(B80,'Data qoq'!$A:$AT,MATCH($X$1,'Data qoq'!$A$1:$AT$1,),))/100+1)^4)-1)</f>
        <v>0.11754079190491296</v>
      </c>
      <c r="Y80" s="32">
        <f>IF((((VLOOKUP(B80,'Data qoq'!$A:$AT,MATCH($Y$1,'Data qoq'!$A$1:$AT$1,),))/100+1)^4)-1=0,#N/A,(((VLOOKUP(B80,'Data qoq'!$A:$AT,MATCH($Y$1,'Data qoq'!$A$1:$AT$1,),))/100+1)^4)-1)</f>
        <v>3.5151676698891743E-2</v>
      </c>
      <c r="Z80" s="32">
        <f>IF((((VLOOKUP(B80,'Data qoq'!$A:$AU,MATCH($Z$1,'Data qoq'!$A$1:$AU$1,),))/100+1)^4)-1=0,#N/A,(((VLOOKUP(B80,'Data qoq'!$A:$AU,MATCH($Z$1,'Data qoq'!$A$1:$AU$1,),))/100+1)^4)-1)</f>
        <v>4.4054712186452294E-2</v>
      </c>
      <c r="AA80" s="32">
        <f>IF((((VLOOKUP(B80,'Data qoq'!$A:$AU,MATCH($AA$1,'Data qoq'!$A$1:$AU$1,),))/100+1)^4)-1=0,#N/A,(((VLOOKUP(B80,'Data qoq'!$A:$AU,MATCH($AA$1,'Data qoq'!$A$1:$AU$1,),))/100+1)^4)-1)</f>
        <v>4.3267551732002252E-2</v>
      </c>
      <c r="AC80" s="26" t="str">
        <f t="shared" si="10"/>
        <v>2017-Q2</v>
      </c>
      <c r="AD80" s="31">
        <f t="shared" si="11"/>
        <v>2.0038562994537212E-2</v>
      </c>
      <c r="AE80" s="27"/>
    </row>
    <row r="81" spans="1:31" x14ac:dyDescent="0.2">
      <c r="A81" s="30">
        <v>42979</v>
      </c>
      <c r="B81" s="24" t="s">
        <v>347</v>
      </c>
      <c r="C81" s="32">
        <f>IF((((VLOOKUP(B81,'Data qoq'!$A:$AT,MATCH($C$1,'Data qoq'!$A$1:$AT$1,),))/100+1)^4)-1=0,#N/A,(((VLOOKUP(B81,'Data qoq'!$A:$AT,MATCH($C$1,'Data qoq'!$A$1:$AT$1,),))/100+1)^4)-1)</f>
        <v>2.9077796050954952E-2</v>
      </c>
      <c r="D81" s="32">
        <f>IF((((VLOOKUP(B81,'Data qoq'!$A:$AT,MATCH($D$1,'Data qoq'!$A$1:$AT$1,),))/100+1)^4)-1=0,#N/A,(((VLOOKUP(B81,'Data qoq'!$A:$AT,MATCH($D$1,'Data qoq'!$A$1:$AT$1,),))/100+1)^4)-1)</f>
        <v>6.5552449536000035E-2</v>
      </c>
      <c r="E81" s="32">
        <f>IF((((VLOOKUP(B81,'Data qoq'!$A:$AT,MATCH($E$1,'Data qoq'!$A$1:$AT$1,),))/100+1)^4)-1=0,#N/A,(((VLOOKUP(B81,'Data qoq'!$A:$AT,MATCH($E$1,'Data qoq'!$A$1:$AT$1,),))/100+1)^4)-1)</f>
        <v>2.837980546286234E-2</v>
      </c>
      <c r="F81" s="32">
        <f>IF((((VLOOKUP(B81,'Data qoq'!$A:$AT,MATCH($F$1,'Data qoq'!$A$1:$AT$1,),))/100+1)^4)-1=0,#N/A,(((VLOOKUP(B81,'Data qoq'!$A:$AT,MATCH($F$1,'Data qoq'!$A$1:$AT$1,),))/100+1)^4)-1)</f>
        <v>2.9652348373738091E-2</v>
      </c>
      <c r="G81" s="32">
        <f>IF((((VLOOKUP(B81,'Data qoq'!$A:$AT,MATCH($G$1,'Data qoq'!$A$1:$AT$1,),))/100+1)^4)-1=0,#N/A,(((VLOOKUP(B81,'Data qoq'!$A:$AT,MATCH($G$1,'Data qoq'!$A$1:$AT$1,),))/100+1)^4)-1)</f>
        <v>3.5641809616862918E-2</v>
      </c>
      <c r="H81" s="32">
        <f>IF((((VLOOKUP(B81,'Data qoq'!$A:$AT,MATCH($H$1,'Data qoq'!$A$1:$AT$1,),))/100+1)^4)-1=0,#N/A,(((VLOOKUP(B81,'Data qoq'!$A:$AT,MATCH($H$1,'Data qoq'!$A$1:$AT$1,),))/100+1)^4)-1)</f>
        <v>2.5551742124166443E-2</v>
      </c>
      <c r="I81" s="32">
        <f>IF((((VLOOKUP(B81,'Data qoq'!$A:$AT,MATCH($I$1,'Data qoq'!$A$1:$AT$1,),))/100+1)^4)-1=0,#N/A,(((VLOOKUP(B81,'Data qoq'!$A:$AT,MATCH($I$1,'Data qoq'!$A$1:$AT$1,),))/100+1)^4)-1)</f>
        <v>1.7242273556318466E-2</v>
      </c>
      <c r="J81" s="32">
        <f>IF((((VLOOKUP(B81,'Data qoq'!$A:$AT,MATCH($J$1,'Data qoq'!$A$1:$AT$1,),))/100+1)^4)-1=0,#N/A,(((VLOOKUP(B81,'Data qoq'!$A:$AT,MATCH($J$1,'Data qoq'!$A$1:$AT$1,),))/100+1)^4)-1)</f>
        <v>1.5360203465296651E-2</v>
      </c>
      <c r="K81" s="32">
        <f>IF((((VLOOKUP(B81,'Data qoq'!$A:$AT,MATCH($K$1,'Data qoq'!$A$1:$AT$1,),))/100+1)^4)-1=0,#N/A,(((VLOOKUP(B81,'Data qoq'!$A:$AT,MATCH($K$1,'Data qoq'!$A$1:$AT$1,),))/100+1)^4)-1)</f>
        <v>2.3291962482883344E-2</v>
      </c>
      <c r="L81" s="32">
        <f>IF((((VLOOKUP(B81,'Data qoq'!$A:$AT,MATCH($L$1,'Data qoq'!$A$1:$AT$1,),))/100+1)^4)-1=0,#N/A,(((VLOOKUP(B81,'Data qoq'!$A:$AT,MATCH($L$1,'Data qoq'!$A$1:$AT$1,),))/100+1)^4)-1)</f>
        <v>3.9157545824284545E-2</v>
      </c>
      <c r="M81" s="32">
        <f>IF((((VLOOKUP(B81,'Data qoq'!$A:$AT,MATCH($M$1,'Data qoq'!$A$1:$AT$1,),))/100+1)^4)-1=0,#N/A,(((VLOOKUP(B81,'Data qoq'!$A:$AT,MATCH($M$1,'Data qoq'!$A$1:$AT$1,),))/100+1)^4)-1)</f>
        <v>-7.5213569861112273E-3</v>
      </c>
      <c r="N81" s="32">
        <f>IF((((VLOOKUP(B81,'Data qoq'!$A:$AT,MATCH($N$1,'Data qoq'!$A$1:$AT$1,),))/100+1)^4)-1=0,#N/A,(((VLOOKUP(B81,'Data qoq'!$A:$AT,MATCH($N$1,'Data qoq'!$A$1:$AT$1,),))/100+1)^4)-1)</f>
        <v>2.745765618629914E-2</v>
      </c>
      <c r="O81" s="32">
        <f>IF((((VLOOKUP(B81,'Data qoq'!$A:$AT,MATCH($O$1,'Data qoq'!$A$1:$AT$1,),))/100+1)^4)-1=0,#N/A,(((VLOOKUP(B81,'Data qoq'!$A:$AT,MATCH($O$1,'Data qoq'!$A$1:$AT$1,),))/100+1)^4)-1)</f>
        <v>6.810577397679296E-2</v>
      </c>
      <c r="P81" s="32">
        <f>IF((((VLOOKUP(B81,'Data qoq'!$A:$AT,MATCH($P$1,'Data qoq'!$A$1:$AT$1,),))/100+1)^4)-1=0,#N/A,(((VLOOKUP(B81,'Data qoq'!$A:$AT,MATCH($P$1,'Data qoq'!$A$1:$AT$1,),))/100+1)^4)-1)</f>
        <v>1.6982007598784987E-2</v>
      </c>
      <c r="Q81" s="32">
        <f>IF((((VLOOKUP(B81,'Data qoq'!$A:$AT,MATCH($Q$1,'Data qoq'!$A$1:$AT$1,),))/100+1)^4)-1=0,#N/A,(((VLOOKUP(B81,'Data qoq'!$A:$AT,MATCH($Q$1,'Data qoq'!$A$1:$AT$1,),))/100+1)^4)-1)</f>
        <v>3.9488493172606498E-2</v>
      </c>
      <c r="R81" s="32">
        <f>IF((((VLOOKUP(B81,'Data qoq'!$A:$AT,MATCH($R$1,'Data qoq'!$A$1:$AT$1,),))/100+1)^4)-1=0,#N/A,(((VLOOKUP(B81,'Data qoq'!$A:$AT,MATCH($R$1,'Data qoq'!$A$1:$AT$1,),))/100+1)^4)-1)</f>
        <v>2.5887804334463249E-2</v>
      </c>
      <c r="S81" s="32">
        <f>IF((((VLOOKUP(B81,'Data qoq'!$A:$AT,MATCH($S$1,'Data qoq'!$A$1:$AT$1,),))/100+1)^4)-1=0,#N/A,(((VLOOKUP(B81,'Data qoq'!$A:$AT,MATCH($S$1,'Data qoq'!$A$1:$AT$1,),))/100+1)^4)-1)</f>
        <v>6.0615614541863261E-2</v>
      </c>
      <c r="T81" s="32">
        <f>IF((((VLOOKUP(B81,'Data qoq'!$A:$AT,MATCH($T$1,'Data qoq'!$A$1:$AT$1,),))/100+1)^4)-1=0,#N/A,(((VLOOKUP(B81,'Data qoq'!$A:$AT,MATCH($T$1,'Data qoq'!$A$1:$AT$1,),))/100+1)^4)-1)</f>
        <v>1.2275055621616682E-2</v>
      </c>
      <c r="U81" s="32">
        <f>IF((((VLOOKUP(B81,'Data qoq'!$A:$AT,MATCH($U$1,'Data qoq'!$A$1:$AT$1,),))/100+1)^4)-1=0,#N/A,(((VLOOKUP(B81,'Data qoq'!$A:$AT,MATCH($U$1,'Data qoq'!$A$1:$AT$1,),))/100+1)^4)-1)</f>
        <v>4.3558408239090518E-2</v>
      </c>
      <c r="V81" s="32">
        <f>IF((((VLOOKUP(B81,'Data qoq'!$A:$AT,MATCH($V$1,'Data qoq'!$A$1:$AT$1,),))/100+1)^4)-1=0,#N/A,(((VLOOKUP(B81,'Data qoq'!$A:$AT,MATCH($V$1,'Data qoq'!$A$1:$AT$1,),))/100+1)^4)-1)</f>
        <v>0.12200823183202369</v>
      </c>
      <c r="W81" s="32">
        <f>IF((((VLOOKUP(B81,'Data qoq'!$A:$AT,MATCH($W$1,'Data qoq'!$A$1:$AT$1,),))/100+1)^4)-1=0,#N/A,(((VLOOKUP(B81,'Data qoq'!$A:$AT,MATCH($W$1,'Data qoq'!$A$1:$AT$1,),))/100+1)^4)-1)</f>
        <v>6.2029533403227699E-2</v>
      </c>
      <c r="X81" s="32">
        <f>IF((((VLOOKUP(B81,'Data qoq'!$A:$AT,MATCH($X$1,'Data qoq'!$A$1:$AT$1,),))/100+1)^4)-1=0,#N/A,(((VLOOKUP(B81,'Data qoq'!$A:$AT,MATCH($X$1,'Data qoq'!$A$1:$AT$1,),))/100+1)^4)-1)</f>
        <v>2.2783061897952761E-2</v>
      </c>
      <c r="Y81" s="32">
        <f>IF((((VLOOKUP(B81,'Data qoq'!$A:$AT,MATCH($Y$1,'Data qoq'!$A$1:$AT$1,),))/100+1)^4)-1=0,#N/A,(((VLOOKUP(B81,'Data qoq'!$A:$AT,MATCH($Y$1,'Data qoq'!$A$1:$AT$1,),))/100+1)^4)-1)</f>
        <v>4.6096426180370909E-2</v>
      </c>
      <c r="Z81" s="32">
        <f>IF((((VLOOKUP(B81,'Data qoq'!$A:$AU,MATCH($Z$1,'Data qoq'!$A$1:$AU$1,),))/100+1)^4)-1=0,#N/A,(((VLOOKUP(B81,'Data qoq'!$A:$AU,MATCH($Z$1,'Data qoq'!$A$1:$AU$1,),))/100+1)^4)-1)</f>
        <v>4.5888200523992673E-2</v>
      </c>
      <c r="AA81" s="32">
        <f>IF((((VLOOKUP(B81,'Data qoq'!$A:$AU,MATCH($AA$1,'Data qoq'!$A$1:$AU$1,),))/100+1)^4)-1=0,#N/A,(((VLOOKUP(B81,'Data qoq'!$A:$AU,MATCH($AA$1,'Data qoq'!$A$1:$AU$1,),))/100+1)^4)-1)</f>
        <v>3.8954559107242437E-2</v>
      </c>
      <c r="AC81" s="26" t="str">
        <f t="shared" si="10"/>
        <v>2017-Q3</v>
      </c>
      <c r="AD81" s="31">
        <f t="shared" si="11"/>
        <v>1.1137531906543874E-2</v>
      </c>
      <c r="AE81" s="27"/>
    </row>
    <row r="82" spans="1:31" x14ac:dyDescent="0.2">
      <c r="A82" s="30">
        <v>43070</v>
      </c>
      <c r="B82" s="24" t="s">
        <v>348</v>
      </c>
      <c r="C82" s="32">
        <f>IF((((VLOOKUP(B82,'Data qoq'!$A:$AT,MATCH($C$1,'Data qoq'!$A$1:$AT$1,),))/100+1)^4)-1=0,#N/A,(((VLOOKUP(B82,'Data qoq'!$A:$AT,MATCH($C$1,'Data qoq'!$A$1:$AT$1,),))/100+1)^4)-1)</f>
        <v>3.8149939031334457E-2</v>
      </c>
      <c r="D82" s="32">
        <f>IF((((VLOOKUP(B82,'Data qoq'!$A:$AT,MATCH($D$1,'Data qoq'!$A$1:$AT$1,),))/100+1)^4)-1=0,#N/A,(((VLOOKUP(B82,'Data qoq'!$A:$AT,MATCH($D$1,'Data qoq'!$A$1:$AT$1,),))/100+1)^4)-1)</f>
        <v>6.9753735520999616E-2</v>
      </c>
      <c r="E82" s="32">
        <f>IF((((VLOOKUP(B82,'Data qoq'!$A:$AT,MATCH($E$1,'Data qoq'!$A$1:$AT$1,),))/100+1)^4)-1=0,#N/A,(((VLOOKUP(B82,'Data qoq'!$A:$AT,MATCH($E$1,'Data qoq'!$A$1:$AT$1,),))/100+1)^4)-1)</f>
        <v>3.4673456248714984E-2</v>
      </c>
      <c r="F82" s="32">
        <f>IF((((VLOOKUP(B82,'Data qoq'!$A:$AT,MATCH($F$1,'Data qoq'!$A$1:$AT$1,),))/100+1)^4)-1=0,#N/A,(((VLOOKUP(B82,'Data qoq'!$A:$AT,MATCH($F$1,'Data qoq'!$A$1:$AT$1,),))/100+1)^4)-1)</f>
        <v>7.480970730066705E-3</v>
      </c>
      <c r="G82" s="32">
        <f>IF((((VLOOKUP(B82,'Data qoq'!$A:$AT,MATCH($G$1,'Data qoq'!$A$1:$AT$1,),))/100+1)^4)-1=0,#N/A,(((VLOOKUP(B82,'Data qoq'!$A:$AT,MATCH($G$1,'Data qoq'!$A$1:$AT$1,),))/100+1)^4)-1)</f>
        <v>3.2606383287053786E-2</v>
      </c>
      <c r="H82" s="32">
        <f>IF((((VLOOKUP(B82,'Data qoq'!$A:$AT,MATCH($H$1,'Data qoq'!$A$1:$AT$1,),))/100+1)^4)-1=0,#N/A,(((VLOOKUP(B82,'Data qoq'!$A:$AT,MATCH($H$1,'Data qoq'!$A$1:$AT$1,),))/100+1)^4)-1)</f>
        <v>3.479317846939689E-2</v>
      </c>
      <c r="I82" s="32">
        <f>IF((((VLOOKUP(B82,'Data qoq'!$A:$AT,MATCH($I$1,'Data qoq'!$A$1:$AT$1,),))/100+1)^4)-1=0,#N/A,(((VLOOKUP(B82,'Data qoq'!$A:$AT,MATCH($I$1,'Data qoq'!$A$1:$AT$1,),))/100+1)^4)-1)</f>
        <v>1.6212423505620022E-2</v>
      </c>
      <c r="J82" s="32">
        <f>IF((((VLOOKUP(B82,'Data qoq'!$A:$AT,MATCH($J$1,'Data qoq'!$A$1:$AT$1,),))/100+1)^4)-1=0,#N/A,(((VLOOKUP(B82,'Data qoq'!$A:$AT,MATCH($J$1,'Data qoq'!$A$1:$AT$1,),))/100+1)^4)-1)</f>
        <v>2.1632053168217258E-2</v>
      </c>
      <c r="K82" s="32">
        <f>IF((((VLOOKUP(B82,'Data qoq'!$A:$AT,MATCH($K$1,'Data qoq'!$A$1:$AT$1,),))/100+1)^4)-1=0,#N/A,(((VLOOKUP(B82,'Data qoq'!$A:$AT,MATCH($K$1,'Data qoq'!$A$1:$AT$1,),))/100+1)^4)-1)</f>
        <v>2.5257545016266869E-2</v>
      </c>
      <c r="L82" s="32">
        <f>IF((((VLOOKUP(B82,'Data qoq'!$A:$AT,MATCH($L$1,'Data qoq'!$A$1:$AT$1,),))/100+1)^4)-1=0,#N/A,(((VLOOKUP(B82,'Data qoq'!$A:$AT,MATCH($L$1,'Data qoq'!$A$1:$AT$1,),))/100+1)^4)-1)</f>
        <v>9.093970276182306E-3</v>
      </c>
      <c r="M82" s="32">
        <f>IF((((VLOOKUP(B82,'Data qoq'!$A:$AT,MATCH($M$1,'Data qoq'!$A$1:$AT$1,),))/100+1)^4)-1=0,#N/A,(((VLOOKUP(B82,'Data qoq'!$A:$AT,MATCH($M$1,'Data qoq'!$A$1:$AT$1,),))/100+1)^4)-1)</f>
        <v>4.8852772627957286E-2</v>
      </c>
      <c r="N82" s="32">
        <f>IF((((VLOOKUP(B82,'Data qoq'!$A:$AT,MATCH($N$1,'Data qoq'!$A$1:$AT$1,),))/100+1)^4)-1=0,#N/A,(((VLOOKUP(B82,'Data qoq'!$A:$AT,MATCH($N$1,'Data qoq'!$A$1:$AT$1,),))/100+1)^4)-1)</f>
        <v>8.4005022203847979E-4</v>
      </c>
      <c r="O82" s="32">
        <f>IF((((VLOOKUP(B82,'Data qoq'!$A:$AT,MATCH($O$1,'Data qoq'!$A$1:$AT$1,),))/100+1)^4)-1=0,#N/A,(((VLOOKUP(B82,'Data qoq'!$A:$AT,MATCH($O$1,'Data qoq'!$A$1:$AT$1,),))/100+1)^4)-1)</f>
        <v>7.7033944593077441E-2</v>
      </c>
      <c r="P82" s="32">
        <f>IF((((VLOOKUP(B82,'Data qoq'!$A:$AT,MATCH($P$1,'Data qoq'!$A$1:$AT$1,),))/100+1)^4)-1=0,#N/A,(((VLOOKUP(B82,'Data qoq'!$A:$AT,MATCH($P$1,'Data qoq'!$A$1:$AT$1,),))/100+1)^4)-1)</f>
        <v>2.0881172423360184E-2</v>
      </c>
      <c r="Q82" s="32">
        <f>IF((((VLOOKUP(B82,'Data qoq'!$A:$AT,MATCH($Q$1,'Data qoq'!$A$1:$AT$1,),))/100+1)^4)-1=0,#N/A,(((VLOOKUP(B82,'Data qoq'!$A:$AT,MATCH($Q$1,'Data qoq'!$A$1:$AT$1,),))/100+1)^4)-1)</f>
        <v>1.8249166214437285E-2</v>
      </c>
      <c r="R82" s="32">
        <f>IF((((VLOOKUP(B82,'Data qoq'!$A:$AT,MATCH($R$1,'Data qoq'!$A$1:$AT$1,),))/100+1)^4)-1=0,#N/A,(((VLOOKUP(B82,'Data qoq'!$A:$AT,MATCH($R$1,'Data qoq'!$A$1:$AT$1,),))/100+1)^4)-1)</f>
        <v>4.2903966363827317E-2</v>
      </c>
      <c r="S82" s="32">
        <f>IF((((VLOOKUP(B82,'Data qoq'!$A:$AT,MATCH($S$1,'Data qoq'!$A$1:$AT$1,),))/100+1)^4)-1=0,#N/A,(((VLOOKUP(B82,'Data qoq'!$A:$AT,MATCH($S$1,'Data qoq'!$A$1:$AT$1,),))/100+1)^4)-1)</f>
        <v>-1.0587793524826195E-2</v>
      </c>
      <c r="T82" s="32">
        <f>IF((((VLOOKUP(B82,'Data qoq'!$A:$AT,MATCH($T$1,'Data qoq'!$A$1:$AT$1,),))/100+1)^4)-1=0,#N/A,(((VLOOKUP(B82,'Data qoq'!$A:$AT,MATCH($T$1,'Data qoq'!$A$1:$AT$1,),))/100+1)^4)-1)</f>
        <v>1.7175980080901043E-2</v>
      </c>
      <c r="U82" s="32">
        <f>IF((((VLOOKUP(B82,'Data qoq'!$A:$AT,MATCH($U$1,'Data qoq'!$A$1:$AT$1,),))/100+1)^4)-1=0,#N/A,(((VLOOKUP(B82,'Data qoq'!$A:$AT,MATCH($U$1,'Data qoq'!$A$1:$AT$1,),))/100+1)^4)-1)</f>
        <v>-3.5621410429558464E-2</v>
      </c>
      <c r="V82" s="32">
        <f>IF((((VLOOKUP(B82,'Data qoq'!$A:$AT,MATCH($V$1,'Data qoq'!$A$1:$AT$1,),))/100+1)^4)-1=0,#N/A,(((VLOOKUP(B82,'Data qoq'!$A:$AT,MATCH($V$1,'Data qoq'!$A$1:$AT$1,),))/100+1)^4)-1)</f>
        <v>0.22868879731631453</v>
      </c>
      <c r="W82" s="32">
        <f>IF((((VLOOKUP(B82,'Data qoq'!$A:$AT,MATCH($W$1,'Data qoq'!$A$1:$AT$1,),))/100+1)^4)-1=0,#N/A,(((VLOOKUP(B82,'Data qoq'!$A:$AT,MATCH($W$1,'Data qoq'!$A$1:$AT$1,),))/100+1)^4)-1)</f>
        <v>7.7464141986813617E-2</v>
      </c>
      <c r="X82" s="32">
        <f>IF((((VLOOKUP(B82,'Data qoq'!$A:$AT,MATCH($X$1,'Data qoq'!$A$1:$AT$1,),))/100+1)^4)-1=0,#N/A,(((VLOOKUP(B82,'Data qoq'!$A:$AT,MATCH($X$1,'Data qoq'!$A$1:$AT$1,),))/100+1)^4)-1)</f>
        <v>3.5092933452663289E-2</v>
      </c>
      <c r="Y82" s="32">
        <f>IF((((VLOOKUP(B82,'Data qoq'!$A:$AT,MATCH($Y$1,'Data qoq'!$A$1:$AT$1,),))/100+1)^4)-1=0,#N/A,(((VLOOKUP(B82,'Data qoq'!$A:$AT,MATCH($Y$1,'Data qoq'!$A$1:$AT$1,),))/100+1)^4)-1)</f>
        <v>7.2597799080110104E-2</v>
      </c>
      <c r="Z82" s="32">
        <f>IF((((VLOOKUP(B82,'Data qoq'!$A:$AU,MATCH($Z$1,'Data qoq'!$A$1:$AU$1,),))/100+1)^4)-1=0,#N/A,(((VLOOKUP(B82,'Data qoq'!$A:$AU,MATCH($Z$1,'Data qoq'!$A$1:$AU$1,),))/100+1)^4)-1)</f>
        <v>4.1650026341740309E-2</v>
      </c>
      <c r="AA82" s="32">
        <f>IF((((VLOOKUP(B82,'Data qoq'!$A:$AU,MATCH($AA$1,'Data qoq'!$A$1:$AU$1,),))/100+1)^4)-1=0,#N/A,(((VLOOKUP(B82,'Data qoq'!$A:$AU,MATCH($AA$1,'Data qoq'!$A$1:$AU$1,),))/100+1)^4)-1)</f>
        <v>3.246985379134526E-2</v>
      </c>
      <c r="AC82" s="26" t="str">
        <f t="shared" si="10"/>
        <v>2017-Q4</v>
      </c>
      <c r="AD82" s="31">
        <f t="shared" si="11"/>
        <v>1.8461032743094963E-2</v>
      </c>
      <c r="AE82" s="27"/>
    </row>
    <row r="83" spans="1:31" x14ac:dyDescent="0.2">
      <c r="A83" s="30">
        <v>43160</v>
      </c>
      <c r="B83" s="24" t="s">
        <v>349</v>
      </c>
      <c r="C83" s="32">
        <f>IF((((VLOOKUP(B83,'Data qoq'!$A:$AT,MATCH($C$1,'Data qoq'!$A$1:$AT$1,),))/100+1)^4)-1=0,#N/A,(((VLOOKUP(B83,'Data qoq'!$A:$AT,MATCH($C$1,'Data qoq'!$A$1:$AT$1,),))/100+1)^4)-1)</f>
        <v>3.0865108355034421E-2</v>
      </c>
      <c r="D83" s="32">
        <f>IF((((VLOOKUP(B83,'Data qoq'!$A:$AT,MATCH($D$1,'Data qoq'!$A$1:$AT$1,),))/100+1)^4)-1=0,#N/A,(((VLOOKUP(B83,'Data qoq'!$A:$AT,MATCH($D$1,'Data qoq'!$A$1:$AT$1,),))/100+1)^4)-1)</f>
        <v>7.3967432976000058E-2</v>
      </c>
      <c r="E83" s="32">
        <f>IF((((VLOOKUP(B83,'Data qoq'!$A:$AT,MATCH($E$1,'Data qoq'!$A$1:$AT$1,),))/100+1)^4)-1=0,#N/A,(((VLOOKUP(B83,'Data qoq'!$A:$AT,MATCH($E$1,'Data qoq'!$A$1:$AT$1,),))/100+1)^4)-1)</f>
        <v>2.7445802563381694E-3</v>
      </c>
      <c r="F83" s="32">
        <f>IF((((VLOOKUP(B83,'Data qoq'!$A:$AT,MATCH($F$1,'Data qoq'!$A$1:$AT$1,),))/100+1)^4)-1=0,#N/A,(((VLOOKUP(B83,'Data qoq'!$A:$AT,MATCH($F$1,'Data qoq'!$A$1:$AT$1,),))/100+1)^4)-1)</f>
        <v>4.7706665687552441E-3</v>
      </c>
      <c r="G83" s="32">
        <f>IF((((VLOOKUP(B83,'Data qoq'!$A:$AT,MATCH($G$1,'Data qoq'!$A$1:$AT$1,),))/100+1)^4)-1=0,#N/A,(((VLOOKUP(B83,'Data qoq'!$A:$AT,MATCH($G$1,'Data qoq'!$A$1:$AT$1,),))/100+1)^4)-1)</f>
        <v>-1.7183225281488745E-2</v>
      </c>
      <c r="H83" s="32">
        <f>IF((((VLOOKUP(B83,'Data qoq'!$A:$AT,MATCH($H$1,'Data qoq'!$A$1:$AT$1,),))/100+1)^4)-1=0,#N/A,(((VLOOKUP(B83,'Data qoq'!$A:$AT,MATCH($H$1,'Data qoq'!$A$1:$AT$1,),))/100+1)^4)-1)</f>
        <v>4.0079914590296362E-4</v>
      </c>
      <c r="I83" s="32">
        <f>IF((((VLOOKUP(B83,'Data qoq'!$A:$AT,MATCH($I$1,'Data qoq'!$A$1:$AT$1,),))/100+1)^4)-1=0,#N/A,(((VLOOKUP(B83,'Data qoq'!$A:$AT,MATCH($I$1,'Data qoq'!$A$1:$AT$1,),))/100+1)^4)-1)</f>
        <v>9.501928886933575E-3</v>
      </c>
      <c r="J83" s="32">
        <f>IF((((VLOOKUP(B83,'Data qoq'!$A:$AT,MATCH($J$1,'Data qoq'!$A$1:$AT$1,),))/100+1)^4)-1=0,#N/A,(((VLOOKUP(B83,'Data qoq'!$A:$AT,MATCH($J$1,'Data qoq'!$A$1:$AT$1,),))/100+1)^4)-1)</f>
        <v>-6.8600501326687713E-4</v>
      </c>
      <c r="K83" s="32">
        <f>IF((((VLOOKUP(B83,'Data qoq'!$A:$AT,MATCH($K$1,'Data qoq'!$A$1:$AT$1,),))/100+1)^4)-1=0,#N/A,(((VLOOKUP(B83,'Data qoq'!$A:$AT,MATCH($K$1,'Data qoq'!$A$1:$AT$1,),))/100+1)^4)-1)</f>
        <v>1.5199556378468815E-2</v>
      </c>
      <c r="L83" s="32">
        <f>IF((((VLOOKUP(B83,'Data qoq'!$A:$AT,MATCH($L$1,'Data qoq'!$A$1:$AT$1,),))/100+1)^4)-1=0,#N/A,(((VLOOKUP(B83,'Data qoq'!$A:$AT,MATCH($L$1,'Data qoq'!$A$1:$AT$1,),))/100+1)^4)-1)</f>
        <v>9.4286394801117446E-3</v>
      </c>
      <c r="M83" s="32">
        <f>IF((((VLOOKUP(B83,'Data qoq'!$A:$AT,MATCH($M$1,'Data qoq'!$A$1:$AT$1,),))/100+1)^4)-1=0,#N/A,(((VLOOKUP(B83,'Data qoq'!$A:$AT,MATCH($M$1,'Data qoq'!$A$1:$AT$1,),))/100+1)^4)-1)</f>
        <v>4.4153309453283329E-2</v>
      </c>
      <c r="N83" s="32">
        <f>IF((((VLOOKUP(B83,'Data qoq'!$A:$AT,MATCH($N$1,'Data qoq'!$A$1:$AT$1,),))/100+1)^4)-1=0,#N/A,(((VLOOKUP(B83,'Data qoq'!$A:$AT,MATCH($N$1,'Data qoq'!$A$1:$AT$1,),))/100+1)^4)-1)</f>
        <v>5.5354589448898261E-2</v>
      </c>
      <c r="O83" s="32">
        <f>IF((((VLOOKUP(B83,'Data qoq'!$A:$AT,MATCH($O$1,'Data qoq'!$A$1:$AT$1,),))/100+1)^4)-1=0,#N/A,(((VLOOKUP(B83,'Data qoq'!$A:$AT,MATCH($O$1,'Data qoq'!$A$1:$AT$1,),))/100+1)^4)-1)</f>
        <v>8.9251830060613546E-2</v>
      </c>
      <c r="P83" s="32">
        <f>IF((((VLOOKUP(B83,'Data qoq'!$A:$AT,MATCH($P$1,'Data qoq'!$A$1:$AT$1,),))/100+1)^4)-1=0,#N/A,(((VLOOKUP(B83,'Data qoq'!$A:$AT,MATCH($P$1,'Data qoq'!$A$1:$AT$1,),))/100+1)^4)-1)</f>
        <v>3.5471885274129589E-2</v>
      </c>
      <c r="Q83" s="32">
        <f>IF((((VLOOKUP(B83,'Data qoq'!$A:$AT,MATCH($Q$1,'Data qoq'!$A$1:$AT$1,),))/100+1)^4)-1=0,#N/A,(((VLOOKUP(B83,'Data qoq'!$A:$AT,MATCH($Q$1,'Data qoq'!$A$1:$AT$1,),))/100+1)^4)-1)</f>
        <v>3.4944354102138364E-2</v>
      </c>
      <c r="R83" s="32">
        <f>IF((((VLOOKUP(B83,'Data qoq'!$A:$AT,MATCH($R$1,'Data qoq'!$A$1:$AT$1,),))/100+1)^4)-1=0,#N/A,(((VLOOKUP(B83,'Data qoq'!$A:$AT,MATCH($R$1,'Data qoq'!$A$1:$AT$1,),))/100+1)^4)-1)</f>
        <v>4.4482006342579705E-2</v>
      </c>
      <c r="S83" s="32">
        <f>IF((((VLOOKUP(B83,'Data qoq'!$A:$AT,MATCH($S$1,'Data qoq'!$A$1:$AT$1,),))/100+1)^4)-1=0,#N/A,(((VLOOKUP(B83,'Data qoq'!$A:$AT,MATCH($S$1,'Data qoq'!$A$1:$AT$1,),))/100+1)^4)-1)</f>
        <v>4.673827596304414E-2</v>
      </c>
      <c r="T83" s="32">
        <f>IF((((VLOOKUP(B83,'Data qoq'!$A:$AT,MATCH($T$1,'Data qoq'!$A$1:$AT$1,),))/100+1)^4)-1=0,#N/A,(((VLOOKUP(B83,'Data qoq'!$A:$AT,MATCH($T$1,'Data qoq'!$A$1:$AT$1,),))/100+1)^4)-1)</f>
        <v>2.1631968987821493E-2</v>
      </c>
      <c r="U83" s="32">
        <f>IF((((VLOOKUP(B83,'Data qoq'!$A:$AT,MATCH($U$1,'Data qoq'!$A$1:$AT$1,),))/100+1)^4)-1=0,#N/A,(((VLOOKUP(B83,'Data qoq'!$A:$AT,MATCH($U$1,'Data qoq'!$A$1:$AT$1,),))/100+1)^4)-1)</f>
        <v>5.585749426520592E-2</v>
      </c>
      <c r="V83" s="32">
        <f>IF((((VLOOKUP(B83,'Data qoq'!$A:$AT,MATCH($V$1,'Data qoq'!$A$1:$AT$1,),))/100+1)^4)-1=0,#N/A,(((VLOOKUP(B83,'Data qoq'!$A:$AT,MATCH($V$1,'Data qoq'!$A$1:$AT$1,),))/100+1)^4)-1)</f>
        <v>3.7173172523475406E-2</v>
      </c>
      <c r="W83" s="32">
        <f>IF((((VLOOKUP(B83,'Data qoq'!$A:$AT,MATCH($W$1,'Data qoq'!$A$1:$AT$1,),))/100+1)^4)-1=0,#N/A,(((VLOOKUP(B83,'Data qoq'!$A:$AT,MATCH($W$1,'Data qoq'!$A$1:$AT$1,),))/100+1)^4)-1)</f>
        <v>6.1006498101625839E-2</v>
      </c>
      <c r="X83" s="32">
        <f>IF((((VLOOKUP(B83,'Data qoq'!$A:$AT,MATCH($X$1,'Data qoq'!$A$1:$AT$1,),))/100+1)^4)-1=0,#N/A,(((VLOOKUP(B83,'Data qoq'!$A:$AT,MATCH($X$1,'Data qoq'!$A$1:$AT$1,),))/100+1)^4)-1)</f>
        <v>1.9749323097369542E-2</v>
      </c>
      <c r="Y83" s="32">
        <f>IF((((VLOOKUP(B83,'Data qoq'!$A:$AT,MATCH($Y$1,'Data qoq'!$A$1:$AT$1,),))/100+1)^4)-1=0,#N/A,(((VLOOKUP(B83,'Data qoq'!$A:$AT,MATCH($Y$1,'Data qoq'!$A$1:$AT$1,),))/100+1)^4)-1)</f>
        <v>5.1474553969661274E-2</v>
      </c>
      <c r="Z83" s="32">
        <f>IF((((VLOOKUP(B83,'Data qoq'!$A:$AU,MATCH($Z$1,'Data qoq'!$A$1:$AU$1,),))/100+1)^4)-1=0,#N/A,(((VLOOKUP(B83,'Data qoq'!$A:$AU,MATCH($Z$1,'Data qoq'!$A$1:$AU$1,),))/100+1)^4)-1)</f>
        <v>-9.3370459644744885E-3</v>
      </c>
      <c r="AA83" s="32">
        <f>IF((((VLOOKUP(B83,'Data qoq'!$A:$AU,MATCH($AA$1,'Data qoq'!$A$1:$AU$1,),))/100+1)^4)-1=0,#N/A,(((VLOOKUP(B83,'Data qoq'!$A:$AU,MATCH($AA$1,'Data qoq'!$A$1:$AU$1,),))/100+1)^4)-1)</f>
        <v>2.8024162479346915E-2</v>
      </c>
      <c r="AC83" s="26" t="str">
        <f t="shared" si="10"/>
        <v>2018-Q1</v>
      </c>
      <c r="AD83" s="31">
        <f t="shared" si="11"/>
        <v>-6.7573486305954056E-3</v>
      </c>
      <c r="AE83" s="27"/>
    </row>
    <row r="84" spans="1:31" s="72" customFormat="1" x14ac:dyDescent="0.2">
      <c r="A84" s="30">
        <v>43252</v>
      </c>
      <c r="B84" s="24" t="s">
        <v>350</v>
      </c>
      <c r="C84" s="32">
        <f>IF((((VLOOKUP(B84,'Data qoq'!$A:$AT,MATCH($C$1,'Data qoq'!$A$1:$AT$1,),))/100+1)^4)-1=0,#N/A,(((VLOOKUP(B84,'Data qoq'!$A:$AT,MATCH($C$1,'Data qoq'!$A$1:$AT$1,),))/100+1)^4)-1)</f>
        <v>3.3776005269686493E-2</v>
      </c>
      <c r="D84" s="32">
        <f>IF((((VLOOKUP(B84,'Data qoq'!$A:$AT,MATCH($D$1,'Data qoq'!$A$1:$AT$1,),))/100+1)^4)-1=0,#N/A,(((VLOOKUP(B84,'Data qoq'!$A:$AT,MATCH($D$1,'Data qoq'!$A$1:$AT$1,),))/100+1)^4)-1)</f>
        <v>6.5552449536000035E-2</v>
      </c>
      <c r="E84" s="32">
        <f>IF((((VLOOKUP(B84,'Data qoq'!$A:$AT,MATCH($E$1,'Data qoq'!$A$1:$AT$1,),))/100+1)^4)-1=0,#N/A,(((VLOOKUP(B84,'Data qoq'!$A:$AT,MATCH($E$1,'Data qoq'!$A$1:$AT$1,),))/100+1)^4)-1)</f>
        <v>1.9870937066668315E-2</v>
      </c>
      <c r="F84" s="32">
        <f>IF((((VLOOKUP(B84,'Data qoq'!$A:$AT,MATCH($F$1,'Data qoq'!$A$1:$AT$1,),))/100+1)^4)-1=0,#N/A,(((VLOOKUP(B84,'Data qoq'!$A:$AT,MATCH($F$1,'Data qoq'!$A$1:$AT$1,),))/100+1)^4)-1)</f>
        <v>1.3217049331771591E-2</v>
      </c>
      <c r="G84" s="32">
        <f>IF((((VLOOKUP(B84,'Data qoq'!$A:$AT,MATCH($G$1,'Data qoq'!$A$1:$AT$1,),))/100+1)^4)-1=0,#N/A,(((VLOOKUP(B84,'Data qoq'!$A:$AT,MATCH($G$1,'Data qoq'!$A$1:$AT$1,),))/100+1)^4)-1)</f>
        <v>2.2465912808874666E-2</v>
      </c>
      <c r="H84" s="32">
        <f>IF((((VLOOKUP(B84,'Data qoq'!$A:$AT,MATCH($H$1,'Data qoq'!$A$1:$AT$1,),))/100+1)^4)-1=0,#N/A,(((VLOOKUP(B84,'Data qoq'!$A:$AT,MATCH($H$1,'Data qoq'!$A$1:$AT$1,),))/100+1)^4)-1)</f>
        <v>1.4808973314970553E-2</v>
      </c>
      <c r="I84" s="32">
        <f>IF((((VLOOKUP(B84,'Data qoq'!$A:$AT,MATCH($I$1,'Data qoq'!$A$1:$AT$1,),))/100+1)^4)-1=0,#N/A,(((VLOOKUP(B84,'Data qoq'!$A:$AT,MATCH($I$1,'Data qoq'!$A$1:$AT$1,),))/100+1)^4)-1)</f>
        <v>2.2045858962449705E-2</v>
      </c>
      <c r="J84" s="32">
        <f>IF((((VLOOKUP(B84,'Data qoq'!$A:$AT,MATCH($J$1,'Data qoq'!$A$1:$AT$1,),))/100+1)^4)-1=0,#N/A,(((VLOOKUP(B84,'Data qoq'!$A:$AT,MATCH($J$1,'Data qoq'!$A$1:$AT$1,),))/100+1)^4)-1)</f>
        <v>1.7042169024983345E-4</v>
      </c>
      <c r="K84" s="32">
        <f>IF((((VLOOKUP(B84,'Data qoq'!$A:$AT,MATCH($K$1,'Data qoq'!$A$1:$AT$1,),))/100+1)^4)-1=0,#N/A,(((VLOOKUP(B84,'Data qoq'!$A:$AT,MATCH($K$1,'Data qoq'!$A$1:$AT$1,),))/100+1)^4)-1)</f>
        <v>2.3654723521229215E-2</v>
      </c>
      <c r="L84" s="32">
        <f>IF((((VLOOKUP(B84,'Data qoq'!$A:$AT,MATCH($L$1,'Data qoq'!$A$1:$AT$1,),))/100+1)^4)-1=0,#N/A,(((VLOOKUP(B84,'Data qoq'!$A:$AT,MATCH($L$1,'Data qoq'!$A$1:$AT$1,),))/100+1)^4)-1)</f>
        <v>4.3782483153461227E-2</v>
      </c>
      <c r="M84" s="32">
        <f>IF((((VLOOKUP(B84,'Data qoq'!$A:$AT,MATCH($M$1,'Data qoq'!$A$1:$AT$1,),))/100+1)^4)-1=0,#N/A,(((VLOOKUP(B84,'Data qoq'!$A:$AT,MATCH($M$1,'Data qoq'!$A$1:$AT$1,),))/100+1)^4)-1)</f>
        <v>9.0574960093370294E-4</v>
      </c>
      <c r="N84" s="32">
        <f>IF((((VLOOKUP(B84,'Data qoq'!$A:$AT,MATCH($N$1,'Data qoq'!$A$1:$AT$1,),))/100+1)^4)-1=0,#N/A,(((VLOOKUP(B84,'Data qoq'!$A:$AT,MATCH($N$1,'Data qoq'!$A$1:$AT$1,),))/100+1)^4)-1)</f>
        <v>2.2505339938724056E-2</v>
      </c>
      <c r="O84" s="32">
        <f>IF((((VLOOKUP(B84,'Data qoq'!$A:$AT,MATCH($O$1,'Data qoq'!$A$1:$AT$1,),))/100+1)^4)-1=0,#N/A,(((VLOOKUP(B84,'Data qoq'!$A:$AT,MATCH($O$1,'Data qoq'!$A$1:$AT$1,),))/100+1)^4)-1)</f>
        <v>5.3420381152640806E-2</v>
      </c>
      <c r="P84" s="32">
        <f>IF((((VLOOKUP(B84,'Data qoq'!$A:$AT,MATCH($P$1,'Data qoq'!$A$1:$AT$1,),))/100+1)^4)-1=0,#N/A,(((VLOOKUP(B84,'Data qoq'!$A:$AT,MATCH($P$1,'Data qoq'!$A$1:$AT$1,),))/100+1)^4)-1)</f>
        <v>3.1775987402820949E-2</v>
      </c>
      <c r="Q84" s="32">
        <f>IF((((VLOOKUP(B84,'Data qoq'!$A:$AT,MATCH($Q$1,'Data qoq'!$A$1:$AT$1,),))/100+1)^4)-1=0,#N/A,(((VLOOKUP(B84,'Data qoq'!$A:$AT,MATCH($Q$1,'Data qoq'!$A$1:$AT$1,),))/100+1)^4)-1)</f>
        <v>3.5654198398442416E-2</v>
      </c>
      <c r="R84" s="32">
        <f>IF((((VLOOKUP(B84,'Data qoq'!$A:$AT,MATCH($R$1,'Data qoq'!$A$1:$AT$1,),))/100+1)^4)-1=0,#N/A,(((VLOOKUP(B84,'Data qoq'!$A:$AT,MATCH($R$1,'Data qoq'!$A$1:$AT$1,),))/100+1)^4)-1)</f>
        <v>3.7746569371506E-2</v>
      </c>
      <c r="S84" s="32">
        <f>IF((((VLOOKUP(B84,'Data qoq'!$A:$AT,MATCH($S$1,'Data qoq'!$A$1:$AT$1,),))/100+1)^4)-1=0,#N/A,(((VLOOKUP(B84,'Data qoq'!$A:$AT,MATCH($S$1,'Data qoq'!$A$1:$AT$1,),))/100+1)^4)-1)</f>
        <v>2.558623700267848E-2</v>
      </c>
      <c r="T84" s="32">
        <f>IF((((VLOOKUP(B84,'Data qoq'!$A:$AT,MATCH($T$1,'Data qoq'!$A$1:$AT$1,),))/100+1)^4)-1=0,#N/A,(((VLOOKUP(B84,'Data qoq'!$A:$AT,MATCH($T$1,'Data qoq'!$A$1:$AT$1,),))/100+1)^4)-1)</f>
        <v>6.7789071252384314E-3</v>
      </c>
      <c r="U84" s="32">
        <f>IF((((VLOOKUP(B84,'Data qoq'!$A:$AT,MATCH($U$1,'Data qoq'!$A$1:$AT$1,),))/100+1)^4)-1=0,#N/A,(((VLOOKUP(B84,'Data qoq'!$A:$AT,MATCH($U$1,'Data qoq'!$A$1:$AT$1,),))/100+1)^4)-1)</f>
        <v>5.9407311704928745E-3</v>
      </c>
      <c r="V84" s="32">
        <f>IF((((VLOOKUP(B84,'Data qoq'!$A:$AT,MATCH($V$1,'Data qoq'!$A$1:$AT$1,),))/100+1)^4)-1=0,#N/A,(((VLOOKUP(B84,'Data qoq'!$A:$AT,MATCH($V$1,'Data qoq'!$A$1:$AT$1,),))/100+1)^4)-1)</f>
        <v>0.12038157248829018</v>
      </c>
      <c r="W84" s="32">
        <f>IF((((VLOOKUP(B84,'Data qoq'!$A:$AT,MATCH($W$1,'Data qoq'!$A$1:$AT$1,),))/100+1)^4)-1=0,#N/A,(((VLOOKUP(B84,'Data qoq'!$A:$AT,MATCH($W$1,'Data qoq'!$A$1:$AT$1,),))/100+1)^4)-1)</f>
        <v>2.0493472573291038E-2</v>
      </c>
      <c r="X84" s="32">
        <f>IF((((VLOOKUP(B84,'Data qoq'!$A:$AT,MATCH($X$1,'Data qoq'!$A$1:$AT$1,),))/100+1)^4)-1=0,#N/A,(((VLOOKUP(B84,'Data qoq'!$A:$AT,MATCH($X$1,'Data qoq'!$A$1:$AT$1,),))/100+1)^4)-1)</f>
        <v>2.9714601732077517E-2</v>
      </c>
      <c r="Y84" s="32">
        <f>IF((((VLOOKUP(B84,'Data qoq'!$A:$AT,MATCH($Y$1,'Data qoq'!$A$1:$AT$1,),))/100+1)^4)-1=0,#N/A,(((VLOOKUP(B84,'Data qoq'!$A:$AT,MATCH($Y$1,'Data qoq'!$A$1:$AT$1,),))/100+1)^4)-1)</f>
        <v>5.2860363936741095E-2</v>
      </c>
      <c r="Z84" s="32">
        <f>IF((((VLOOKUP(B84,'Data qoq'!$A:$AU,MATCH($Z$1,'Data qoq'!$A$1:$AU$1,),))/100+1)^4)-1=0,#N/A,(((VLOOKUP(B84,'Data qoq'!$A:$AU,MATCH($Z$1,'Data qoq'!$A$1:$AU$1,),))/100+1)^4)-1)</f>
        <v>-0.17063983192888765</v>
      </c>
      <c r="AA84" s="32">
        <f>IF((((VLOOKUP(B84,'Data qoq'!$A:$AU,MATCH($AA$1,'Data qoq'!$A$1:$AU$1,),))/100+1)^4)-1=0,#N/A,(((VLOOKUP(B84,'Data qoq'!$A:$AU,MATCH($AA$1,'Data qoq'!$A$1:$AU$1,),))/100+1)^4)-1)</f>
        <v>4.5705293820837767E-2</v>
      </c>
      <c r="AC84" s="26" t="str">
        <f t="shared" si="10"/>
        <v>2018-Q2</v>
      </c>
      <c r="AD84" s="31">
        <f t="shared" si="11"/>
        <v>-2.1749218957813898E-3</v>
      </c>
    </row>
    <row r="85" spans="1:31" s="72" customFormat="1" x14ac:dyDescent="0.2">
      <c r="A85" s="30">
        <v>43344</v>
      </c>
      <c r="B85" s="24" t="s">
        <v>351</v>
      </c>
      <c r="C85" s="32">
        <f>IF((((VLOOKUP(B85,'Data qoq'!$A:$AT,MATCH($C$1,'Data qoq'!$A$1:$AT$1,),))/100+1)^4)-1=0,#N/A,(((VLOOKUP(B85,'Data qoq'!$A:$AT,MATCH($C$1,'Data qoq'!$A$1:$AT$1,),))/100+1)^4)-1)</f>
        <v>1.9417917649433347E-2</v>
      </c>
      <c r="D85" s="32">
        <f>IF((((VLOOKUP(B85,'Data qoq'!$A:$AT,MATCH($D$1,'Data qoq'!$A$1:$AT$1,),))/100+1)^4)-1=0,#N/A,(((VLOOKUP(B85,'Data qoq'!$A:$AT,MATCH($D$1,'Data qoq'!$A$1:$AT$1,),))/100+1)^4)-1)</f>
        <v>5.302281656099983E-2</v>
      </c>
      <c r="E85" s="32">
        <f>IF((((VLOOKUP(B85,'Data qoq'!$A:$AT,MATCH($E$1,'Data qoq'!$A$1:$AT$1,),))/100+1)^4)-1=0,#N/A,(((VLOOKUP(B85,'Data qoq'!$A:$AT,MATCH($E$1,'Data qoq'!$A$1:$AT$1,),))/100+1)^4)-1)</f>
        <v>2.4425941673125173E-3</v>
      </c>
      <c r="F85" s="32">
        <f>IF((((VLOOKUP(B85,'Data qoq'!$A:$AT,MATCH($F$1,'Data qoq'!$A$1:$AT$1,),))/100+1)^4)-1=0,#N/A,(((VLOOKUP(B85,'Data qoq'!$A:$AT,MATCH($F$1,'Data qoq'!$A$1:$AT$1,),))/100+1)^4)-1)</f>
        <v>-3.1442107882094006E-2</v>
      </c>
      <c r="G85" s="32">
        <f>IF((((VLOOKUP(B85,'Data qoq'!$A:$AT,MATCH($G$1,'Data qoq'!$A$1:$AT$1,),))/100+1)^4)-1=0,#N/A,(((VLOOKUP(B85,'Data qoq'!$A:$AT,MATCH($G$1,'Data qoq'!$A$1:$AT$1,),))/100+1)^4)-1)</f>
        <v>-1.6791491573780903E-2</v>
      </c>
      <c r="H85" s="32">
        <f>IF((((VLOOKUP(B85,'Data qoq'!$A:$AT,MATCH($H$1,'Data qoq'!$A$1:$AT$1,),))/100+1)^4)-1=0,#N/A,(((VLOOKUP(B85,'Data qoq'!$A:$AT,MATCH($H$1,'Data qoq'!$A$1:$AT$1,),))/100+1)^4)-1)</f>
        <v>1.5561867967787135E-2</v>
      </c>
      <c r="I85" s="32">
        <f>IF((((VLOOKUP(B85,'Data qoq'!$A:$AT,MATCH($I$1,'Data qoq'!$A$1:$AT$1,),))/100+1)^4)-1=0,#N/A,(((VLOOKUP(B85,'Data qoq'!$A:$AT,MATCH($I$1,'Data qoq'!$A$1:$AT$1,),))/100+1)^4)-1)</f>
        <v>2.5509538082288064E-2</v>
      </c>
      <c r="J85" s="32">
        <f>IF((((VLOOKUP(B85,'Data qoq'!$A:$AT,MATCH($J$1,'Data qoq'!$A$1:$AT$1,),))/100+1)^4)-1=0,#N/A,(((VLOOKUP(B85,'Data qoq'!$A:$AT,MATCH($J$1,'Data qoq'!$A$1:$AT$1,),))/100+1)^4)-1)</f>
        <v>2.9336042310681432E-3</v>
      </c>
      <c r="K85" s="32">
        <f>IF((((VLOOKUP(B85,'Data qoq'!$A:$AT,MATCH($K$1,'Data qoq'!$A$1:$AT$1,),))/100+1)^4)-1=0,#N/A,(((VLOOKUP(B85,'Data qoq'!$A:$AT,MATCH($K$1,'Data qoq'!$A$1:$AT$1,),))/100+1)^4)-1)</f>
        <v>2.0865508032032132E-2</v>
      </c>
      <c r="L85" s="32">
        <f>IF((((VLOOKUP(B85,'Data qoq'!$A:$AT,MATCH($L$1,'Data qoq'!$A$1:$AT$1,),))/100+1)^4)-1=0,#N/A,(((VLOOKUP(B85,'Data qoq'!$A:$AT,MATCH($L$1,'Data qoq'!$A$1:$AT$1,),))/100+1)^4)-1)</f>
        <v>-2.8316052797475066E-2</v>
      </c>
      <c r="M85" s="32">
        <f>IF((((VLOOKUP(B85,'Data qoq'!$A:$AT,MATCH($M$1,'Data qoq'!$A$1:$AT$1,),))/100+1)^4)-1=0,#N/A,(((VLOOKUP(B85,'Data qoq'!$A:$AT,MATCH($M$1,'Data qoq'!$A$1:$AT$1,),))/100+1)^4)-1)</f>
        <v>2.3840000492500124E-2</v>
      </c>
      <c r="N85" s="32">
        <f>IF((((VLOOKUP(B85,'Data qoq'!$A:$AT,MATCH($N$1,'Data qoq'!$A$1:$AT$1,),))/100+1)^4)-1=0,#N/A,(((VLOOKUP(B85,'Data qoq'!$A:$AT,MATCH($N$1,'Data qoq'!$A$1:$AT$1,),))/100+1)^4)-1)</f>
        <v>9.6897644661275706E-3</v>
      </c>
      <c r="O85" s="32">
        <f>IF((((VLOOKUP(B85,'Data qoq'!$A:$AT,MATCH($O$1,'Data qoq'!$A$1:$AT$1,),))/100+1)^4)-1=0,#N/A,(((VLOOKUP(B85,'Data qoq'!$A:$AT,MATCH($O$1,'Data qoq'!$A$1:$AT$1,),))/100+1)^4)-1)</f>
        <v>5.7422659618427296E-2</v>
      </c>
      <c r="P85" s="32">
        <f>IF((((VLOOKUP(B85,'Data qoq'!$A:$AT,MATCH($P$1,'Data qoq'!$A$1:$AT$1,),))/100+1)^4)-1=0,#N/A,(((VLOOKUP(B85,'Data qoq'!$A:$AT,MATCH($P$1,'Data qoq'!$A$1:$AT$1,),))/100+1)^4)-1)</f>
        <v>2.7891978729154276E-2</v>
      </c>
      <c r="Q85" s="32">
        <f>IF((((VLOOKUP(B85,'Data qoq'!$A:$AT,MATCH($Q$1,'Data qoq'!$A$1:$AT$1,),))/100+1)^4)-1=0,#N/A,(((VLOOKUP(B85,'Data qoq'!$A:$AT,MATCH($Q$1,'Data qoq'!$A$1:$AT$1,),))/100+1)^4)-1)</f>
        <v>1.6539367395951743E-2</v>
      </c>
      <c r="R85" s="32">
        <f>IF((((VLOOKUP(B85,'Data qoq'!$A:$AT,MATCH($R$1,'Data qoq'!$A$1:$AT$1,),))/100+1)^4)-1=0,#N/A,(((VLOOKUP(B85,'Data qoq'!$A:$AT,MATCH($R$1,'Data qoq'!$A$1:$AT$1,),))/100+1)^4)-1)</f>
        <v>-8.8061447754047562E-3</v>
      </c>
      <c r="S85" s="32">
        <f>IF((((VLOOKUP(B85,'Data qoq'!$A:$AT,MATCH($S$1,'Data qoq'!$A$1:$AT$1,),))/100+1)^4)-1=0,#N/A,(((VLOOKUP(B85,'Data qoq'!$A:$AT,MATCH($S$1,'Data qoq'!$A$1:$AT$1,),))/100+1)^4)-1)</f>
        <v>2.7816815425872221E-2</v>
      </c>
      <c r="T85" s="32">
        <f>IF((((VLOOKUP(B85,'Data qoq'!$A:$AT,MATCH($T$1,'Data qoq'!$A$1:$AT$1,),))/100+1)^4)-1=0,#N/A,(((VLOOKUP(B85,'Data qoq'!$A:$AT,MATCH($T$1,'Data qoq'!$A$1:$AT$1,),))/100+1)^4)-1)</f>
        <v>3.5637688301654702E-2</v>
      </c>
      <c r="U85" s="32">
        <f>IF((((VLOOKUP(B85,'Data qoq'!$A:$AT,MATCH($U$1,'Data qoq'!$A$1:$AT$1,),))/100+1)^4)-1=0,#N/A,(((VLOOKUP(B85,'Data qoq'!$A:$AT,MATCH($U$1,'Data qoq'!$A$1:$AT$1,),))/100+1)^4)-1)</f>
        <v>-8.6282155211921951E-3</v>
      </c>
      <c r="V85" s="32">
        <f>IF((((VLOOKUP(B85,'Data qoq'!$A:$AT,MATCH($V$1,'Data qoq'!$A$1:$AT$1,),))/100+1)^4)-1=0,#N/A,(((VLOOKUP(B85,'Data qoq'!$A:$AT,MATCH($V$1,'Data qoq'!$A$1:$AT$1,),))/100+1)^4)-1)</f>
        <v>-4.7344810674231907E-2</v>
      </c>
      <c r="W85" s="32">
        <f>IF((((VLOOKUP(B85,'Data qoq'!$A:$AT,MATCH($W$1,'Data qoq'!$A$1:$AT$1,),))/100+1)^4)-1=0,#N/A,(((VLOOKUP(B85,'Data qoq'!$A:$AT,MATCH($W$1,'Data qoq'!$A$1:$AT$1,),))/100+1)^4)-1)</f>
        <v>-6.2120062659730024E-2</v>
      </c>
      <c r="X85" s="32">
        <f>IF((((VLOOKUP(B85,'Data qoq'!$A:$AT,MATCH($X$1,'Data qoq'!$A$1:$AT$1,),))/100+1)^4)-1=0,#N/A,(((VLOOKUP(B85,'Data qoq'!$A:$AT,MATCH($X$1,'Data qoq'!$A$1:$AT$1,),))/100+1)^4)-1)</f>
        <v>2.4682835938792058E-2</v>
      </c>
      <c r="Y85" s="32">
        <f>IF((((VLOOKUP(B85,'Data qoq'!$A:$AT,MATCH($Y$1,'Data qoq'!$A$1:$AT$1,),))/100+1)^4)-1=0,#N/A,(((VLOOKUP(B85,'Data qoq'!$A:$AT,MATCH($Y$1,'Data qoq'!$A$1:$AT$1,),))/100+1)^4)-1)</f>
        <v>5.704584986074912E-2</v>
      </c>
      <c r="Z85" s="32">
        <f>IF((((VLOOKUP(B85,'Data qoq'!$A:$AU,MATCH($Z$1,'Data qoq'!$A$1:$AU$1,),))/100+1)^4)-1=0,#N/A,(((VLOOKUP(B85,'Data qoq'!$A:$AU,MATCH($Z$1,'Data qoq'!$A$1:$AU$1,),))/100+1)^4)-1)</f>
        <v>-1.3526074968752799E-2</v>
      </c>
      <c r="AA85" s="32">
        <f>IF((((VLOOKUP(B85,'Data qoq'!$A:$AU,MATCH($AA$1,'Data qoq'!$A$1:$AU$1,),))/100+1)^4)-1=0,#N/A,(((VLOOKUP(B85,'Data qoq'!$A:$AU,MATCH($AA$1,'Data qoq'!$A$1:$AU$1,),))/100+1)^4)-1)</f>
        <v>1.7097055243083137E-2</v>
      </c>
      <c r="AC85" s="26" t="str">
        <f t="shared" si="10"/>
        <v>2018-Q3</v>
      </c>
      <c r="AD85" s="31">
        <f t="shared" si="11"/>
        <v>-2.3066943914975546E-2</v>
      </c>
    </row>
    <row r="86" spans="1:31" s="72" customFormat="1" x14ac:dyDescent="0.2">
      <c r="A86" s="30">
        <v>43435</v>
      </c>
      <c r="B86" s="24" t="s">
        <v>352</v>
      </c>
      <c r="C86" s="32">
        <f>IF((((VLOOKUP(B86,'Data qoq'!$A:$AT,MATCH($C$1,'Data qoq'!$A$1:$AT$1,),))/100+1)^4)-1=0,#N/A,(((VLOOKUP(B86,'Data qoq'!$A:$AT,MATCH($C$1,'Data qoq'!$A$1:$AT$1,),))/100+1)^4)-1)</f>
        <v>8.9555932348708289E-3</v>
      </c>
      <c r="D86" s="32">
        <f>IF((((VLOOKUP(B86,'Data qoq'!$A:$AT,MATCH($D$1,'Data qoq'!$A$1:$AT$1,),))/100+1)^4)-1=0,#N/A,(((VLOOKUP(B86,'Data qoq'!$A:$AT,MATCH($D$1,'Data qoq'!$A$1:$AT$1,),))/100+1)^4)-1)</f>
        <v>6.5552449536000035E-2</v>
      </c>
      <c r="E86" s="32">
        <f>IF((((VLOOKUP(B86,'Data qoq'!$A:$AT,MATCH($E$1,'Data qoq'!$A$1:$AT$1,),))/100+1)^4)-1=0,#N/A,(((VLOOKUP(B86,'Data qoq'!$A:$AT,MATCH($E$1,'Data qoq'!$A$1:$AT$1,),))/100+1)^4)-1)</f>
        <v>2.3401888979043495E-2</v>
      </c>
      <c r="F86" s="32">
        <f>IF((((VLOOKUP(B86,'Data qoq'!$A:$AT,MATCH($F$1,'Data qoq'!$A$1:$AT$1,),))/100+1)^4)-1=0,#N/A,(((VLOOKUP(B86,'Data qoq'!$A:$AT,MATCH($F$1,'Data qoq'!$A$1:$AT$1,),))/100+1)^4)-1)</f>
        <v>7.1246803493907329E-4</v>
      </c>
      <c r="G86" s="32">
        <f>IF((((VLOOKUP(B86,'Data qoq'!$A:$AT,MATCH($G$1,'Data qoq'!$A$1:$AT$1,),))/100+1)^4)-1=0,#N/A,(((VLOOKUP(B86,'Data qoq'!$A:$AT,MATCH($G$1,'Data qoq'!$A$1:$AT$1,),))/100+1)^4)-1)</f>
        <v>1.5551342854592365E-2</v>
      </c>
      <c r="H86" s="32">
        <f>IF((((VLOOKUP(B86,'Data qoq'!$A:$AT,MATCH($H$1,'Data qoq'!$A$1:$AT$1,),))/100+1)^4)-1=0,#N/A,(((VLOOKUP(B86,'Data qoq'!$A:$AT,MATCH($H$1,'Data qoq'!$A$1:$AT$1,),))/100+1)^4)-1)</f>
        <v>3.0069328561256325E-2</v>
      </c>
      <c r="I86" s="32">
        <f>IF((((VLOOKUP(B86,'Data qoq'!$A:$AT,MATCH($I$1,'Data qoq'!$A$1:$AT$1,),))/100+1)^4)-1=0,#N/A,(((VLOOKUP(B86,'Data qoq'!$A:$AT,MATCH($I$1,'Data qoq'!$A$1:$AT$1,),))/100+1)^4)-1)</f>
        <v>1.3485297158064791E-2</v>
      </c>
      <c r="J86" s="32">
        <f>IF((((VLOOKUP(B86,'Data qoq'!$A:$AT,MATCH($J$1,'Data qoq'!$A$1:$AT$1,),))/100+1)^4)-1=0,#N/A,(((VLOOKUP(B86,'Data qoq'!$A:$AT,MATCH($J$1,'Data qoq'!$A$1:$AT$1,),))/100+1)^4)-1)</f>
        <v>1.3727772052519294E-2</v>
      </c>
      <c r="K86" s="32">
        <f>IF((((VLOOKUP(B86,'Data qoq'!$A:$AT,MATCH($K$1,'Data qoq'!$A$1:$AT$1,),))/100+1)^4)-1=0,#N/A,(((VLOOKUP(B86,'Data qoq'!$A:$AT,MATCH($K$1,'Data qoq'!$A$1:$AT$1,),))/100+1)^4)-1)</f>
        <v>2.727395262411747E-2</v>
      </c>
      <c r="L86" s="32">
        <f>IF((((VLOOKUP(B86,'Data qoq'!$A:$AT,MATCH($L$1,'Data qoq'!$A$1:$AT$1,),))/100+1)^4)-1=0,#N/A,(((VLOOKUP(B86,'Data qoq'!$A:$AT,MATCH($L$1,'Data qoq'!$A$1:$AT$1,),))/100+1)^4)-1)</f>
        <v>5.9937072994760809E-2</v>
      </c>
      <c r="M86" s="32">
        <f>IF((((VLOOKUP(B86,'Data qoq'!$A:$AT,MATCH($M$1,'Data qoq'!$A$1:$AT$1,),))/100+1)^4)-1=0,#N/A,(((VLOOKUP(B86,'Data qoq'!$A:$AT,MATCH($M$1,'Data qoq'!$A$1:$AT$1,),))/100+1)^4)-1)</f>
        <v>-1.8765113405232126E-2</v>
      </c>
      <c r="N86" s="32">
        <f>IF((((VLOOKUP(B86,'Data qoq'!$A:$AT,MATCH($N$1,'Data qoq'!$A$1:$AT$1,),))/100+1)^4)-1=0,#N/A,(((VLOOKUP(B86,'Data qoq'!$A:$AT,MATCH($N$1,'Data qoq'!$A$1:$AT$1,),))/100+1)^4)-1)</f>
        <v>2.682434565241798E-2</v>
      </c>
      <c r="O86" s="32">
        <f>IF((((VLOOKUP(B86,'Data qoq'!$A:$AT,MATCH($O$1,'Data qoq'!$A$1:$AT$1,),))/100+1)^4)-1=0,#N/A,(((VLOOKUP(B86,'Data qoq'!$A:$AT,MATCH($O$1,'Data qoq'!$A$1:$AT$1,),))/100+1)^4)-1)</f>
        <v>6.396004815055889E-2</v>
      </c>
      <c r="P86" s="32">
        <f>IF((((VLOOKUP(B86,'Data qoq'!$A:$AT,MATCH($P$1,'Data qoq'!$A$1:$AT$1,),))/100+1)^4)-1=0,#N/A,(((VLOOKUP(B86,'Data qoq'!$A:$AT,MATCH($P$1,'Data qoq'!$A$1:$AT$1,),))/100+1)^4)-1)</f>
        <v>1.3704655467120519E-2</v>
      </c>
      <c r="Q86" s="32">
        <f>IF((((VLOOKUP(B86,'Data qoq'!$A:$AT,MATCH($Q$1,'Data qoq'!$A$1:$AT$1,),))/100+1)^4)-1=0,#N/A,(((VLOOKUP(B86,'Data qoq'!$A:$AT,MATCH($Q$1,'Data qoq'!$A$1:$AT$1,),))/100+1)^4)-1)</f>
        <v>5.4571408674277677E-3</v>
      </c>
      <c r="R86" s="32">
        <f>IF((((VLOOKUP(B86,'Data qoq'!$A:$AT,MATCH($R$1,'Data qoq'!$A$1:$AT$1,),))/100+1)^4)-1=0,#N/A,(((VLOOKUP(B86,'Data qoq'!$A:$AT,MATCH($R$1,'Data qoq'!$A$1:$AT$1,),))/100+1)^4)-1)</f>
        <v>7.257331101469866E-3</v>
      </c>
      <c r="S86" s="32">
        <f>IF((((VLOOKUP(B86,'Data qoq'!$A:$AT,MATCH($S$1,'Data qoq'!$A$1:$AT$1,),))/100+1)^4)-1=0,#N/A,(((VLOOKUP(B86,'Data qoq'!$A:$AT,MATCH($S$1,'Data qoq'!$A$1:$AT$1,),))/100+1)^4)-1)</f>
        <v>3.3287644034490915E-2</v>
      </c>
      <c r="T86" s="32">
        <f>IF((((VLOOKUP(B86,'Data qoq'!$A:$AT,MATCH($T$1,'Data qoq'!$A$1:$AT$1,),))/100+1)^4)-1=0,#N/A,(((VLOOKUP(B86,'Data qoq'!$A:$AT,MATCH($T$1,'Data qoq'!$A$1:$AT$1,),))/100+1)^4)-1)</f>
        <v>-1.4482816323892478E-2</v>
      </c>
      <c r="U86" s="32">
        <f>IF((((VLOOKUP(B86,'Data qoq'!$A:$AT,MATCH($U$1,'Data qoq'!$A$1:$AT$1,),))/100+1)^4)-1=0,#N/A,(((VLOOKUP(B86,'Data qoq'!$A:$AT,MATCH($U$1,'Data qoq'!$A$1:$AT$1,),))/100+1)^4)-1)</f>
        <v>2.4039722983745682E-2</v>
      </c>
      <c r="V86" s="32">
        <f>IF((((VLOOKUP(B86,'Data qoq'!$A:$AT,MATCH($V$1,'Data qoq'!$A$1:$AT$1,),))/100+1)^4)-1=0,#N/A,(((VLOOKUP(B86,'Data qoq'!$A:$AT,MATCH($V$1,'Data qoq'!$A$1:$AT$1,),))/100+1)^4)-1)</f>
        <v>5.3511516691355787E-2</v>
      </c>
      <c r="W86" s="32">
        <f>IF((((VLOOKUP(B86,'Data qoq'!$A:$AT,MATCH($W$1,'Data qoq'!$A$1:$AT$1,),))/100+1)^4)-1=0,#N/A,(((VLOOKUP(B86,'Data qoq'!$A:$AT,MATCH($W$1,'Data qoq'!$A$1:$AT$1,),))/100+1)^4)-1)</f>
        <v>-0.11432251218349809</v>
      </c>
      <c r="X86" s="32">
        <f>IF((((VLOOKUP(B86,'Data qoq'!$A:$AT,MATCH($X$1,'Data qoq'!$A$1:$AT$1,),))/100+1)^4)-1=0,#N/A,(((VLOOKUP(B86,'Data qoq'!$A:$AT,MATCH($X$1,'Data qoq'!$A$1:$AT$1,),))/100+1)^4)-1)</f>
        <v>2.8214195508903916E-2</v>
      </c>
      <c r="Y86" s="32">
        <f>IF((((VLOOKUP(B86,'Data qoq'!$A:$AT,MATCH($Y$1,'Data qoq'!$A$1:$AT$1,),))/100+1)^4)-1=0,#N/A,(((VLOOKUP(B86,'Data qoq'!$A:$AT,MATCH($Y$1,'Data qoq'!$A$1:$AT$1,),))/100+1)^4)-1)</f>
        <v>3.6246549388257332E-2</v>
      </c>
      <c r="Z86" s="32">
        <f>IF((((VLOOKUP(B86,'Data qoq'!$A:$AU,MATCH($Z$1,'Data qoq'!$A$1:$AU$1,),))/100+1)^4)-1=0,#N/A,(((VLOOKUP(B86,'Data qoq'!$A:$AU,MATCH($Z$1,'Data qoq'!$A$1:$AU$1,),))/100+1)^4)-1)</f>
        <v>-5.552652796344959E-2</v>
      </c>
      <c r="AA86" s="32">
        <f>IF((((VLOOKUP(B86,'Data qoq'!$A:$AU,MATCH($AA$1,'Data qoq'!$A$1:$AU$1,),))/100+1)^4)-1=0,#N/A,(((VLOOKUP(B86,'Data qoq'!$A:$AU,MATCH($AA$1,'Data qoq'!$A$1:$AU$1,),))/100+1)^4)-1)</f>
        <v>5.0071219513139198E-2</v>
      </c>
      <c r="AC86" s="26" t="str">
        <f t="shared" si="10"/>
        <v>2018-Q4</v>
      </c>
      <c r="AD86" s="31">
        <f t="shared" si="11"/>
        <v>9.9165918209787041E-3</v>
      </c>
    </row>
    <row r="87" spans="1:31" s="72" customFormat="1" x14ac:dyDescent="0.2">
      <c r="A87" s="30">
        <v>43525</v>
      </c>
      <c r="B87" s="24" t="s">
        <v>353</v>
      </c>
      <c r="C87" s="32">
        <f>IF((((VLOOKUP(B87,'Data qoq'!$A:$AT,MATCH($C$1,'Data qoq'!$A$1:$AT$1,),))/100+1)^4)-1=0,#N/A,(((VLOOKUP(B87,'Data qoq'!$A:$AT,MATCH($C$1,'Data qoq'!$A$1:$AT$1,),))/100+1)^4)-1)</f>
        <v>2.4126879304670057E-2</v>
      </c>
      <c r="D87" s="32">
        <f>IF((((VLOOKUP(B87,'Data qoq'!$A:$AT,MATCH($D$1,'Data qoq'!$A$1:$AT$1,),))/100+1)^4)-1=0,#N/A,(((VLOOKUP(B87,'Data qoq'!$A:$AT,MATCH($D$1,'Data qoq'!$A$1:$AT$1,),))/100+1)^4)-1)</f>
        <v>6.5552449536000035E-2</v>
      </c>
      <c r="E87" s="32">
        <f>IF((((VLOOKUP(B87,'Data qoq'!$A:$AT,MATCH($E$1,'Data qoq'!$A$1:$AT$1,),))/100+1)^4)-1=0,#N/A,(((VLOOKUP(B87,'Data qoq'!$A:$AT,MATCH($E$1,'Data qoq'!$A$1:$AT$1,),))/100+1)^4)-1)</f>
        <v>2.9216676991769885E-2</v>
      </c>
      <c r="F87" s="32">
        <f>IF((((VLOOKUP(B87,'Data qoq'!$A:$AT,MATCH($F$1,'Data qoq'!$A$1:$AT$1,),))/100+1)^4)-1=0,#N/A,(((VLOOKUP(B87,'Data qoq'!$A:$AT,MATCH($F$1,'Data qoq'!$A$1:$AT$1,),))/100+1)^4)-1)</f>
        <v>1.5924381604427884E-2</v>
      </c>
      <c r="G87" s="32">
        <f>IF((((VLOOKUP(B87,'Data qoq'!$A:$AT,MATCH($G$1,'Data qoq'!$A$1:$AT$1,),))/100+1)^4)-1=0,#N/A,(((VLOOKUP(B87,'Data qoq'!$A:$AT,MATCH($G$1,'Data qoq'!$A$1:$AT$1,),))/100+1)^4)-1)</f>
        <v>4.2839298504953716E-2</v>
      </c>
      <c r="H87" s="32">
        <f>IF((((VLOOKUP(B87,'Data qoq'!$A:$AT,MATCH($H$1,'Data qoq'!$A$1:$AT$1,),))/100+1)^4)-1=0,#N/A,(((VLOOKUP(B87,'Data qoq'!$A:$AT,MATCH($H$1,'Data qoq'!$A$1:$AT$1,),))/100+1)^4)-1)</f>
        <v>2.5024917818185388E-2</v>
      </c>
      <c r="I87" s="32">
        <f>IF((((VLOOKUP(B87,'Data qoq'!$A:$AT,MATCH($I$1,'Data qoq'!$A$1:$AT$1,),))/100+1)^4)-1=0,#N/A,(((VLOOKUP(B87,'Data qoq'!$A:$AT,MATCH($I$1,'Data qoq'!$A$1:$AT$1,),))/100+1)^4)-1)</f>
        <v>2.5926634187976916E-2</v>
      </c>
      <c r="J87" s="32">
        <f>IF((((VLOOKUP(B87,'Data qoq'!$A:$AT,MATCH($J$1,'Data qoq'!$A$1:$AT$1,),))/100+1)^4)-1=0,#N/A,(((VLOOKUP(B87,'Data qoq'!$A:$AT,MATCH($J$1,'Data qoq'!$A$1:$AT$1,),))/100+1)^4)-1)</f>
        <v>1.6525783845977582E-3</v>
      </c>
      <c r="K87" s="32">
        <f>IF((((VLOOKUP(B87,'Data qoq'!$A:$AT,MATCH($K$1,'Data qoq'!$A$1:$AT$1,),))/100+1)^4)-1=0,#N/A,(((VLOOKUP(B87,'Data qoq'!$A:$AT,MATCH($K$1,'Data qoq'!$A$1:$AT$1,),))/100+1)^4)-1)</f>
        <v>2.4270259559106888E-2</v>
      </c>
      <c r="L87" s="32">
        <f>IF((((VLOOKUP(B87,'Data qoq'!$A:$AT,MATCH($L$1,'Data qoq'!$A$1:$AT$1,),))/100+1)^4)-1=0,#N/A,(((VLOOKUP(B87,'Data qoq'!$A:$AT,MATCH($L$1,'Data qoq'!$A$1:$AT$1,),))/100+1)^4)-1)</f>
        <v>2.0892117807917998E-2</v>
      </c>
      <c r="M87" s="32">
        <f>IF((((VLOOKUP(B87,'Data qoq'!$A:$AT,MATCH($M$1,'Data qoq'!$A$1:$AT$1,),))/100+1)^4)-1=0,#N/A,(((VLOOKUP(B87,'Data qoq'!$A:$AT,MATCH($M$1,'Data qoq'!$A$1:$AT$1,),))/100+1)^4)-1)</f>
        <v>3.1280403979143667E-3</v>
      </c>
      <c r="N87" s="32">
        <f>IF((((VLOOKUP(B87,'Data qoq'!$A:$AT,MATCH($N$1,'Data qoq'!$A$1:$AT$1,),))/100+1)^4)-1=0,#N/A,(((VLOOKUP(B87,'Data qoq'!$A:$AT,MATCH($N$1,'Data qoq'!$A$1:$AT$1,),))/100+1)^4)-1)</f>
        <v>-1.5222443071766234E-3</v>
      </c>
      <c r="O87" s="32">
        <f>IF((((VLOOKUP(B87,'Data qoq'!$A:$AT,MATCH($O$1,'Data qoq'!$A$1:$AT$1,),))/100+1)^4)-1=0,#N/A,(((VLOOKUP(B87,'Data qoq'!$A:$AT,MATCH($O$1,'Data qoq'!$A$1:$AT$1,),))/100+1)^4)-1)</f>
        <v>4.4737538840785351E-2</v>
      </c>
      <c r="P87" s="32">
        <f>IF((((VLOOKUP(B87,'Data qoq'!$A:$AT,MATCH($P$1,'Data qoq'!$A$1:$AT$1,),))/100+1)^4)-1=0,#N/A,(((VLOOKUP(B87,'Data qoq'!$A:$AT,MATCH($P$1,'Data qoq'!$A$1:$AT$1,),))/100+1)^4)-1)</f>
        <v>3.6305665579499102E-3</v>
      </c>
      <c r="Q87" s="32">
        <f>IF((((VLOOKUP(B87,'Data qoq'!$A:$AT,MATCH($Q$1,'Data qoq'!$A$1:$AT$1,),))/100+1)^4)-1=0,#N/A,(((VLOOKUP(B87,'Data qoq'!$A:$AT,MATCH($Q$1,'Data qoq'!$A$1:$AT$1,),))/100+1)^4)-1)</f>
        <v>1.6801591684871608E-2</v>
      </c>
      <c r="R87" s="32">
        <f>IF((((VLOOKUP(B87,'Data qoq'!$A:$AT,MATCH($R$1,'Data qoq'!$A$1:$AT$1,),))/100+1)^4)-1=0,#N/A,(((VLOOKUP(B87,'Data qoq'!$A:$AT,MATCH($R$1,'Data qoq'!$A$1:$AT$1,),))/100+1)^4)-1)</f>
        <v>1.2088467382057821E-2</v>
      </c>
      <c r="S87" s="32">
        <f>IF((((VLOOKUP(B87,'Data qoq'!$A:$AT,MATCH($S$1,'Data qoq'!$A$1:$AT$1,),))/100+1)^4)-1=0,#N/A,(((VLOOKUP(B87,'Data qoq'!$A:$AT,MATCH($S$1,'Data qoq'!$A$1:$AT$1,),))/100+1)^4)-1)</f>
        <v>-7.9636124615423132E-3</v>
      </c>
      <c r="T87" s="32">
        <f>IF((((VLOOKUP(B87,'Data qoq'!$A:$AT,MATCH($T$1,'Data qoq'!$A$1:$AT$1,),))/100+1)^4)-1=0,#N/A,(((VLOOKUP(B87,'Data qoq'!$A:$AT,MATCH($T$1,'Data qoq'!$A$1:$AT$1,),))/100+1)^4)-1)</f>
        <v>1.991055291649646E-2</v>
      </c>
      <c r="U87" s="32">
        <f>IF((((VLOOKUP(B87,'Data qoq'!$A:$AT,MATCH($U$1,'Data qoq'!$A$1:$AT$1,),))/100+1)^4)-1=0,#N/A,(((VLOOKUP(B87,'Data qoq'!$A:$AT,MATCH($U$1,'Data qoq'!$A$1:$AT$1,),))/100+1)^4)-1)</f>
        <v>3.4977460565078111E-2</v>
      </c>
      <c r="V87" s="32">
        <f>IF((((VLOOKUP(B87,'Data qoq'!$A:$AT,MATCH($V$1,'Data qoq'!$A$1:$AT$1,),))/100+1)^4)-1=0,#N/A,(((VLOOKUP(B87,'Data qoq'!$A:$AT,MATCH($V$1,'Data qoq'!$A$1:$AT$1,),))/100+1)^4)-1)</f>
        <v>9.0841871649689487E-2</v>
      </c>
      <c r="W87" s="32">
        <f>IF((((VLOOKUP(B87,'Data qoq'!$A:$AT,MATCH($W$1,'Data qoq'!$A$1:$AT$1,),))/100+1)^4)-1=0,#N/A,(((VLOOKUP(B87,'Data qoq'!$A:$AT,MATCH($W$1,'Data qoq'!$A$1:$AT$1,),))/100+1)^4)-1)</f>
        <v>7.3373295447373144E-2</v>
      </c>
      <c r="X87" s="32">
        <f>IF((((VLOOKUP(B87,'Data qoq'!$A:$AT,MATCH($X$1,'Data qoq'!$A$1:$AT$1,),))/100+1)^4)-1=0,#N/A,(((VLOOKUP(B87,'Data qoq'!$A:$AT,MATCH($X$1,'Data qoq'!$A$1:$AT$1,),))/100+1)^4)-1)</f>
        <v>3.6107165981579481E-2</v>
      </c>
      <c r="Y87" s="32">
        <f>IF((((VLOOKUP(B87,'Data qoq'!$A:$AT,MATCH($Y$1,'Data qoq'!$A$1:$AT$1,),))/100+1)^4)-1=0,#N/A,(((VLOOKUP(B87,'Data qoq'!$A:$AT,MATCH($Y$1,'Data qoq'!$A$1:$AT$1,),))/100+1)^4)-1)</f>
        <v>7.6081279758391407E-2</v>
      </c>
      <c r="Z87" s="32">
        <f>IF((((VLOOKUP(B87,'Data qoq'!$A:$AU,MATCH($Z$1,'Data qoq'!$A$1:$AU$1,),))/100+1)^4)-1=0,#N/A,(((VLOOKUP(B87,'Data qoq'!$A:$AU,MATCH($Z$1,'Data qoq'!$A$1:$AU$1,),))/100+1)^4)-1)</f>
        <v>1.0085074375362213E-2</v>
      </c>
      <c r="AA87" s="32">
        <f>IF((((VLOOKUP(B87,'Data qoq'!$A:$AU,MATCH($AA$1,'Data qoq'!$A$1:$AU$1,),))/100+1)^4)-1=0,#N/A,(((VLOOKUP(B87,'Data qoq'!$A:$AU,MATCH($AA$1,'Data qoq'!$A$1:$AU$1,),))/100+1)^4)-1)</f>
        <v>1.5629473574948483E-2</v>
      </c>
      <c r="AC87" s="26" t="str">
        <f t="shared" si="10"/>
        <v>2019-Q1</v>
      </c>
      <c r="AD87" s="31">
        <f t="shared" si="11"/>
        <v>3.2900428037929697E-3</v>
      </c>
    </row>
    <row r="88" spans="1:31" s="72" customFormat="1" x14ac:dyDescent="0.2">
      <c r="A88" s="30">
        <v>43617</v>
      </c>
      <c r="B88" s="24" t="s">
        <v>354</v>
      </c>
      <c r="C88" s="32">
        <f>IF((((VLOOKUP(B88,'Data qoq'!$A:$AT,MATCH($C$1,'Data qoq'!$A$1:$AT$1,),))/100+1)^4)-1=0,#N/A,(((VLOOKUP(B88,'Data qoq'!$A:$AT,MATCH($C$1,'Data qoq'!$A$1:$AT$1,),))/100+1)^4)-1)</f>
        <v>3.2096211881735615E-2</v>
      </c>
      <c r="D88" s="32">
        <f>IF((((VLOOKUP(B88,'Data qoq'!$A:$AT,MATCH($D$1,'Data qoq'!$A$1:$AT$1,),))/100+1)^4)-1=0,#N/A,(((VLOOKUP(B88,'Data qoq'!$A:$AT,MATCH($D$1,'Data qoq'!$A$1:$AT$1,),))/100+1)^4)-1)</f>
        <v>4.8870932735999961E-2</v>
      </c>
      <c r="E88" s="32">
        <f>IF((((VLOOKUP(B88,'Data qoq'!$A:$AT,MATCH($E$1,'Data qoq'!$A$1:$AT$1,),))/100+1)^4)-1=0,#N/A,(((VLOOKUP(B88,'Data qoq'!$A:$AT,MATCH($E$1,'Data qoq'!$A$1:$AT$1,),))/100+1)^4)-1)</f>
        <v>7.4726895943193483E-3</v>
      </c>
      <c r="F88" s="32">
        <f>IF((((VLOOKUP(B88,'Data qoq'!$A:$AT,MATCH($F$1,'Data qoq'!$A$1:$AT$1,),))/100+1)^4)-1=0,#N/A,(((VLOOKUP(B88,'Data qoq'!$A:$AT,MATCH($F$1,'Data qoq'!$A$1:$AT$1,),))/100+1)^4)-1)</f>
        <v>1.7476442579624996E-2</v>
      </c>
      <c r="G88" s="32">
        <f>IF((((VLOOKUP(B88,'Data qoq'!$A:$AT,MATCH($G$1,'Data qoq'!$A$1:$AT$1,),))/100+1)^4)-1=0,#N/A,(((VLOOKUP(B88,'Data qoq'!$A:$AT,MATCH($G$1,'Data qoq'!$A$1:$AT$1,),))/100+1)^4)-1)</f>
        <v>-1.9557546730093467E-2</v>
      </c>
      <c r="H88" s="32">
        <f>IF((((VLOOKUP(B88,'Data qoq'!$A:$AT,MATCH($H$1,'Data qoq'!$A$1:$AT$1,),))/100+1)^4)-1=0,#N/A,(((VLOOKUP(B88,'Data qoq'!$A:$AT,MATCH($H$1,'Data qoq'!$A$1:$AT$1,),))/100+1)^4)-1)</f>
        <v>2.2410738029573718E-2</v>
      </c>
      <c r="I88" s="32">
        <f>IF((((VLOOKUP(B88,'Data qoq'!$A:$AT,MATCH($I$1,'Data qoq'!$A$1:$AT$1,),))/100+1)^4)-1=0,#N/A,(((VLOOKUP(B88,'Data qoq'!$A:$AT,MATCH($I$1,'Data qoq'!$A$1:$AT$1,),))/100+1)^4)-1)</f>
        <v>5.3198768941589147E-3</v>
      </c>
      <c r="J88" s="32">
        <f>IF((((VLOOKUP(B88,'Data qoq'!$A:$AT,MATCH($J$1,'Data qoq'!$A$1:$AT$1,),))/100+1)^4)-1=0,#N/A,(((VLOOKUP(B88,'Data qoq'!$A:$AT,MATCH($J$1,'Data qoq'!$A$1:$AT$1,),))/100+1)^4)-1)</f>
        <v>7.2450700411959001E-3</v>
      </c>
      <c r="K88" s="32">
        <f>IF((((VLOOKUP(B88,'Data qoq'!$A:$AT,MATCH($K$1,'Data qoq'!$A$1:$AT$1,),))/100+1)^4)-1=0,#N/A,(((VLOOKUP(B88,'Data qoq'!$A:$AT,MATCH($K$1,'Data qoq'!$A$1:$AT$1,),))/100+1)^4)-1)</f>
        <v>1.4703219479603513E-2</v>
      </c>
      <c r="L88" s="32">
        <f>IF((((VLOOKUP(B88,'Data qoq'!$A:$AT,MATCH($L$1,'Data qoq'!$A$1:$AT$1,),))/100+1)^4)-1=0,#N/A,(((VLOOKUP(B88,'Data qoq'!$A:$AT,MATCH($L$1,'Data qoq'!$A$1:$AT$1,),))/100+1)^4)-1)</f>
        <v>1.9495013846817066E-2</v>
      </c>
      <c r="M88" s="32">
        <f>IF((((VLOOKUP(B88,'Data qoq'!$A:$AT,MATCH($M$1,'Data qoq'!$A$1:$AT$1,),))/100+1)^4)-1=0,#N/A,(((VLOOKUP(B88,'Data qoq'!$A:$AT,MATCH($M$1,'Data qoq'!$A$1:$AT$1,),))/100+1)^4)-1)</f>
        <v>-1.3110183988774282E-2</v>
      </c>
      <c r="N88" s="32">
        <f>IF((((VLOOKUP(B88,'Data qoq'!$A:$AT,MATCH($N$1,'Data qoq'!$A$1:$AT$1,),))/100+1)^4)-1=0,#N/A,(((VLOOKUP(B88,'Data qoq'!$A:$AT,MATCH($N$1,'Data qoq'!$A$1:$AT$1,),))/100+1)^4)-1)</f>
        <v>9.358454721295506E-2</v>
      </c>
      <c r="O88" s="32">
        <f>IF((((VLOOKUP(B88,'Data qoq'!$A:$AT,MATCH($O$1,'Data qoq'!$A$1:$AT$1,),))/100+1)^4)-1=0,#N/A,(((VLOOKUP(B88,'Data qoq'!$A:$AT,MATCH($O$1,'Data qoq'!$A$1:$AT$1,),))/100+1)^4)-1)</f>
        <v>4.4592048093901937E-2</v>
      </c>
      <c r="P88" s="32">
        <f>IF((((VLOOKUP(B88,'Data qoq'!$A:$AT,MATCH($P$1,'Data qoq'!$A$1:$AT$1,),))/100+1)^4)-1=0,#N/A,(((VLOOKUP(B88,'Data qoq'!$A:$AT,MATCH($P$1,'Data qoq'!$A$1:$AT$1,),))/100+1)^4)-1)</f>
        <v>4.0222349542339497E-2</v>
      </c>
      <c r="Q88" s="32">
        <f>IF((((VLOOKUP(B88,'Data qoq'!$A:$AT,MATCH($Q$1,'Data qoq'!$A$1:$AT$1,),))/100+1)^4)-1=0,#N/A,(((VLOOKUP(B88,'Data qoq'!$A:$AT,MATCH($Q$1,'Data qoq'!$A$1:$AT$1,),))/100+1)^4)-1)</f>
        <v>2.8204853085893156E-2</v>
      </c>
      <c r="R88" s="32">
        <f>IF((((VLOOKUP(B88,'Data qoq'!$A:$AT,MATCH($R$1,'Data qoq'!$A$1:$AT$1,),))/100+1)^4)-1=0,#N/A,(((VLOOKUP(B88,'Data qoq'!$A:$AT,MATCH($R$1,'Data qoq'!$A$1:$AT$1,),))/100+1)^4)-1)</f>
        <v>1.5975645251035786E-2</v>
      </c>
      <c r="S88" s="32">
        <f>IF((((VLOOKUP(B88,'Data qoq'!$A:$AT,MATCH($S$1,'Data qoq'!$A$1:$AT$1,),))/100+1)^4)-1=0,#N/A,(((VLOOKUP(B88,'Data qoq'!$A:$AT,MATCH($S$1,'Data qoq'!$A$1:$AT$1,),))/100+1)^4)-1)</f>
        <v>4.2501995278037663E-2</v>
      </c>
      <c r="T88" s="32">
        <f>IF((((VLOOKUP(B88,'Data qoq'!$A:$AT,MATCH($T$1,'Data qoq'!$A$1:$AT$1,),))/100+1)^4)-1=0,#N/A,(((VLOOKUP(B88,'Data qoq'!$A:$AT,MATCH($T$1,'Data qoq'!$A$1:$AT$1,),))/100+1)^4)-1)</f>
        <v>2.3499720566498405E-2</v>
      </c>
      <c r="U88" s="32">
        <f>IF((((VLOOKUP(B88,'Data qoq'!$A:$AT,MATCH($U$1,'Data qoq'!$A$1:$AT$1,),))/100+1)^4)-1=0,#N/A,(((VLOOKUP(B88,'Data qoq'!$A:$AT,MATCH($U$1,'Data qoq'!$A$1:$AT$1,),))/100+1)^4)-1)</f>
        <v>3.1009705244531505E-2</v>
      </c>
      <c r="V88" s="32">
        <f>IF((((VLOOKUP(B88,'Data qoq'!$A:$AT,MATCH($V$1,'Data qoq'!$A$1:$AT$1,),))/100+1)^4)-1=0,#N/A,(((VLOOKUP(B88,'Data qoq'!$A:$AT,MATCH($V$1,'Data qoq'!$A$1:$AT$1,),))/100+1)^4)-1)</f>
        <v>9.179228924598859E-2</v>
      </c>
      <c r="W88" s="32">
        <f>IF((((VLOOKUP(B88,'Data qoq'!$A:$AT,MATCH($W$1,'Data qoq'!$A$1:$AT$1,),))/100+1)^4)-1=0,#N/A,(((VLOOKUP(B88,'Data qoq'!$A:$AT,MATCH($W$1,'Data qoq'!$A$1:$AT$1,),))/100+1)^4)-1)</f>
        <v>9.8650788952587609E-2</v>
      </c>
      <c r="X88" s="32">
        <f>IF((((VLOOKUP(B88,'Data qoq'!$A:$AT,MATCH($X$1,'Data qoq'!$A$1:$AT$1,),))/100+1)^4)-1=0,#N/A,(((VLOOKUP(B88,'Data qoq'!$A:$AT,MATCH($X$1,'Data qoq'!$A$1:$AT$1,),))/100+1)^4)-1)</f>
        <v>3.1811700330879322E-2</v>
      </c>
      <c r="Y88" s="32">
        <f>IF((((VLOOKUP(B88,'Data qoq'!$A:$AT,MATCH($Y$1,'Data qoq'!$A$1:$AT$1,),))/100+1)^4)-1=0,#N/A,(((VLOOKUP(B88,'Data qoq'!$A:$AT,MATCH($Y$1,'Data qoq'!$A$1:$AT$1,),))/100+1)^4)-1)</f>
        <v>2.7465197221537174E-2</v>
      </c>
      <c r="Z88" s="32">
        <f>IF((((VLOOKUP(B88,'Data qoq'!$A:$AU,MATCH($Z$1,'Data qoq'!$A$1:$AU$1,),))/100+1)^4)-1=0,#N/A,(((VLOOKUP(B88,'Data qoq'!$A:$AU,MATCH($Z$1,'Data qoq'!$A$1:$AU$1,),))/100+1)^4)-1)</f>
        <v>2.6466565550510968E-2</v>
      </c>
      <c r="AA88" s="32">
        <f>IF((((VLOOKUP(B88,'Data qoq'!$A:$AU,MATCH($AA$1,'Data qoq'!$A$1:$AU$1,),))/100+1)^4)-1=0,#N/A,(((VLOOKUP(B88,'Data qoq'!$A:$AU,MATCH($AA$1,'Data qoq'!$A$1:$AU$1,),))/100+1)^4)-1)</f>
        <v>2.222612077398689E-2</v>
      </c>
      <c r="AC88" s="26" t="str">
        <f t="shared" si="10"/>
        <v>2019-Q2</v>
      </c>
      <c r="AD88" s="31">
        <f t="shared" si="11"/>
        <v>2.1528127001604336E-3</v>
      </c>
    </row>
    <row r="89" spans="1:31" s="72" customFormat="1" x14ac:dyDescent="0.2">
      <c r="A89" s="30">
        <v>43709</v>
      </c>
      <c r="B89" s="24" t="s">
        <v>355</v>
      </c>
      <c r="C89" s="32">
        <f>IF((((VLOOKUP(B89,'Data qoq'!$A:$AT,MATCH($C$1,'Data qoq'!$A$1:$AT$1,),))/100+1)^4)-1=0,#N/A,(((VLOOKUP(B89,'Data qoq'!$A:$AT,MATCH($C$1,'Data qoq'!$A$1:$AT$1,),))/100+1)^4)-1)</f>
        <v>2.7703187490706105E-2</v>
      </c>
      <c r="D89" s="32">
        <f>IF((((VLOOKUP(B89,'Data qoq'!$A:$AT,MATCH($D$1,'Data qoq'!$A$1:$AT$1,),))/100+1)^4)-1=0,#N/A,(((VLOOKUP(B89,'Data qoq'!$A:$AT,MATCH($D$1,'Data qoq'!$A$1:$AT$1,),))/100+1)^4)-1)</f>
        <v>5.302281656099983E-2</v>
      </c>
      <c r="E89" s="32">
        <f>IF((((VLOOKUP(B89,'Data qoq'!$A:$AT,MATCH($E$1,'Data qoq'!$A$1:$AT$1,),))/100+1)^4)-1=0,#N/A,(((VLOOKUP(B89,'Data qoq'!$A:$AT,MATCH($E$1,'Data qoq'!$A$1:$AT$1,),))/100+1)^4)-1)</f>
        <v>9.97118883847814E-3</v>
      </c>
      <c r="F89" s="32">
        <f>IF((((VLOOKUP(B89,'Data qoq'!$A:$AT,MATCH($F$1,'Data qoq'!$A$1:$AT$1,),))/100+1)^4)-1=0,#N/A,(((VLOOKUP(B89,'Data qoq'!$A:$AT,MATCH($F$1,'Data qoq'!$A$1:$AT$1,),))/100+1)^4)-1)</f>
        <v>-4.6143817842770884E-3</v>
      </c>
      <c r="G89" s="32">
        <f>IF((((VLOOKUP(B89,'Data qoq'!$A:$AT,MATCH($G$1,'Data qoq'!$A$1:$AT$1,),))/100+1)^4)-1=0,#N/A,(((VLOOKUP(B89,'Data qoq'!$A:$AT,MATCH($G$1,'Data qoq'!$A$1:$AT$1,),))/100+1)^4)-1)</f>
        <v>1.6539570803166814E-2</v>
      </c>
      <c r="H89" s="32">
        <f>IF((((VLOOKUP(B89,'Data qoq'!$A:$AT,MATCH($H$1,'Data qoq'!$A$1:$AT$1,),))/100+1)^4)-1=0,#N/A,(((VLOOKUP(B89,'Data qoq'!$A:$AT,MATCH($H$1,'Data qoq'!$A$1:$AT$1,),))/100+1)^4)-1)</f>
        <v>2.5075694410139349E-3</v>
      </c>
      <c r="I89" s="32">
        <f>IF((((VLOOKUP(B89,'Data qoq'!$A:$AT,MATCH($I$1,'Data qoq'!$A$1:$AT$1,),))/100+1)^4)-1=0,#N/A,(((VLOOKUP(B89,'Data qoq'!$A:$AT,MATCH($I$1,'Data qoq'!$A$1:$AT$1,),))/100+1)^4)-1)</f>
        <v>1.8485674555013265E-2</v>
      </c>
      <c r="J89" s="32">
        <f>IF((((VLOOKUP(B89,'Data qoq'!$A:$AT,MATCH($J$1,'Data qoq'!$A$1:$AT$1,),))/100+1)^4)-1=0,#N/A,(((VLOOKUP(B89,'Data qoq'!$A:$AT,MATCH($J$1,'Data qoq'!$A$1:$AT$1,),))/100+1)^4)-1)</f>
        <v>3.3759309642420465E-3</v>
      </c>
      <c r="K89" s="32">
        <f>IF((((VLOOKUP(B89,'Data qoq'!$A:$AT,MATCH($K$1,'Data qoq'!$A$1:$AT$1,),))/100+1)^4)-1=0,#N/A,(((VLOOKUP(B89,'Data qoq'!$A:$AT,MATCH($K$1,'Data qoq'!$A$1:$AT$1,),))/100+1)^4)-1)</f>
        <v>1.5246823718582991E-2</v>
      </c>
      <c r="L89" s="32">
        <f>IF((((VLOOKUP(B89,'Data qoq'!$A:$AT,MATCH($L$1,'Data qoq'!$A$1:$AT$1,),))/100+1)^4)-1=0,#N/A,(((VLOOKUP(B89,'Data qoq'!$A:$AT,MATCH($L$1,'Data qoq'!$A$1:$AT$1,),))/100+1)^4)-1)</f>
        <v>4.9847636286310948E-3</v>
      </c>
      <c r="M89" s="32">
        <f>IF((((VLOOKUP(B89,'Data qoq'!$A:$AT,MATCH($M$1,'Data qoq'!$A$1:$AT$1,),))/100+1)^4)-1=0,#N/A,(((VLOOKUP(B89,'Data qoq'!$A:$AT,MATCH($M$1,'Data qoq'!$A$1:$AT$1,),))/100+1)^4)-1)</f>
        <v>2.883937971839301E-2</v>
      </c>
      <c r="N89" s="32">
        <f>IF((((VLOOKUP(B89,'Data qoq'!$A:$AT,MATCH($N$1,'Data qoq'!$A$1:$AT$1,),))/100+1)^4)-1=0,#N/A,(((VLOOKUP(B89,'Data qoq'!$A:$AT,MATCH($N$1,'Data qoq'!$A$1:$AT$1,),))/100+1)^4)-1)</f>
        <v>-3.8563652917277924E-2</v>
      </c>
      <c r="O89" s="32">
        <f>IF((((VLOOKUP(B89,'Data qoq'!$A:$AT,MATCH($O$1,'Data qoq'!$A$1:$AT$1,),))/100+1)^4)-1=0,#N/A,(((VLOOKUP(B89,'Data qoq'!$A:$AT,MATCH($O$1,'Data qoq'!$A$1:$AT$1,),))/100+1)^4)-1)</f>
        <v>3.6585486844989967E-2</v>
      </c>
      <c r="P89" s="32">
        <f>IF((((VLOOKUP(B89,'Data qoq'!$A:$AT,MATCH($P$1,'Data qoq'!$A$1:$AT$1,),))/100+1)^4)-1=0,#N/A,(((VLOOKUP(B89,'Data qoq'!$A:$AT,MATCH($P$1,'Data qoq'!$A$1:$AT$1,),))/100+1)^4)-1)</f>
        <v>1.3129869274732808E-2</v>
      </c>
      <c r="Q89" s="32">
        <f>IF((((VLOOKUP(B89,'Data qoq'!$A:$AT,MATCH($Q$1,'Data qoq'!$A$1:$AT$1,),))/100+1)^4)-1=0,#N/A,(((VLOOKUP(B89,'Data qoq'!$A:$AT,MATCH($Q$1,'Data qoq'!$A$1:$AT$1,),))/100+1)^4)-1)</f>
        <v>3.2515637188195168E-2</v>
      </c>
      <c r="R89" s="32">
        <f>IF((((VLOOKUP(B89,'Data qoq'!$A:$AT,MATCH($R$1,'Data qoq'!$A$1:$AT$1,),))/100+1)^4)-1=0,#N/A,(((VLOOKUP(B89,'Data qoq'!$A:$AT,MATCH($R$1,'Data qoq'!$A$1:$AT$1,),))/100+1)^4)-1)</f>
        <v>2.1983144564351464E-2</v>
      </c>
      <c r="S89" s="32">
        <f>IF((((VLOOKUP(B89,'Data qoq'!$A:$AT,MATCH($S$1,'Data qoq'!$A$1:$AT$1,),))/100+1)^4)-1=0,#N/A,(((VLOOKUP(B89,'Data qoq'!$A:$AT,MATCH($S$1,'Data qoq'!$A$1:$AT$1,),))/100+1)^4)-1)</f>
        <v>1.6300197062462773E-2</v>
      </c>
      <c r="T89" s="32">
        <f>IF((((VLOOKUP(B89,'Data qoq'!$A:$AT,MATCH($T$1,'Data qoq'!$A$1:$AT$1,),))/100+1)^4)-1=0,#N/A,(((VLOOKUP(B89,'Data qoq'!$A:$AT,MATCH($T$1,'Data qoq'!$A$1:$AT$1,),))/100+1)^4)-1)</f>
        <v>-5.4682355321966636E-4</v>
      </c>
      <c r="U89" s="32">
        <f>IF((((VLOOKUP(B89,'Data qoq'!$A:$AT,MATCH($U$1,'Data qoq'!$A$1:$AT$1,),))/100+1)^4)-1=0,#N/A,(((VLOOKUP(B89,'Data qoq'!$A:$AT,MATCH($U$1,'Data qoq'!$A$1:$AT$1,),))/100+1)^4)-1)</f>
        <v>1.2230795714678333E-3</v>
      </c>
      <c r="V89" s="32">
        <f>IF((((VLOOKUP(B89,'Data qoq'!$A:$AT,MATCH($V$1,'Data qoq'!$A$1:$AT$1,),))/100+1)^4)-1=0,#N/A,(((VLOOKUP(B89,'Data qoq'!$A:$AT,MATCH($V$1,'Data qoq'!$A$1:$AT$1,),))/100+1)^4)-1)</f>
        <v>-1.6542761987923593E-2</v>
      </c>
      <c r="W89" s="32">
        <f>IF((((VLOOKUP(B89,'Data qoq'!$A:$AT,MATCH($W$1,'Data qoq'!$A$1:$AT$1,),))/100+1)^4)-1=0,#N/A,(((VLOOKUP(B89,'Data qoq'!$A:$AT,MATCH($W$1,'Data qoq'!$A$1:$AT$1,),))/100+1)^4)-1)</f>
        <v>2.0265559202310435E-3</v>
      </c>
      <c r="X89" s="32">
        <f>IF((((VLOOKUP(B89,'Data qoq'!$A:$AT,MATCH($X$1,'Data qoq'!$A$1:$AT$1,),))/100+1)^4)-1=0,#N/A,(((VLOOKUP(B89,'Data qoq'!$A:$AT,MATCH($X$1,'Data qoq'!$A$1:$AT$1,),))/100+1)^4)-1)</f>
        <v>2.212057459638106E-2</v>
      </c>
      <c r="Y89" s="32">
        <f>IF((((VLOOKUP(B89,'Data qoq'!$A:$AT,MATCH($Y$1,'Data qoq'!$A$1:$AT$1,),))/100+1)^4)-1=0,#N/A,(((VLOOKUP(B89,'Data qoq'!$A:$AT,MATCH($Y$1,'Data qoq'!$A$1:$AT$1,),))/100+1)^4)-1)</f>
        <v>4.3392932406196794E-2</v>
      </c>
      <c r="Z89" s="32">
        <f>IF((((VLOOKUP(B89,'Data qoq'!$A:$AU,MATCH($Z$1,'Data qoq'!$A$1:$AU$1,),))/100+1)^4)-1=0,#N/A,(((VLOOKUP(B89,'Data qoq'!$A:$AU,MATCH($Z$1,'Data qoq'!$A$1:$AU$1,),))/100+1)^4)-1)</f>
        <v>6.2761383307599061E-3</v>
      </c>
      <c r="AA89" s="32">
        <f>IF((((VLOOKUP(B89,'Data qoq'!$A:$AU,MATCH($AA$1,'Data qoq'!$A$1:$AU$1,),))/100+1)^4)-1=0,#N/A,(((VLOOKUP(B89,'Data qoq'!$A:$AU,MATCH($AA$1,'Data qoq'!$A$1:$AU$1,),))/100+1)^4)-1)</f>
        <v>4.143144786491848E-2</v>
      </c>
      <c r="AC89" s="26" t="str">
        <f t="shared" si="10"/>
        <v>2019-Q3</v>
      </c>
      <c r="AD89" s="31">
        <f t="shared" si="11"/>
        <v>-8.5144857165351251E-3</v>
      </c>
    </row>
    <row r="90" spans="1:31" s="72" customFormat="1" x14ac:dyDescent="0.2">
      <c r="A90" s="30">
        <v>43800</v>
      </c>
      <c r="B90" s="24" t="s">
        <v>356</v>
      </c>
      <c r="C90" s="32">
        <f>IF((((VLOOKUP(B90,'Data qoq'!$A:$AT,MATCH($C$1,'Data qoq'!$A$1:$AT$1,),))/100+1)^4)-1=0,#N/A,(((VLOOKUP(B90,'Data qoq'!$A:$AT,MATCH($C$1,'Data qoq'!$A$1:$AT$1,),))/100+1)^4)-1)</f>
        <v>1.8896349653914735E-2</v>
      </c>
      <c r="D90" s="32">
        <f>IF((((VLOOKUP(B90,'Data qoq'!$A:$AT,MATCH($D$1,'Data qoq'!$A$1:$AT$1,),))/100+1)^4)-1=0,#N/A,(((VLOOKUP(B90,'Data qoq'!$A:$AT,MATCH($D$1,'Data qoq'!$A$1:$AT$1,),))/100+1)^4)-1)</f>
        <v>6.5552449536000035E-2</v>
      </c>
      <c r="E90" s="32">
        <f>IF((((VLOOKUP(B90,'Data qoq'!$A:$AT,MATCH($E$1,'Data qoq'!$A$1:$AT$1,),))/100+1)^4)-1=0,#N/A,(((VLOOKUP(B90,'Data qoq'!$A:$AT,MATCH($E$1,'Data qoq'!$A$1:$AT$1,),))/100+1)^4)-1)</f>
        <v>-2.9276785212895007E-4</v>
      </c>
      <c r="F90" s="32">
        <f>IF((((VLOOKUP(B90,'Data qoq'!$A:$AT,MATCH($F$1,'Data qoq'!$A$1:$AT$1,),))/100+1)^4)-1=0,#N/A,(((VLOOKUP(B90,'Data qoq'!$A:$AT,MATCH($F$1,'Data qoq'!$A$1:$AT$1,),))/100+1)^4)-1)</f>
        <v>-9.2251851953847663E-2</v>
      </c>
      <c r="G90" s="32">
        <f>IF((((VLOOKUP(B90,'Data qoq'!$A:$AT,MATCH($G$1,'Data qoq'!$A$1:$AT$1,),))/100+1)^4)-1=0,#N/A,(((VLOOKUP(B90,'Data qoq'!$A:$AT,MATCH($G$1,'Data qoq'!$A$1:$AT$1,),))/100+1)^4)-1)</f>
        <v>-2.9733424310662837E-3</v>
      </c>
      <c r="H90" s="32">
        <f>IF((((VLOOKUP(B90,'Data qoq'!$A:$AT,MATCH($H$1,'Data qoq'!$A$1:$AT$1,),))/100+1)^4)-1=0,#N/A,(((VLOOKUP(B90,'Data qoq'!$A:$AT,MATCH($H$1,'Data qoq'!$A$1:$AT$1,),))/100+1)^4)-1)</f>
        <v>-1.2988056285721639E-2</v>
      </c>
      <c r="I90" s="32">
        <f>IF((((VLOOKUP(B90,'Data qoq'!$A:$AT,MATCH($I$1,'Data qoq'!$A$1:$AT$1,),))/100+1)^4)-1=0,#N/A,(((VLOOKUP(B90,'Data qoq'!$A:$AT,MATCH($I$1,'Data qoq'!$A$1:$AT$1,),))/100+1)^4)-1)</f>
        <v>-1.7888023761415406E-3</v>
      </c>
      <c r="J90" s="32">
        <f>IF((((VLOOKUP(B90,'Data qoq'!$A:$AT,MATCH($J$1,'Data qoq'!$A$1:$AT$1,),))/100+1)^4)-1=0,#N/A,(((VLOOKUP(B90,'Data qoq'!$A:$AT,MATCH($J$1,'Data qoq'!$A$1:$AT$1,),))/100+1)^4)-1)</f>
        <v>-1.6696038966284688E-2</v>
      </c>
      <c r="K90" s="32">
        <f>IF((((VLOOKUP(B90,'Data qoq'!$A:$AT,MATCH($K$1,'Data qoq'!$A$1:$AT$1,),))/100+1)^4)-1=0,#N/A,(((VLOOKUP(B90,'Data qoq'!$A:$AT,MATCH($K$1,'Data qoq'!$A$1:$AT$1,),))/100+1)^4)-1)</f>
        <v>1.5148340874980404E-2</v>
      </c>
      <c r="L90" s="32">
        <f>IF((((VLOOKUP(B90,'Data qoq'!$A:$AT,MATCH($L$1,'Data qoq'!$A$1:$AT$1,),))/100+1)^4)-1=0,#N/A,(((VLOOKUP(B90,'Data qoq'!$A:$AT,MATCH($L$1,'Data qoq'!$A$1:$AT$1,),))/100+1)^4)-1)</f>
        <v>1.0053961860656102E-2</v>
      </c>
      <c r="M90" s="32">
        <f>IF((((VLOOKUP(B90,'Data qoq'!$A:$AT,MATCH($M$1,'Data qoq'!$A$1:$AT$1,),))/100+1)^4)-1=0,#N/A,(((VLOOKUP(B90,'Data qoq'!$A:$AT,MATCH($M$1,'Data qoq'!$A$1:$AT$1,),))/100+1)^4)-1)</f>
        <v>-4.9334968048161842E-2</v>
      </c>
      <c r="N90" s="32">
        <f>IF((((VLOOKUP(B90,'Data qoq'!$A:$AT,MATCH($N$1,'Data qoq'!$A$1:$AT$1,),))/100+1)^4)-1=0,#N/A,(((VLOOKUP(B90,'Data qoq'!$A:$AT,MATCH($N$1,'Data qoq'!$A$1:$AT$1,),))/100+1)^4)-1)</f>
        <v>-1.7977032429816631E-2</v>
      </c>
      <c r="O90" s="32">
        <f>IF((((VLOOKUP(B90,'Data qoq'!$A:$AT,MATCH($O$1,'Data qoq'!$A$1:$AT$1,),))/100+1)^4)-1=0,#N/A,(((VLOOKUP(B90,'Data qoq'!$A:$AT,MATCH($O$1,'Data qoq'!$A$1:$AT$1,),))/100+1)^4)-1)</f>
        <v>1.7227793400669489E-2</v>
      </c>
      <c r="P90" s="32">
        <f>IF((((VLOOKUP(B90,'Data qoq'!$A:$AT,MATCH($P$1,'Data qoq'!$A$1:$AT$1,),))/100+1)^4)-1=0,#N/A,(((VLOOKUP(B90,'Data qoq'!$A:$AT,MATCH($P$1,'Data qoq'!$A$1:$AT$1,),))/100+1)^4)-1)</f>
        <v>1.20817054138318E-2</v>
      </c>
      <c r="Q90" s="32">
        <f>IF((((VLOOKUP(B90,'Data qoq'!$A:$AT,MATCH($Q$1,'Data qoq'!$A$1:$AT$1,),))/100+1)^4)-1=0,#N/A,(((VLOOKUP(B90,'Data qoq'!$A:$AT,MATCH($Q$1,'Data qoq'!$A$1:$AT$1,),))/100+1)^4)-1)</f>
        <v>1.5716948533069708E-2</v>
      </c>
      <c r="R90" s="32">
        <f>IF((((VLOOKUP(B90,'Data qoq'!$A:$AT,MATCH($R$1,'Data qoq'!$A$1:$AT$1,),))/100+1)^4)-1=0,#N/A,(((VLOOKUP(B90,'Data qoq'!$A:$AT,MATCH($R$1,'Data qoq'!$A$1:$AT$1,),))/100+1)^4)-1)</f>
        <v>1.7422673388214127E-2</v>
      </c>
      <c r="S90" s="32">
        <f>IF((((VLOOKUP(B90,'Data qoq'!$A:$AT,MATCH($S$1,'Data qoq'!$A$1:$AT$1,),))/100+1)^4)-1=0,#N/A,(((VLOOKUP(B90,'Data qoq'!$A:$AT,MATCH($S$1,'Data qoq'!$A$1:$AT$1,),))/100+1)^4)-1)</f>
        <v>5.2542847245506064E-2</v>
      </c>
      <c r="T90" s="32">
        <f>IF((((VLOOKUP(B90,'Data qoq'!$A:$AT,MATCH($T$1,'Data qoq'!$A$1:$AT$1,),))/100+1)^4)-1=0,#N/A,(((VLOOKUP(B90,'Data qoq'!$A:$AT,MATCH($T$1,'Data qoq'!$A$1:$AT$1,),))/100+1)^4)-1)</f>
        <v>1.3335667205923496E-2</v>
      </c>
      <c r="U90" s="32">
        <f>IF((((VLOOKUP(B90,'Data qoq'!$A:$AT,MATCH($U$1,'Data qoq'!$A$1:$AT$1,),))/100+1)^4)-1=0,#N/A,(((VLOOKUP(B90,'Data qoq'!$A:$AT,MATCH($U$1,'Data qoq'!$A$1:$AT$1,),))/100+1)^4)-1)</f>
        <v>-9.3102075026030295E-3</v>
      </c>
      <c r="V90" s="32">
        <f>IF((((VLOOKUP(B90,'Data qoq'!$A:$AT,MATCH($V$1,'Data qoq'!$A$1:$AT$1,),))/100+1)^4)-1=0,#N/A,(((VLOOKUP(B90,'Data qoq'!$A:$AT,MATCH($V$1,'Data qoq'!$A$1:$AT$1,),))/100+1)^4)-1)</f>
        <v>4.8882115693350103E-2</v>
      </c>
      <c r="W90" s="32">
        <f>IF((((VLOOKUP(B90,'Data qoq'!$A:$AT,MATCH($W$1,'Data qoq'!$A$1:$AT$1,),))/100+1)^4)-1=0,#N/A,(((VLOOKUP(B90,'Data qoq'!$A:$AT,MATCH($W$1,'Data qoq'!$A$1:$AT$1,),))/100+1)^4)-1)</f>
        <v>5.5712727097191328E-2</v>
      </c>
      <c r="X90" s="32">
        <f>IF((((VLOOKUP(B90,'Data qoq'!$A:$AT,MATCH($X$1,'Data qoq'!$A$1:$AT$1,),))/100+1)^4)-1=0,#N/A,(((VLOOKUP(B90,'Data qoq'!$A:$AT,MATCH($X$1,'Data qoq'!$A$1:$AT$1,),))/100+1)^4)-1)</f>
        <v>2.5403768188025921E-2</v>
      </c>
      <c r="Y90" s="32">
        <f>IF((((VLOOKUP(B90,'Data qoq'!$A:$AT,MATCH($Y$1,'Data qoq'!$A$1:$AT$1,),))/100+1)^4)-1=0,#N/A,(((VLOOKUP(B90,'Data qoq'!$A:$AT,MATCH($Y$1,'Data qoq'!$A$1:$AT$1,),))/100+1)^4)-1)</f>
        <v>1.5446843160005219E-2</v>
      </c>
      <c r="Z90" s="32">
        <f>IF((((VLOOKUP(B90,'Data qoq'!$A:$AU,MATCH($Z$1,'Data qoq'!$A$1:$AU$1,),))/100+1)^4)-1=0,#N/A,(((VLOOKUP(B90,'Data qoq'!$A:$AU,MATCH($Z$1,'Data qoq'!$A$1:$AU$1,),))/100+1)^4)-1)</f>
        <v>-6.6122517698976147E-2</v>
      </c>
      <c r="AA90" s="32">
        <f>IF((((VLOOKUP(B90,'Data qoq'!$A:$AU,MATCH($AA$1,'Data qoq'!$A$1:$AU$1,),))/100+1)^4)-1=0,#N/A,(((VLOOKUP(B90,'Data qoq'!$A:$AU,MATCH($AA$1,'Data qoq'!$A$1:$AU$1,),))/100+1)^4)-1)</f>
        <v>1.3597777798740385E-2</v>
      </c>
      <c r="AC90" s="26" t="str">
        <f t="shared" si="10"/>
        <v>2019-Q4</v>
      </c>
      <c r="AD90" s="31">
        <f t="shared" si="11"/>
        <v>1.4960345240125905E-3</v>
      </c>
    </row>
    <row r="91" spans="1:31" s="72" customFormat="1" x14ac:dyDescent="0.2">
      <c r="A91" s="30">
        <v>43891</v>
      </c>
      <c r="B91" s="24" t="s">
        <v>357</v>
      </c>
      <c r="C91" s="32">
        <f>IF((((VLOOKUP(B91,'Data qoq'!$A:$AT,MATCH($C$1,'Data qoq'!$A$1:$AT$1,),))/100+1)^4)-1=0,#N/A,(((VLOOKUP(B91,'Data qoq'!$A:$AT,MATCH($C$1,'Data qoq'!$A$1:$AT$1,),))/100+1)^4)-1)</f>
        <v>-5.1132545035958321E-2</v>
      </c>
      <c r="D91" s="32">
        <f>IF((((VLOOKUP(B91,'Data qoq'!$A:$AT,MATCH($D$1,'Data qoq'!$A$1:$AT$1,),))/100+1)^4)-1=0,#N/A,(((VLOOKUP(B91,'Data qoq'!$A:$AT,MATCH($D$1,'Data qoq'!$A$1:$AT$1,),))/100+1)^4)-1)</f>
        <v>-0.32919804937499997</v>
      </c>
      <c r="E91" s="32">
        <f>IF((((VLOOKUP(B91,'Data qoq'!$A:$AT,MATCH($E$1,'Data qoq'!$A$1:$AT$1,),))/100+1)^4)-1=0,#N/A,(((VLOOKUP(B91,'Data qoq'!$A:$AT,MATCH($E$1,'Data qoq'!$A$1:$AT$1,),))/100+1)^4)-1)</f>
        <v>-0.1316389894843969</v>
      </c>
      <c r="F91" s="32">
        <f>IF((((VLOOKUP(B91,'Data qoq'!$A:$AT,MATCH($F$1,'Data qoq'!$A$1:$AT$1,),))/100+1)^4)-1=0,#N/A,(((VLOOKUP(B91,'Data qoq'!$A:$AT,MATCH($F$1,'Data qoq'!$A$1:$AT$1,),))/100+1)^4)-1)</f>
        <v>1.2306632768384951E-2</v>
      </c>
      <c r="G91" s="32">
        <f>IF((((VLOOKUP(B91,'Data qoq'!$A:$AT,MATCH($G$1,'Data qoq'!$A$1:$AT$1,),))/100+1)^4)-1=0,#N/A,(((VLOOKUP(B91,'Data qoq'!$A:$AT,MATCH($G$1,'Data qoq'!$A$1:$AT$1,),))/100+1)^4)-1)</f>
        <v>-6.8713840793185432E-2</v>
      </c>
      <c r="H91" s="32">
        <f>IF((((VLOOKUP(B91,'Data qoq'!$A:$AT,MATCH($H$1,'Data qoq'!$A$1:$AT$1,),))/100+1)^4)-1=0,#N/A,(((VLOOKUP(B91,'Data qoq'!$A:$AT,MATCH($H$1,'Data qoq'!$A$1:$AT$1,),))/100+1)^4)-1)</f>
        <v>-0.20913939493075873</v>
      </c>
      <c r="I91" s="32">
        <f>IF((((VLOOKUP(B91,'Data qoq'!$A:$AT,MATCH($I$1,'Data qoq'!$A$1:$AT$1,),))/100+1)^4)-1=0,#N/A,(((VLOOKUP(B91,'Data qoq'!$A:$AT,MATCH($I$1,'Data qoq'!$A$1:$AT$1,),))/100+1)^4)-1)</f>
        <v>-0.10139416357322195</v>
      </c>
      <c r="J91" s="32">
        <f>IF((((VLOOKUP(B91,'Data qoq'!$A:$AT,MATCH($J$1,'Data qoq'!$A$1:$AT$1,),))/100+1)^4)-1=0,#N/A,(((VLOOKUP(B91,'Data qoq'!$A:$AT,MATCH($J$1,'Data qoq'!$A$1:$AT$1,),))/100+1)^4)-1)</f>
        <v>-0.20989953620954072</v>
      </c>
      <c r="K91" s="32">
        <f>IF((((VLOOKUP(B91,'Data qoq'!$A:$AT,MATCH($K$1,'Data qoq'!$A$1:$AT$1,),))/100+1)^4)-1=0,#N/A,(((VLOOKUP(B91,'Data qoq'!$A:$AT,MATCH($K$1,'Data qoq'!$A$1:$AT$1,),))/100+1)^4)-1)</f>
        <v>-0.19882807858069984</v>
      </c>
      <c r="L91" s="32">
        <f>IF((((VLOOKUP(B91,'Data qoq'!$A:$AT,MATCH($L$1,'Data qoq'!$A$1:$AT$1,),))/100+1)^4)-1=0,#N/A,(((VLOOKUP(B91,'Data qoq'!$A:$AT,MATCH($L$1,'Data qoq'!$A$1:$AT$1,),))/100+1)^4)-1)</f>
        <v>-3.2680933496438191E-2</v>
      </c>
      <c r="M91" s="32">
        <f>IF((((VLOOKUP(B91,'Data qoq'!$A:$AT,MATCH($M$1,'Data qoq'!$A$1:$AT$1,),))/100+1)^4)-1=0,#N/A,(((VLOOKUP(B91,'Data qoq'!$A:$AT,MATCH($M$1,'Data qoq'!$A$1:$AT$1,),))/100+1)^4)-1)</f>
        <v>-3.2116218123501183E-2</v>
      </c>
      <c r="N91" s="32">
        <f>IF((((VLOOKUP(B91,'Data qoq'!$A:$AT,MATCH($N$1,'Data qoq'!$A$1:$AT$1,),))/100+1)^4)-1=0,#N/A,(((VLOOKUP(B91,'Data qoq'!$A:$AT,MATCH($N$1,'Data qoq'!$A$1:$AT$1,),))/100+1)^4)-1)</f>
        <v>-7.8298372654671544E-3</v>
      </c>
      <c r="O91" s="32">
        <f>IF((((VLOOKUP(B91,'Data qoq'!$A:$AT,MATCH($O$1,'Data qoq'!$A$1:$AT$1,),))/100+1)^4)-1=0,#N/A,(((VLOOKUP(B91,'Data qoq'!$A:$AT,MATCH($O$1,'Data qoq'!$A$1:$AT$1,),))/100+1)^4)-1)</f>
        <v>7.9632702642411513E-3</v>
      </c>
      <c r="P91" s="32">
        <f>IF((((VLOOKUP(B91,'Data qoq'!$A:$AT,MATCH($P$1,'Data qoq'!$A$1:$AT$1,),))/100+1)^4)-1=0,#N/A,(((VLOOKUP(B91,'Data qoq'!$A:$AT,MATCH($P$1,'Data qoq'!$A$1:$AT$1,),))/100+1)^4)-1)</f>
        <v>-8.3539674992135771E-2</v>
      </c>
      <c r="Q91" s="32">
        <f>IF((((VLOOKUP(B91,'Data qoq'!$A:$AT,MATCH($Q$1,'Data qoq'!$A$1:$AT$1,),))/100+1)^4)-1=0,#N/A,(((VLOOKUP(B91,'Data qoq'!$A:$AT,MATCH($Q$1,'Data qoq'!$A$1:$AT$1,),))/100+1)^4)-1)</f>
        <v>-1.1694892962079373E-2</v>
      </c>
      <c r="R91" s="32">
        <f>IF((((VLOOKUP(B91,'Data qoq'!$A:$AT,MATCH($R$1,'Data qoq'!$A$1:$AT$1,),))/100+1)^4)-1=0,#N/A,(((VLOOKUP(B91,'Data qoq'!$A:$AT,MATCH($R$1,'Data qoq'!$A$1:$AT$1,),))/100+1)^4)-1)</f>
        <v>-5.9655576047648262E-2</v>
      </c>
      <c r="S91" s="32">
        <f>IF((((VLOOKUP(B91,'Data qoq'!$A:$AT,MATCH($S$1,'Data qoq'!$A$1:$AT$1,),))/100+1)^4)-1=0,#N/A,(((VLOOKUP(B91,'Data qoq'!$A:$AT,MATCH($S$1,'Data qoq'!$A$1:$AT$1,),))/100+1)^4)-1)</f>
        <v>-4.9513434502927223E-2</v>
      </c>
      <c r="T91" s="32">
        <f>IF((((VLOOKUP(B91,'Data qoq'!$A:$AT,MATCH($T$1,'Data qoq'!$A$1:$AT$1,),))/100+1)^4)-1=0,#N/A,(((VLOOKUP(B91,'Data qoq'!$A:$AT,MATCH($T$1,'Data qoq'!$A$1:$AT$1,),))/100+1)^4)-1)</f>
        <v>-8.7790231134553642E-2</v>
      </c>
      <c r="U91" s="32">
        <f>IF((((VLOOKUP(B91,'Data qoq'!$A:$AT,MATCH($U$1,'Data qoq'!$A$1:$AT$1,),))/100+1)^4)-1=0,#N/A,(((VLOOKUP(B91,'Data qoq'!$A:$AT,MATCH($U$1,'Data qoq'!$A$1:$AT$1,),))/100+1)^4)-1)</f>
        <v>-6.1902024704059033E-2</v>
      </c>
      <c r="V91" s="32">
        <f>IF((((VLOOKUP(B91,'Data qoq'!$A:$AT,MATCH($V$1,'Data qoq'!$A$1:$AT$1,),))/100+1)^4)-1=0,#N/A,(((VLOOKUP(B91,'Data qoq'!$A:$AT,MATCH($V$1,'Data qoq'!$A$1:$AT$1,),))/100+1)^4)-1)</f>
        <v>0.15512707770446754</v>
      </c>
      <c r="W91" s="32">
        <f>IF((((VLOOKUP(B91,'Data qoq'!$A:$AT,MATCH($W$1,'Data qoq'!$A$1:$AT$1,),))/100+1)^4)-1=0,#N/A,(((VLOOKUP(B91,'Data qoq'!$A:$AT,MATCH($W$1,'Data qoq'!$A$1:$AT$1,),))/100+1)^4)-1)</f>
        <v>1.7969552410650014E-2</v>
      </c>
      <c r="X91" s="32">
        <f>IF((((VLOOKUP(B91,'Data qoq'!$A:$AT,MATCH($X$1,'Data qoq'!$A$1:$AT$1,),))/100+1)^4)-1=0,#N/A,(((VLOOKUP(B91,'Data qoq'!$A:$AT,MATCH($X$1,'Data qoq'!$A$1:$AT$1,),))/100+1)^4)-1)</f>
        <v>-0.12821994753186439</v>
      </c>
      <c r="Y91" s="32">
        <f>IF((((VLOOKUP(B91,'Data qoq'!$A:$AT,MATCH($Y$1,'Data qoq'!$A$1:$AT$1,),))/100+1)^4)-1=0,#N/A,(((VLOOKUP(B91,'Data qoq'!$A:$AT,MATCH($Y$1,'Data qoq'!$A$1:$AT$1,),))/100+1)^4)-1)</f>
        <v>2.9967268044901463E-3</v>
      </c>
      <c r="Z91" s="32">
        <f>IF((((VLOOKUP(B91,'Data qoq'!$A:$AU,MATCH($Z$1,'Data qoq'!$A$1:$AU$1,),))/100+1)^4)-1=0,#N/A,(((VLOOKUP(B91,'Data qoq'!$A:$AU,MATCH($Z$1,'Data qoq'!$A$1:$AU$1,),))/100+1)^4)-1)</f>
        <v>-0.14838150559920915</v>
      </c>
      <c r="AA91" s="32">
        <f>IF((((VLOOKUP(B91,'Data qoq'!$A:$AU,MATCH($AA$1,'Data qoq'!$A$1:$AU$1,),))/100+1)^4)-1=0,#N/A,(((VLOOKUP(B91,'Data qoq'!$A:$AU,MATCH($AA$1,'Data qoq'!$A$1:$AU$1,),))/100+1)^4)-1)</f>
        <v>-4.9966042643958541E-2</v>
      </c>
      <c r="AC91" s="26" t="str">
        <f t="shared" si="10"/>
        <v>2020-Q1</v>
      </c>
      <c r="AD91" s="31">
        <f t="shared" si="11"/>
        <v>-3.0244825911174944E-2</v>
      </c>
    </row>
    <row r="92" spans="1:31" s="72" customFormat="1" x14ac:dyDescent="0.2">
      <c r="A92" s="30">
        <v>43983</v>
      </c>
      <c r="B92" s="24" t="s">
        <v>358</v>
      </c>
      <c r="C92" s="32">
        <f>IF((((VLOOKUP(B92,'Data qoq'!$A:$AT,MATCH($C$1,'Data qoq'!$A$1:$AT$1,),))/100+1)^4)-1=0,#N/A,(((VLOOKUP(B92,'Data qoq'!$A:$AT,MATCH($C$1,'Data qoq'!$A$1:$AT$1,),))/100+1)^4)-1)</f>
        <v>-0.31235698460598726</v>
      </c>
      <c r="D92" s="32">
        <f>IF((((VLOOKUP(B92,'Data qoq'!$A:$AT,MATCH($D$1,'Data qoq'!$A$1:$AT$1,),))/100+1)^4)-1=0,#N/A,(((VLOOKUP(B92,'Data qoq'!$A:$AT,MATCH($D$1,'Data qoq'!$A$1:$AT$1,),))/100+1)^4)-1)</f>
        <v>0.50172525160100001</v>
      </c>
      <c r="E92" s="32">
        <f>IF((((VLOOKUP(B92,'Data qoq'!$A:$AT,MATCH($E$1,'Data qoq'!$A$1:$AT$1,),))/100+1)^4)-1=0,#N/A,(((VLOOKUP(B92,'Data qoq'!$A:$AT,MATCH($E$1,'Data qoq'!$A$1:$AT$1,),))/100+1)^4)-1)</f>
        <v>-0.39159362546986909</v>
      </c>
      <c r="F92" s="32">
        <f>IF((((VLOOKUP(B92,'Data qoq'!$A:$AT,MATCH($F$1,'Data qoq'!$A$1:$AT$1,),))/100+1)^4)-1=0,#N/A,(((VLOOKUP(B92,'Data qoq'!$A:$AT,MATCH($F$1,'Data qoq'!$A$1:$AT$1,),))/100+1)^4)-1)</f>
        <v>-0.28509058822760946</v>
      </c>
      <c r="G92" s="32">
        <f>IF((((VLOOKUP(B92,'Data qoq'!$A:$AT,MATCH($G$1,'Data qoq'!$A$1:$AT$1,),))/100+1)^4)-1=0,#N/A,(((VLOOKUP(B92,'Data qoq'!$A:$AT,MATCH($G$1,'Data qoq'!$A$1:$AT$1,),))/100+1)^4)-1)</f>
        <v>-0.34378964025626724</v>
      </c>
      <c r="H92" s="32">
        <f>IF((((VLOOKUP(B92,'Data qoq'!$A:$AT,MATCH($H$1,'Data qoq'!$A$1:$AT$1,),))/100+1)^4)-1=0,#N/A,(((VLOOKUP(B92,'Data qoq'!$A:$AT,MATCH($H$1,'Data qoq'!$A$1:$AT$1,),))/100+1)^4)-1)</f>
        <v>-0.43923280653090224</v>
      </c>
      <c r="I92" s="32">
        <f>IF((((VLOOKUP(B92,'Data qoq'!$A:$AT,MATCH($I$1,'Data qoq'!$A$1:$AT$1,),))/100+1)^4)-1=0,#N/A,(((VLOOKUP(B92,'Data qoq'!$A:$AT,MATCH($I$1,'Data qoq'!$A$1:$AT$1,),))/100+1)^4)-1)</f>
        <v>-0.57900839237605162</v>
      </c>
      <c r="J92" s="32">
        <f>IF((((VLOOKUP(B92,'Data qoq'!$A:$AT,MATCH($J$1,'Data qoq'!$A$1:$AT$1,),))/100+1)^4)-1=0,#N/A,(((VLOOKUP(B92,'Data qoq'!$A:$AT,MATCH($J$1,'Data qoq'!$A$1:$AT$1,),))/100+1)^4)-1)</f>
        <v>-0.4236806988024423</v>
      </c>
      <c r="K92" s="32">
        <f>IF((((VLOOKUP(B92,'Data qoq'!$A:$AT,MATCH($K$1,'Data qoq'!$A$1:$AT$1,),))/100+1)^4)-1=0,#N/A,(((VLOOKUP(B92,'Data qoq'!$A:$AT,MATCH($K$1,'Data qoq'!$A$1:$AT$1,),))/100+1)^4)-1)</f>
        <v>-0.54015627283445999</v>
      </c>
      <c r="L92" s="32">
        <f>IF((((VLOOKUP(B92,'Data qoq'!$A:$AT,MATCH($L$1,'Data qoq'!$A$1:$AT$1,),))/100+1)^4)-1=0,#N/A,(((VLOOKUP(B92,'Data qoq'!$A:$AT,MATCH($L$1,'Data qoq'!$A$1:$AT$1,),))/100+1)^4)-1)</f>
        <v>-0.27954983450735305</v>
      </c>
      <c r="M92" s="32">
        <f>IF((((VLOOKUP(B92,'Data qoq'!$A:$AT,MATCH($M$1,'Data qoq'!$A$1:$AT$1,),))/100+1)^4)-1=0,#N/A,(((VLOOKUP(B92,'Data qoq'!$A:$AT,MATCH($M$1,'Data qoq'!$A$1:$AT$1,),))/100+1)^4)-1)</f>
        <v>-0.54306467803765246</v>
      </c>
      <c r="N92" s="32">
        <f>IF((((VLOOKUP(B92,'Data qoq'!$A:$AT,MATCH($N$1,'Data qoq'!$A$1:$AT$1,),))/100+1)^4)-1=0,#N/A,(((VLOOKUP(B92,'Data qoq'!$A:$AT,MATCH($N$1,'Data qoq'!$A$1:$AT$1,),))/100+1)^4)-1)</f>
        <v>-0.16768775820460491</v>
      </c>
      <c r="O92" s="32">
        <f>IF((((VLOOKUP(B92,'Data qoq'!$A:$AT,MATCH($O$1,'Data qoq'!$A$1:$AT$1,),))/100+1)^4)-1=0,#N/A,(((VLOOKUP(B92,'Data qoq'!$A:$AT,MATCH($O$1,'Data qoq'!$A$1:$AT$1,),))/100+1)^4)-1)</f>
        <v>-0.68916681886048092</v>
      </c>
      <c r="P92" s="32">
        <f>IF((((VLOOKUP(B92,'Data qoq'!$A:$AT,MATCH($P$1,'Data qoq'!$A$1:$AT$1,),))/100+1)^4)-1=0,#N/A,(((VLOOKUP(B92,'Data qoq'!$A:$AT,MATCH($P$1,'Data qoq'!$A$1:$AT$1,),))/100+1)^4)-1)</f>
        <v>-0.37377622789316389</v>
      </c>
      <c r="Q92" s="32">
        <f>IF((((VLOOKUP(B92,'Data qoq'!$A:$AT,MATCH($Q$1,'Data qoq'!$A$1:$AT$1,),))/100+1)^4)-1=0,#N/A,(((VLOOKUP(B92,'Data qoq'!$A:$AT,MATCH($Q$1,'Data qoq'!$A$1:$AT$1,),))/100+1)^4)-1)</f>
        <v>-0.24525979243995599</v>
      </c>
      <c r="R92" s="32">
        <f>IF((((VLOOKUP(B92,'Data qoq'!$A:$AT,MATCH($R$1,'Data qoq'!$A$1:$AT$1,),))/100+1)^4)-1=0,#N/A,(((VLOOKUP(B92,'Data qoq'!$A:$AT,MATCH($R$1,'Data qoq'!$A$1:$AT$1,),))/100+1)^4)-1)</f>
        <v>-0.22439198471211252</v>
      </c>
      <c r="S92" s="32">
        <f>IF((((VLOOKUP(B92,'Data qoq'!$A:$AT,MATCH($S$1,'Data qoq'!$A$1:$AT$1,),))/100+1)^4)-1=0,#N/A,(((VLOOKUP(B92,'Data qoq'!$A:$AT,MATCH($S$1,'Data qoq'!$A$1:$AT$1,),))/100+1)^4)-1)</f>
        <v>-0.12019736350249632</v>
      </c>
      <c r="T92" s="32">
        <f>IF((((VLOOKUP(B92,'Data qoq'!$A:$AT,MATCH($T$1,'Data qoq'!$A$1:$AT$1,),))/100+1)^4)-1=0,#N/A,(((VLOOKUP(B92,'Data qoq'!$A:$AT,MATCH($T$1,'Data qoq'!$A$1:$AT$1,),))/100+1)^4)-1)</f>
        <v>-0.3098468646059066</v>
      </c>
      <c r="U92" s="32">
        <f>IF((((VLOOKUP(B92,'Data qoq'!$A:$AT,MATCH($U$1,'Data qoq'!$A$1:$AT$1,),))/100+1)^4)-1=0,#N/A,(((VLOOKUP(B92,'Data qoq'!$A:$AT,MATCH($U$1,'Data qoq'!$A$1:$AT$1,),))/100+1)^4)-1)</f>
        <v>-0.45685378363381079</v>
      </c>
      <c r="V92" s="32">
        <f>IF((((VLOOKUP(B92,'Data qoq'!$A:$AT,MATCH($V$1,'Data qoq'!$A$1:$AT$1,),))/100+1)^4)-1=0,#N/A,(((VLOOKUP(B92,'Data qoq'!$A:$AT,MATCH($V$1,'Data qoq'!$A$1:$AT$1,),))/100+1)^4)-1)</f>
        <v>-0.12624665381929612</v>
      </c>
      <c r="W92" s="32">
        <f>IF((((VLOOKUP(B92,'Data qoq'!$A:$AT,MATCH($W$1,'Data qoq'!$A$1:$AT$1,),))/100+1)^4)-1=0,#N/A,(((VLOOKUP(B92,'Data qoq'!$A:$AT,MATCH($W$1,'Data qoq'!$A$1:$AT$1,),))/100+1)^4)-1)</f>
        <v>-0.36606244941348087</v>
      </c>
      <c r="X92" s="32">
        <f>IF((((VLOOKUP(B92,'Data qoq'!$A:$AT,MATCH($X$1,'Data qoq'!$A$1:$AT$1,),))/100+1)^4)-1=0,#N/A,(((VLOOKUP(B92,'Data qoq'!$A:$AT,MATCH($X$1,'Data qoq'!$A$1:$AT$1,),))/100+1)^4)-1)</f>
        <v>-0.31152954077584927</v>
      </c>
      <c r="Y92" s="32">
        <f>IF((((VLOOKUP(B92,'Data qoq'!$A:$AT,MATCH($Y$1,'Data qoq'!$A$1:$AT$1,),))/100+1)^4)-1=0,#N/A,(((VLOOKUP(B92,'Data qoq'!$A:$AT,MATCH($Y$1,'Data qoq'!$A$1:$AT$1,),))/100+1)^4)-1)</f>
        <v>-0.320751028816748</v>
      </c>
      <c r="Z92" s="32">
        <f>IF((((VLOOKUP(B92,'Data qoq'!$A:$AU,MATCH($Z$1,'Data qoq'!$A$1:$AU$1,),))/100+1)^4)-1=0,#N/A,(((VLOOKUP(B92,'Data qoq'!$A:$AU,MATCH($Z$1,'Data qoq'!$A$1:$AU$1,),))/100+1)^4)-1)</f>
        <v>-0.48093339907087618</v>
      </c>
      <c r="AA92" s="32">
        <f>IF((((VLOOKUP(B92,'Data qoq'!$A:$AU,MATCH($AA$1,'Data qoq'!$A$1:$AU$1,),))/100+1)^4)-1=0,#N/A,(((VLOOKUP(B92,'Data qoq'!$A:$AU,MATCH($AA$1,'Data qoq'!$A$1:$AU$1,),))/100+1)^4)-1)</f>
        <v>-0.35171462817921761</v>
      </c>
      <c r="AC92" s="26" t="str">
        <f t="shared" si="10"/>
        <v>2020-Q2</v>
      </c>
      <c r="AD92" s="31">
        <f t="shared" si="11"/>
        <v>0.18741476690618253</v>
      </c>
    </row>
    <row r="93" spans="1:31" s="72" customFormat="1" x14ac:dyDescent="0.2">
      <c r="A93" s="30">
        <v>44075</v>
      </c>
      <c r="B93" s="24" t="s">
        <v>359</v>
      </c>
      <c r="C93" s="32">
        <f>IF((((VLOOKUP(B93,'Data qoq'!$A:$AT,MATCH($C$1,'Data qoq'!$A$1:$AT$1,),))/100+1)^4)-1=0,#N/A,(((VLOOKUP(B93,'Data qoq'!$A:$AT,MATCH($C$1,'Data qoq'!$A$1:$AT$1,),))/100+1)^4)-1)</f>
        <v>0.33783279298685187</v>
      </c>
      <c r="D93" s="32">
        <f>IF((((VLOOKUP(B93,'Data qoq'!$A:$AT,MATCH($D$1,'Data qoq'!$A$1:$AT$1,),))/100+1)^4)-1=0,#N/A,(((VLOOKUP(B93,'Data qoq'!$A:$AT,MATCH($D$1,'Data qoq'!$A$1:$AT$1,),))/100+1)^4)-1)</f>
        <v>0.12114426328099981</v>
      </c>
      <c r="E93" s="32">
        <f>IF((((VLOOKUP(B93,'Data qoq'!$A:$AT,MATCH($E$1,'Data qoq'!$A$1:$AT$1,),))/100+1)^4)-1=0,#N/A,(((VLOOKUP(B93,'Data qoq'!$A:$AT,MATCH($E$1,'Data qoq'!$A$1:$AT$1,),))/100+1)^4)-1)</f>
        <v>0.60470672425098404</v>
      </c>
      <c r="F93" s="32">
        <f>IF((((VLOOKUP(B93,'Data qoq'!$A:$AT,MATCH($F$1,'Data qoq'!$A$1:$AT$1,),))/100+1)^4)-1=0,#N/A,(((VLOOKUP(B93,'Data qoq'!$A:$AT,MATCH($F$1,'Data qoq'!$A$1:$AT$1,),))/100+1)^4)-1)</f>
        <v>0.22054687241794335</v>
      </c>
      <c r="G93" s="32">
        <f>IF((((VLOOKUP(B93,'Data qoq'!$A:$AT,MATCH($G$1,'Data qoq'!$A$1:$AT$1,),))/100+1)^4)-1=0,#N/A,(((VLOOKUP(B93,'Data qoq'!$A:$AT,MATCH($G$1,'Data qoq'!$A$1:$AT$1,),))/100+1)^4)-1)</f>
        <v>0.41381361997255861</v>
      </c>
      <c r="H93" s="32">
        <f>IF((((VLOOKUP(B93,'Data qoq'!$A:$AT,MATCH($H$1,'Data qoq'!$A$1:$AT$1,),))/100+1)^4)-1=0,#N/A,(((VLOOKUP(B93,'Data qoq'!$A:$AT,MATCH($H$1,'Data qoq'!$A$1:$AT$1,),))/100+1)^4)-1)</f>
        <v>0.9732959416689273</v>
      </c>
      <c r="I93" s="32">
        <f>IF((((VLOOKUP(B93,'Data qoq'!$A:$AT,MATCH($I$1,'Data qoq'!$A$1:$AT$1,),))/100+1)^4)-1=0,#N/A,(((VLOOKUP(B93,'Data qoq'!$A:$AT,MATCH($I$1,'Data qoq'!$A$1:$AT$1,),))/100+1)^4)-1)</f>
        <v>0.91083290720623511</v>
      </c>
      <c r="J93" s="32">
        <f>IF((((VLOOKUP(B93,'Data qoq'!$A:$AT,MATCH($J$1,'Data qoq'!$A$1:$AT$1,),))/100+1)^4)-1=0,#N/A,(((VLOOKUP(B93,'Data qoq'!$A:$AT,MATCH($J$1,'Data qoq'!$A$1:$AT$1,),))/100+1)^4)-1)</f>
        <v>0.78711287339453517</v>
      </c>
      <c r="K93" s="32">
        <f>IF((((VLOOKUP(B93,'Data qoq'!$A:$AT,MATCH($K$1,'Data qoq'!$A$1:$AT$1,),))/100+1)^4)-1=0,#N/A,(((VLOOKUP(B93,'Data qoq'!$A:$AT,MATCH($K$1,'Data qoq'!$A$1:$AT$1,),))/100+1)^4)-1)</f>
        <v>0.86100877895409256</v>
      </c>
      <c r="L93" s="32">
        <f>IF((((VLOOKUP(B93,'Data qoq'!$A:$AT,MATCH($L$1,'Data qoq'!$A$1:$AT$1,),))/100+1)^4)-1=0,#N/A,(((VLOOKUP(B93,'Data qoq'!$A:$AT,MATCH($L$1,'Data qoq'!$A$1:$AT$1,),))/100+1)^4)-1)</f>
        <v>0.30589356392723466</v>
      </c>
      <c r="M93" s="32">
        <f>IF((((VLOOKUP(B93,'Data qoq'!$A:$AT,MATCH($M$1,'Data qoq'!$A$1:$AT$1,),))/100+1)^4)-1=0,#N/A,(((VLOOKUP(B93,'Data qoq'!$A:$AT,MATCH($M$1,'Data qoq'!$A$1:$AT$1,),))/100+1)^4)-1)</f>
        <v>0.67541861429051075</v>
      </c>
      <c r="N93" s="32">
        <f>IF((((VLOOKUP(B93,'Data qoq'!$A:$AT,MATCH($N$1,'Data qoq'!$A$1:$AT$1,),))/100+1)^4)-1=0,#N/A,(((VLOOKUP(B93,'Data qoq'!$A:$AT,MATCH($N$1,'Data qoq'!$A$1:$AT$1,),))/100+1)^4)-1)</f>
        <v>0.11584013379575286</v>
      </c>
      <c r="O93" s="32">
        <f>IF((((VLOOKUP(B93,'Data qoq'!$A:$AT,MATCH($O$1,'Data qoq'!$A$1:$AT$1,),))/100+1)^4)-1=0,#N/A,(((VLOOKUP(B93,'Data qoq'!$A:$AT,MATCH($O$1,'Data qoq'!$A$1:$AT$1,),))/100+1)^4)-1)</f>
        <v>1.3687234787462903</v>
      </c>
      <c r="P93" s="32">
        <f>IF((((VLOOKUP(B93,'Data qoq'!$A:$AT,MATCH($P$1,'Data qoq'!$A$1:$AT$1,),))/100+1)^4)-1=0,#N/A,(((VLOOKUP(B93,'Data qoq'!$A:$AT,MATCH($P$1,'Data qoq'!$A$1:$AT$1,),))/100+1)^4)-1)</f>
        <v>0.41075081874519803</v>
      </c>
      <c r="Q93" s="32">
        <f>IF((((VLOOKUP(B93,'Data qoq'!$A:$AT,MATCH($Q$1,'Data qoq'!$A$1:$AT$1,),))/100+1)^4)-1=0,#N/A,(((VLOOKUP(B93,'Data qoq'!$A:$AT,MATCH($Q$1,'Data qoq'!$A$1:$AT$1,),))/100+1)^4)-1)</f>
        <v>0.14380444484261501</v>
      </c>
      <c r="R93" s="32">
        <f>IF((((VLOOKUP(B93,'Data qoq'!$A:$AT,MATCH($R$1,'Data qoq'!$A$1:$AT$1,),))/100+1)^4)-1=0,#N/A,(((VLOOKUP(B93,'Data qoq'!$A:$AT,MATCH($R$1,'Data qoq'!$A$1:$AT$1,),))/100+1)^4)-1)</f>
        <v>0.27766048705664925</v>
      </c>
      <c r="S93" s="32">
        <f>IF((((VLOOKUP(B93,'Data qoq'!$A:$AT,MATCH($S$1,'Data qoq'!$A$1:$AT$1,),))/100+1)^4)-1=0,#N/A,(((VLOOKUP(B93,'Data qoq'!$A:$AT,MATCH($S$1,'Data qoq'!$A$1:$AT$1,),))/100+1)^4)-1)</f>
        <v>9.2374698097843932E-2</v>
      </c>
      <c r="T93" s="32">
        <f>IF((((VLOOKUP(B93,'Data qoq'!$A:$AT,MATCH($T$1,'Data qoq'!$A$1:$AT$1,),))/100+1)^4)-1=0,#N/A,(((VLOOKUP(B93,'Data qoq'!$A:$AT,MATCH($T$1,'Data qoq'!$A$1:$AT$1,),))/100+1)^4)-1)</f>
        <v>0.34885049870719897</v>
      </c>
      <c r="U93" s="32">
        <f>IF((((VLOOKUP(B93,'Data qoq'!$A:$AT,MATCH($U$1,'Data qoq'!$A$1:$AT$1,),))/100+1)^4)-1=0,#N/A,(((VLOOKUP(B93,'Data qoq'!$A:$AT,MATCH($U$1,'Data qoq'!$A$1:$AT$1,),))/100+1)^4)-1)</f>
        <v>0.24288106673270948</v>
      </c>
      <c r="V93" s="32">
        <f>IF((((VLOOKUP(B93,'Data qoq'!$A:$AT,MATCH($V$1,'Data qoq'!$A$1:$AT$1,),))/100+1)^4)-1=0,#N/A,(((VLOOKUP(B93,'Data qoq'!$A:$AT,MATCH($V$1,'Data qoq'!$A$1:$AT$1,),))/100+1)^4)-1)</f>
        <v>0.4360194495161962</v>
      </c>
      <c r="W93" s="32">
        <f>IF((((VLOOKUP(B93,'Data qoq'!$A:$AT,MATCH($W$1,'Data qoq'!$A$1:$AT$1,),))/100+1)^4)-1=0,#N/A,(((VLOOKUP(B93,'Data qoq'!$A:$AT,MATCH($W$1,'Data qoq'!$A$1:$AT$1,),))/100+1)^4)-1)</f>
        <v>0.83577482774931511</v>
      </c>
      <c r="X93" s="32">
        <f>IF((((VLOOKUP(B93,'Data qoq'!$A:$AT,MATCH($X$1,'Data qoq'!$A$1:$AT$1,),))/100+1)^4)-1=0,#N/A,(((VLOOKUP(B93,'Data qoq'!$A:$AT,MATCH($X$1,'Data qoq'!$A$1:$AT$1,),))/100+1)^4)-1)</f>
        <v>0.29871750482305748</v>
      </c>
      <c r="Y93" s="32">
        <f>IF((((VLOOKUP(B93,'Data qoq'!$A:$AT,MATCH($Y$1,'Data qoq'!$A$1:$AT$1,),))/100+1)^4)-1=0,#N/A,(((VLOOKUP(B93,'Data qoq'!$A:$AT,MATCH($Y$1,'Data qoq'!$A$1:$AT$1,),))/100+1)^4)-1)</f>
        <v>0.3372784777224791</v>
      </c>
      <c r="Z93" s="32">
        <f>IF((((VLOOKUP(B93,'Data qoq'!$A:$AU,MATCH($Z$1,'Data qoq'!$A$1:$AU$1,),))/100+1)^4)-1=0,#N/A,(((VLOOKUP(B93,'Data qoq'!$A:$AU,MATCH($Z$1,'Data qoq'!$A$1:$AU$1,),))/100+1)^4)-1)</f>
        <v>0.56833951153924533</v>
      </c>
      <c r="AA93" s="32">
        <f>IF((((VLOOKUP(B93,'Data qoq'!$A:$AU,MATCH($AA$1,'Data qoq'!$A$1:$AU$1,),))/100+1)^4)-1=0,#N/A,(((VLOOKUP(B93,'Data qoq'!$A:$AU,MATCH($AA$1,'Data qoq'!$A$1:$AU$1,),))/100+1)^4)-1)</f>
        <v>0.68035627391393261</v>
      </c>
      <c r="AC93" s="26" t="str">
        <f t="shared" si="10"/>
        <v>2020-Q3</v>
      </c>
      <c r="AD93" s="31">
        <f t="shared" si="11"/>
        <v>-0.30612618295525107</v>
      </c>
    </row>
    <row r="94" spans="1:31" s="72" customFormat="1" x14ac:dyDescent="0.2">
      <c r="A94" s="30">
        <v>44166</v>
      </c>
      <c r="B94" s="24" t="s">
        <v>360</v>
      </c>
      <c r="C94" s="32">
        <f>IF((((VLOOKUP(B94,'Data qoq'!$A:$AT,MATCH($C$1,'Data qoq'!$A$1:$AT$1,),))/100+1)^4)-1=0,#N/A,(((VLOOKUP(B94,'Data qoq'!$A:$AT,MATCH($C$1,'Data qoq'!$A$1:$AT$1,),))/100+1)^4)-1)</f>
        <v>4.5362940383817607E-2</v>
      </c>
      <c r="D94" s="32">
        <f>IF((((VLOOKUP(B94,'Data qoq'!$A:$AT,MATCH($D$1,'Data qoq'!$A$1:$AT$1,),))/100+1)^4)-1=0,#N/A,(((VLOOKUP(B94,'Data qoq'!$A:$AT,MATCH($D$1,'Data qoq'!$A$1:$AT$1,),))/100+1)^4)-1)</f>
        <v>0.13427612057599991</v>
      </c>
      <c r="E94" s="32">
        <f>IF((((VLOOKUP(B94,'Data qoq'!$A:$AT,MATCH($E$1,'Data qoq'!$A$1:$AT$1,),))/100+1)^4)-1=0,#N/A,(((VLOOKUP(B94,'Data qoq'!$A:$AT,MATCH($E$1,'Data qoq'!$A$1:$AT$1,),))/100+1)^4)-1)</f>
        <v>-1.3928729584677391E-2</v>
      </c>
      <c r="F94" s="32">
        <f>IF((((VLOOKUP(B94,'Data qoq'!$A:$AT,MATCH($F$1,'Data qoq'!$A$1:$AT$1,),))/100+1)^4)-1=0,#N/A,(((VLOOKUP(B94,'Data qoq'!$A:$AT,MATCH($F$1,'Data qoq'!$A$1:$AT$1,),))/100+1)^4)-1)</f>
        <v>9.5646025199176865E-2</v>
      </c>
      <c r="G94" s="32">
        <f>IF((((VLOOKUP(B94,'Data qoq'!$A:$AT,MATCH($G$1,'Data qoq'!$A$1:$AT$1,),))/100+1)^4)-1=0,#N/A,(((VLOOKUP(B94,'Data qoq'!$A:$AT,MATCH($G$1,'Data qoq'!$A$1:$AT$1,),))/100+1)^4)-1)</f>
        <v>3.0068670378135431E-2</v>
      </c>
      <c r="H94" s="32">
        <f>IF((((VLOOKUP(B94,'Data qoq'!$A:$AT,MATCH($H$1,'Data qoq'!$A$1:$AT$1,),))/100+1)^4)-1=0,#N/A,(((VLOOKUP(B94,'Data qoq'!$A:$AT,MATCH($H$1,'Data qoq'!$A$1:$AT$1,),))/100+1)^4)-1)</f>
        <v>-4.1479827343995246E-2</v>
      </c>
      <c r="I94" s="32">
        <f>IF((((VLOOKUP(B94,'Data qoq'!$A:$AT,MATCH($I$1,'Data qoq'!$A$1:$AT$1,),))/100+1)^4)-1=0,#N/A,(((VLOOKUP(B94,'Data qoq'!$A:$AT,MATCH($I$1,'Data qoq'!$A$1:$AT$1,),))/100+1)^4)-1)</f>
        <v>6.1467144335567214E-2</v>
      </c>
      <c r="J94" s="32">
        <f>IF((((VLOOKUP(B94,'Data qoq'!$A:$AT,MATCH($J$1,'Data qoq'!$A$1:$AT$1,),))/100+1)^4)-1=0,#N/A,(((VLOOKUP(B94,'Data qoq'!$A:$AT,MATCH($J$1,'Data qoq'!$A$1:$AT$1,),))/100+1)^4)-1)</f>
        <v>-6.3453995904451221E-2</v>
      </c>
      <c r="K94" s="32">
        <f>IF((((VLOOKUP(B94,'Data qoq'!$A:$AT,MATCH($K$1,'Data qoq'!$A$1:$AT$1,),))/100+1)^4)-1=0,#N/A,(((VLOOKUP(B94,'Data qoq'!$A:$AT,MATCH($K$1,'Data qoq'!$A$1:$AT$1,),))/100+1)^4)-1)</f>
        <v>8.9345842637398309E-3</v>
      </c>
      <c r="L94" s="32">
        <f>IF((((VLOOKUP(B94,'Data qoq'!$A:$AT,MATCH($L$1,'Data qoq'!$A$1:$AT$1,),))/100+1)^4)-1=0,#N/A,(((VLOOKUP(B94,'Data qoq'!$A:$AT,MATCH($L$1,'Data qoq'!$A$1:$AT$1,),))/100+1)^4)-1)</f>
        <v>1.2961143178374268E-2</v>
      </c>
      <c r="M94" s="32">
        <f>IF((((VLOOKUP(B94,'Data qoq'!$A:$AT,MATCH($M$1,'Data qoq'!$A$1:$AT$1,),))/100+1)^4)-1=0,#N/A,(((VLOOKUP(B94,'Data qoq'!$A:$AT,MATCH($M$1,'Data qoq'!$A$1:$AT$1,),))/100+1)^4)-1)</f>
        <v>0.12129819744930592</v>
      </c>
      <c r="N94" s="32">
        <f>IF((((VLOOKUP(B94,'Data qoq'!$A:$AT,MATCH($N$1,'Data qoq'!$A$1:$AT$1,),))/100+1)^4)-1=0,#N/A,(((VLOOKUP(B94,'Data qoq'!$A:$AT,MATCH($N$1,'Data qoq'!$A$1:$AT$1,),))/100+1)^4)-1)</f>
        <v>2.9919683186228729E-2</v>
      </c>
      <c r="O94" s="32">
        <f>IF((((VLOOKUP(B94,'Data qoq'!$A:$AT,MATCH($O$1,'Data qoq'!$A$1:$AT$1,),))/100+1)^4)-1=0,#N/A,(((VLOOKUP(B94,'Data qoq'!$A:$AT,MATCH($O$1,'Data qoq'!$A$1:$AT$1,),))/100+1)^4)-1)</f>
        <v>0.38985735844983238</v>
      </c>
      <c r="P94" s="32">
        <f>IF((((VLOOKUP(B94,'Data qoq'!$A:$AT,MATCH($P$1,'Data qoq'!$A$1:$AT$1,),))/100+1)^4)-1=0,#N/A,(((VLOOKUP(B94,'Data qoq'!$A:$AT,MATCH($P$1,'Data qoq'!$A$1:$AT$1,),))/100+1)^4)-1)</f>
        <v>9.0623261417558387E-2</v>
      </c>
      <c r="Q94" s="32">
        <f>IF((((VLOOKUP(B94,'Data qoq'!$A:$AT,MATCH($Q$1,'Data qoq'!$A$1:$AT$1,),))/100+1)^4)-1=0,#N/A,(((VLOOKUP(B94,'Data qoq'!$A:$AT,MATCH($Q$1,'Data qoq'!$A$1:$AT$1,),))/100+1)^4)-1)</f>
        <v>0.13729489688940277</v>
      </c>
      <c r="R94" s="32">
        <f>IF((((VLOOKUP(B94,'Data qoq'!$A:$AT,MATCH($R$1,'Data qoq'!$A$1:$AT$1,),))/100+1)^4)-1=0,#N/A,(((VLOOKUP(B94,'Data qoq'!$A:$AT,MATCH($R$1,'Data qoq'!$A$1:$AT$1,),))/100+1)^4)-1)</f>
        <v>-3.5961277710737649E-3</v>
      </c>
      <c r="S94" s="32">
        <f>IF((((VLOOKUP(B94,'Data qoq'!$A:$AT,MATCH($S$1,'Data qoq'!$A$1:$AT$1,),))/100+1)^4)-1=0,#N/A,(((VLOOKUP(B94,'Data qoq'!$A:$AT,MATCH($S$1,'Data qoq'!$A$1:$AT$1,),))/100+1)^4)-1)</f>
        <v>4.6477628667257465E-2</v>
      </c>
      <c r="T94" s="32">
        <f>IF((((VLOOKUP(B94,'Data qoq'!$A:$AT,MATCH($T$1,'Data qoq'!$A$1:$AT$1,),))/100+1)^4)-1=0,#N/A,(((VLOOKUP(B94,'Data qoq'!$A:$AT,MATCH($T$1,'Data qoq'!$A$1:$AT$1,),))/100+1)^4)-1)</f>
        <v>0.13053178599153514</v>
      </c>
      <c r="U94" s="32">
        <f>IF((((VLOOKUP(B94,'Data qoq'!$A:$AT,MATCH($U$1,'Data qoq'!$A$1:$AT$1,),))/100+1)^4)-1=0,#N/A,(((VLOOKUP(B94,'Data qoq'!$A:$AT,MATCH($U$1,'Data qoq'!$A$1:$AT$1,),))/100+1)^4)-1)</f>
        <v>0.16362823052270925</v>
      </c>
      <c r="V94" s="32">
        <f>IF((((VLOOKUP(B94,'Data qoq'!$A:$AT,MATCH($V$1,'Data qoq'!$A$1:$AT$1,),))/100+1)^4)-1=0,#N/A,(((VLOOKUP(B94,'Data qoq'!$A:$AT,MATCH($V$1,'Data qoq'!$A$1:$AT$1,),))/100+1)^4)-1)</f>
        <v>-0.17449590266266812</v>
      </c>
      <c r="W94" s="32">
        <f>IF((((VLOOKUP(B94,'Data qoq'!$A:$AT,MATCH($W$1,'Data qoq'!$A$1:$AT$1,),))/100+1)^4)-1=0,#N/A,(((VLOOKUP(B94,'Data qoq'!$A:$AT,MATCH($W$1,'Data qoq'!$A$1:$AT$1,),))/100+1)^4)-1)</f>
        <v>4.897560754633079E-2</v>
      </c>
      <c r="X94" s="32">
        <f>IF((((VLOOKUP(B94,'Data qoq'!$A:$AT,MATCH($X$1,'Data qoq'!$A$1:$AT$1,),))/100+1)^4)-1=0,#N/A,(((VLOOKUP(B94,'Data qoq'!$A:$AT,MATCH($X$1,'Data qoq'!$A$1:$AT$1,),))/100+1)^4)-1)</f>
        <v>2.9813309683982991E-2</v>
      </c>
      <c r="Y94" s="32">
        <f>IF((((VLOOKUP(B94,'Data qoq'!$A:$AT,MATCH($Y$1,'Data qoq'!$A$1:$AT$1,),))/100+1)^4)-1=0,#N/A,(((VLOOKUP(B94,'Data qoq'!$A:$AT,MATCH($Y$1,'Data qoq'!$A$1:$AT$1,),))/100+1)^4)-1)</f>
        <v>-9.5662584610906043E-3</v>
      </c>
      <c r="Z94" s="32">
        <f>IF((((VLOOKUP(B94,'Data qoq'!$A:$AU,MATCH($Z$1,'Data qoq'!$A$1:$AU$1,),))/100+1)^4)-1=0,#N/A,(((VLOOKUP(B94,'Data qoq'!$A:$AU,MATCH($Z$1,'Data qoq'!$A$1:$AU$1,),))/100+1)^4)-1)</f>
        <v>0.19213445502075466</v>
      </c>
      <c r="AA94" s="32">
        <f>IF((((VLOOKUP(B94,'Data qoq'!$A:$AU,MATCH($AA$1,'Data qoq'!$A$1:$AU$1,),))/100+1)^4)-1=0,#N/A,(((VLOOKUP(B94,'Data qoq'!$A:$AU,MATCH($AA$1,'Data qoq'!$A$1:$AU$1,),))/100+1)^4)-1)</f>
        <v>-1.4450679721116466E-2</v>
      </c>
      <c r="AC94" s="26" t="str">
        <f t="shared" si="10"/>
        <v>2020-Q4</v>
      </c>
      <c r="AD94" s="31">
        <f t="shared" si="11"/>
        <v>-7.5395873920244605E-2</v>
      </c>
    </row>
    <row r="95" spans="1:31" s="72" customFormat="1" x14ac:dyDescent="0.2">
      <c r="A95" s="30">
        <v>44256</v>
      </c>
      <c r="B95" s="24" t="s">
        <v>361</v>
      </c>
      <c r="C95" s="32">
        <f>IF((((VLOOKUP(B95,'Data qoq'!$A:$AT,MATCH($C$1,'Data qoq'!$A$1:$AT$1,),))/100+1)^4)-1=0,#N/A,(((VLOOKUP(B95,'Data qoq'!$A:$AT,MATCH($C$1,'Data qoq'!$A$1:$AT$1,),))/100+1)^4)-1)</f>
        <v>6.2781766718929433E-2</v>
      </c>
      <c r="D95" s="32">
        <f>IF((((VLOOKUP(B95,'Data qoq'!$A:$AT,MATCH($D$1,'Data qoq'!$A$1:$AT$1,),))/100+1)^4)-1=0,#N/A,(((VLOOKUP(B95,'Data qoq'!$A:$AT,MATCH($D$1,'Data qoq'!$A$1:$AT$1,),))/100+1)^4)-1)</f>
        <v>8.0240320159998824E-3</v>
      </c>
      <c r="E95" s="32">
        <f>IF((((VLOOKUP(B95,'Data qoq'!$A:$AT,MATCH($E$1,'Data qoq'!$A$1:$AT$1,),))/100+1)^4)-1=0,#N/A,(((VLOOKUP(B95,'Data qoq'!$A:$AT,MATCH($E$1,'Data qoq'!$A$1:$AT$1,),))/100+1)^4)-1)</f>
        <v>-8.1647615150903796E-3</v>
      </c>
      <c r="F95" s="32">
        <f>IF((((VLOOKUP(B95,'Data qoq'!$A:$AT,MATCH($F$1,'Data qoq'!$A$1:$AT$1,),))/100+1)^4)-1=0,#N/A,(((VLOOKUP(B95,'Data qoq'!$A:$AT,MATCH($F$1,'Data qoq'!$A$1:$AT$1,),))/100+1)^4)-1)</f>
        <v>-2.861067846474119E-2</v>
      </c>
      <c r="G95" s="32">
        <f>IF((((VLOOKUP(B95,'Data qoq'!$A:$AT,MATCH($G$1,'Data qoq'!$A$1:$AT$1,),))/100+1)^4)-1=0,#N/A,(((VLOOKUP(B95,'Data qoq'!$A:$AT,MATCH($G$1,'Data qoq'!$A$1:$AT$1,),))/100+1)^4)-1)</f>
        <v>-7.2679288299942524E-2</v>
      </c>
      <c r="H95" s="32">
        <f>IF((((VLOOKUP(B95,'Data qoq'!$A:$AT,MATCH($H$1,'Data qoq'!$A$1:$AT$1,),))/100+1)^4)-1=0,#N/A,(((VLOOKUP(B95,'Data qoq'!$A:$AT,MATCH($H$1,'Data qoq'!$A$1:$AT$1,),))/100+1)^4)-1)</f>
        <v>2.1961963757481939E-3</v>
      </c>
      <c r="I95" s="32">
        <f>IF((((VLOOKUP(B95,'Data qoq'!$A:$AT,MATCH($I$1,'Data qoq'!$A$1:$AT$1,),))/100+1)^4)-1=0,#N/A,(((VLOOKUP(B95,'Data qoq'!$A:$AT,MATCH($I$1,'Data qoq'!$A$1:$AT$1,),))/100+1)^4)-1)</f>
        <v>-4.9577976983910088E-2</v>
      </c>
      <c r="J95" s="32">
        <f>IF((((VLOOKUP(B95,'Data qoq'!$A:$AT,MATCH($J$1,'Data qoq'!$A$1:$AT$1,),))/100+1)^4)-1=0,#N/A,(((VLOOKUP(B95,'Data qoq'!$A:$AT,MATCH($J$1,'Data qoq'!$A$1:$AT$1,),))/100+1)^4)-1)</f>
        <v>1.1147050952291071E-2</v>
      </c>
      <c r="K95" s="32">
        <f>IF((((VLOOKUP(B95,'Data qoq'!$A:$AT,MATCH($K$1,'Data qoq'!$A$1:$AT$1,),))/100+1)^4)-1=0,#N/A,(((VLOOKUP(B95,'Data qoq'!$A:$AT,MATCH($K$1,'Data qoq'!$A$1:$AT$1,),))/100+1)^4)-1)</f>
        <v>-2.5042729058748381E-2</v>
      </c>
      <c r="L95" s="32">
        <f>IF((((VLOOKUP(B95,'Data qoq'!$A:$AT,MATCH($L$1,'Data qoq'!$A$1:$AT$1,),))/100+1)^4)-1=0,#N/A,(((VLOOKUP(B95,'Data qoq'!$A:$AT,MATCH($L$1,'Data qoq'!$A$1:$AT$1,),))/100+1)^4)-1)</f>
        <v>4.9581829122653742E-2</v>
      </c>
      <c r="M95" s="32">
        <f>IF((((VLOOKUP(B95,'Data qoq'!$A:$AT,MATCH($M$1,'Data qoq'!$A$1:$AT$1,),))/100+1)^4)-1=0,#N/A,(((VLOOKUP(B95,'Data qoq'!$A:$AT,MATCH($M$1,'Data qoq'!$A$1:$AT$1,),))/100+1)^4)-1)</f>
        <v>4.1037738019492398E-2</v>
      </c>
      <c r="N95" s="32">
        <f>IF((((VLOOKUP(B95,'Data qoq'!$A:$AT,MATCH($N$1,'Data qoq'!$A$1:$AT$1,),))/100+1)^4)-1=0,#N/A,(((VLOOKUP(B95,'Data qoq'!$A:$AT,MATCH($N$1,'Data qoq'!$A$1:$AT$1,),))/100+1)^4)-1)</f>
        <v>2.7510921764817731E-2</v>
      </c>
      <c r="O95" s="32">
        <f>IF((((VLOOKUP(B95,'Data qoq'!$A:$AT,MATCH($O$1,'Data qoq'!$A$1:$AT$1,),))/100+1)^4)-1=0,#N/A,(((VLOOKUP(B95,'Data qoq'!$A:$AT,MATCH($O$1,'Data qoq'!$A$1:$AT$1,),))/100+1)^4)-1)</f>
        <v>1.4928451620064731E-2</v>
      </c>
      <c r="P95" s="32">
        <f>IF((((VLOOKUP(B95,'Data qoq'!$A:$AT,MATCH($P$1,'Data qoq'!$A$1:$AT$1,),))/100+1)^4)-1=0,#N/A,(((VLOOKUP(B95,'Data qoq'!$A:$AT,MATCH($P$1,'Data qoq'!$A$1:$AT$1,),))/100+1)^4)-1)</f>
        <v>4.9065887111631179E-2</v>
      </c>
      <c r="Q95" s="32">
        <f>IF((((VLOOKUP(B95,'Data qoq'!$A:$AT,MATCH($Q$1,'Data qoq'!$A$1:$AT$1,),))/100+1)^4)-1=0,#N/A,(((VLOOKUP(B95,'Data qoq'!$A:$AT,MATCH($Q$1,'Data qoq'!$A$1:$AT$1,),))/100+1)^4)-1)</f>
        <v>7.4836752101848036E-2</v>
      </c>
      <c r="R95" s="32">
        <f>IF((((VLOOKUP(B95,'Data qoq'!$A:$AT,MATCH($R$1,'Data qoq'!$A$1:$AT$1,),))/100+1)^4)-1=0,#N/A,(((VLOOKUP(B95,'Data qoq'!$A:$AT,MATCH($R$1,'Data qoq'!$A$1:$AT$1,),))/100+1)^4)-1)</f>
        <v>-5.6209207298867359E-3</v>
      </c>
      <c r="S95" s="32">
        <f>IF((((VLOOKUP(B95,'Data qoq'!$A:$AT,MATCH($S$1,'Data qoq'!$A$1:$AT$1,),))/100+1)^4)-1=0,#N/A,(((VLOOKUP(B95,'Data qoq'!$A:$AT,MATCH($S$1,'Data qoq'!$A$1:$AT$1,),))/100+1)^4)-1)</f>
        <v>7.1454881525572667E-2</v>
      </c>
      <c r="T95" s="32">
        <f>IF((((VLOOKUP(B95,'Data qoq'!$A:$AT,MATCH($T$1,'Data qoq'!$A$1:$AT$1,),))/100+1)^4)-1=0,#N/A,(((VLOOKUP(B95,'Data qoq'!$A:$AT,MATCH($T$1,'Data qoq'!$A$1:$AT$1,),))/100+1)^4)-1)</f>
        <v>5.4831261194784764E-2</v>
      </c>
      <c r="U95" s="32">
        <f>IF((((VLOOKUP(B95,'Data qoq'!$A:$AT,MATCH($U$1,'Data qoq'!$A$1:$AT$1,),))/100+1)^4)-1=0,#N/A,(((VLOOKUP(B95,'Data qoq'!$A:$AT,MATCH($U$1,'Data qoq'!$A$1:$AT$1,),))/100+1)^4)-1)</f>
        <v>0.17880928475881719</v>
      </c>
      <c r="V95" s="32">
        <f>IF((((VLOOKUP(B95,'Data qoq'!$A:$AT,MATCH($V$1,'Data qoq'!$A$1:$AT$1,),))/100+1)^4)-1=0,#N/A,(((VLOOKUP(B95,'Data qoq'!$A:$AT,MATCH($V$1,'Data qoq'!$A$1:$AT$1,),))/100+1)^4)-1)</f>
        <v>0.46561165458941023</v>
      </c>
      <c r="W95" s="32">
        <f>IF((((VLOOKUP(B95,'Data qoq'!$A:$AT,MATCH($W$1,'Data qoq'!$A$1:$AT$1,),))/100+1)^4)-1=0,#N/A,(((VLOOKUP(B95,'Data qoq'!$A:$AT,MATCH($W$1,'Data qoq'!$A$1:$AT$1,),))/100+1)^4)-1)</f>
        <v>0.10073261335079953</v>
      </c>
      <c r="X95" s="32">
        <f>IF((((VLOOKUP(B95,'Data qoq'!$A:$AT,MATCH($X$1,'Data qoq'!$A$1:$AT$1,),))/100+1)^4)-1=0,#N/A,(((VLOOKUP(B95,'Data qoq'!$A:$AT,MATCH($X$1,'Data qoq'!$A$1:$AT$1,),))/100+1)^4)-1)</f>
        <v>-1.6801790062221267E-2</v>
      </c>
      <c r="Y95" s="32">
        <f>IF((((VLOOKUP(B95,'Data qoq'!$A:$AT,MATCH($Y$1,'Data qoq'!$A$1:$AT$1,),))/100+1)^4)-1=0,#N/A,(((VLOOKUP(B95,'Data qoq'!$A:$AT,MATCH($Y$1,'Data qoq'!$A$1:$AT$1,),))/100+1)^4)-1)</f>
        <v>6.3959057250437601E-2</v>
      </c>
      <c r="Z95" s="32">
        <f>IF((((VLOOKUP(B95,'Data qoq'!$A:$AU,MATCH($Z$1,'Data qoq'!$A$1:$AU$1,),))/100+1)^4)-1=0,#N/A,(((VLOOKUP(B95,'Data qoq'!$A:$AU,MATCH($Z$1,'Data qoq'!$A$1:$AU$1,),))/100+1)^4)-1)</f>
        <v>0.13906351178352927</v>
      </c>
      <c r="AA95" s="32">
        <f>IF((((VLOOKUP(B95,'Data qoq'!$A:$AU,MATCH($AA$1,'Data qoq'!$A$1:$AU$1,),))/100+1)^4)-1=0,#N/A,(((VLOOKUP(B95,'Data qoq'!$A:$AU,MATCH($AA$1,'Data qoq'!$A$1:$AU$1,),))/100+1)^4)-1)</f>
        <v>5.967312572012351E-2</v>
      </c>
      <c r="AC95" s="26" t="str">
        <f t="shared" si="10"/>
        <v>2021-Q1</v>
      </c>
      <c r="AD95" s="31">
        <f t="shared" si="11"/>
        <v>4.1413215468819708E-2</v>
      </c>
    </row>
    <row r="96" spans="1:31" s="72" customFormat="1" x14ac:dyDescent="0.2">
      <c r="A96" s="30">
        <v>44348</v>
      </c>
      <c r="B96" s="24" t="s">
        <v>362</v>
      </c>
      <c r="C96" s="32">
        <f>IF((((VLOOKUP(B96,'Data qoq'!$A:$AT,MATCH($C$1,'Data qoq'!$A$1:$AT$1,),))/100+1)^4)-1=0,#N/A,(((VLOOKUP(B96,'Data qoq'!$A:$AT,MATCH($C$1,'Data qoq'!$A$1:$AT$1,),))/100+1)^4)-1)</f>
        <v>6.726283147809986E-2</v>
      </c>
      <c r="D96" s="32">
        <f>IF((((VLOOKUP(B96,'Data qoq'!$A:$AT,MATCH($D$1,'Data qoq'!$A$1:$AT$1,),))/100+1)^4)-1=0,#N/A,(((VLOOKUP(B96,'Data qoq'!$A:$AT,MATCH($D$1,'Data qoq'!$A$1:$AT$1,),))/100+1)^4)-1)</f>
        <v>4.8870932735999961E-2</v>
      </c>
      <c r="E96" s="32">
        <f>IF((((VLOOKUP(B96,'Data qoq'!$A:$AT,MATCH($E$1,'Data qoq'!$A$1:$AT$1,),))/100+1)^4)-1=0,#N/A,(((VLOOKUP(B96,'Data qoq'!$A:$AT,MATCH($E$1,'Data qoq'!$A$1:$AT$1,),))/100+1)^4)-1)</f>
        <v>9.0563657642715567E-2</v>
      </c>
      <c r="F96" s="32">
        <f>IF((((VLOOKUP(B96,'Data qoq'!$A:$AT,MATCH($F$1,'Data qoq'!$A$1:$AT$1,),))/100+1)^4)-1=0,#N/A,(((VLOOKUP(B96,'Data qoq'!$A:$AT,MATCH($F$1,'Data qoq'!$A$1:$AT$1,),))/100+1)^4)-1)</f>
        <v>1.9721305955975321E-2</v>
      </c>
      <c r="G96" s="32">
        <f>IF((((VLOOKUP(B96,'Data qoq'!$A:$AT,MATCH($G$1,'Data qoq'!$A$1:$AT$1,),))/100+1)^4)-1=0,#N/A,(((VLOOKUP(B96,'Data qoq'!$A:$AT,MATCH($G$1,'Data qoq'!$A$1:$AT$1,),))/100+1)^4)-1)</f>
        <v>8.3344327212658831E-2</v>
      </c>
      <c r="H96" s="32">
        <f>IF((((VLOOKUP(B96,'Data qoq'!$A:$AT,MATCH($H$1,'Data qoq'!$A$1:$AT$1,),))/100+1)^4)-1=0,#N/A,(((VLOOKUP(B96,'Data qoq'!$A:$AT,MATCH($H$1,'Data qoq'!$A$1:$AT$1,),))/100+1)^4)-1)</f>
        <v>5.1636257672536656E-2</v>
      </c>
      <c r="I96" s="32">
        <f>IF((((VLOOKUP(B96,'Data qoq'!$A:$AT,MATCH($I$1,'Data qoq'!$A$1:$AT$1,),))/100+1)^4)-1=0,#N/A,(((VLOOKUP(B96,'Data qoq'!$A:$AT,MATCH($I$1,'Data qoq'!$A$1:$AT$1,),))/100+1)^4)-1)</f>
        <v>0.23563339931097849</v>
      </c>
      <c r="J96" s="32">
        <f>IF((((VLOOKUP(B96,'Data qoq'!$A:$AT,MATCH($J$1,'Data qoq'!$A$1:$AT$1,),))/100+1)^4)-1=0,#N/A,(((VLOOKUP(B96,'Data qoq'!$A:$AT,MATCH($J$1,'Data qoq'!$A$1:$AT$1,),))/100+1)^4)-1)</f>
        <v>0.11117249985503364</v>
      </c>
      <c r="K96" s="32">
        <f>IF((((VLOOKUP(B96,'Data qoq'!$A:$AT,MATCH($K$1,'Data qoq'!$A$1:$AT$1,),))/100+1)^4)-1=0,#N/A,(((VLOOKUP(B96,'Data qoq'!$A:$AT,MATCH($K$1,'Data qoq'!$A$1:$AT$1,),))/100+1)^4)-1)</f>
        <v>4.2971421102016016E-2</v>
      </c>
      <c r="L96" s="32">
        <f>IF((((VLOOKUP(B96,'Data qoq'!$A:$AT,MATCH($L$1,'Data qoq'!$A$1:$AT$1,),))/100+1)^4)-1=0,#N/A,(((VLOOKUP(B96,'Data qoq'!$A:$AT,MATCH($L$1,'Data qoq'!$A$1:$AT$1,),))/100+1)^4)-1)</f>
        <v>3.8932278310946922E-2</v>
      </c>
      <c r="M96" s="32">
        <f>IF((((VLOOKUP(B96,'Data qoq'!$A:$AT,MATCH($M$1,'Data qoq'!$A$1:$AT$1,),))/100+1)^4)-1=0,#N/A,(((VLOOKUP(B96,'Data qoq'!$A:$AT,MATCH($M$1,'Data qoq'!$A$1:$AT$1,),))/100+1)^4)-1)</f>
        <v>4.6845463715779134E-2</v>
      </c>
      <c r="N96" s="32">
        <f>IF((((VLOOKUP(B96,'Data qoq'!$A:$AT,MATCH($N$1,'Data qoq'!$A$1:$AT$1,),))/100+1)^4)-1=0,#N/A,(((VLOOKUP(B96,'Data qoq'!$A:$AT,MATCH($N$1,'Data qoq'!$A$1:$AT$1,),))/100+1)^4)-1)</f>
        <v>0.13387758235823033</v>
      </c>
      <c r="O96" s="32">
        <f>IF((((VLOOKUP(B96,'Data qoq'!$A:$AT,MATCH($O$1,'Data qoq'!$A$1:$AT$1,),))/100+1)^4)-1=0,#N/A,(((VLOOKUP(B96,'Data qoq'!$A:$AT,MATCH($O$1,'Data qoq'!$A$1:$AT$1,),))/100+1)^4)-1)</f>
        <v>-0.38964450554365193</v>
      </c>
      <c r="P96" s="32">
        <f>IF((((VLOOKUP(B96,'Data qoq'!$A:$AT,MATCH($P$1,'Data qoq'!$A$1:$AT$1,),))/100+1)^4)-1=0,#N/A,(((VLOOKUP(B96,'Data qoq'!$A:$AT,MATCH($P$1,'Data qoq'!$A$1:$AT$1,),))/100+1)^4)-1)</f>
        <v>-3.1575227201146139E-2</v>
      </c>
      <c r="Q96" s="32">
        <f>IF((((VLOOKUP(B96,'Data qoq'!$A:$AT,MATCH($Q$1,'Data qoq'!$A$1:$AT$1,),))/100+1)^4)-1=0,#N/A,(((VLOOKUP(B96,'Data qoq'!$A:$AT,MATCH($Q$1,'Data qoq'!$A$1:$AT$1,),))/100+1)^4)-1)</f>
        <v>2.842868321187586E-2</v>
      </c>
      <c r="R96" s="32">
        <f>IF((((VLOOKUP(B96,'Data qoq'!$A:$AT,MATCH($R$1,'Data qoq'!$A$1:$AT$1,),))/100+1)^4)-1=0,#N/A,(((VLOOKUP(B96,'Data qoq'!$A:$AT,MATCH($R$1,'Data qoq'!$A$1:$AT$1,),))/100+1)^4)-1)</f>
        <v>7.3590855922758935E-2</v>
      </c>
      <c r="S96" s="32">
        <f>IF((((VLOOKUP(B96,'Data qoq'!$A:$AT,MATCH($S$1,'Data qoq'!$A$1:$AT$1,),))/100+1)^4)-1=0,#N/A,(((VLOOKUP(B96,'Data qoq'!$A:$AT,MATCH($S$1,'Data qoq'!$A$1:$AT$1,),))/100+1)^4)-1)</f>
        <v>3.1186696754773591E-2</v>
      </c>
      <c r="T96" s="32">
        <f>IF((((VLOOKUP(B96,'Data qoq'!$A:$AT,MATCH($T$1,'Data qoq'!$A$1:$AT$1,),))/100+1)^4)-1=0,#N/A,(((VLOOKUP(B96,'Data qoq'!$A:$AT,MATCH($T$1,'Data qoq'!$A$1:$AT$1,),))/100+1)^4)-1)</f>
        <v>-1.397275758101979E-2</v>
      </c>
      <c r="U96" s="32">
        <f>IF((((VLOOKUP(B96,'Data qoq'!$A:$AT,MATCH($U$1,'Data qoq'!$A$1:$AT$1,),))/100+1)^4)-1=0,#N/A,(((VLOOKUP(B96,'Data qoq'!$A:$AT,MATCH($U$1,'Data qoq'!$A$1:$AT$1,),))/100+1)^4)-1)</f>
        <v>8.4698121054826547E-2</v>
      </c>
      <c r="V96" s="32">
        <f>IF((((VLOOKUP(B96,'Data qoq'!$A:$AT,MATCH($V$1,'Data qoq'!$A$1:$AT$1,),))/100+1)^4)-1=0,#N/A,(((VLOOKUP(B96,'Data qoq'!$A:$AT,MATCH($V$1,'Data qoq'!$A$1:$AT$1,),))/100+1)^4)-1)</f>
        <v>0.22693948815668352</v>
      </c>
      <c r="W96" s="32">
        <f>IF((((VLOOKUP(B96,'Data qoq'!$A:$AT,MATCH($W$1,'Data qoq'!$A$1:$AT$1,),))/100+1)^4)-1=0,#N/A,(((VLOOKUP(B96,'Data qoq'!$A:$AT,MATCH($W$1,'Data qoq'!$A$1:$AT$1,),))/100+1)^4)-1)</f>
        <v>6.1425473832428246E-2</v>
      </c>
      <c r="X96" s="32">
        <f>IF((((VLOOKUP(B96,'Data qoq'!$A:$AT,MATCH($X$1,'Data qoq'!$A$1:$AT$1,),))/100+1)^4)-1=0,#N/A,(((VLOOKUP(B96,'Data qoq'!$A:$AT,MATCH($X$1,'Data qoq'!$A$1:$AT$1,),))/100+1)^4)-1)</f>
        <v>5.3062300419772557E-2</v>
      </c>
      <c r="Y96" s="32">
        <f>IF((((VLOOKUP(B96,'Data qoq'!$A:$AT,MATCH($Y$1,'Data qoq'!$A$1:$AT$1,),))/100+1)^4)-1=0,#N/A,(((VLOOKUP(B96,'Data qoq'!$A:$AT,MATCH($Y$1,'Data qoq'!$A$1:$AT$1,),))/100+1)^4)-1)</f>
        <v>7.3949157585040393E-2</v>
      </c>
      <c r="Z96" s="32">
        <f>IF((((VLOOKUP(B96,'Data qoq'!$A:$AU,MATCH($Z$1,'Data qoq'!$A$1:$AU$1,),))/100+1)^4)-1=0,#N/A,(((VLOOKUP(B96,'Data qoq'!$A:$AU,MATCH($Z$1,'Data qoq'!$A$1:$AU$1,),))/100+1)^4)-1)</f>
        <v>-3.7023016808544473E-2</v>
      </c>
      <c r="AA96" s="32">
        <f>IF((((VLOOKUP(B96,'Data qoq'!$A:$AU,MATCH($AA$1,'Data qoq'!$A$1:$AU$1,),))/100+1)^4)-1=0,#N/A,(((VLOOKUP(B96,'Data qoq'!$A:$AU,MATCH($AA$1,'Data qoq'!$A$1:$AU$1,),))/100+1)^4)-1)</f>
        <v>0.10059149343736906</v>
      </c>
      <c r="AC96" s="26" t="str">
        <f t="shared" si="10"/>
        <v>2021-Q2</v>
      </c>
      <c r="AD96" s="31">
        <f t="shared" si="11"/>
        <v>-0.14506974166826292</v>
      </c>
    </row>
    <row r="97" spans="1:30" s="72" customFormat="1" x14ac:dyDescent="0.2">
      <c r="A97" s="30">
        <v>44440</v>
      </c>
      <c r="B97" s="24" t="s">
        <v>363</v>
      </c>
      <c r="C97" s="32">
        <f>IF((((VLOOKUP(B97,'Data qoq'!$A:$AT,MATCH($C$1,'Data qoq'!$A$1:$AT$1,),))/100+1)^4)-1=0,#N/A,(((VLOOKUP(B97,'Data qoq'!$A:$AT,MATCH($C$1,'Data qoq'!$A$1:$AT$1,),))/100+1)^4)-1)</f>
        <v>2.303425902456091E-2</v>
      </c>
      <c r="D97" s="32">
        <f>IF((((VLOOKUP(B97,'Data qoq'!$A:$AT,MATCH($D$1,'Data qoq'!$A$1:$AT$1,),))/100+1)^4)-1=0,#N/A,(((VLOOKUP(B97,'Data qoq'!$A:$AT,MATCH($D$1,'Data qoq'!$A$1:$AT$1,),))/100+1)^4)-1)</f>
        <v>8.0240320159998824E-3</v>
      </c>
      <c r="E97" s="32">
        <f>IF((((VLOOKUP(B97,'Data qoq'!$A:$AT,MATCH($E$1,'Data qoq'!$A$1:$AT$1,),))/100+1)^4)-1=0,#N/A,(((VLOOKUP(B97,'Data qoq'!$A:$AT,MATCH($E$1,'Data qoq'!$A$1:$AT$1,),))/100+1)^4)-1)</f>
        <v>9.0678448209687845E-2</v>
      </c>
      <c r="F97" s="32">
        <f>IF((((VLOOKUP(B97,'Data qoq'!$A:$AT,MATCH($F$1,'Data qoq'!$A$1:$AT$1,),))/100+1)^4)-1=0,#N/A,(((VLOOKUP(B97,'Data qoq'!$A:$AT,MATCH($F$1,'Data qoq'!$A$1:$AT$1,),))/100+1)^4)-1)</f>
        <v>-3.5621327204640396E-2</v>
      </c>
      <c r="G97" s="32">
        <f>IF((((VLOOKUP(B97,'Data qoq'!$A:$AT,MATCH($G$1,'Data qoq'!$A$1:$AT$1,),))/100+1)^4)-1=0,#N/A,(((VLOOKUP(B97,'Data qoq'!$A:$AT,MATCH($G$1,'Data qoq'!$A$1:$AT$1,),))/100+1)^4)-1)</f>
        <v>6.9512894523762414E-2</v>
      </c>
      <c r="H97" s="32">
        <f>IF((((VLOOKUP(B97,'Data qoq'!$A:$AT,MATCH($H$1,'Data qoq'!$A$1:$AT$1,),))/100+1)^4)-1=0,#N/A,(((VLOOKUP(B97,'Data qoq'!$A:$AT,MATCH($H$1,'Data qoq'!$A$1:$AT$1,),))/100+1)^4)-1)</f>
        <v>0.12599744104114774</v>
      </c>
      <c r="I97" s="32">
        <f>IF((((VLOOKUP(B97,'Data qoq'!$A:$AT,MATCH($I$1,'Data qoq'!$A$1:$AT$1,),))/100+1)^4)-1=0,#N/A,(((VLOOKUP(B97,'Data qoq'!$A:$AT,MATCH($I$1,'Data qoq'!$A$1:$AT$1,),))/100+1)^4)-1)</f>
        <v>4.3129681082444415E-2</v>
      </c>
      <c r="J97" s="32">
        <f>IF((((VLOOKUP(B97,'Data qoq'!$A:$AT,MATCH($J$1,'Data qoq'!$A$1:$AT$1,),))/100+1)^4)-1=0,#N/A,(((VLOOKUP(B97,'Data qoq'!$A:$AT,MATCH($J$1,'Data qoq'!$A$1:$AT$1,),))/100+1)^4)-1)</f>
        <v>0.10952858741750582</v>
      </c>
      <c r="K97" s="32">
        <f>IF((((VLOOKUP(B97,'Data qoq'!$A:$AT,MATCH($K$1,'Data qoq'!$A$1:$AT$1,),))/100+1)^4)-1=0,#N/A,(((VLOOKUP(B97,'Data qoq'!$A:$AT,MATCH($K$1,'Data qoq'!$A$1:$AT$1,),))/100+1)^4)-1)</f>
        <v>8.2952694188220821E-2</v>
      </c>
      <c r="L97" s="32">
        <f>IF((((VLOOKUP(B97,'Data qoq'!$A:$AT,MATCH($L$1,'Data qoq'!$A$1:$AT$1,),))/100+1)^4)-1=0,#N/A,(((VLOOKUP(B97,'Data qoq'!$A:$AT,MATCH($L$1,'Data qoq'!$A$1:$AT$1,),))/100+1)^4)-1)</f>
        <v>8.1593241861446009E-2</v>
      </c>
      <c r="M97" s="32">
        <f>IF((((VLOOKUP(B97,'Data qoq'!$A:$AT,MATCH($M$1,'Data qoq'!$A$1:$AT$1,),))/100+1)^4)-1=0,#N/A,(((VLOOKUP(B97,'Data qoq'!$A:$AT,MATCH($M$1,'Data qoq'!$A$1:$AT$1,),))/100+1)^4)-1)</f>
        <v>-1.7224255381109721E-2</v>
      </c>
      <c r="N97" s="32">
        <f>IF((((VLOOKUP(B97,'Data qoq'!$A:$AT,MATCH($N$1,'Data qoq'!$A$1:$AT$1,),))/100+1)^4)-1=0,#N/A,(((VLOOKUP(B97,'Data qoq'!$A:$AT,MATCH($N$1,'Data qoq'!$A$1:$AT$1,),))/100+1)^4)-1)</f>
        <v>-3.1403494139439658E-2</v>
      </c>
      <c r="O97" s="32">
        <f>IF((((VLOOKUP(B97,'Data qoq'!$A:$AT,MATCH($O$1,'Data qoq'!$A$1:$AT$1,),))/100+1)^4)-1=0,#N/A,(((VLOOKUP(B97,'Data qoq'!$A:$AT,MATCH($O$1,'Data qoq'!$A$1:$AT$1,),))/100+1)^4)-1)</f>
        <v>0.61246056410348282</v>
      </c>
      <c r="P97" s="32">
        <f>IF((((VLOOKUP(B97,'Data qoq'!$A:$AT,MATCH($P$1,'Data qoq'!$A$1:$AT$1,),))/100+1)^4)-1=0,#N/A,(((VLOOKUP(B97,'Data qoq'!$A:$AT,MATCH($P$1,'Data qoq'!$A$1:$AT$1,),))/100+1)^4)-1)</f>
        <v>5.4483666640702477E-2</v>
      </c>
      <c r="Q97" s="32">
        <f>IF((((VLOOKUP(B97,'Data qoq'!$A:$AT,MATCH($Q$1,'Data qoq'!$A$1:$AT$1,),))/100+1)^4)-1=0,#N/A,(((VLOOKUP(B97,'Data qoq'!$A:$AT,MATCH($Q$1,'Data qoq'!$A$1:$AT$1,),))/100+1)^4)-1)</f>
        <v>-7.4694608894538495E-2</v>
      </c>
      <c r="R97" s="32">
        <f>IF((((VLOOKUP(B97,'Data qoq'!$A:$AT,MATCH($R$1,'Data qoq'!$A$1:$AT$1,),))/100+1)^4)-1=0,#N/A,(((VLOOKUP(B97,'Data qoq'!$A:$AT,MATCH($R$1,'Data qoq'!$A$1:$AT$1,),))/100+1)^4)-1)</f>
        <v>6.8479446648617603E-2</v>
      </c>
      <c r="S97" s="32">
        <f>IF((((VLOOKUP(B97,'Data qoq'!$A:$AT,MATCH($S$1,'Data qoq'!$A$1:$AT$1,),))/100+1)^4)-1=0,#N/A,(((VLOOKUP(B97,'Data qoq'!$A:$AT,MATCH($S$1,'Data qoq'!$A$1:$AT$1,),))/100+1)^4)-1)</f>
        <v>1.2504759608591876E-2</v>
      </c>
      <c r="T97" s="32">
        <f>IF((((VLOOKUP(B97,'Data qoq'!$A:$AT,MATCH($T$1,'Data qoq'!$A$1:$AT$1,),))/100+1)^4)-1=0,#N/A,(((VLOOKUP(B97,'Data qoq'!$A:$AT,MATCH($T$1,'Data qoq'!$A$1:$AT$1,),))/100+1)^4)-1)</f>
        <v>-3.7484654063977274E-3</v>
      </c>
      <c r="U97" s="32">
        <f>IF((((VLOOKUP(B97,'Data qoq'!$A:$AT,MATCH($U$1,'Data qoq'!$A$1:$AT$1,),))/100+1)^4)-1=0,#N/A,(((VLOOKUP(B97,'Data qoq'!$A:$AT,MATCH($U$1,'Data qoq'!$A$1:$AT$1,),))/100+1)^4)-1)</f>
        <v>0.11292888725663786</v>
      </c>
      <c r="V97" s="32">
        <f>IF((((VLOOKUP(B97,'Data qoq'!$A:$AT,MATCH($V$1,'Data qoq'!$A$1:$AT$1,),))/100+1)^4)-1=0,#N/A,(((VLOOKUP(B97,'Data qoq'!$A:$AT,MATCH($V$1,'Data qoq'!$A$1:$AT$1,),))/100+1)^4)-1)</f>
        <v>3.8365126998228138E-2</v>
      </c>
      <c r="W97" s="32">
        <f>IF((((VLOOKUP(B97,'Data qoq'!$A:$AT,MATCH($W$1,'Data qoq'!$A$1:$AT$1,),))/100+1)^4)-1=0,#N/A,(((VLOOKUP(B97,'Data qoq'!$A:$AT,MATCH($W$1,'Data qoq'!$A$1:$AT$1,),))/100+1)^4)-1)</f>
        <v>0.11286164918303276</v>
      </c>
      <c r="X97" s="32">
        <f>IF((((VLOOKUP(B97,'Data qoq'!$A:$AT,MATCH($X$1,'Data qoq'!$A$1:$AT$1,),))/100+1)^4)-1=0,#N/A,(((VLOOKUP(B97,'Data qoq'!$A:$AT,MATCH($X$1,'Data qoq'!$A$1:$AT$1,),))/100+1)^4)-1)</f>
        <v>6.126336793533449E-2</v>
      </c>
      <c r="Y97" s="32">
        <f>IF((((VLOOKUP(B97,'Data qoq'!$A:$AT,MATCH($Y$1,'Data qoq'!$A$1:$AT$1,),))/100+1)^4)-1=0,#N/A,(((VLOOKUP(B97,'Data qoq'!$A:$AT,MATCH($Y$1,'Data qoq'!$A$1:$AT$1,),))/100+1)^4)-1)</f>
        <v>9.4388306730536442E-2</v>
      </c>
      <c r="Z97" s="32">
        <f>IF((((VLOOKUP(B97,'Data qoq'!$A:$AU,MATCH($Z$1,'Data qoq'!$A$1:$AU$1,),))/100+1)^4)-1=0,#N/A,(((VLOOKUP(B97,'Data qoq'!$A:$AU,MATCH($Z$1,'Data qoq'!$A$1:$AU$1,),))/100+1)^4)-1)</f>
        <v>0.17333986295733617</v>
      </c>
      <c r="AA97" s="32">
        <f>IF((((VLOOKUP(B97,'Data qoq'!$A:$AU,MATCH($AA$1,'Data qoq'!$A$1:$AU$1,),))/100+1)^4)-1=0,#N/A,(((VLOOKUP(B97,'Data qoq'!$A:$AU,MATCH($AA$1,'Data qoq'!$A$1:$AU$1,),))/100+1)^4)-1)</f>
        <v>-0.13918697368550914</v>
      </c>
      <c r="AC97" s="26" t="str">
        <f t="shared" si="10"/>
        <v>2021-Q3</v>
      </c>
      <c r="AD97" s="31">
        <f t="shared" si="11"/>
        <v>4.754876712724343E-2</v>
      </c>
    </row>
    <row r="98" spans="1:30" s="72" customFormat="1" x14ac:dyDescent="0.2">
      <c r="A98" s="30">
        <v>44531</v>
      </c>
      <c r="B98" s="24" t="s">
        <v>364</v>
      </c>
      <c r="C98" s="32">
        <f>IF((((VLOOKUP(B98,'Data qoq'!$A:$AT,MATCH($C$1,'Data qoq'!$A$1:$AT$1,),))/100+1)^4)-1=0,#N/A,(((VLOOKUP(B98,'Data qoq'!$A:$AT,MATCH($C$1,'Data qoq'!$A$1:$AT$1,),))/100+1)^4)-1)</f>
        <v>6.8874405826816254E-2</v>
      </c>
      <c r="D98" s="32">
        <f>IF((((VLOOKUP(B98,'Data qoq'!$A:$AT,MATCH($D$1,'Data qoq'!$A$1:$AT$1,),))/100+1)^4)-1=0,#N/A,(((VLOOKUP(B98,'Data qoq'!$A:$AT,MATCH($D$1,'Data qoq'!$A$1:$AT$1,),))/100+1)^4)-1)</f>
        <v>6.5552449536000035E-2</v>
      </c>
      <c r="E98" s="32">
        <f>IF((((VLOOKUP(B98,'Data qoq'!$A:$AT,MATCH($E$1,'Data qoq'!$A$1:$AT$1,),))/100+1)^4)-1=0,#N/A,(((VLOOKUP(B98,'Data qoq'!$A:$AT,MATCH($E$1,'Data qoq'!$A$1:$AT$1,),))/100+1)^4)-1)</f>
        <v>1.1831212241614208E-2</v>
      </c>
      <c r="F98" s="32">
        <f>IF((((VLOOKUP(B98,'Data qoq'!$A:$AT,MATCH($F$1,'Data qoq'!$A$1:$AT$1,),))/100+1)^4)-1=0,#N/A,(((VLOOKUP(B98,'Data qoq'!$A:$AT,MATCH($F$1,'Data qoq'!$A$1:$AT$1,),))/100+1)^4)-1)</f>
        <v>5.3919222829963198E-2</v>
      </c>
      <c r="G98" s="32">
        <f>IF((((VLOOKUP(B98,'Data qoq'!$A:$AT,MATCH($G$1,'Data qoq'!$A$1:$AT$1,),))/100+1)^4)-1=0,#N/A,(((VLOOKUP(B98,'Data qoq'!$A:$AT,MATCH($G$1,'Data qoq'!$A$1:$AT$1,),))/100+1)^4)-1)</f>
        <v>-2.8959552275361733E-2</v>
      </c>
      <c r="H98" s="32">
        <f>IF((((VLOOKUP(B98,'Data qoq'!$A:$AT,MATCH($H$1,'Data qoq'!$A$1:$AT$1,),))/100+1)^4)-1=0,#N/A,(((VLOOKUP(B98,'Data qoq'!$A:$AT,MATCH($H$1,'Data qoq'!$A$1:$AT$1,),))/100+1)^4)-1)</f>
        <v>2.8728348771343226E-2</v>
      </c>
      <c r="I98" s="32">
        <f>IF((((VLOOKUP(B98,'Data qoq'!$A:$AT,MATCH($I$1,'Data qoq'!$A$1:$AT$1,),))/100+1)^4)-1=0,#N/A,(((VLOOKUP(B98,'Data qoq'!$A:$AT,MATCH($I$1,'Data qoq'!$A$1:$AT$1,),))/100+1)^4)-1)</f>
        <v>3.9090102157418372E-2</v>
      </c>
      <c r="J98" s="32">
        <f>IF((((VLOOKUP(B98,'Data qoq'!$A:$AT,MATCH($J$1,'Data qoq'!$A$1:$AT$1,),))/100+1)^4)-1=0,#N/A,(((VLOOKUP(B98,'Data qoq'!$A:$AT,MATCH($J$1,'Data qoq'!$A$1:$AT$1,),))/100+1)^4)-1)</f>
        <v>2.4730011738387292E-2</v>
      </c>
      <c r="K98" s="32">
        <f>IF((((VLOOKUP(B98,'Data qoq'!$A:$AT,MATCH($K$1,'Data qoq'!$A$1:$AT$1,),))/100+1)^4)-1=0,#N/A,(((VLOOKUP(B98,'Data qoq'!$A:$AT,MATCH($K$1,'Data qoq'!$A$1:$AT$1,),))/100+1)^4)-1)</f>
        <v>8.2923827319671295E-2</v>
      </c>
      <c r="L98" s="32">
        <f>IF((((VLOOKUP(B98,'Data qoq'!$A:$AT,MATCH($L$1,'Data qoq'!$A$1:$AT$1,),))/100+1)^4)-1=0,#N/A,(((VLOOKUP(B98,'Data qoq'!$A:$AT,MATCH($L$1,'Data qoq'!$A$1:$AT$1,),))/100+1)^4)-1)</f>
        <v>5.7188556074924346E-2</v>
      </c>
      <c r="M98" s="32">
        <f>IF((((VLOOKUP(B98,'Data qoq'!$A:$AT,MATCH($M$1,'Data qoq'!$A$1:$AT$1,),))/100+1)^4)-1=0,#N/A,(((VLOOKUP(B98,'Data qoq'!$A:$AT,MATCH($M$1,'Data qoq'!$A$1:$AT$1,),))/100+1)^4)-1)</f>
        <v>4.058296222294322E-2</v>
      </c>
      <c r="N98" s="32" t="e">
        <f>IF((((VLOOKUP(B98,'Data qoq'!$A:$AT,MATCH($N$1,'Data qoq'!$A$1:$AT$1,),))/100+1)^4)-1=0,#N/A,(((VLOOKUP(B98,'Data qoq'!$A:$AT,MATCH($N$1,'Data qoq'!$A$1:$AT$1,),))/100+1)^4)-1)</f>
        <v>#N/A</v>
      </c>
      <c r="O98" s="32" t="e">
        <f>IF((((VLOOKUP(B98,'Data qoq'!$A:$AT,MATCH($O$1,'Data qoq'!$A$1:$AT$1,),))/100+1)^4)-1=0,#N/A,(((VLOOKUP(B98,'Data qoq'!$A:$AT,MATCH($O$1,'Data qoq'!$A$1:$AT$1,),))/100+1)^4)-1)</f>
        <v>#N/A</v>
      </c>
      <c r="P98" s="32">
        <f>IF((((VLOOKUP(B98,'Data qoq'!$A:$AT,MATCH($P$1,'Data qoq'!$A$1:$AT$1,),))/100+1)^4)-1=0,#N/A,(((VLOOKUP(B98,'Data qoq'!$A:$AT,MATCH($P$1,'Data qoq'!$A$1:$AT$1,),))/100+1)^4)-1)</f>
        <v>6.5552786107980765E-2</v>
      </c>
      <c r="Q98" s="32" t="e">
        <f>IF((((VLOOKUP(B98,'Data qoq'!$A:$AT,MATCH($Q$1,'Data qoq'!$A$1:$AT$1,),))/100+1)^4)-1=0,#N/A,(((VLOOKUP(B98,'Data qoq'!$A:$AT,MATCH($Q$1,'Data qoq'!$A$1:$AT$1,),))/100+1)^4)-1)</f>
        <v>#N/A</v>
      </c>
      <c r="R98" s="32" t="e">
        <f>IF((((VLOOKUP(B98,'Data qoq'!$A:$AT,MATCH($R$1,'Data qoq'!$A$1:$AT$1,),))/100+1)^4)-1=0,#N/A,(((VLOOKUP(B98,'Data qoq'!$A:$AT,MATCH($R$1,'Data qoq'!$A$1:$AT$1,),))/100+1)^4)-1)</f>
        <v>#N/A</v>
      </c>
      <c r="S98" s="32">
        <f>IF((((VLOOKUP(B98,'Data qoq'!$A:$AT,MATCH($S$1,'Data qoq'!$A$1:$AT$1,),))/100+1)^4)-1=0,#N/A,(((VLOOKUP(B98,'Data qoq'!$A:$AT,MATCH($S$1,'Data qoq'!$A$1:$AT$1,),))/100+1)^4)-1)</f>
        <v>4.5498221494671531E-2</v>
      </c>
      <c r="T98" s="32" t="e">
        <f>IF((((VLOOKUP(B98,'Data qoq'!$A:$AT,MATCH($T$1,'Data qoq'!$A$1:$AT$1,),))/100+1)^4)-1=0,#N/A,(((VLOOKUP(B98,'Data qoq'!$A:$AT,MATCH($T$1,'Data qoq'!$A$1:$AT$1,),))/100+1)^4)-1)</f>
        <v>#N/A</v>
      </c>
      <c r="U98" s="32" t="e">
        <f>IF((((VLOOKUP(B98,'Data qoq'!$A:$AT,MATCH($U$1,'Data qoq'!$A$1:$AT$1,),))/100+1)^4)-1=0,#N/A,(((VLOOKUP(B98,'Data qoq'!$A:$AT,MATCH($U$1,'Data qoq'!$A$1:$AT$1,),))/100+1)^4)-1)</f>
        <v>#N/A</v>
      </c>
      <c r="V98" s="32" t="e">
        <f>IF((((VLOOKUP(B98,'Data qoq'!$A:$AT,MATCH($V$1,'Data qoq'!$A$1:$AT$1,),))/100+1)^4)-1=0,#N/A,(((VLOOKUP(B98,'Data qoq'!$A:$AT,MATCH($V$1,'Data qoq'!$A$1:$AT$1,),))/100+1)^4)-1)</f>
        <v>#N/A</v>
      </c>
      <c r="W98" s="32" t="e">
        <f>IF((((VLOOKUP(B98,'Data qoq'!$A:$AT,MATCH($W$1,'Data qoq'!$A$1:$AT$1,),))/100+1)^4)-1=0,#N/A,(((VLOOKUP(B98,'Data qoq'!$A:$AT,MATCH($W$1,'Data qoq'!$A$1:$AT$1,),))/100+1)^4)-1)</f>
        <v>#N/A</v>
      </c>
      <c r="X98" s="32">
        <f>IF((((VLOOKUP(B98,'Data qoq'!$A:$AT,MATCH($X$1,'Data qoq'!$A$1:$AT$1,),))/100+1)^4)-1=0,#N/A,(((VLOOKUP(B98,'Data qoq'!$A:$AT,MATCH($X$1,'Data qoq'!$A$1:$AT$1,),))/100+1)^4)-1)</f>
        <v>3.6487644793660845E-2</v>
      </c>
      <c r="Y98" s="32" t="e">
        <f>IF((((VLOOKUP(B98,'Data qoq'!$A:$AT,MATCH($Y$1,'Data qoq'!$A$1:$AT$1,),))/100+1)^4)-1=0,#N/A,(((VLOOKUP(B98,'Data qoq'!$A:$AT,MATCH($Y$1,'Data qoq'!$A$1:$AT$1,),))/100+1)^4)-1)</f>
        <v>#N/A</v>
      </c>
      <c r="Z98" s="32" t="e">
        <f>IF((((VLOOKUP(B98,'Data qoq'!$A:$AU,MATCH($Z$1,'Data qoq'!$A$1:$AU$1,),))/100+1)^4)-1=0,#N/A,(((VLOOKUP(B98,'Data qoq'!$A:$AU,MATCH($Z$1,'Data qoq'!$A$1:$AU$1,),))/100+1)^4)-1)</f>
        <v>#N/A</v>
      </c>
      <c r="AA98" s="32" t="e">
        <f>IF((((VLOOKUP(B98,'Data qoq'!$A:$AU,MATCH($AA$1,'Data qoq'!$A$1:$AU$1,),))/100+1)^4)-1=0,#N/A,(((VLOOKUP(B98,'Data qoq'!$A:$AU,MATCH($AA$1,'Data qoq'!$A$1:$AU$1,),))/100+1)^4)-1)</f>
        <v>#N/A</v>
      </c>
      <c r="AC98" s="26" t="str">
        <f t="shared" si="10"/>
        <v>2021-Q4</v>
      </c>
      <c r="AD98" s="31">
        <f t="shared" si="11"/>
        <v>-2.7258889915804163E-2</v>
      </c>
    </row>
    <row r="99" spans="1:30" s="72" customFormat="1" x14ac:dyDescent="0.2"/>
    <row r="100" spans="1:30" s="72" customFormat="1" x14ac:dyDescent="0.2"/>
    <row r="101" spans="1:30" s="72" customFormat="1" x14ac:dyDescent="0.2"/>
    <row r="102" spans="1:30" s="72" customFormat="1" x14ac:dyDescent="0.2"/>
    <row r="103" spans="1:30" s="72" customFormat="1" x14ac:dyDescent="0.2"/>
    <row r="104" spans="1:30" s="72" customFormat="1" x14ac:dyDescent="0.2"/>
    <row r="105" spans="1:30" s="72" customFormat="1" x14ac:dyDescent="0.2"/>
    <row r="106" spans="1:30" s="72" customFormat="1" x14ac:dyDescent="0.2"/>
    <row r="107" spans="1:30" s="72" customFormat="1" x14ac:dyDescent="0.2"/>
    <row r="108" spans="1:30" s="72" customFormat="1" x14ac:dyDescent="0.2"/>
    <row r="109" spans="1:30" s="72" customFormat="1" x14ac:dyDescent="0.2"/>
    <row r="110" spans="1:30" s="72" customFormat="1" x14ac:dyDescent="0.2"/>
    <row r="111" spans="1:30" s="72" customFormat="1" x14ac:dyDescent="0.2"/>
    <row r="112" spans="1:30"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topLeftCell="A2" zoomScale="180" zoomScaleNormal="180" workbookViewId="0">
      <selection activeCell="H9" sqref="H9"/>
    </sheetView>
  </sheetViews>
  <sheetFormatPr baseColWidth="10" defaultColWidth="9.1640625" defaultRowHeight="15" x14ac:dyDescent="0.2"/>
  <cols>
    <col min="1" max="1" width="9.1640625" style="72" customWidth="1"/>
    <col min="2" max="2" width="31.83203125" style="72" customWidth="1"/>
    <col min="3" max="3" width="13.83203125" style="72" customWidth="1"/>
    <col min="4" max="4" width="12.33203125" style="72" customWidth="1"/>
    <col min="5" max="5" width="18.33203125" style="72" customWidth="1"/>
    <col min="6" max="21" width="9.1640625" style="72" customWidth="1"/>
    <col min="22" max="16384" width="9.1640625" style="72"/>
  </cols>
  <sheetData>
    <row r="1" spans="2:5" ht="16" customHeight="1" thickBot="1" x14ac:dyDescent="0.25"/>
    <row r="2" spans="2:5" ht="17" customHeight="1" thickBot="1" x14ac:dyDescent="0.25">
      <c r="B2" s="60" t="s">
        <v>588</v>
      </c>
      <c r="C2" s="61" t="s">
        <v>589</v>
      </c>
      <c r="D2" s="60" t="s">
        <v>590</v>
      </c>
      <c r="E2" s="62" t="s">
        <v>591</v>
      </c>
    </row>
    <row r="3" spans="2:5" ht="16" customHeight="1" x14ac:dyDescent="0.2">
      <c r="B3" s="69" t="s">
        <v>556</v>
      </c>
      <c r="C3" s="71">
        <f>VLOOKUP(B3,'Data World GDP'!$A$2:$L$182,2,FALSE)/$C$31</f>
        <v>0.21416296720607189</v>
      </c>
      <c r="D3" s="33">
        <f>VLOOKUP(B3,'Data World GDP'!$A$2:$L$182,3,FALSE)</f>
        <v>4.9000000000000002E-2</v>
      </c>
      <c r="E3" s="33">
        <f>VLOOKUP(B3,'Data World GDP'!$A$2:$L$182,4,FALSE)</f>
        <v>2.3E-2</v>
      </c>
    </row>
    <row r="4" spans="2:5" ht="16" customHeight="1" x14ac:dyDescent="0.2">
      <c r="B4" s="69" t="s">
        <v>415</v>
      </c>
      <c r="C4" s="71">
        <f>VLOOKUP(B4,'Data World GDP'!$A$2:$L$182,2,FALSE)/$C$31</f>
        <v>0.1506004377979174</v>
      </c>
      <c r="D4" s="33">
        <f>VLOOKUP(B4,'Data World GDP'!$A$2:$L$182,3,FALSE)</f>
        <v>4.9000000000000002E-2</v>
      </c>
      <c r="E4" s="33">
        <f>VLOOKUP(B4,'Data World GDP'!$A$2:$L$182,4,FALSE)</f>
        <v>2E-3</v>
      </c>
    </row>
    <row r="5" spans="2:5" ht="16" customHeight="1" x14ac:dyDescent="0.2">
      <c r="B5" s="69" t="s">
        <v>435</v>
      </c>
      <c r="C5" s="71">
        <f>VLOOKUP(B5,'Data World GDP'!$A$2:$L$182,2,FALSE)/$C$31</f>
        <v>0.13308852110226876</v>
      </c>
      <c r="D5" s="33">
        <f>VLOOKUP(B5,'Data World GDP'!$A$2:$L$182,3,FALSE)</f>
        <v>3.9E-2</v>
      </c>
      <c r="E5" s="33">
        <f>VLOOKUP(B5,'Data World GDP'!$A$2:$L$182,4,FALSE)</f>
        <v>2.1999999999999999E-2</v>
      </c>
    </row>
    <row r="6" spans="2:5" ht="16" customHeight="1" x14ac:dyDescent="0.2">
      <c r="B6" s="69" t="s">
        <v>463</v>
      </c>
      <c r="C6" s="71">
        <f>VLOOKUP(B6,'Data World GDP'!$A$2:$L$182,2,FALSE)/$C$31</f>
        <v>5.0888893435077021E-2</v>
      </c>
      <c r="D6" s="33">
        <f>VLOOKUP(B6,'Data World GDP'!$A$2:$L$182,3,FALSE)</f>
        <v>1.4E-2</v>
      </c>
      <c r="E6" s="33">
        <f>VLOOKUP(B6,'Data World GDP'!$A$2:$L$182,4,FALSE)</f>
        <v>-9.0000000000000011E-3</v>
      </c>
    </row>
    <row r="7" spans="2:5" ht="16" customHeight="1" x14ac:dyDescent="0.2">
      <c r="B7" s="69" t="s">
        <v>442</v>
      </c>
      <c r="C7" s="71">
        <f>VLOOKUP(B7,'Data World GDP'!$A$2:$L$182,2,FALSE)/$C$31</f>
        <v>3.9340439025388189E-2</v>
      </c>
      <c r="D7" s="33">
        <f>VLOOKUP(B7,'Data World GDP'!$A$2:$L$182,3,FALSE)</f>
        <v>2.5000000000000001E-2</v>
      </c>
      <c r="E7" s="33">
        <f>VLOOKUP(B7,'Data World GDP'!$A$2:$L$182,4,FALSE)</f>
        <v>1.7000000000000001E-2</v>
      </c>
    </row>
    <row r="8" spans="2:5" ht="16" customHeight="1" x14ac:dyDescent="0.2">
      <c r="B8" s="69" t="s">
        <v>555</v>
      </c>
      <c r="C8" s="71">
        <f>VLOOKUP(B8,'Data World GDP'!$A$2:$L$182,2,FALSE)/$C$31</f>
        <v>2.7699924305967554E-2</v>
      </c>
      <c r="D8" s="33">
        <f>VLOOKUP(B8,'Data World GDP'!$A$2:$L$182,3,FALSE)</f>
        <v>6.8000000000000005E-2</v>
      </c>
      <c r="E8" s="33">
        <f>VLOOKUP(B8,'Data World GDP'!$A$2:$L$182,4,FALSE)</f>
        <v>1.0999999999999999E-2</v>
      </c>
    </row>
    <row r="9" spans="2:5" ht="16" customHeight="1" x14ac:dyDescent="0.2">
      <c r="B9" s="69" t="s">
        <v>454</v>
      </c>
      <c r="C9" s="71">
        <f>VLOOKUP(B9,'Data World GDP'!$A$2:$L$182,2,FALSE)/$C$31</f>
        <v>2.6830465825167241E-2</v>
      </c>
      <c r="D9" s="33">
        <f>VLOOKUP(B9,'Data World GDP'!$A$2:$L$182,3,FALSE)</f>
        <v>8.4000000000000005E-2</v>
      </c>
      <c r="E9" s="33">
        <f>VLOOKUP(B9,'Data World GDP'!$A$2:$L$182,4,FALSE)</f>
        <v>0.127</v>
      </c>
    </row>
    <row r="10" spans="2:5" ht="16" customHeight="1" x14ac:dyDescent="0.2">
      <c r="B10" s="69" t="s">
        <v>438</v>
      </c>
      <c r="C10" s="71">
        <f>VLOOKUP(B10,'Data World GDP'!$A$2:$L$182,2,FALSE)/$C$31</f>
        <v>2.6902068288291975E-2</v>
      </c>
      <c r="D10" s="33">
        <f>VLOOKUP(B10,'Data World GDP'!$A$2:$L$182,3,FALSE)</f>
        <v>3.3000000000000002E-2</v>
      </c>
      <c r="E10" s="33">
        <f>VLOOKUP(B10,'Data World GDP'!$A$2:$L$182,4,FALSE)</f>
        <v>0.03</v>
      </c>
    </row>
    <row r="11" spans="2:5" ht="16" customHeight="1" x14ac:dyDescent="0.2">
      <c r="B11" s="69" t="s">
        <v>402</v>
      </c>
      <c r="C11" s="71">
        <f>VLOOKUP(B11,'Data World GDP'!$A$2:$L$182,2,FALSE)/$C$31</f>
        <v>1.4780794173605286E-2</v>
      </c>
      <c r="D11" s="33">
        <f>VLOOKUP(B11,'Data World GDP'!$A$2:$L$182,3,FALSE)</f>
        <v>0.04</v>
      </c>
      <c r="E11" s="33">
        <f>VLOOKUP(B11,'Data World GDP'!$A$2:$L$182,4,FALSE)</f>
        <v>-1E-3</v>
      </c>
    </row>
    <row r="12" spans="2:5" ht="16" customHeight="1" x14ac:dyDescent="0.2">
      <c r="B12" s="69" t="s">
        <v>460</v>
      </c>
      <c r="C12" s="71">
        <f>VLOOKUP(B12,'Data World GDP'!$A$2:$L$182,2,FALSE)/$C$31</f>
        <v>1.9291749350463371E-2</v>
      </c>
      <c r="D12" s="33">
        <f>VLOOKUP(B12,'Data World GDP'!$A$2:$L$182,3,FALSE)</f>
        <v>3.9E-2</v>
      </c>
      <c r="E12" s="33">
        <f>VLOOKUP(B12,'Data World GDP'!$A$2:$L$182,4,FALSE)</f>
        <v>2.5999999999999999E-2</v>
      </c>
    </row>
    <row r="13" spans="2:5" ht="16" customHeight="1" x14ac:dyDescent="0.2">
      <c r="B13" s="69" t="s">
        <v>409</v>
      </c>
      <c r="C13" s="71">
        <f>VLOOKUP(B13,'Data World GDP'!$A$2:$L$182,2,FALSE)/$C$31</f>
        <v>1.6816349911008367E-2</v>
      </c>
      <c r="D13" s="33">
        <f>VLOOKUP(B13,'Data World GDP'!$A$2:$L$182,3,FALSE)</f>
        <v>0.04</v>
      </c>
      <c r="E13" s="33">
        <f>VLOOKUP(B13,'Data World GDP'!$A$2:$L$182,4,FALSE)</f>
        <v>1.2999999999999999E-2</v>
      </c>
    </row>
    <row r="14" spans="2:5" ht="16" customHeight="1" x14ac:dyDescent="0.2">
      <c r="B14" s="69" t="s">
        <v>520</v>
      </c>
      <c r="C14" s="71">
        <f>VLOOKUP(B14,'Data World GDP'!$A$2:$L$182,2,FALSE)/$C$31</f>
        <v>1.5179722182443076E-2</v>
      </c>
      <c r="D14" s="33">
        <f>VLOOKUP(B14,'Data World GDP'!$A$2:$L$182,3,FALSE)</f>
        <v>4.2999999999999997E-2</v>
      </c>
      <c r="E14" s="33">
        <f>VLOOKUP(B14,'Data World GDP'!$A$2:$L$182,4,FALSE)</f>
        <v>-8.0000000000000002E-3</v>
      </c>
    </row>
    <row r="15" spans="2:5" ht="16" customHeight="1" x14ac:dyDescent="0.2">
      <c r="B15" s="69" t="s">
        <v>533</v>
      </c>
      <c r="C15" s="71">
        <f>VLOOKUP(B15,'Data World GDP'!$A$2:$L$182,2,FALSE)/$C$31</f>
        <v>1.6683373908062436E-2</v>
      </c>
      <c r="D15" s="33">
        <f>VLOOKUP(B15,'Data World GDP'!$A$2:$L$182,3,FALSE)</f>
        <v>0.04</v>
      </c>
      <c r="E15" s="33">
        <f>VLOOKUP(B15,'Data World GDP'!$A$2:$L$182,4,FALSE)</f>
        <v>3.0000000000000001E-3</v>
      </c>
    </row>
    <row r="16" spans="2:5" ht="16" customHeight="1" x14ac:dyDescent="0.2">
      <c r="B16" s="69" t="s">
        <v>389</v>
      </c>
      <c r="C16" s="71">
        <f>VLOOKUP(B16,'Data World GDP'!$A$2:$L$182,2,FALSE)/$C$31</f>
        <v>1.3614696917002516E-2</v>
      </c>
      <c r="D16" s="33">
        <f>VLOOKUP(B16,'Data World GDP'!$A$2:$L$182,3,FALSE)</f>
        <v>3.9E-2</v>
      </c>
      <c r="E16" s="33">
        <f>VLOOKUP(B16,'Data World GDP'!$A$2:$L$182,4,FALSE)</f>
        <v>-1.9E-2</v>
      </c>
    </row>
    <row r="17" spans="2:8" ht="16" customHeight="1" x14ac:dyDescent="0.2">
      <c r="B17" s="69" t="s">
        <v>535</v>
      </c>
      <c r="C17" s="71">
        <f>VLOOKUP(B17,'Data World GDP'!$A$2:$L$182,2,FALSE)/$C$31</f>
        <v>1.3103250751825862E-2</v>
      </c>
      <c r="D17" s="33">
        <f>VLOOKUP(B17,'Data World GDP'!$A$2:$L$182,3,FALSE)</f>
        <v>2.7E-2</v>
      </c>
      <c r="E17" s="33">
        <f>VLOOKUP(B17,'Data World GDP'!$A$2:$L$182,4,FALSE)</f>
        <v>0.02</v>
      </c>
    </row>
    <row r="18" spans="2:8" ht="16" customHeight="1" x14ac:dyDescent="0.2">
      <c r="B18" s="69" t="s">
        <v>489</v>
      </c>
      <c r="C18" s="71">
        <f>VLOOKUP(B18,'Data World GDP'!$A$2:$L$182,2,FALSE)/$C$31</f>
        <v>1.1006321474601583E-2</v>
      </c>
      <c r="D18" s="33">
        <f>VLOOKUP(B18,'Data World GDP'!$A$2:$L$182,3,FALSE)</f>
        <v>4.4999999999999998E-2</v>
      </c>
      <c r="E18" s="33">
        <f>VLOOKUP(B18,'Data World GDP'!$A$2:$L$182,4,FALSE)</f>
        <v>-4.0000000000000001E-3</v>
      </c>
    </row>
    <row r="19" spans="2:8" ht="16" customHeight="1" x14ac:dyDescent="0.2">
      <c r="B19" s="69" t="s">
        <v>455</v>
      </c>
      <c r="C19" s="71">
        <f>VLOOKUP(B19,'Data World GDP'!$A$2:$L$182,2,FALSE)/$C$31</f>
        <v>1.0822200855137989E-2</v>
      </c>
      <c r="D19" s="33">
        <f>VLOOKUP(B19,'Data World GDP'!$A$2:$L$182,3,FALSE)</f>
        <v>3.5099999999999999E-2</v>
      </c>
      <c r="E19" s="33">
        <f>VLOOKUP(B19,'Data World GDP'!$A$2:$L$182,4,FALSE)</f>
        <v>1.55E-2</v>
      </c>
    </row>
    <row r="20" spans="2:8" ht="16" customHeight="1" x14ac:dyDescent="0.2">
      <c r="B20" s="69" t="s">
        <v>550</v>
      </c>
      <c r="C20" s="71">
        <f>VLOOKUP(B20,'Data World GDP'!$A$2:$L$182,2,FALSE)/$C$31</f>
        <v>7.3648247785438109E-3</v>
      </c>
      <c r="D20" s="33">
        <f>VLOOKUP(B20,'Data World GDP'!$A$2:$L$182,3,FALSE)</f>
        <v>7.400000000000001E-2</v>
      </c>
      <c r="E20" s="33">
        <f>VLOOKUP(B20,'Data World GDP'!$A$2:$L$182,4,FALSE)</f>
        <v>2.7E-2</v>
      </c>
    </row>
    <row r="21" spans="2:8" ht="16" customHeight="1" x14ac:dyDescent="0.2">
      <c r="B21" s="69" t="s">
        <v>543</v>
      </c>
      <c r="C21" s="71">
        <f>VLOOKUP(B21,'Data World GDP'!$A$2:$L$182,2,FALSE)/$C$31</f>
        <v>6.8431496900636241E-3</v>
      </c>
      <c r="D21" s="33">
        <f>VLOOKUP(B21,'Data World GDP'!$A$2:$L$182,3,FALSE)</f>
        <v>3.7000000000000012E-2</v>
      </c>
      <c r="E21" s="33">
        <f>VLOOKUP(B21,'Data World GDP'!$A$2:$L$182,4,FALSE)</f>
        <v>2.7000000000000001E-3</v>
      </c>
    </row>
    <row r="22" spans="2:8" ht="16" customHeight="1" x14ac:dyDescent="0.2">
      <c r="B22" s="69" t="s">
        <v>514</v>
      </c>
      <c r="C22" s="71">
        <f>VLOOKUP(B22,'Data World GDP'!$A$2:$L$182,2,FALSE)/$C$31</f>
        <v>6.0759804422986438E-3</v>
      </c>
      <c r="D22" s="33">
        <f>VLOOKUP(B22,'Data World GDP'!$A$2:$L$182,3,FALSE)</f>
        <v>5.2999999999999999E-2</v>
      </c>
      <c r="E22" s="33">
        <f>VLOOKUP(B22,'Data World GDP'!$A$2:$L$182,4,FALSE)</f>
        <v>2.3E-2</v>
      </c>
    </row>
    <row r="23" spans="2:8" ht="16" customHeight="1" x14ac:dyDescent="0.2">
      <c r="B23" s="69" t="s">
        <v>458</v>
      </c>
      <c r="C23" s="71">
        <f>VLOOKUP(B23,'Data World GDP'!$A$2:$L$182,2,FALSE)/$C$31</f>
        <v>4.357521327305088E-3</v>
      </c>
      <c r="D23" s="33">
        <f>VLOOKUP(B23,'Data World GDP'!$A$2:$L$182,3,FALSE)</f>
        <v>0.114</v>
      </c>
      <c r="E23" s="33">
        <f>VLOOKUP(B23,'Data World GDP'!$A$2:$L$182,4,FALSE)</f>
        <v>9.0000000000000011E-3</v>
      </c>
    </row>
    <row r="24" spans="2:8" ht="16" customHeight="1" x14ac:dyDescent="0.2">
      <c r="B24" s="69" t="s">
        <v>424</v>
      </c>
      <c r="C24" s="71">
        <f>VLOOKUP(B24,'Data World GDP'!$A$2:$L$182,2,FALSE)/$C$31</f>
        <v>3.6414966960577728E-3</v>
      </c>
      <c r="D24" s="33">
        <f>VLOOKUP(B24,'Data World GDP'!$A$2:$L$182,3,FALSE)</f>
        <v>3.5999999999999997E-2</v>
      </c>
      <c r="E24" s="33">
        <f>VLOOKUP(B24,'Data World GDP'!$A$2:$L$182,4,FALSE)</f>
        <v>9.0000000000000011E-3</v>
      </c>
      <c r="H24" s="63" t="s">
        <v>18</v>
      </c>
    </row>
    <row r="25" spans="2:8" ht="16" customHeight="1" x14ac:dyDescent="0.2">
      <c r="B25" s="69" t="s">
        <v>423</v>
      </c>
      <c r="C25" s="71">
        <f>VLOOKUP(B25,'Data World GDP'!$A$2:$L$182,2,FALSE)/$C$31</f>
        <v>2.5060862093656024E-3</v>
      </c>
      <c r="D25" s="33">
        <f>VLOOKUP(B25,'Data World GDP'!$A$2:$L$182,3,FALSE)</f>
        <v>3.1E-2</v>
      </c>
      <c r="E25" s="33">
        <f>VLOOKUP(B25,'Data World GDP'!$A$2:$L$182,4,FALSE)</f>
        <v>1.4999999999999999E-2</v>
      </c>
      <c r="H25" s="72" t="s">
        <v>592</v>
      </c>
    </row>
    <row r="26" spans="2:8" ht="16" customHeight="1" x14ac:dyDescent="0.2">
      <c r="B26" s="69" t="s">
        <v>501</v>
      </c>
      <c r="C26" s="71">
        <f>VLOOKUP(B26,'Data World GDP'!$A$2:$L$182,2,FALSE)/$C$31</f>
        <v>2.1583028170454777E-3</v>
      </c>
      <c r="D26" s="33">
        <f>VLOOKUP(B26,'Data World GDP'!$A$2:$L$182,3,FALSE)</f>
        <v>-3.0000000000000001E-3</v>
      </c>
      <c r="E26" s="33">
        <f>VLOOKUP(B26,'Data World GDP'!$A$2:$L$182,4,FALSE)</f>
        <v>-3.7000000000000012E-2</v>
      </c>
      <c r="H26" s="72" t="s">
        <v>593</v>
      </c>
    </row>
    <row r="27" spans="2:8" ht="17" customHeight="1" thickBot="1" x14ac:dyDescent="0.25">
      <c r="B27" s="70" t="s">
        <v>444</v>
      </c>
      <c r="C27" s="71">
        <f>VLOOKUP(B27,'Data World GDP'!$A$2:$L$182,2,FALSE)/$C$31</f>
        <v>1.9332665043677501E-3</v>
      </c>
      <c r="D27" s="34">
        <f>VLOOKUP(B27,'Data World GDP'!$A$2:$L$182,3,FALSE)</f>
        <v>0.13400000000000001</v>
      </c>
      <c r="E27" s="34">
        <f>VLOOKUP(B27,'Data World GDP'!$A$2:$L$182,4,FALSE)</f>
        <v>2.7E-2</v>
      </c>
    </row>
    <row r="31" spans="2:8" x14ac:dyDescent="0.2">
      <c r="B31" s="72" t="s">
        <v>594</v>
      </c>
      <c r="C31" s="72">
        <f>SUM('Data World GDP'!$A$2:$B$182)</f>
        <v>97762</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2" customWidth="1"/>
  </cols>
  <sheetData>
    <row r="1" spans="1:22" ht="32" customHeight="1" x14ac:dyDescent="0.2">
      <c r="A1" s="39" t="s">
        <v>595</v>
      </c>
      <c r="B1" s="45" t="s">
        <v>64</v>
      </c>
      <c r="C1" s="40" t="s">
        <v>596</v>
      </c>
      <c r="D1" s="46"/>
      <c r="E1" s="47" t="s">
        <v>597</v>
      </c>
      <c r="F1" s="46"/>
      <c r="G1" s="46"/>
      <c r="H1" s="46"/>
      <c r="J1" s="72" t="str">
        <f>B1&amp;" GDP % yoy"</f>
        <v>USA GDP % yoy</v>
      </c>
    </row>
    <row r="2" spans="1:22" x14ac:dyDescent="0.2">
      <c r="A2" s="42">
        <v>17349</v>
      </c>
      <c r="B2" s="43">
        <f>VLOOKUP(A2,'Data yoy'!$B:$AW,MATCH($B$1,'Data yoy'!$B$1:$AW$1,0),FALSE)</f>
        <v>0</v>
      </c>
      <c r="C2" s="44"/>
      <c r="D2" s="46"/>
      <c r="E2" s="46"/>
      <c r="F2" s="46"/>
      <c r="G2" s="46"/>
      <c r="H2" s="46"/>
      <c r="J2" s="72" t="str">
        <f>B1&amp;" "&amp;C1</f>
        <v>USA Quarter Change</v>
      </c>
      <c r="V2" s="72" t="s">
        <v>23</v>
      </c>
    </row>
    <row r="3" spans="1:22" x14ac:dyDescent="0.2">
      <c r="A3" s="42">
        <v>17441</v>
      </c>
      <c r="B3" s="43">
        <f>VLOOKUP(A3,'Data yoy'!$B:$AW,MATCH($B$1,'Data yoy'!$B$1:$AW$1,0),FALSE)</f>
        <v>0</v>
      </c>
      <c r="C3" s="43">
        <f>Table13456789101112131415161734[[#This Row],[USA]]-B2</f>
        <v>0</v>
      </c>
      <c r="D3" s="46"/>
      <c r="E3" s="46"/>
      <c r="F3" s="46"/>
      <c r="G3" s="46"/>
      <c r="H3" s="46"/>
      <c r="J3" s="72" t="str">
        <f>J2&amp;" 2000-"</f>
        <v>USA Quarter Change 2000-</v>
      </c>
      <c r="V3" s="72" t="s">
        <v>24</v>
      </c>
    </row>
    <row r="4" spans="1:22" x14ac:dyDescent="0.2">
      <c r="A4" s="42">
        <v>17533</v>
      </c>
      <c r="B4" s="43">
        <f>VLOOKUP(A4,'Data yoy'!$B:$AW,MATCH($B$1,'Data yoy'!$B$1:$AW$1,0),FALSE)</f>
        <v>0</v>
      </c>
      <c r="C4" s="43">
        <f>Table13456789101112131415161734[[#This Row],[USA]]-B3</f>
        <v>0</v>
      </c>
      <c r="D4" s="46"/>
      <c r="E4" s="46"/>
      <c r="F4" s="46"/>
      <c r="G4" s="46"/>
      <c r="H4" s="46"/>
      <c r="V4" s="72" t="s">
        <v>26</v>
      </c>
    </row>
    <row r="5" spans="1:22" x14ac:dyDescent="0.2">
      <c r="A5" s="42">
        <v>17624</v>
      </c>
      <c r="B5" s="43">
        <f>VLOOKUP(A5,'Data yoy'!$B:$AW,MATCH($B$1,'Data yoy'!$B$1:$AW$1,0),FALSE)</f>
        <v>2.6047334659999999</v>
      </c>
      <c r="C5" s="43">
        <f>Table13456789101112131415161734[[#This Row],[USA]]-B4</f>
        <v>2.6047334659999999</v>
      </c>
      <c r="D5" s="46"/>
      <c r="E5" s="46"/>
      <c r="F5" s="46"/>
      <c r="G5" s="46"/>
      <c r="H5" s="46"/>
      <c r="V5" s="72" t="s">
        <v>28</v>
      </c>
    </row>
    <row r="6" spans="1:22" x14ac:dyDescent="0.2">
      <c r="A6" s="42">
        <v>17715</v>
      </c>
      <c r="B6" s="43">
        <f>VLOOKUP(A6,'Data yoy'!$B:$AW,MATCH($B$1,'Data yoy'!$B$1:$AW$1,0),FALSE)</f>
        <v>4.5773238760000003</v>
      </c>
      <c r="C6" s="43">
        <f>Table13456789101112131415161734[[#This Row],[USA]]-B5</f>
        <v>1.9725904100000005</v>
      </c>
      <c r="D6" s="46"/>
      <c r="E6" s="46"/>
      <c r="F6" s="46"/>
      <c r="G6" s="46"/>
      <c r="H6" s="46"/>
      <c r="V6" s="72" t="s">
        <v>30</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2" t="s">
        <v>31</v>
      </c>
    </row>
    <row r="8" spans="1:22" x14ac:dyDescent="0.2">
      <c r="A8" s="42">
        <v>17899</v>
      </c>
      <c r="B8" s="43">
        <f>VLOOKUP(A8,'Data yoy'!$B:$AW,MATCH($B$1,'Data yoy'!$B$1:$AW$1,0),FALSE)</f>
        <v>3.8867828379999998</v>
      </c>
      <c r="C8" s="43">
        <f>Table13456789101112131415161734[[#This Row],[USA]]-B7</f>
        <v>-1.5073383589999998</v>
      </c>
      <c r="D8" s="46"/>
      <c r="E8" s="46"/>
      <c r="F8" s="46"/>
      <c r="G8" s="46"/>
      <c r="H8" s="46"/>
      <c r="V8" s="72" t="s">
        <v>32</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2" t="s">
        <v>34</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2" t="s">
        <v>35</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2" t="s">
        <v>37</v>
      </c>
    </row>
    <row r="12" spans="1:22" x14ac:dyDescent="0.2">
      <c r="A12" s="42">
        <v>18264</v>
      </c>
      <c r="B12" s="43">
        <f>VLOOKUP(A12,'Data yoy'!$B:$AW,MATCH($B$1,'Data yoy'!$B$1:$AW$1,0),FALSE)</f>
        <v>-1.5330175429999999</v>
      </c>
      <c r="C12" s="43">
        <f>Table13456789101112131415161734[[#This Row],[USA]]-B11</f>
        <v>-0.9443263369999999</v>
      </c>
      <c r="D12" s="27"/>
      <c r="V12" s="72" t="s">
        <v>38</v>
      </c>
    </row>
    <row r="13" spans="1:22" x14ac:dyDescent="0.2">
      <c r="A13" s="42">
        <v>18354</v>
      </c>
      <c r="B13" s="43">
        <f>VLOOKUP(A13,'Data yoy'!$B:$AW,MATCH($B$1,'Data yoy'!$B$1:$AW$1,0),FALSE)</f>
        <v>3.7666806990000001</v>
      </c>
      <c r="C13" s="43">
        <f>Table13456789101112131415161734[[#This Row],[USA]]-B12</f>
        <v>5.2996982419999998</v>
      </c>
      <c r="D13" s="27"/>
      <c r="V13" s="72" t="s">
        <v>40</v>
      </c>
    </row>
    <row r="14" spans="1:22" x14ac:dyDescent="0.2">
      <c r="A14" s="42">
        <v>18445</v>
      </c>
      <c r="B14" s="43">
        <f>VLOOKUP(A14,'Data yoy'!$B:$AW,MATCH($B$1,'Data yoy'!$B$1:$AW$1,0),FALSE)</f>
        <v>7.2973606230000003</v>
      </c>
      <c r="C14" s="43">
        <f>Table13456789101112131415161734[[#This Row],[USA]]-B13</f>
        <v>3.5306799240000002</v>
      </c>
      <c r="D14" s="27"/>
      <c r="V14" s="72" t="s">
        <v>41</v>
      </c>
    </row>
    <row r="15" spans="1:22" x14ac:dyDescent="0.2">
      <c r="A15" s="42">
        <v>18537</v>
      </c>
      <c r="B15" s="43">
        <f>VLOOKUP(A15,'Data yoy'!$B:$AW,MATCH($B$1,'Data yoy'!$B$1:$AW$1,0),FALSE)</f>
        <v>10.304959761999999</v>
      </c>
      <c r="C15" s="43">
        <f>Table13456789101112131415161734[[#This Row],[USA]]-B14</f>
        <v>3.007599138999999</v>
      </c>
      <c r="D15" s="27"/>
      <c r="V15" s="72" t="s">
        <v>42</v>
      </c>
    </row>
    <row r="16" spans="1:22" x14ac:dyDescent="0.2">
      <c r="A16" s="42">
        <v>18629</v>
      </c>
      <c r="B16" s="43">
        <f>VLOOKUP(A16,'Data yoy'!$B:$AW,MATCH($B$1,'Data yoy'!$B$1:$AW$1,0),FALSE)</f>
        <v>13.368522327999999</v>
      </c>
      <c r="C16" s="43">
        <f>Table13456789101112131415161734[[#This Row],[USA]]-B15</f>
        <v>3.0635625659999999</v>
      </c>
      <c r="D16" s="27"/>
      <c r="V16" s="72" t="s">
        <v>44</v>
      </c>
    </row>
    <row r="17" spans="1:22" x14ac:dyDescent="0.2">
      <c r="A17" s="42">
        <v>18719</v>
      </c>
      <c r="B17" s="43">
        <f>VLOOKUP(A17,'Data yoy'!$B:$AW,MATCH($B$1,'Data yoy'!$B$1:$AW$1,0),FALSE)</f>
        <v>10.563012123</v>
      </c>
      <c r="C17" s="43">
        <f>Table13456789101112131415161734[[#This Row],[USA]]-B16</f>
        <v>-2.8055102049999991</v>
      </c>
      <c r="D17" s="27"/>
      <c r="V17" s="72" t="s">
        <v>45</v>
      </c>
    </row>
    <row r="18" spans="1:22" x14ac:dyDescent="0.2">
      <c r="A18" s="42">
        <v>18810</v>
      </c>
      <c r="B18" s="43">
        <f>VLOOKUP(A18,'Data yoy'!$B:$AW,MATCH($B$1,'Data yoy'!$B$1:$AW$1,0),FALSE)</f>
        <v>9.1498838239999998</v>
      </c>
      <c r="C18" s="43">
        <f>Table13456789101112131415161734[[#This Row],[USA]]-B17</f>
        <v>-1.4131282990000003</v>
      </c>
      <c r="D18" s="27"/>
      <c r="V18" s="72" t="s">
        <v>46</v>
      </c>
    </row>
    <row r="19" spans="1:22" x14ac:dyDescent="0.2">
      <c r="A19" s="42">
        <v>18902</v>
      </c>
      <c r="B19" s="43">
        <f>VLOOKUP(A19,'Data yoy'!$B:$AW,MATCH($B$1,'Data yoy'!$B$1:$AW$1,0),FALSE)</f>
        <v>7.2546955019999997</v>
      </c>
      <c r="C19" s="43">
        <f>Table13456789101112131415161734[[#This Row],[USA]]-B18</f>
        <v>-1.8951883220000001</v>
      </c>
      <c r="D19" s="27"/>
      <c r="V19" s="72" t="s">
        <v>47</v>
      </c>
    </row>
    <row r="20" spans="1:22" x14ac:dyDescent="0.2">
      <c r="A20" s="42">
        <v>18994</v>
      </c>
      <c r="B20" s="43">
        <f>VLOOKUP(A20,'Data yoy'!$B:$AW,MATCH($B$1,'Data yoy'!$B$1:$AW$1,0),FALSE)</f>
        <v>5.4713784949999997</v>
      </c>
      <c r="C20" s="43">
        <f>Table13456789101112131415161734[[#This Row],[USA]]-B19</f>
        <v>-1.783317007</v>
      </c>
      <c r="D20" s="27"/>
      <c r="V20" s="72" t="s">
        <v>48</v>
      </c>
    </row>
    <row r="21" spans="1:22" x14ac:dyDescent="0.2">
      <c r="A21" s="42">
        <v>19085</v>
      </c>
      <c r="B21" s="43">
        <f>VLOOKUP(A21,'Data yoy'!$B:$AW,MATCH($B$1,'Data yoy'!$B$1:$AW$1,0),FALSE)</f>
        <v>5.170000881</v>
      </c>
      <c r="C21" s="43">
        <f>Table13456789101112131415161734[[#This Row],[USA]]-B20</f>
        <v>-0.30137761399999974</v>
      </c>
      <c r="D21" s="27"/>
      <c r="V21" s="72" t="s">
        <v>49</v>
      </c>
    </row>
    <row r="22" spans="1:22" x14ac:dyDescent="0.2">
      <c r="A22" s="42">
        <v>19176</v>
      </c>
      <c r="B22" s="43">
        <f>VLOOKUP(A22,'Data yoy'!$B:$AW,MATCH($B$1,'Data yoy'!$B$1:$AW$1,0),FALSE)</f>
        <v>3.6014209519999998</v>
      </c>
      <c r="C22" s="43">
        <f>Table13456789101112131415161734[[#This Row],[USA]]-B21</f>
        <v>-1.5685799290000002</v>
      </c>
      <c r="D22" s="27"/>
      <c r="V22" s="72" t="s">
        <v>50</v>
      </c>
    </row>
    <row r="23" spans="1:22" x14ac:dyDescent="0.2">
      <c r="A23" s="42">
        <v>19268</v>
      </c>
      <c r="B23" s="43">
        <f>VLOOKUP(A23,'Data yoy'!$B:$AW,MATCH($B$1,'Data yoy'!$B$1:$AW$1,0),FALSE)</f>
        <v>2.2420593809999998</v>
      </c>
      <c r="C23" s="43">
        <f>Table13456789101112131415161734[[#This Row],[USA]]-B22</f>
        <v>-1.359361571</v>
      </c>
      <c r="D23" s="27"/>
      <c r="V23" s="72" t="s">
        <v>51</v>
      </c>
    </row>
    <row r="24" spans="1:22" x14ac:dyDescent="0.2">
      <c r="A24" s="42">
        <v>19360</v>
      </c>
      <c r="B24" s="43">
        <f>VLOOKUP(A24,'Data yoy'!$B:$AW,MATCH($B$1,'Data yoy'!$B$1:$AW$1,0),FALSE)</f>
        <v>5.3678369469999998</v>
      </c>
      <c r="C24" s="43">
        <f>Table13456789101112131415161734[[#This Row],[USA]]-B23</f>
        <v>3.125777566</v>
      </c>
      <c r="D24" s="27"/>
      <c r="V24" s="72" t="s">
        <v>52</v>
      </c>
    </row>
    <row r="25" spans="1:22" x14ac:dyDescent="0.2">
      <c r="A25" s="42">
        <v>19450</v>
      </c>
      <c r="B25" s="43">
        <f>VLOOKUP(A25,'Data yoy'!$B:$AW,MATCH($B$1,'Data yoy'!$B$1:$AW$1,0),FALSE)</f>
        <v>6.1917895940000003</v>
      </c>
      <c r="C25" s="43">
        <f>Table13456789101112131415161734[[#This Row],[USA]]-B24</f>
        <v>0.82395264700000048</v>
      </c>
      <c r="D25" s="27"/>
      <c r="V25" s="72" t="s">
        <v>53</v>
      </c>
    </row>
    <row r="26" spans="1:22" x14ac:dyDescent="0.2">
      <c r="A26" s="42">
        <v>19541</v>
      </c>
      <c r="B26" s="43">
        <f>VLOOKUP(A26,'Data yoy'!$B:$AW,MATCH($B$1,'Data yoy'!$B$1:$AW$1,0),FALSE)</f>
        <v>6.7825801630000004</v>
      </c>
      <c r="C26" s="43">
        <f>Table13456789101112131415161734[[#This Row],[USA]]-B25</f>
        <v>0.59079056900000015</v>
      </c>
      <c r="D26" s="27"/>
      <c r="V26" s="72" t="s">
        <v>54</v>
      </c>
    </row>
    <row r="27" spans="1:22" x14ac:dyDescent="0.2">
      <c r="A27" s="42">
        <v>19633</v>
      </c>
      <c r="B27" s="43">
        <f>VLOOKUP(A27,'Data yoy'!$B:$AW,MATCH($B$1,'Data yoy'!$B$1:$AW$1,0),FALSE)</f>
        <v>5.4207601810000003</v>
      </c>
      <c r="C27" s="43">
        <f>Table13456789101112131415161734[[#This Row],[USA]]-B26</f>
        <v>-1.3618199820000001</v>
      </c>
      <c r="D27" s="27"/>
      <c r="V27" s="72" t="s">
        <v>56</v>
      </c>
    </row>
    <row r="28" spans="1:22" x14ac:dyDescent="0.2">
      <c r="A28" s="42">
        <v>19725</v>
      </c>
      <c r="B28" s="43">
        <f>VLOOKUP(A28,'Data yoy'!$B:$AW,MATCH($B$1,'Data yoy'!$B$1:$AW$1,0),FALSE)</f>
        <v>0.52334884400000004</v>
      </c>
      <c r="C28" s="43">
        <f>Table13456789101112131415161734[[#This Row],[USA]]-B27</f>
        <v>-4.8974113370000003</v>
      </c>
      <c r="D28" s="27"/>
      <c r="V28" s="72" t="s">
        <v>57</v>
      </c>
    </row>
    <row r="29" spans="1:22" x14ac:dyDescent="0.2">
      <c r="A29" s="42">
        <v>19815</v>
      </c>
      <c r="B29" s="43">
        <f>VLOOKUP(A29,'Data yoy'!$B:$AW,MATCH($B$1,'Data yoy'!$B$1:$AW$1,0),FALSE)</f>
        <v>-1.782902464</v>
      </c>
      <c r="C29" s="43">
        <f>Table13456789101112131415161734[[#This Row],[USA]]-B28</f>
        <v>-2.3062513080000002</v>
      </c>
      <c r="D29" s="27"/>
      <c r="V29" s="72" t="s">
        <v>58</v>
      </c>
    </row>
    <row r="30" spans="1:22" x14ac:dyDescent="0.2">
      <c r="A30" s="42">
        <v>19906</v>
      </c>
      <c r="B30" s="43">
        <f>VLOOKUP(A30,'Data yoy'!$B:$AW,MATCH($B$1,'Data yoy'!$B$1:$AW$1,0),FALSE)</f>
        <v>-2.4300090499999998</v>
      </c>
      <c r="C30" s="43">
        <f>Table13456789101112131415161734[[#This Row],[USA]]-B29</f>
        <v>-0.64710658599999982</v>
      </c>
      <c r="D30" s="27"/>
      <c r="V30" s="72" t="s">
        <v>60</v>
      </c>
    </row>
    <row r="31" spans="1:22" x14ac:dyDescent="0.2">
      <c r="A31" s="42">
        <v>19998</v>
      </c>
      <c r="B31" s="43">
        <f>VLOOKUP(A31,'Data yoy'!$B:$AW,MATCH($B$1,'Data yoy'!$B$1:$AW$1,0),FALSE)</f>
        <v>-0.76976022300000002</v>
      </c>
      <c r="C31" s="43">
        <f>Table13456789101112131415161734[[#This Row],[USA]]-B30</f>
        <v>1.6602488269999998</v>
      </c>
      <c r="D31" s="27"/>
      <c r="V31" s="72" t="s">
        <v>61</v>
      </c>
    </row>
    <row r="32" spans="1:22" x14ac:dyDescent="0.2">
      <c r="A32" s="42">
        <v>20090</v>
      </c>
      <c r="B32" s="43">
        <f>VLOOKUP(A32,'Data yoy'!$B:$AW,MATCH($B$1,'Data yoy'!$B$1:$AW$1,0),FALSE)</f>
        <v>2.7270932499999998</v>
      </c>
      <c r="C32" s="43">
        <f>Table13456789101112131415161734[[#This Row],[USA]]-B31</f>
        <v>3.4968534729999998</v>
      </c>
      <c r="D32" s="27"/>
      <c r="V32" s="72" t="s">
        <v>62</v>
      </c>
    </row>
    <row r="33" spans="1:22" x14ac:dyDescent="0.2">
      <c r="A33" s="42">
        <v>20180</v>
      </c>
      <c r="B33" s="43">
        <f>VLOOKUP(A33,'Data yoy'!$B:$AW,MATCH($B$1,'Data yoy'!$B$1:$AW$1,0),FALSE)</f>
        <v>6.1687319870000001</v>
      </c>
      <c r="C33" s="43">
        <f>Table13456789101112131415161734[[#This Row],[USA]]-B32</f>
        <v>3.4416387370000003</v>
      </c>
      <c r="D33" s="27"/>
      <c r="V33" s="72" t="s">
        <v>63</v>
      </c>
    </row>
    <row r="34" spans="1:22" x14ac:dyDescent="0.2">
      <c r="A34" s="42">
        <v>20271</v>
      </c>
      <c r="B34" s="43">
        <f>VLOOKUP(A34,'Data yoy'!$B:$AW,MATCH($B$1,'Data yoy'!$B$1:$AW$1,0),FALSE)</f>
        <v>7.7788443279999999</v>
      </c>
      <c r="C34" s="43">
        <f>Table13456789101112131415161734[[#This Row],[USA]]-B33</f>
        <v>1.6101123409999998</v>
      </c>
      <c r="D34" s="27"/>
      <c r="V34" s="72" t="s">
        <v>64</v>
      </c>
    </row>
    <row r="35" spans="1:22" x14ac:dyDescent="0.2">
      <c r="A35" s="42">
        <v>20363</v>
      </c>
      <c r="B35" s="43">
        <f>VLOOKUP(A35,'Data yoy'!$B:$AW,MATCH($B$1,'Data yoy'!$B$1:$AW$1,0),FALSE)</f>
        <v>8.0145013810000005</v>
      </c>
      <c r="C35" s="43">
        <f>Table13456789101112131415161734[[#This Row],[USA]]-B34</f>
        <v>0.23565705300000062</v>
      </c>
      <c r="D35" s="27"/>
      <c r="V35" s="72" t="s">
        <v>33</v>
      </c>
    </row>
    <row r="36" spans="1:22" x14ac:dyDescent="0.2">
      <c r="A36" s="42">
        <v>20455</v>
      </c>
      <c r="B36" s="43">
        <f>VLOOKUP(A36,'Data yoy'!$B:$AW,MATCH($B$1,'Data yoy'!$B$1:$AW$1,0),FALSE)</f>
        <v>6.5775531980000004</v>
      </c>
      <c r="C36" s="43">
        <f>Table13456789101112131415161734[[#This Row],[USA]]-B35</f>
        <v>-1.4369481830000002</v>
      </c>
      <c r="D36" s="27"/>
      <c r="V36" t="s">
        <v>36</v>
      </c>
    </row>
    <row r="37" spans="1:22" x14ac:dyDescent="0.2">
      <c r="A37" s="42">
        <v>20546</v>
      </c>
      <c r="B37" s="43">
        <f>VLOOKUP(A37,'Data yoy'!$B:$AW,MATCH($B$1,'Data yoy'!$B$1:$AW$1,0),FALSE)</f>
        <v>3.2155485320000001</v>
      </c>
      <c r="C37" s="43">
        <f>Table13456789101112131415161734[[#This Row],[USA]]-B36</f>
        <v>-3.3620046660000003</v>
      </c>
      <c r="D37" s="27"/>
      <c r="V37" s="72" t="s">
        <v>39</v>
      </c>
    </row>
    <row r="38" spans="1:22" x14ac:dyDescent="0.2">
      <c r="A38" s="42">
        <v>20637</v>
      </c>
      <c r="B38" s="43">
        <f>VLOOKUP(A38,'Data yoy'!$B:$AW,MATCH($B$1,'Data yoy'!$B$1:$AW$1,0),FALSE)</f>
        <v>2.4021458670000002</v>
      </c>
      <c r="C38" s="43">
        <f>Table13456789101112131415161734[[#This Row],[USA]]-B37</f>
        <v>-0.81340266499999991</v>
      </c>
      <c r="D38" s="27"/>
      <c r="V38" s="72" t="s">
        <v>27</v>
      </c>
    </row>
    <row r="39" spans="1:22" x14ac:dyDescent="0.2">
      <c r="A39" s="42">
        <v>20729</v>
      </c>
      <c r="B39" s="43">
        <f>VLOOKUP(A39,'Data yoy'!$B:$AW,MATCH($B$1,'Data yoy'!$B$1:$AW$1,0),FALSE)</f>
        <v>0.94689641000000002</v>
      </c>
      <c r="C39" s="43">
        <f>Table13456789101112131415161734[[#This Row],[USA]]-B38</f>
        <v>-1.4552494570000003</v>
      </c>
      <c r="D39" s="27"/>
      <c r="V39" s="72" t="s">
        <v>43</v>
      </c>
    </row>
    <row r="40" spans="1:22" x14ac:dyDescent="0.2">
      <c r="A40" s="42">
        <v>20821</v>
      </c>
      <c r="B40" s="43">
        <f>VLOOKUP(A40,'Data yoy'!$B:$AW,MATCH($B$1,'Data yoy'!$B$1:$AW$1,0),FALSE)</f>
        <v>1.9960335760000001</v>
      </c>
      <c r="C40" s="43">
        <f>Table13456789101112131415161734[[#This Row],[USA]]-B39</f>
        <v>1.049137166</v>
      </c>
      <c r="D40" s="27"/>
      <c r="V40" s="72" t="s">
        <v>65</v>
      </c>
    </row>
    <row r="41" spans="1:22" x14ac:dyDescent="0.2">
      <c r="A41" s="42">
        <v>20911</v>
      </c>
      <c r="B41" s="43">
        <f>VLOOKUP(A41,'Data yoy'!$B:$AW,MATCH($B$1,'Data yoy'!$B$1:$AW$1,0),FALSE)</f>
        <v>3.0493286199999998</v>
      </c>
      <c r="C41" s="43">
        <f>Table13456789101112131415161734[[#This Row],[USA]]-B40</f>
        <v>1.0532950439999997</v>
      </c>
      <c r="D41" s="27"/>
      <c r="V41" s="72" t="s">
        <v>59</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1.8852788700000001</v>
      </c>
      <c r="C281" s="43">
        <f>Table13456789101112131415161734[[#This Row],[USA]]-B280</f>
        <v>-0.11889817600000008</v>
      </c>
      <c r="D281" s="27"/>
    </row>
    <row r="282" spans="1:4" x14ac:dyDescent="0.2">
      <c r="A282" s="42">
        <v>42917</v>
      </c>
      <c r="B282" s="43">
        <f>VLOOKUP(A282,'Data yoy'!$B:$AW,MATCH($B$1,'Data yoy'!$B$1:$AW$1,0),FALSE)</f>
        <v>2.1467165829999999</v>
      </c>
      <c r="C282" s="43">
        <f>Table13456789101112131415161734[[#This Row],[USA]]-B281</f>
        <v>0.26143771299999985</v>
      </c>
      <c r="D282" s="27"/>
    </row>
    <row r="283" spans="1:4" x14ac:dyDescent="0.2">
      <c r="A283" s="42">
        <v>43009</v>
      </c>
      <c r="B283" s="43">
        <f>VLOOKUP(A283,'Data yoy'!$B:$AW,MATCH($B$1,'Data yoy'!$B$1:$AW$1,0),FALSE)</f>
        <v>2.2665646380000002</v>
      </c>
      <c r="C283" s="43">
        <f>Table13456789101112131415161734[[#This Row],[USA]]-B282</f>
        <v>0.11984805500000029</v>
      </c>
      <c r="D283" s="27"/>
    </row>
    <row r="284" spans="1:4" x14ac:dyDescent="0.2">
      <c r="A284" s="42">
        <v>43101</v>
      </c>
      <c r="B284" s="43">
        <f>VLOOKUP(A284,'Data yoy'!$B:$AW,MATCH($B$1,'Data yoy'!$B$1:$AW$1,0),FALSE)</f>
        <v>2.7178855820000001</v>
      </c>
      <c r="C284" s="43">
        <f>Table13456789101112131415161734[[#This Row],[USA]]-B283</f>
        <v>0.45132094399999989</v>
      </c>
      <c r="D284" s="27"/>
    </row>
    <row r="285" spans="1:4" x14ac:dyDescent="0.2">
      <c r="A285" s="42">
        <v>43191</v>
      </c>
      <c r="B285" s="43">
        <f>VLOOKUP(A285,'Data yoy'!$B:$AW,MATCH($B$1,'Data yoy'!$B$1:$AW$1,0),FALSE)</f>
        <v>3.0153118829999999</v>
      </c>
      <c r="C285" s="43">
        <f>Table13456789101112131415161734[[#This Row],[USA]]-B284</f>
        <v>0.29742630099999978</v>
      </c>
      <c r="D285" s="27"/>
    </row>
    <row r="286" spans="1:4" x14ac:dyDescent="0.2">
      <c r="A286" s="42">
        <v>43282</v>
      </c>
      <c r="B286" s="43">
        <f>VLOOKUP(A286,'Data yoy'!$B:$AW,MATCH($B$1,'Data yoy'!$B$1:$AW$1,0),FALSE)</f>
        <v>3.2961522830000001</v>
      </c>
      <c r="C286" s="43">
        <f>Table13456789101112131415161734[[#This Row],[USA]]-B285</f>
        <v>0.28084040000000021</v>
      </c>
    </row>
    <row r="287" spans="1:4" x14ac:dyDescent="0.2">
      <c r="A287" s="42">
        <v>43374</v>
      </c>
      <c r="B287" s="43">
        <f>VLOOKUP(A287,'Data yoy'!$B:$AW,MATCH($B$1,'Data yoy'!$B$1:$AW$1,0),FALSE)</f>
        <v>3.0528859119999998</v>
      </c>
      <c r="C287" s="43">
        <f>Table13456789101112131415161734[[#This Row],[USA]]-B286</f>
        <v>-0.24326637100000026</v>
      </c>
    </row>
    <row r="288" spans="1:4" x14ac:dyDescent="0.2">
      <c r="A288" s="42">
        <v>43466</v>
      </c>
      <c r="B288" s="43">
        <f>VLOOKUP(A288,'Data yoy'!$B:$AW,MATCH($B$1,'Data yoy'!$B$1:$AW$1,0),FALSE)</f>
        <v>2.3206170949999998</v>
      </c>
      <c r="C288" s="43">
        <f>Table13456789101112131415161734[[#This Row],[USA]]-B287</f>
        <v>-0.73226881700000002</v>
      </c>
    </row>
    <row r="289" spans="1:4" x14ac:dyDescent="0.2">
      <c r="A289" s="42">
        <v>43556</v>
      </c>
      <c r="B289" s="43">
        <f>VLOOKUP(A289,'Data yoy'!$B:$AW,MATCH($B$1,'Data yoy'!$B$1:$AW$1,0),FALSE)</f>
        <v>2.1530015140000001</v>
      </c>
      <c r="C289" s="43">
        <f>Table13456789101112131415161734[[#This Row],[USA]]-B288</f>
        <v>-0.16761558099999974</v>
      </c>
    </row>
    <row r="290" spans="1:4" x14ac:dyDescent="0.2">
      <c r="A290" s="42">
        <v>43647</v>
      </c>
      <c r="B290" s="43">
        <f>VLOOKUP(A290,'Data yoy'!$B:$AW,MATCH($B$1,'Data yoy'!$B$1:$AW$1,0),FALSE)</f>
        <v>2.1114788359999999</v>
      </c>
      <c r="C290" s="43">
        <f>Table13456789101112131415161734[[#This Row],[USA]]-B289</f>
        <v>-4.1522678000000202E-2</v>
      </c>
    </row>
    <row r="291" spans="1:4" s="72" customFormat="1" x14ac:dyDescent="0.2">
      <c r="A291" s="42">
        <v>43739</v>
      </c>
      <c r="B291" s="43">
        <f>VLOOKUP(A291,'Data yoy'!$B:$AW,MATCH($B$1,'Data yoy'!$B$1:$AW$1,0),FALSE)</f>
        <v>2.3183259980000002</v>
      </c>
      <c r="C291" s="43">
        <f>Table13456789101112131415161734[[#This Row],[USA]]-B290</f>
        <v>0.20684716200000031</v>
      </c>
      <c r="D291" s="48"/>
    </row>
    <row r="292" spans="1:4" s="72" customFormat="1" x14ac:dyDescent="0.2">
      <c r="A292" s="42">
        <v>43831</v>
      </c>
      <c r="B292" s="43">
        <f>VLOOKUP(A292,'Data yoy'!$B:$AW,MATCH($B$1,'Data yoy'!$B$1:$AW$1,0),FALSE)</f>
        <v>2.5694235349999999</v>
      </c>
      <c r="C292" s="43">
        <f>Table13456789101112131415161734[[#This Row],[USA]]-B291</f>
        <v>0.2510975369999997</v>
      </c>
      <c r="D292" s="48"/>
    </row>
    <row r="293" spans="1:4" s="72" customFormat="1" x14ac:dyDescent="0.2">
      <c r="A293" s="42">
        <v>43922</v>
      </c>
      <c r="B293" s="43">
        <f>VLOOKUP(A293,'Data yoy'!$B:$AW,MATCH($B$1,'Data yoy'!$B$1:$AW$1,0),FALSE)</f>
        <v>0.63078516399999995</v>
      </c>
      <c r="C293" s="43">
        <f>Table13456789101112131415161734[[#This Row],[USA]]-B292</f>
        <v>-1.9386383709999999</v>
      </c>
      <c r="D293" s="48"/>
    </row>
    <row r="294" spans="1:4" s="72" customFormat="1" x14ac:dyDescent="0.2">
      <c r="A294" s="42">
        <v>44013</v>
      </c>
      <c r="B294" s="43">
        <f>VLOOKUP(A294,'Data yoy'!$B:$AW,MATCH($B$1,'Data yoy'!$B$1:$AW$1,0),FALSE)</f>
        <v>-9.0837374240000006</v>
      </c>
      <c r="C294" s="43">
        <f>Table13456789101112131415161734[[#This Row],[USA]]-B293</f>
        <v>-9.7145225880000012</v>
      </c>
      <c r="D294" s="48"/>
    </row>
    <row r="295" spans="1:4" s="72" customFormat="1" x14ac:dyDescent="0.2">
      <c r="A295" s="42">
        <v>44105</v>
      </c>
      <c r="B295" s="43">
        <f>VLOOKUP(A295,'Data yoy'!$B:$AW,MATCH($B$1,'Data yoy'!$B$1:$AW$1,0),FALSE)</f>
        <v>-2.8875059890000001</v>
      </c>
      <c r="C295" s="43">
        <f>Table13456789101112131415161734[[#This Row],[USA]]-B294</f>
        <v>6.1962314350000005</v>
      </c>
      <c r="D295" s="48"/>
    </row>
    <row r="296" spans="1:4" s="72" customFormat="1" x14ac:dyDescent="0.2">
      <c r="A296" s="42">
        <v>44197</v>
      </c>
      <c r="B296" s="43">
        <f>VLOOKUP(A296,'Data yoy'!$B:$AW,MATCH($B$1,'Data yoy'!$B$1:$AW$1,0),FALSE)</f>
        <v>-2.2629152430000001</v>
      </c>
      <c r="C296" s="43">
        <f>Table13456789101112131415161734[[#This Row],[USA]]-B295</f>
        <v>0.62459074599999997</v>
      </c>
      <c r="D296" s="48"/>
    </row>
    <row r="297" spans="1:4" s="72" customFormat="1" x14ac:dyDescent="0.2">
      <c r="A297" s="42">
        <v>44287</v>
      </c>
      <c r="B297" s="43">
        <f>VLOOKUP(A297,'Data yoy'!$B:$AW,MATCH($B$1,'Data yoy'!$B$1:$AW$1,0),FALSE)</f>
        <v>0.54697680299999996</v>
      </c>
      <c r="C297" s="43">
        <f>Table13456789101112131415161734[[#This Row],[USA]]-B296</f>
        <v>2.8098920459999999</v>
      </c>
      <c r="D297" s="48"/>
    </row>
    <row r="298" spans="1:4" s="72" customFormat="1" x14ac:dyDescent="0.2">
      <c r="A298" s="42">
        <v>44378</v>
      </c>
      <c r="B298" s="43">
        <f>VLOOKUP(A298,'Data yoy'!$B:$AW,MATCH($B$1,'Data yoy'!$B$1:$AW$1,0),FALSE)</f>
        <v>12.226677108000001</v>
      </c>
      <c r="C298" s="43">
        <f>Table13456789101112131415161734[[#This Row],[USA]]-B297</f>
        <v>11.679700305000001</v>
      </c>
      <c r="D298" s="48"/>
    </row>
    <row r="299" spans="1:4" s="72" customFormat="1" x14ac:dyDescent="0.2">
      <c r="A299" s="42">
        <v>44470</v>
      </c>
      <c r="B299" s="43">
        <f>VLOOKUP(A299,'Data yoy'!$B:$AW,MATCH($B$1,'Data yoy'!$B$1:$AW$1,0),FALSE)</f>
        <v>4.946555569</v>
      </c>
      <c r="C299" s="43">
        <f>Table13456789101112131415161734[[#This Row],[USA]]-B298</f>
        <v>-7.2801215390000005</v>
      </c>
      <c r="D299" s="48"/>
    </row>
    <row r="300" spans="1:4" s="72" customFormat="1" x14ac:dyDescent="0.2">
      <c r="A300" s="42">
        <v>44562</v>
      </c>
      <c r="B300" s="43">
        <f>VLOOKUP(A300,'Data yoy'!$B:$AW,MATCH($B$1,'Data yoy'!$B$1:$AW$1,0),FALSE)</f>
        <v>5.5317363620000002</v>
      </c>
      <c r="C300" s="43">
        <f>Table13456789101112131415161734[[#This Row],[USA]]-B299</f>
        <v>0.58518079300000014</v>
      </c>
      <c r="D300" s="48"/>
    </row>
    <row r="301" spans="1:4" s="72" customFormat="1" x14ac:dyDescent="0.2">
      <c r="A301" s="49"/>
      <c r="B301" s="50"/>
      <c r="C301" s="41"/>
      <c r="D301" s="48"/>
    </row>
    <row r="302" spans="1:4" s="72" customFormat="1" x14ac:dyDescent="0.2">
      <c r="A302" s="49"/>
      <c r="B302" s="50"/>
      <c r="C302" s="41"/>
      <c r="D302" s="48"/>
    </row>
    <row r="303" spans="1:4" s="72" customFormat="1" x14ac:dyDescent="0.2">
      <c r="A303" s="49"/>
      <c r="B303" s="50"/>
      <c r="C303" s="41"/>
      <c r="D303" s="48"/>
    </row>
    <row r="304" spans="1:4" s="72" customFormat="1" x14ac:dyDescent="0.2">
      <c r="A304" s="49"/>
      <c r="B304" s="50"/>
      <c r="C304" s="41"/>
      <c r="D304" s="48"/>
    </row>
    <row r="305" spans="1:4" s="72" customFormat="1" x14ac:dyDescent="0.2">
      <c r="A305" s="49"/>
      <c r="B305" s="50"/>
      <c r="C305" s="41"/>
      <c r="D305" s="48"/>
    </row>
    <row r="306" spans="1:4" s="72" customFormat="1" x14ac:dyDescent="0.2">
      <c r="A306" s="49"/>
      <c r="B306" s="50"/>
      <c r="C306" s="41"/>
      <c r="D306" s="48"/>
    </row>
    <row r="307" spans="1:4" s="72" customFormat="1" x14ac:dyDescent="0.2">
      <c r="A307" s="49"/>
      <c r="B307" s="50"/>
      <c r="C307" s="41"/>
      <c r="D307" s="48"/>
    </row>
    <row r="308" spans="1:4" s="72" customFormat="1" x14ac:dyDescent="0.2">
      <c r="A308" s="49"/>
      <c r="B308" s="50"/>
      <c r="C308" s="41"/>
      <c r="D308" s="48"/>
    </row>
    <row r="309" spans="1:4" s="72" customFormat="1" x14ac:dyDescent="0.2">
      <c r="A309" s="49"/>
      <c r="B309" s="50"/>
      <c r="C309" s="41"/>
      <c r="D309" s="48"/>
    </row>
    <row r="310" spans="1:4" s="72" customFormat="1" x14ac:dyDescent="0.2">
      <c r="A310" s="49"/>
      <c r="B310" s="50"/>
      <c r="C310" s="41"/>
      <c r="D310" s="48"/>
    </row>
    <row r="311" spans="1:4" s="72" customFormat="1" x14ac:dyDescent="0.2">
      <c r="A311" s="49"/>
      <c r="B311" s="50"/>
      <c r="C311" s="41"/>
      <c r="D311" s="48"/>
    </row>
    <row r="312" spans="1:4" s="72" customFormat="1" x14ac:dyDescent="0.2">
      <c r="A312" s="49"/>
      <c r="B312" s="50"/>
      <c r="C312" s="41"/>
      <c r="D312" s="48"/>
    </row>
    <row r="313" spans="1:4" s="72" customFormat="1" x14ac:dyDescent="0.2">
      <c r="A313" s="49"/>
      <c r="B313" s="50"/>
      <c r="C313" s="41"/>
      <c r="D313" s="48"/>
    </row>
    <row r="314" spans="1:4" s="72" customFormat="1" x14ac:dyDescent="0.2">
      <c r="A314" s="49"/>
      <c r="B314" s="50"/>
      <c r="C314" s="41"/>
      <c r="D314" s="48"/>
    </row>
    <row r="315" spans="1:4" s="72" customFormat="1" x14ac:dyDescent="0.2">
      <c r="A315" s="49"/>
      <c r="B315" s="50"/>
      <c r="C315" s="41"/>
      <c r="D315" s="48"/>
    </row>
    <row r="316" spans="1:4" s="72" customFormat="1" x14ac:dyDescent="0.2">
      <c r="A316" s="49"/>
      <c r="B316" s="50"/>
      <c r="C316" s="41"/>
      <c r="D316" s="48"/>
    </row>
    <row r="317" spans="1:4" s="72" customFormat="1" x14ac:dyDescent="0.2">
      <c r="A317" s="49"/>
      <c r="B317" s="50"/>
      <c r="C317" s="41"/>
      <c r="D317" s="48"/>
    </row>
    <row r="318" spans="1:4" s="72" customFormat="1" x14ac:dyDescent="0.2">
      <c r="A318" s="49"/>
      <c r="B318" s="50"/>
      <c r="C318" s="41"/>
      <c r="D318" s="48"/>
    </row>
    <row r="319" spans="1:4" s="72" customFormat="1" x14ac:dyDescent="0.2">
      <c r="A319" s="49"/>
      <c r="B319" s="50"/>
      <c r="C319" s="41"/>
      <c r="D319" s="48"/>
    </row>
    <row r="320" spans="1:4" s="72" customFormat="1" x14ac:dyDescent="0.2">
      <c r="A320" s="49"/>
      <c r="B320" s="50"/>
      <c r="C320" s="41"/>
      <c r="D320" s="48"/>
    </row>
    <row r="321" spans="1:4" s="72" customFormat="1" x14ac:dyDescent="0.2">
      <c r="A321" s="49"/>
      <c r="B321" s="50"/>
      <c r="C321" s="41"/>
      <c r="D321" s="48"/>
    </row>
    <row r="322" spans="1:4" s="72" customFormat="1" x14ac:dyDescent="0.2">
      <c r="A322" s="49"/>
      <c r="B322" s="50"/>
      <c r="C322" s="41"/>
      <c r="D322" s="48"/>
    </row>
    <row r="323" spans="1:4" s="72" customFormat="1" x14ac:dyDescent="0.2">
      <c r="A323" s="49"/>
      <c r="B323" s="50"/>
      <c r="C323" s="41"/>
      <c r="D323" s="48"/>
    </row>
    <row r="324" spans="1:4" s="72" customFormat="1" x14ac:dyDescent="0.2">
      <c r="A324" s="49"/>
      <c r="B324" s="50"/>
      <c r="C324" s="41"/>
      <c r="D324" s="48"/>
    </row>
    <row r="325" spans="1:4" s="72" customFormat="1" x14ac:dyDescent="0.2">
      <c r="A325" s="49"/>
      <c r="B325" s="50"/>
      <c r="C325" s="41"/>
      <c r="D325" s="48"/>
    </row>
    <row r="326" spans="1:4" s="72" customFormat="1" x14ac:dyDescent="0.2">
      <c r="A326" s="49"/>
      <c r="B326" s="50"/>
      <c r="C326" s="41"/>
      <c r="D326" s="48"/>
    </row>
    <row r="327" spans="1:4" s="72" customFormat="1" x14ac:dyDescent="0.2">
      <c r="A327" s="49"/>
      <c r="B327" s="50"/>
      <c r="C327" s="41"/>
      <c r="D327" s="48"/>
    </row>
    <row r="328" spans="1:4" s="72" customFormat="1" x14ac:dyDescent="0.2">
      <c r="A328" s="49"/>
      <c r="B328" s="50"/>
      <c r="C328" s="41"/>
      <c r="D328" s="48"/>
    </row>
    <row r="329" spans="1:4" s="72" customFormat="1" x14ac:dyDescent="0.2">
      <c r="A329" s="49"/>
      <c r="B329" s="50"/>
      <c r="C329" s="41"/>
      <c r="D329" s="48"/>
    </row>
    <row r="330" spans="1:4" s="72" customFormat="1" x14ac:dyDescent="0.2">
      <c r="A330" s="49"/>
      <c r="B330" s="50"/>
      <c r="C330" s="41"/>
      <c r="D330" s="48"/>
    </row>
    <row r="331" spans="1:4" s="72" customFormat="1" x14ac:dyDescent="0.2">
      <c r="A331" s="49"/>
      <c r="B331" s="50"/>
      <c r="C331" s="41"/>
      <c r="D331" s="48"/>
    </row>
    <row r="332" spans="1:4" s="72" customFormat="1" x14ac:dyDescent="0.2">
      <c r="A332" s="49"/>
      <c r="B332" s="50"/>
      <c r="C332" s="41"/>
      <c r="D332" s="48"/>
    </row>
    <row r="333" spans="1:4" s="72" customFormat="1" x14ac:dyDescent="0.2">
      <c r="A333" s="49"/>
      <c r="B333" s="50"/>
      <c r="C333" s="41"/>
      <c r="D333" s="48"/>
    </row>
    <row r="334" spans="1:4" s="72" customFormat="1" x14ac:dyDescent="0.2">
      <c r="A334" s="49"/>
      <c r="B334" s="50"/>
      <c r="C334" s="41"/>
      <c r="D334" s="48"/>
    </row>
    <row r="335" spans="1:4" s="72" customFormat="1" x14ac:dyDescent="0.2">
      <c r="A335" s="49"/>
      <c r="B335" s="50"/>
      <c r="C335" s="41"/>
      <c r="D335" s="48"/>
    </row>
    <row r="336" spans="1:4" s="72" customFormat="1" x14ac:dyDescent="0.2">
      <c r="A336" s="49"/>
      <c r="B336" s="50"/>
      <c r="C336" s="41"/>
      <c r="D336" s="48"/>
    </row>
    <row r="337" spans="1:4" s="72" customFormat="1" x14ac:dyDescent="0.2">
      <c r="A337" s="49"/>
      <c r="B337" s="50"/>
      <c r="C337" s="41"/>
      <c r="D337" s="48"/>
    </row>
    <row r="338" spans="1:4" s="72" customFormat="1" x14ac:dyDescent="0.2">
      <c r="A338" s="49"/>
      <c r="B338" s="50"/>
      <c r="C338" s="41"/>
      <c r="D338" s="48"/>
    </row>
    <row r="339" spans="1:4" s="72" customFormat="1" x14ac:dyDescent="0.2">
      <c r="A339" s="49"/>
      <c r="B339" s="50"/>
      <c r="C339" s="41"/>
      <c r="D339" s="48"/>
    </row>
    <row r="340" spans="1:4" s="72" customFormat="1" x14ac:dyDescent="0.2">
      <c r="A340" s="49"/>
      <c r="B340" s="50"/>
      <c r="C340" s="41"/>
      <c r="D340" s="48"/>
    </row>
    <row r="341" spans="1:4" s="72" customFormat="1" x14ac:dyDescent="0.2">
      <c r="A341" s="49"/>
      <c r="B341" s="50"/>
      <c r="C341" s="41"/>
      <c r="D341" s="48"/>
    </row>
    <row r="342" spans="1:4" s="72" customFormat="1" x14ac:dyDescent="0.2">
      <c r="A342" s="49"/>
      <c r="B342" s="50"/>
      <c r="C342" s="41"/>
      <c r="D342" s="48"/>
    </row>
    <row r="343" spans="1:4" s="72" customFormat="1" x14ac:dyDescent="0.2">
      <c r="A343" s="49"/>
      <c r="B343" s="50"/>
      <c r="C343" s="41"/>
      <c r="D343" s="48"/>
    </row>
    <row r="344" spans="1:4" s="72" customFormat="1" x14ac:dyDescent="0.2">
      <c r="A344" s="49"/>
      <c r="B344" s="50"/>
      <c r="C344" s="41"/>
      <c r="D344" s="48"/>
    </row>
    <row r="345" spans="1:4" s="72" customFormat="1" x14ac:dyDescent="0.2">
      <c r="A345" s="49"/>
      <c r="B345" s="50"/>
      <c r="C345" s="41"/>
      <c r="D345" s="48"/>
    </row>
    <row r="346" spans="1:4" s="72" customFormat="1" x14ac:dyDescent="0.2">
      <c r="A346" s="49"/>
      <c r="B346" s="50"/>
      <c r="C346" s="41"/>
      <c r="D346" s="48"/>
    </row>
    <row r="347" spans="1:4" s="72" customFormat="1" x14ac:dyDescent="0.2">
      <c r="A347" s="49"/>
      <c r="B347" s="50"/>
      <c r="C347" s="41"/>
      <c r="D347" s="48"/>
    </row>
    <row r="348" spans="1:4" s="72" customFormat="1" x14ac:dyDescent="0.2">
      <c r="A348" s="49"/>
      <c r="B348" s="50"/>
      <c r="C348" s="41"/>
      <c r="D348" s="48"/>
    </row>
    <row r="349" spans="1:4" s="72" customFormat="1" x14ac:dyDescent="0.2">
      <c r="A349" s="49"/>
      <c r="B349" s="50"/>
      <c r="C349" s="41"/>
      <c r="D349" s="48"/>
    </row>
    <row r="350" spans="1:4" s="72" customFormat="1" x14ac:dyDescent="0.2">
      <c r="A350" s="49"/>
      <c r="B350" s="50"/>
      <c r="C350" s="41"/>
      <c r="D350" s="48"/>
    </row>
    <row r="351" spans="1:4" s="72" customFormat="1" x14ac:dyDescent="0.2">
      <c r="A351" s="49"/>
      <c r="B351" s="50"/>
      <c r="C351" s="41"/>
      <c r="D351" s="48"/>
    </row>
    <row r="352" spans="1:4" s="72" customFormat="1" x14ac:dyDescent="0.2">
      <c r="A352" s="49"/>
      <c r="B352" s="50"/>
      <c r="C352" s="41"/>
      <c r="D352" s="48"/>
    </row>
    <row r="353" spans="1:4" s="72" customFormat="1" x14ac:dyDescent="0.2">
      <c r="A353" s="49"/>
      <c r="B353" s="50"/>
      <c r="C353" s="41"/>
      <c r="D353" s="48"/>
    </row>
    <row r="354" spans="1:4" s="72" customFormat="1" x14ac:dyDescent="0.2">
      <c r="A354" s="49"/>
      <c r="B354" s="50"/>
      <c r="C354" s="41"/>
      <c r="D354" s="48"/>
    </row>
    <row r="355" spans="1:4" s="72" customFormat="1" x14ac:dyDescent="0.2">
      <c r="A355" s="49"/>
      <c r="B355" s="50"/>
      <c r="C355" s="41"/>
      <c r="D355" s="48"/>
    </row>
    <row r="356" spans="1:4" s="72" customFormat="1" x14ac:dyDescent="0.2">
      <c r="A356" s="49"/>
      <c r="B356" s="50"/>
      <c r="C356" s="41"/>
      <c r="D356" s="48"/>
    </row>
    <row r="357" spans="1:4" s="72" customFormat="1" x14ac:dyDescent="0.2">
      <c r="A357" s="49"/>
      <c r="B357" s="50"/>
      <c r="C357" s="41"/>
      <c r="D357" s="48"/>
    </row>
    <row r="358" spans="1:4" s="72" customFormat="1" x14ac:dyDescent="0.2">
      <c r="A358" s="49"/>
      <c r="B358" s="50"/>
      <c r="C358" s="41"/>
      <c r="D358" s="48"/>
    </row>
    <row r="359" spans="1:4" s="72" customFormat="1" x14ac:dyDescent="0.2">
      <c r="A359" s="49"/>
      <c r="B359" s="50"/>
      <c r="C359" s="41"/>
      <c r="D359" s="48"/>
    </row>
    <row r="360" spans="1:4" s="72" customFormat="1" x14ac:dyDescent="0.2">
      <c r="A360" s="49"/>
      <c r="B360" s="50"/>
      <c r="C360" s="41"/>
      <c r="D360" s="48"/>
    </row>
    <row r="361" spans="1:4" s="72" customFormat="1" x14ac:dyDescent="0.2">
      <c r="A361" s="49"/>
      <c r="B361" s="50"/>
      <c r="C361" s="41"/>
      <c r="D361" s="48"/>
    </row>
    <row r="362" spans="1:4" s="72" customFormat="1" x14ac:dyDescent="0.2">
      <c r="A362" s="49"/>
      <c r="B362" s="50"/>
      <c r="C362" s="41"/>
      <c r="D362" s="48"/>
    </row>
    <row r="363" spans="1:4" s="72" customFormat="1" x14ac:dyDescent="0.2">
      <c r="A363" s="49"/>
      <c r="B363" s="50"/>
      <c r="C363" s="41"/>
      <c r="D363" s="48"/>
    </row>
    <row r="364" spans="1:4" s="72" customFormat="1" x14ac:dyDescent="0.2">
      <c r="A364" s="49"/>
      <c r="B364" s="50"/>
      <c r="C364" s="41"/>
      <c r="D364" s="48"/>
    </row>
    <row r="365" spans="1:4" s="72" customFormat="1" x14ac:dyDescent="0.2">
      <c r="A365" s="49"/>
      <c r="B365" s="50"/>
      <c r="C365" s="41"/>
      <c r="D365" s="48"/>
    </row>
    <row r="366" spans="1:4" s="72" customFormat="1" x14ac:dyDescent="0.2">
      <c r="A366" s="49"/>
      <c r="B366" s="50"/>
      <c r="C366" s="41"/>
      <c r="D366" s="48"/>
    </row>
    <row r="367" spans="1:4" s="72" customFormat="1" x14ac:dyDescent="0.2">
      <c r="A367" s="49"/>
      <c r="B367" s="50"/>
      <c r="C367" s="41"/>
      <c r="D367" s="48"/>
    </row>
    <row r="368" spans="1:4" s="72" customFormat="1" x14ac:dyDescent="0.2">
      <c r="A368" s="49"/>
      <c r="B368" s="50"/>
      <c r="C368" s="41"/>
      <c r="D368" s="48"/>
    </row>
    <row r="369" spans="1:4" s="72" customFormat="1" x14ac:dyDescent="0.2">
      <c r="A369" s="49"/>
      <c r="B369" s="50"/>
      <c r="C369" s="41"/>
      <c r="D369" s="48"/>
    </row>
    <row r="370" spans="1:4" s="72" customFormat="1" x14ac:dyDescent="0.2">
      <c r="A370" s="49"/>
      <c r="B370" s="50"/>
      <c r="C370" s="41"/>
      <c r="D370" s="48"/>
    </row>
    <row r="371" spans="1:4" s="72" customFormat="1" x14ac:dyDescent="0.2">
      <c r="A371" s="49"/>
      <c r="B371" s="50"/>
      <c r="C371" s="41"/>
      <c r="D371" s="48"/>
    </row>
    <row r="372" spans="1:4" s="72" customFormat="1" x14ac:dyDescent="0.2">
      <c r="A372" s="49"/>
      <c r="B372" s="50"/>
      <c r="C372" s="41"/>
      <c r="D372" s="48"/>
    </row>
    <row r="373" spans="1:4" s="72" customFormat="1" x14ac:dyDescent="0.2">
      <c r="A373" s="49"/>
      <c r="B373" s="50"/>
      <c r="C373" s="41"/>
      <c r="D373" s="48"/>
    </row>
    <row r="374" spans="1:4" s="72" customFormat="1" x14ac:dyDescent="0.2">
      <c r="A374" s="49"/>
      <c r="B374" s="50"/>
      <c r="C374" s="41"/>
      <c r="D374" s="48"/>
    </row>
    <row r="375" spans="1:4" s="72" customFormat="1" x14ac:dyDescent="0.2">
      <c r="A375" s="49"/>
      <c r="B375" s="50"/>
      <c r="C375" s="41"/>
      <c r="D375" s="48"/>
    </row>
    <row r="376" spans="1:4" s="72" customFormat="1" x14ac:dyDescent="0.2">
      <c r="A376" s="49"/>
      <c r="B376" s="50"/>
      <c r="C376" s="41"/>
      <c r="D376" s="48"/>
    </row>
    <row r="377" spans="1:4" s="72" customFormat="1" x14ac:dyDescent="0.2">
      <c r="A377" s="49"/>
      <c r="B377" s="50"/>
      <c r="C377" s="41"/>
      <c r="D377" s="48"/>
    </row>
    <row r="378" spans="1:4" s="72" customFormat="1" x14ac:dyDescent="0.2">
      <c r="A378" s="49"/>
      <c r="B378" s="50"/>
      <c r="C378" s="41"/>
      <c r="D378" s="48"/>
    </row>
    <row r="379" spans="1:4" s="72" customFormat="1" x14ac:dyDescent="0.2">
      <c r="A379" s="49"/>
      <c r="B379" s="50"/>
      <c r="C379" s="41"/>
      <c r="D379" s="48"/>
    </row>
    <row r="380" spans="1:4" s="72" customFormat="1" x14ac:dyDescent="0.2">
      <c r="A380" s="49"/>
      <c r="B380" s="50"/>
      <c r="C380" s="41"/>
      <c r="D380" s="48"/>
    </row>
    <row r="381" spans="1:4" s="72" customFormat="1" x14ac:dyDescent="0.2">
      <c r="A381" s="49"/>
      <c r="B381" s="50"/>
      <c r="C381" s="41"/>
      <c r="D381" s="48"/>
    </row>
    <row r="382" spans="1:4" s="72" customFormat="1" x14ac:dyDescent="0.2">
      <c r="A382" s="49"/>
      <c r="B382" s="50"/>
      <c r="C382" s="41"/>
      <c r="D382" s="48"/>
    </row>
    <row r="383" spans="1:4" s="72" customFormat="1" x14ac:dyDescent="0.2">
      <c r="A383" s="49"/>
      <c r="B383" s="50"/>
      <c r="C383" s="41"/>
      <c r="D383" s="48"/>
    </row>
    <row r="384" spans="1:4" s="72" customFormat="1" x14ac:dyDescent="0.2">
      <c r="A384" s="49"/>
      <c r="B384" s="50"/>
      <c r="C384" s="41"/>
      <c r="D384" s="48"/>
    </row>
    <row r="385" spans="1:4" s="72" customFormat="1" x14ac:dyDescent="0.2">
      <c r="A385" s="49"/>
      <c r="B385" s="50"/>
      <c r="C385" s="41"/>
      <c r="D385" s="48"/>
    </row>
    <row r="386" spans="1:4" s="72" customFormat="1" x14ac:dyDescent="0.2">
      <c r="A386" s="49"/>
      <c r="B386" s="50"/>
      <c r="C386" s="41"/>
      <c r="D386" s="48"/>
    </row>
    <row r="387" spans="1:4" s="72" customFormat="1" x14ac:dyDescent="0.2">
      <c r="A387" s="49"/>
      <c r="B387" s="50"/>
      <c r="C387" s="41"/>
      <c r="D387" s="48"/>
    </row>
    <row r="388" spans="1:4" s="72" customFormat="1" x14ac:dyDescent="0.2">
      <c r="A388" s="49"/>
      <c r="B388" s="50"/>
      <c r="C388" s="41"/>
      <c r="D388" s="48"/>
    </row>
    <row r="389" spans="1:4" s="72" customFormat="1" x14ac:dyDescent="0.2">
      <c r="A389" s="49"/>
      <c r="B389" s="50"/>
      <c r="C389" s="41"/>
      <c r="D389" s="48"/>
    </row>
    <row r="390" spans="1:4" s="72" customFormat="1" x14ac:dyDescent="0.2">
      <c r="A390" s="49"/>
      <c r="B390" s="50"/>
      <c r="C390" s="41"/>
      <c r="D390" s="48"/>
    </row>
    <row r="391" spans="1:4" s="72" customFormat="1" x14ac:dyDescent="0.2">
      <c r="A391" s="49"/>
      <c r="B391" s="50"/>
      <c r="C391" s="41"/>
      <c r="D391" s="48"/>
    </row>
    <row r="392" spans="1:4" s="72" customFormat="1" x14ac:dyDescent="0.2">
      <c r="A392" s="49"/>
      <c r="B392" s="50"/>
      <c r="C392" s="41"/>
      <c r="D392" s="48"/>
    </row>
    <row r="393" spans="1:4" s="72" customFormat="1" x14ac:dyDescent="0.2">
      <c r="A393" s="49"/>
      <c r="B393" s="50"/>
      <c r="C393" s="41"/>
      <c r="D393" s="48"/>
    </row>
    <row r="394" spans="1:4" s="72" customFormat="1" x14ac:dyDescent="0.2">
      <c r="A394" s="49"/>
      <c r="B394" s="50"/>
      <c r="C394" s="41"/>
      <c r="D394" s="48"/>
    </row>
    <row r="395" spans="1:4" s="72" customFormat="1" x14ac:dyDescent="0.2">
      <c r="A395" s="49"/>
      <c r="B395" s="50"/>
      <c r="C395" s="41"/>
      <c r="D395" s="48"/>
    </row>
    <row r="396" spans="1:4" s="72" customFormat="1" x14ac:dyDescent="0.2">
      <c r="A396" s="49"/>
      <c r="B396" s="50"/>
      <c r="C396" s="41"/>
      <c r="D396" s="48"/>
    </row>
    <row r="397" spans="1:4" s="72" customFormat="1" x14ac:dyDescent="0.2">
      <c r="A397" s="49"/>
      <c r="B397" s="50"/>
      <c r="C397" s="41"/>
      <c r="D397" s="48"/>
    </row>
    <row r="398" spans="1:4" s="72" customFormat="1" x14ac:dyDescent="0.2">
      <c r="A398" s="49"/>
      <c r="B398" s="50"/>
      <c r="C398" s="41"/>
      <c r="D398" s="48"/>
    </row>
    <row r="399" spans="1:4" s="72" customFormat="1" x14ac:dyDescent="0.2">
      <c r="A399" s="49"/>
      <c r="B399" s="50"/>
      <c r="C399" s="41"/>
      <c r="D399" s="48"/>
    </row>
    <row r="400" spans="1:4" s="72" customFormat="1" x14ac:dyDescent="0.2">
      <c r="A400" s="49"/>
      <c r="B400" s="50"/>
      <c r="C400" s="41"/>
      <c r="D400" s="48"/>
    </row>
    <row r="401" spans="1:4" s="72" customFormat="1" x14ac:dyDescent="0.2">
      <c r="A401" s="49"/>
      <c r="B401" s="50"/>
      <c r="C401" s="41"/>
      <c r="D401" s="48"/>
    </row>
    <row r="402" spans="1:4" s="72" customFormat="1" x14ac:dyDescent="0.2">
      <c r="A402" s="49"/>
      <c r="B402" s="50"/>
      <c r="C402" s="41"/>
      <c r="D402" s="48"/>
    </row>
    <row r="403" spans="1:4" s="72" customFormat="1" x14ac:dyDescent="0.2">
      <c r="A403" s="49"/>
      <c r="B403" s="50"/>
      <c r="C403" s="41"/>
      <c r="D403" s="48"/>
    </row>
    <row r="404" spans="1:4" s="72" customFormat="1" x14ac:dyDescent="0.2">
      <c r="A404" s="49"/>
      <c r="B404" s="50"/>
      <c r="C404" s="41"/>
      <c r="D404" s="48"/>
    </row>
    <row r="405" spans="1:4" s="72" customFormat="1" x14ac:dyDescent="0.2">
      <c r="A405" s="49"/>
      <c r="B405" s="50"/>
      <c r="C405" s="41"/>
      <c r="D405" s="48"/>
    </row>
    <row r="406" spans="1:4" s="72" customFormat="1" x14ac:dyDescent="0.2">
      <c r="A406" s="49"/>
      <c r="B406" s="50"/>
      <c r="C406" s="41"/>
      <c r="D406" s="48"/>
    </row>
    <row r="407" spans="1:4" s="72" customFormat="1" x14ac:dyDescent="0.2">
      <c r="A407" s="49"/>
      <c r="B407" s="50"/>
      <c r="C407" s="41"/>
      <c r="D407" s="48"/>
    </row>
    <row r="408" spans="1:4" s="72" customFormat="1" x14ac:dyDescent="0.2">
      <c r="A408" s="49"/>
      <c r="B408" s="50"/>
      <c r="C408" s="41"/>
      <c r="D408" s="48"/>
    </row>
    <row r="409" spans="1:4" s="72" customFormat="1" x14ac:dyDescent="0.2">
      <c r="A409" s="49"/>
      <c r="B409" s="50"/>
      <c r="C409" s="41"/>
      <c r="D409" s="48"/>
    </row>
    <row r="410" spans="1:4" s="72" customFormat="1" x14ac:dyDescent="0.2">
      <c r="A410" s="49"/>
      <c r="B410" s="50"/>
      <c r="C410" s="41"/>
      <c r="D410" s="48"/>
    </row>
    <row r="411" spans="1:4" s="72" customFormat="1" x14ac:dyDescent="0.2">
      <c r="A411" s="49"/>
      <c r="B411" s="50"/>
      <c r="C411" s="41"/>
      <c r="D411" s="48"/>
    </row>
    <row r="412" spans="1:4" s="72" customFormat="1" x14ac:dyDescent="0.2">
      <c r="A412" s="49"/>
      <c r="B412" s="50"/>
      <c r="C412" s="41"/>
      <c r="D412" s="48"/>
    </row>
    <row r="413" spans="1:4" s="72" customFormat="1" x14ac:dyDescent="0.2">
      <c r="A413" s="49"/>
      <c r="B413" s="50"/>
      <c r="C413" s="41"/>
      <c r="D413" s="48"/>
    </row>
    <row r="414" spans="1:4" s="72" customFormat="1" x14ac:dyDescent="0.2">
      <c r="A414" s="49"/>
      <c r="B414" s="50"/>
      <c r="C414" s="41"/>
      <c r="D414" s="48"/>
    </row>
    <row r="415" spans="1:4" s="72" customFormat="1" x14ac:dyDescent="0.2">
      <c r="A415" s="49"/>
      <c r="B415" s="50"/>
      <c r="C415" s="41"/>
      <c r="D415" s="48"/>
    </row>
    <row r="416" spans="1:4" s="72" customFormat="1" x14ac:dyDescent="0.2">
      <c r="A416" s="49"/>
      <c r="B416" s="50"/>
      <c r="C416" s="41"/>
      <c r="D416" s="48"/>
    </row>
    <row r="417" spans="1:4" s="72" customFormat="1" x14ac:dyDescent="0.2">
      <c r="A417" s="49"/>
      <c r="B417" s="50"/>
      <c r="C417" s="41"/>
      <c r="D417" s="48"/>
    </row>
    <row r="418" spans="1:4" s="72" customFormat="1" x14ac:dyDescent="0.2">
      <c r="A418" s="49"/>
      <c r="B418" s="50"/>
      <c r="C418" s="41"/>
      <c r="D418" s="48"/>
    </row>
    <row r="419" spans="1:4" s="72" customFormat="1" x14ac:dyDescent="0.2">
      <c r="A419" s="49"/>
      <c r="B419" s="50"/>
      <c r="C419" s="41"/>
      <c r="D419" s="48"/>
    </row>
    <row r="420" spans="1:4" s="72" customFormat="1" x14ac:dyDescent="0.2">
      <c r="A420" s="49"/>
      <c r="B420" s="50"/>
      <c r="C420" s="41"/>
      <c r="D420" s="48"/>
    </row>
    <row r="421" spans="1:4" s="72" customFormat="1" x14ac:dyDescent="0.2">
      <c r="A421" s="49"/>
      <c r="B421" s="50"/>
      <c r="C421" s="41"/>
      <c r="D421" s="48"/>
    </row>
    <row r="422" spans="1:4" s="72" customFormat="1" x14ac:dyDescent="0.2">
      <c r="A422" s="49"/>
      <c r="B422" s="50"/>
      <c r="C422" s="41"/>
      <c r="D422" s="48"/>
    </row>
    <row r="423" spans="1:4" s="72" customFormat="1" x14ac:dyDescent="0.2">
      <c r="A423" s="49"/>
      <c r="B423" s="50"/>
      <c r="C423" s="41"/>
      <c r="D423" s="48"/>
    </row>
    <row r="424" spans="1:4" s="72" customFormat="1" x14ac:dyDescent="0.2">
      <c r="A424" s="49"/>
      <c r="B424" s="50"/>
      <c r="C424" s="41"/>
      <c r="D424" s="48"/>
    </row>
    <row r="425" spans="1:4" s="72" customFormat="1" x14ac:dyDescent="0.2">
      <c r="A425" s="49"/>
      <c r="B425" s="50"/>
      <c r="C425" s="41"/>
      <c r="D425" s="48"/>
    </row>
    <row r="426" spans="1:4" s="72" customFormat="1" x14ac:dyDescent="0.2">
      <c r="A426" s="49"/>
      <c r="B426" s="50"/>
      <c r="C426" s="41"/>
      <c r="D426" s="48"/>
    </row>
    <row r="427" spans="1:4" s="72" customFormat="1" x14ac:dyDescent="0.2">
      <c r="A427" s="49"/>
      <c r="B427" s="50"/>
      <c r="C427" s="41"/>
      <c r="D427" s="48"/>
    </row>
    <row r="428" spans="1:4" s="72" customFormat="1" x14ac:dyDescent="0.2">
      <c r="A428" s="49"/>
      <c r="B428" s="50"/>
      <c r="C428" s="41"/>
      <c r="D428" s="48"/>
    </row>
    <row r="429" spans="1:4" s="72" customFormat="1" x14ac:dyDescent="0.2">
      <c r="A429" s="49"/>
      <c r="B429" s="50"/>
      <c r="C429" s="41"/>
      <c r="D429" s="48"/>
    </row>
    <row r="430" spans="1:4" s="72" customFormat="1" x14ac:dyDescent="0.2">
      <c r="A430" s="49"/>
      <c r="B430" s="50"/>
      <c r="C430" s="41"/>
      <c r="D430" s="48"/>
    </row>
    <row r="431" spans="1:4" s="72" customFormat="1" x14ac:dyDescent="0.2">
      <c r="A431" s="49"/>
      <c r="B431" s="50"/>
      <c r="C431" s="41"/>
      <c r="D431" s="48"/>
    </row>
    <row r="432" spans="1:4" s="72" customFormat="1" x14ac:dyDescent="0.2">
      <c r="A432" s="49"/>
      <c r="B432" s="50"/>
      <c r="C432" s="41"/>
      <c r="D432" s="48"/>
    </row>
    <row r="433" spans="1:4" s="72" customFormat="1" x14ac:dyDescent="0.2">
      <c r="A433" s="49"/>
      <c r="B433" s="50"/>
      <c r="C433" s="41"/>
      <c r="D433" s="48"/>
    </row>
    <row r="434" spans="1:4" s="72"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2" customWidth="1"/>
  </cols>
  <sheetData>
    <row r="1" spans="1:22" ht="32" customHeight="1" x14ac:dyDescent="0.2">
      <c r="A1" s="51" t="s">
        <v>595</v>
      </c>
      <c r="B1" s="45" t="s">
        <v>64</v>
      </c>
      <c r="C1" s="52" t="s">
        <v>596</v>
      </c>
      <c r="D1" s="53" t="s">
        <v>598</v>
      </c>
      <c r="E1" s="47" t="s">
        <v>597</v>
      </c>
      <c r="F1" s="46"/>
      <c r="G1" s="46"/>
      <c r="H1" s="46"/>
      <c r="J1" s="72" t="str">
        <f>B1&amp;" GDP % qoq"</f>
        <v>USA GDP % qoq</v>
      </c>
      <c r="V1" s="72" t="s">
        <v>22</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2" t="str">
        <f>B1&amp;" GDP % qoq annualized"</f>
        <v>USA GDP % qoq annualized</v>
      </c>
      <c r="V2" s="72" t="s">
        <v>23</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2" t="s">
        <v>24</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2" t="s">
        <v>26</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2" t="s">
        <v>28</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2" t="s">
        <v>30</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2" t="s">
        <v>31</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2" t="s">
        <v>32</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2" t="s">
        <v>34</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2" t="s">
        <v>35</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2" t="s">
        <v>37</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2" t="s">
        <v>38</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2" t="s">
        <v>40</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2" t="s">
        <v>41</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2" t="s">
        <v>42</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2" t="s">
        <v>44</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2" t="s">
        <v>45</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2" t="s">
        <v>46</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2" t="s">
        <v>47</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2" t="s">
        <v>48</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2" t="s">
        <v>49</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2" t="s">
        <v>50</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2" t="s">
        <v>51</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2" t="s">
        <v>52</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2" t="s">
        <v>53</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2" t="s">
        <v>54</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2" t="s">
        <v>56</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2" t="s">
        <v>57</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2" t="s">
        <v>58</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2" t="s">
        <v>60</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2" t="s">
        <v>61</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2" t="s">
        <v>62</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2" t="s">
        <v>63</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2" t="s">
        <v>64</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2" t="s">
        <v>33</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2" t="s">
        <v>36</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2" t="s">
        <v>39</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2" t="s">
        <v>27</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2" t="s">
        <v>43</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2" t="s">
        <v>65</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2" t="s">
        <v>59</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0.47193104200000002</v>
      </c>
      <c r="C281" s="43">
        <f>Table134567891011121314151617343[[#This Row],[USA]]-B280</f>
        <v>-2.4957753999999999E-2</v>
      </c>
      <c r="D281" s="55">
        <f>(Table134567891011121314151617343[[#This Row],[USA]]/100 +1)^4-1</f>
        <v>1.9011293952945207E-2</v>
      </c>
    </row>
    <row r="282" spans="1:4" x14ac:dyDescent="0.2">
      <c r="A282" s="42">
        <v>42917</v>
      </c>
      <c r="B282" s="43">
        <f>VLOOKUP(A282,'Data qoq'!$B:$AT,MATCH($B$1,'Data qoq'!$B$1:$AT$1,0),FALSE)</f>
        <v>0.55976482299999997</v>
      </c>
      <c r="C282" s="43">
        <f>Table134567891011121314151617343[[#This Row],[USA]]-B281</f>
        <v>8.7833780999999944E-2</v>
      </c>
      <c r="D282" s="55">
        <f>(Table134567891011121314151617343[[#This Row],[USA]]/100 +1)^4-1</f>
        <v>2.257929747539289E-2</v>
      </c>
    </row>
    <row r="283" spans="1:4" x14ac:dyDescent="0.2">
      <c r="A283" s="42">
        <v>43009</v>
      </c>
      <c r="B283" s="43">
        <f>VLOOKUP(A283,'Data qoq'!$B:$AT,MATCH($B$1,'Data qoq'!$B$1:$AT$1,0),FALSE)</f>
        <v>0.71914999099999999</v>
      </c>
      <c r="C283" s="43">
        <f>Table134567891011121314151617343[[#This Row],[USA]]-B282</f>
        <v>0.15938516800000002</v>
      </c>
      <c r="D283" s="55">
        <f>(Table134567891011121314151617343[[#This Row],[USA]]/100 +1)^4-1</f>
        <v>2.9077796050954952E-2</v>
      </c>
    </row>
    <row r="284" spans="1:4" x14ac:dyDescent="0.2">
      <c r="A284" s="42">
        <v>43101</v>
      </c>
      <c r="B284" s="43">
        <f>VLOOKUP(A284,'Data qoq'!$B:$AT,MATCH($B$1,'Data qoq'!$B$1:$AT$1,0),FALSE)</f>
        <v>0.94039983800000004</v>
      </c>
      <c r="C284" s="43">
        <f>Table134567891011121314151617343[[#This Row],[USA]]-B283</f>
        <v>0.22124984700000005</v>
      </c>
      <c r="D284" s="55">
        <f>(Table134567891011121314151617343[[#This Row],[USA]]/100 +1)^4-1</f>
        <v>3.8149939031334457E-2</v>
      </c>
    </row>
    <row r="285" spans="1:4" x14ac:dyDescent="0.2">
      <c r="A285" s="42">
        <v>43191</v>
      </c>
      <c r="B285" s="43">
        <f>VLOOKUP(A285,'Data qoq'!$B:$AT,MATCH($B$1,'Data qoq'!$B$1:$AT$1,0),FALSE)</f>
        <v>0.76285403600000001</v>
      </c>
      <c r="C285" s="43">
        <f>Table134567891011121314151617343[[#This Row],[USA]]-B284</f>
        <v>-0.17754580200000003</v>
      </c>
      <c r="D285" s="55">
        <f>(Table134567891011121314151617343[[#This Row],[USA]]/100 +1)^4-1</f>
        <v>3.0865108355034421E-2</v>
      </c>
    </row>
    <row r="286" spans="1:4" x14ac:dyDescent="0.2">
      <c r="A286" s="42">
        <v>43282</v>
      </c>
      <c r="B286" s="43">
        <f>VLOOKUP(A286,'Data qoq'!$B:$AT,MATCH($B$1,'Data qoq'!$B$1:$AT$1,0),FALSE)</f>
        <v>0.83391090899999998</v>
      </c>
      <c r="C286" s="43">
        <f>Table134567891011121314151617343[[#This Row],[USA]]-B285</f>
        <v>7.1056872999999965E-2</v>
      </c>
      <c r="D286" s="55">
        <f>(Table134567891011121314151617343[[#This Row],[USA]]/100 +1)^4-1</f>
        <v>3.3776005269686493E-2</v>
      </c>
    </row>
    <row r="287" spans="1:4" x14ac:dyDescent="0.2">
      <c r="A287" s="42">
        <v>43374</v>
      </c>
      <c r="B287" s="43">
        <f>VLOOKUP(A287,'Data qoq'!$B:$AT,MATCH($B$1,'Data qoq'!$B$1:$AT$1,0),FALSE)</f>
        <v>0.481952559</v>
      </c>
      <c r="C287" s="43">
        <f>Table134567891011121314151617343[[#This Row],[USA]]-B286</f>
        <v>-0.35195834999999998</v>
      </c>
      <c r="D287" s="55">
        <f>(Table134567891011121314151617343[[#This Row],[USA]]/100 +1)^4-1</f>
        <v>1.9417917649433347E-2</v>
      </c>
    </row>
    <row r="288" spans="1:4" x14ac:dyDescent="0.2">
      <c r="A288" s="42">
        <v>43466</v>
      </c>
      <c r="B288" s="43">
        <f>VLOOKUP(A288,'Data qoq'!$B:$AT,MATCH($B$1,'Data qoq'!$B$1:$AT$1,0),FALSE)</f>
        <v>0.22314183500000001</v>
      </c>
      <c r="C288" s="43">
        <f>Table134567891011121314151617343[[#This Row],[USA]]-B287</f>
        <v>-0.25881072399999999</v>
      </c>
      <c r="D288" s="55">
        <f>(Table134567891011121314151617343[[#This Row],[USA]]/100 +1)^4-1</f>
        <v>8.9555932348708289E-3</v>
      </c>
    </row>
    <row r="289" spans="1:4" x14ac:dyDescent="0.2">
      <c r="A289" s="42">
        <v>43556</v>
      </c>
      <c r="B289" s="43">
        <f>VLOOKUP(A289,'Data qoq'!$B:$AT,MATCH($B$1,'Data qoq'!$B$1:$AT$1,0),FALSE)</f>
        <v>0.59779028999999995</v>
      </c>
      <c r="C289" s="43">
        <f>Table134567891011121314151617343[[#This Row],[USA]]-B288</f>
        <v>0.37464845499999994</v>
      </c>
      <c r="D289" s="55">
        <f>(Table134567891011121314151617343[[#This Row],[USA]]/100 +1)^4-1</f>
        <v>2.4126879304670057E-2</v>
      </c>
    </row>
    <row r="290" spans="1:4" x14ac:dyDescent="0.2">
      <c r="A290" s="42">
        <v>43647</v>
      </c>
      <c r="B290" s="43">
        <f>VLOOKUP(A290,'Data qoq'!$B:$AT,MATCH($B$1,'Data qoq'!$B$1:$AT$1,0),FALSE)</f>
        <v>0.79292440799999997</v>
      </c>
      <c r="C290" s="43">
        <f>Table134567891011121314151617343[[#This Row],[USA]]-B289</f>
        <v>0.19513411800000002</v>
      </c>
      <c r="D290" s="55">
        <f>(Table134567891011121314151617343[[#This Row],[USA]]/100 +1)^4-1</f>
        <v>3.2096211881735615E-2</v>
      </c>
    </row>
    <row r="291" spans="1:4" s="72" customFormat="1" x14ac:dyDescent="0.2">
      <c r="A291" s="42">
        <v>43739</v>
      </c>
      <c r="B291" s="43">
        <f>VLOOKUP(A291,'Data qoq'!$B:$AT,MATCH($B$1,'Data qoq'!$B$1:$AT$1,0),FALSE)</f>
        <v>0.685498791</v>
      </c>
      <c r="C291" s="43">
        <f>Table134567891011121314151617343[[#This Row],[USA]]-B290</f>
        <v>-0.10742561699999997</v>
      </c>
      <c r="D291" s="55">
        <f>(Table134567891011121314151617343[[#This Row],[USA]]/100 +1)^4-1</f>
        <v>2.7703187490706105E-2</v>
      </c>
    </row>
    <row r="292" spans="1:4" s="72" customFormat="1" x14ac:dyDescent="0.2">
      <c r="A292" s="42">
        <v>43831</v>
      </c>
      <c r="B292" s="43">
        <f>VLOOKUP(A292,'Data qoq'!$B:$AT,MATCH($B$1,'Data qoq'!$B$1:$AT$1,0),FALSE)</f>
        <v>0.46909761799999999</v>
      </c>
      <c r="C292" s="43">
        <f>Table134567891011121314151617343[[#This Row],[USA]]-B291</f>
        <v>-0.216401173</v>
      </c>
      <c r="D292" s="55">
        <f>(Table134567891011121314151617343[[#This Row],[USA]]/100 +1)^4-1</f>
        <v>1.8896349653914735E-2</v>
      </c>
    </row>
    <row r="293" spans="1:4" s="72" customFormat="1" x14ac:dyDescent="0.2">
      <c r="A293" s="42">
        <v>43922</v>
      </c>
      <c r="B293" s="43">
        <f>VLOOKUP(A293,'Data qoq'!$B:$AT,MATCH($B$1,'Data qoq'!$B$1:$AT$1,0),FALSE)</f>
        <v>-1.303582746</v>
      </c>
      <c r="C293" s="43">
        <f>Table134567891011121314151617343[[#This Row],[USA]]-B292</f>
        <v>-1.772680364</v>
      </c>
      <c r="D293" s="55">
        <f>(Table134567891011121314151617343[[#This Row],[USA]]/100 +1)^4-1</f>
        <v>-5.1132545035958321E-2</v>
      </c>
    </row>
    <row r="294" spans="1:4" s="72" customFormat="1" x14ac:dyDescent="0.2">
      <c r="A294" s="42">
        <v>44013</v>
      </c>
      <c r="B294" s="43">
        <f>VLOOKUP(A294,'Data qoq'!$B:$AT,MATCH($B$1,'Data qoq'!$B$1:$AT$1,0),FALSE)</f>
        <v>-8.9372505009999994</v>
      </c>
      <c r="C294" s="43">
        <f>Table134567891011121314151617343[[#This Row],[USA]]-B293</f>
        <v>-7.6336677549999994</v>
      </c>
      <c r="D294" s="55">
        <f>(Table134567891011121314151617343[[#This Row],[USA]]/100 +1)^4-1</f>
        <v>-0.31235698460598726</v>
      </c>
    </row>
    <row r="295" spans="1:4" s="72" customFormat="1" x14ac:dyDescent="0.2">
      <c r="A295" s="42">
        <v>44105</v>
      </c>
      <c r="B295" s="43">
        <f>VLOOKUP(A295,'Data qoq'!$B:$AT,MATCH($B$1,'Data qoq'!$B$1:$AT$1,0),FALSE)</f>
        <v>7.547534636</v>
      </c>
      <c r="C295" s="43">
        <f>Table134567891011121314151617343[[#This Row],[USA]]-B294</f>
        <v>16.484785136999999</v>
      </c>
      <c r="D295" s="55">
        <f>(Table134567891011121314151617343[[#This Row],[USA]]/100 +1)^4-1</f>
        <v>0.33783279298685187</v>
      </c>
    </row>
    <row r="296" spans="1:4" s="72" customFormat="1" x14ac:dyDescent="0.2">
      <c r="A296" s="42">
        <v>44197</v>
      </c>
      <c r="B296" s="43">
        <f>VLOOKUP(A296,'Data qoq'!$B:$AT,MATCH($B$1,'Data qoq'!$B$1:$AT$1,0),FALSE)</f>
        <v>1.115276766</v>
      </c>
      <c r="C296" s="43">
        <f>Table134567891011121314151617343[[#This Row],[USA]]-B295</f>
        <v>-6.4322578699999999</v>
      </c>
      <c r="D296" s="55">
        <f>(Table134567891011121314151617343[[#This Row],[USA]]/100 +1)^4-1</f>
        <v>4.5362940383817607E-2</v>
      </c>
    </row>
    <row r="297" spans="1:4" s="72" customFormat="1" x14ac:dyDescent="0.2">
      <c r="A297" s="42">
        <v>44287</v>
      </c>
      <c r="B297" s="43">
        <f>VLOOKUP(A297,'Data qoq'!$B:$AT,MATCH($B$1,'Data qoq'!$B$1:$AT$1,0),FALSE)</f>
        <v>1.533889627</v>
      </c>
      <c r="C297" s="43">
        <f>Table134567891011121314151617343[[#This Row],[USA]]-B296</f>
        <v>0.41861286099999995</v>
      </c>
      <c r="D297" s="55">
        <f>(Table134567891011121314151617343[[#This Row],[USA]]/100 +1)^4-1</f>
        <v>6.2781766718929433E-2</v>
      </c>
    </row>
    <row r="298" spans="1:4" s="72" customFormat="1" x14ac:dyDescent="0.2">
      <c r="A298" s="42">
        <v>44378</v>
      </c>
      <c r="B298" s="43">
        <f>VLOOKUP(A298,'Data qoq'!$B:$AT,MATCH($B$1,'Data qoq'!$B$1:$AT$1,0),FALSE)</f>
        <v>1.6407465400000001</v>
      </c>
      <c r="C298" s="43">
        <f>Table134567891011121314151617343[[#This Row],[USA]]-B297</f>
        <v>0.10685691300000011</v>
      </c>
      <c r="D298" s="55">
        <f>(Table134567891011121314151617343[[#This Row],[USA]]/100 +1)^4-1</f>
        <v>6.726283147809986E-2</v>
      </c>
    </row>
    <row r="299" spans="1:4" s="72" customFormat="1" x14ac:dyDescent="0.2">
      <c r="A299" s="42">
        <v>44470</v>
      </c>
      <c r="B299" s="43">
        <f>VLOOKUP(A299,'Data qoq'!$B:$AT,MATCH($B$1,'Data qoq'!$B$1:$AT$1,0),FALSE)</f>
        <v>0.57094811099999998</v>
      </c>
      <c r="C299" s="43">
        <f>Table134567891011121314151617343[[#This Row],[USA]]-B298</f>
        <v>-1.069798429</v>
      </c>
      <c r="D299" s="55">
        <f>(Table134567891011121314151617343[[#This Row],[USA]]/100 +1)^4-1</f>
        <v>2.303425902456091E-2</v>
      </c>
    </row>
    <row r="300" spans="1:4" s="72" customFormat="1" x14ac:dyDescent="0.2">
      <c r="A300" s="42">
        <v>44562</v>
      </c>
      <c r="B300" s="43">
        <f>VLOOKUP(A300,'Data qoq'!$B:$AT,MATCH($B$1,'Data qoq'!$B$1:$AT$1,0),FALSE)</f>
        <v>1.6790943920000001</v>
      </c>
      <c r="C300" s="43">
        <f>Table134567891011121314151617343[[#This Row],[USA]]-B299</f>
        <v>1.1081462810000002</v>
      </c>
      <c r="D300" s="55">
        <f>(Table134567891011121314151617343[[#This Row],[USA]]/100 +1)^4-1</f>
        <v>6.8874405826816254E-2</v>
      </c>
    </row>
    <row r="301" spans="1:4" s="72" customFormat="1" x14ac:dyDescent="0.2">
      <c r="A301" s="49"/>
      <c r="B301" s="50"/>
      <c r="C301" s="41"/>
      <c r="D301" s="56"/>
    </row>
    <row r="302" spans="1:4" s="72" customFormat="1" x14ac:dyDescent="0.2">
      <c r="A302" s="49"/>
      <c r="B302" s="50"/>
      <c r="C302" s="41"/>
      <c r="D302" s="56"/>
    </row>
    <row r="303" spans="1:4" s="72" customFormat="1" x14ac:dyDescent="0.2">
      <c r="A303" s="49"/>
      <c r="B303" s="50"/>
      <c r="C303" s="41"/>
      <c r="D303" s="56"/>
    </row>
    <row r="304" spans="1:4" s="72" customFormat="1" x14ac:dyDescent="0.2">
      <c r="A304" s="49"/>
      <c r="B304" s="50"/>
      <c r="C304" s="41"/>
      <c r="D304" s="56"/>
    </row>
    <row r="305" spans="1:4" s="72" customFormat="1" x14ac:dyDescent="0.2">
      <c r="A305" s="49"/>
      <c r="B305" s="50"/>
      <c r="C305" s="41"/>
      <c r="D305" s="56"/>
    </row>
    <row r="306" spans="1:4" s="72" customFormat="1" x14ac:dyDescent="0.2">
      <c r="A306" s="49"/>
      <c r="B306" s="50"/>
      <c r="C306" s="41"/>
      <c r="D306" s="56"/>
    </row>
    <row r="307" spans="1:4" s="72" customFormat="1" x14ac:dyDescent="0.2">
      <c r="A307" s="49"/>
      <c r="B307" s="50"/>
      <c r="C307" s="41"/>
      <c r="D307" s="56"/>
    </row>
    <row r="308" spans="1:4" s="72" customFormat="1" x14ac:dyDescent="0.2">
      <c r="A308" s="49"/>
      <c r="B308" s="50"/>
      <c r="C308" s="41"/>
      <c r="D308" s="56"/>
    </row>
    <row r="309" spans="1:4" s="72" customFormat="1" x14ac:dyDescent="0.2">
      <c r="A309" s="49"/>
      <c r="B309" s="50"/>
      <c r="C309" s="41"/>
      <c r="D309" s="56"/>
    </row>
    <row r="310" spans="1:4" s="72" customFormat="1" x14ac:dyDescent="0.2">
      <c r="A310" s="49"/>
      <c r="B310" s="50"/>
      <c r="C310" s="41"/>
      <c r="D310" s="56"/>
    </row>
    <row r="311" spans="1:4" s="72" customFormat="1" x14ac:dyDescent="0.2">
      <c r="A311" s="49"/>
      <c r="B311" s="50"/>
      <c r="C311" s="41"/>
      <c r="D311" s="56"/>
    </row>
    <row r="312" spans="1:4" s="72" customFormat="1" x14ac:dyDescent="0.2">
      <c r="A312" s="49"/>
      <c r="B312" s="50"/>
      <c r="C312" s="41"/>
      <c r="D312" s="56"/>
    </row>
    <row r="313" spans="1:4" s="72" customFormat="1" x14ac:dyDescent="0.2">
      <c r="A313" s="49"/>
      <c r="B313" s="50"/>
      <c r="C313" s="41"/>
      <c r="D313" s="56"/>
    </row>
    <row r="314" spans="1:4" s="72" customFormat="1" x14ac:dyDescent="0.2">
      <c r="A314" s="49"/>
      <c r="B314" s="50"/>
      <c r="C314" s="41"/>
      <c r="D314" s="56"/>
    </row>
    <row r="315" spans="1:4" s="72" customFormat="1" x14ac:dyDescent="0.2">
      <c r="A315" s="49"/>
      <c r="B315" s="50"/>
      <c r="C315" s="41"/>
      <c r="D315" s="56"/>
    </row>
    <row r="316" spans="1:4" s="72" customFormat="1" x14ac:dyDescent="0.2">
      <c r="A316" s="49"/>
      <c r="B316" s="50"/>
      <c r="C316" s="41"/>
      <c r="D316" s="56"/>
    </row>
    <row r="317" spans="1:4" s="72" customFormat="1" x14ac:dyDescent="0.2">
      <c r="A317" s="49"/>
      <c r="B317" s="50"/>
      <c r="C317" s="41"/>
      <c r="D317" s="56"/>
    </row>
    <row r="318" spans="1:4" s="72" customFormat="1" x14ac:dyDescent="0.2">
      <c r="A318" s="49"/>
      <c r="B318" s="50"/>
      <c r="C318" s="41"/>
      <c r="D318" s="56"/>
    </row>
    <row r="319" spans="1:4" s="72" customFormat="1" x14ac:dyDescent="0.2">
      <c r="A319" s="49"/>
      <c r="B319" s="50"/>
      <c r="C319" s="41"/>
      <c r="D319" s="56"/>
    </row>
    <row r="320" spans="1:4" s="72" customFormat="1" x14ac:dyDescent="0.2">
      <c r="A320" s="49"/>
      <c r="B320" s="50"/>
      <c r="C320" s="41"/>
      <c r="D320" s="56"/>
    </row>
    <row r="321" spans="1:4" s="72" customFormat="1" x14ac:dyDescent="0.2">
      <c r="A321" s="49"/>
      <c r="B321" s="50"/>
      <c r="C321" s="41"/>
      <c r="D321" s="56"/>
    </row>
    <row r="322" spans="1:4" s="72" customFormat="1" x14ac:dyDescent="0.2">
      <c r="A322" s="49"/>
      <c r="B322" s="50"/>
      <c r="C322" s="41"/>
      <c r="D322" s="56"/>
    </row>
    <row r="323" spans="1:4" s="72" customFormat="1" x14ac:dyDescent="0.2">
      <c r="A323" s="49"/>
      <c r="B323" s="50"/>
      <c r="C323" s="41"/>
      <c r="D323" s="56"/>
    </row>
    <row r="324" spans="1:4" s="72" customFormat="1" x14ac:dyDescent="0.2">
      <c r="A324" s="49"/>
      <c r="B324" s="50"/>
      <c r="C324" s="41"/>
      <c r="D324" s="56"/>
    </row>
    <row r="325" spans="1:4" s="72" customFormat="1" x14ac:dyDescent="0.2">
      <c r="A325" s="49"/>
      <c r="B325" s="50"/>
      <c r="C325" s="41"/>
      <c r="D325" s="56"/>
    </row>
    <row r="326" spans="1:4" s="72" customFormat="1" x14ac:dyDescent="0.2">
      <c r="A326" s="49"/>
      <c r="B326" s="50"/>
      <c r="C326" s="41"/>
      <c r="D326" s="56"/>
    </row>
    <row r="327" spans="1:4" s="72" customFormat="1" x14ac:dyDescent="0.2">
      <c r="A327" s="49"/>
      <c r="B327" s="50"/>
      <c r="C327" s="41"/>
      <c r="D327" s="56"/>
    </row>
    <row r="328" spans="1:4" s="72" customFormat="1" x14ac:dyDescent="0.2">
      <c r="A328" s="49"/>
      <c r="B328" s="50"/>
      <c r="C328" s="41"/>
      <c r="D328" s="56"/>
    </row>
    <row r="329" spans="1:4" s="72" customFormat="1" x14ac:dyDescent="0.2">
      <c r="A329" s="49"/>
      <c r="B329" s="50"/>
      <c r="C329" s="41"/>
      <c r="D329" s="56"/>
    </row>
    <row r="330" spans="1:4" s="72" customFormat="1" x14ac:dyDescent="0.2">
      <c r="A330" s="49"/>
      <c r="B330" s="50"/>
      <c r="C330" s="41"/>
      <c r="D330" s="56"/>
    </row>
    <row r="331" spans="1:4" s="72" customFormat="1" x14ac:dyDescent="0.2">
      <c r="A331" s="49"/>
      <c r="B331" s="50"/>
      <c r="C331" s="41"/>
      <c r="D331" s="56"/>
    </row>
    <row r="332" spans="1:4" s="72" customFormat="1" x14ac:dyDescent="0.2">
      <c r="A332" s="49"/>
      <c r="B332" s="50"/>
      <c r="C332" s="41"/>
      <c r="D332" s="56"/>
    </row>
    <row r="333" spans="1:4" s="72" customFormat="1" x14ac:dyDescent="0.2">
      <c r="A333" s="49"/>
      <c r="B333" s="50"/>
      <c r="C333" s="41"/>
      <c r="D333" s="56"/>
    </row>
    <row r="334" spans="1:4" s="72" customFormat="1" x14ac:dyDescent="0.2">
      <c r="A334" s="49"/>
      <c r="B334" s="50"/>
      <c r="C334" s="41"/>
      <c r="D334" s="56"/>
    </row>
    <row r="335" spans="1:4" s="72" customFormat="1" x14ac:dyDescent="0.2">
      <c r="A335" s="49"/>
      <c r="B335" s="50"/>
      <c r="C335" s="41"/>
      <c r="D335" s="56"/>
    </row>
    <row r="336" spans="1:4" s="72" customFormat="1" x14ac:dyDescent="0.2">
      <c r="A336" s="49"/>
      <c r="B336" s="50"/>
      <c r="C336" s="41"/>
      <c r="D336" s="56"/>
    </row>
    <row r="337" spans="1:4" s="72" customFormat="1" x14ac:dyDescent="0.2">
      <c r="A337" s="49"/>
      <c r="B337" s="50"/>
      <c r="C337" s="41"/>
      <c r="D337" s="56"/>
    </row>
    <row r="338" spans="1:4" s="72" customFormat="1" x14ac:dyDescent="0.2">
      <c r="A338" s="49"/>
      <c r="B338" s="50"/>
      <c r="C338" s="41"/>
      <c r="D338" s="56"/>
    </row>
    <row r="339" spans="1:4" s="72" customFormat="1" x14ac:dyDescent="0.2">
      <c r="A339" s="49"/>
      <c r="B339" s="50"/>
      <c r="C339" s="41"/>
      <c r="D339" s="56"/>
    </row>
    <row r="340" spans="1:4" s="72" customFormat="1" x14ac:dyDescent="0.2">
      <c r="A340" s="49"/>
      <c r="B340" s="50"/>
      <c r="C340" s="41"/>
      <c r="D340" s="56"/>
    </row>
    <row r="341" spans="1:4" s="72" customFormat="1" x14ac:dyDescent="0.2">
      <c r="A341" s="49"/>
      <c r="B341" s="50"/>
      <c r="C341" s="41"/>
      <c r="D341" s="56"/>
    </row>
    <row r="342" spans="1:4" s="72" customFormat="1" x14ac:dyDescent="0.2">
      <c r="A342" s="49"/>
      <c r="B342" s="50"/>
      <c r="C342" s="41"/>
      <c r="D342" s="56"/>
    </row>
    <row r="343" spans="1:4" s="72" customFormat="1" x14ac:dyDescent="0.2">
      <c r="A343" s="49"/>
      <c r="B343" s="50"/>
      <c r="C343" s="41"/>
      <c r="D343" s="56"/>
    </row>
    <row r="344" spans="1:4" s="72" customFormat="1" x14ac:dyDescent="0.2">
      <c r="A344" s="49"/>
      <c r="B344" s="50"/>
      <c r="C344" s="41"/>
      <c r="D344" s="56"/>
    </row>
    <row r="345" spans="1:4" s="72" customFormat="1" x14ac:dyDescent="0.2">
      <c r="A345" s="49"/>
      <c r="B345" s="50"/>
      <c r="C345" s="41"/>
      <c r="D345" s="56"/>
    </row>
    <row r="346" spans="1:4" s="72" customFormat="1" x14ac:dyDescent="0.2">
      <c r="A346" s="49"/>
      <c r="B346" s="50"/>
      <c r="C346" s="41"/>
      <c r="D346" s="56"/>
    </row>
    <row r="347" spans="1:4" s="72" customFormat="1" x14ac:dyDescent="0.2">
      <c r="A347" s="49"/>
      <c r="B347" s="50"/>
      <c r="C347" s="41"/>
      <c r="D347" s="56"/>
    </row>
    <row r="348" spans="1:4" s="72" customFormat="1" x14ac:dyDescent="0.2">
      <c r="A348" s="49"/>
      <c r="B348" s="50"/>
      <c r="C348" s="41"/>
      <c r="D348" s="56"/>
    </row>
    <row r="349" spans="1:4" s="72" customFormat="1" x14ac:dyDescent="0.2">
      <c r="A349" s="49"/>
      <c r="B349" s="50"/>
      <c r="C349" s="41"/>
      <c r="D349" s="56"/>
    </row>
    <row r="350" spans="1:4" s="72" customFormat="1" x14ac:dyDescent="0.2">
      <c r="A350" s="49"/>
      <c r="B350" s="50"/>
      <c r="C350" s="41"/>
      <c r="D350" s="56"/>
    </row>
    <row r="351" spans="1:4" s="72" customFormat="1" x14ac:dyDescent="0.2">
      <c r="A351" s="49"/>
      <c r="B351" s="50"/>
      <c r="C351" s="41"/>
      <c r="D351" s="56"/>
    </row>
    <row r="352" spans="1:4" s="72" customFormat="1" x14ac:dyDescent="0.2">
      <c r="A352" s="49"/>
      <c r="B352" s="50"/>
      <c r="C352" s="41"/>
      <c r="D352" s="56"/>
    </row>
    <row r="353" spans="1:4" s="72" customFormat="1" x14ac:dyDescent="0.2">
      <c r="A353" s="49"/>
      <c r="B353" s="50"/>
      <c r="C353" s="41"/>
      <c r="D353" s="56"/>
    </row>
    <row r="354" spans="1:4" s="72" customFormat="1" x14ac:dyDescent="0.2">
      <c r="A354" s="49"/>
      <c r="B354" s="50"/>
      <c r="C354" s="41"/>
      <c r="D354" s="56"/>
    </row>
    <row r="355" spans="1:4" s="72" customFormat="1" x14ac:dyDescent="0.2">
      <c r="A355" s="49"/>
      <c r="B355" s="50"/>
      <c r="C355" s="41"/>
      <c r="D355" s="56"/>
    </row>
    <row r="356" spans="1:4" s="72" customFormat="1" x14ac:dyDescent="0.2">
      <c r="A356" s="49"/>
      <c r="B356" s="50"/>
      <c r="C356" s="41"/>
      <c r="D356" s="56"/>
    </row>
    <row r="357" spans="1:4" s="72" customFormat="1" x14ac:dyDescent="0.2">
      <c r="A357" s="49"/>
      <c r="B357" s="50"/>
      <c r="C357" s="41"/>
      <c r="D357" s="56"/>
    </row>
    <row r="358" spans="1:4" s="72" customFormat="1" x14ac:dyDescent="0.2">
      <c r="A358" s="49"/>
      <c r="B358" s="50"/>
      <c r="C358" s="41"/>
      <c r="D358" s="56"/>
    </row>
    <row r="359" spans="1:4" s="72" customFormat="1" x14ac:dyDescent="0.2">
      <c r="A359" s="49"/>
      <c r="B359" s="50"/>
      <c r="C359" s="41"/>
      <c r="D359" s="56"/>
    </row>
    <row r="360" spans="1:4" s="72" customFormat="1" x14ac:dyDescent="0.2">
      <c r="A360" s="49"/>
      <c r="B360" s="50"/>
      <c r="C360" s="41"/>
      <c r="D360" s="56"/>
    </row>
    <row r="361" spans="1:4" s="72" customFormat="1" x14ac:dyDescent="0.2">
      <c r="A361" s="49"/>
      <c r="B361" s="50"/>
      <c r="C361" s="41"/>
      <c r="D361" s="56"/>
    </row>
    <row r="362" spans="1:4" s="72" customFormat="1" x14ac:dyDescent="0.2">
      <c r="A362" s="49"/>
      <c r="B362" s="50"/>
      <c r="C362" s="41"/>
      <c r="D362" s="56"/>
    </row>
    <row r="363" spans="1:4" s="72" customFormat="1" x14ac:dyDescent="0.2">
      <c r="A363" s="49"/>
      <c r="B363" s="50"/>
      <c r="C363" s="41"/>
      <c r="D363" s="56"/>
    </row>
    <row r="364" spans="1:4" s="72" customFormat="1" x14ac:dyDescent="0.2">
      <c r="A364" s="49"/>
      <c r="B364" s="50"/>
      <c r="C364" s="41"/>
      <c r="D364" s="56"/>
    </row>
    <row r="365" spans="1:4" s="72" customFormat="1" x14ac:dyDescent="0.2">
      <c r="A365" s="49"/>
      <c r="B365" s="50"/>
      <c r="C365" s="41"/>
      <c r="D365" s="56"/>
    </row>
    <row r="366" spans="1:4" s="72" customFormat="1" x14ac:dyDescent="0.2">
      <c r="A366" s="49"/>
      <c r="B366" s="50"/>
      <c r="C366" s="41"/>
      <c r="D366" s="56"/>
    </row>
    <row r="367" spans="1:4" s="72" customFormat="1" x14ac:dyDescent="0.2">
      <c r="A367" s="49"/>
      <c r="B367" s="50"/>
      <c r="C367" s="41"/>
      <c r="D367" s="56"/>
    </row>
    <row r="368" spans="1:4" s="72" customFormat="1" x14ac:dyDescent="0.2">
      <c r="A368" s="49"/>
      <c r="B368" s="50"/>
      <c r="C368" s="41"/>
      <c r="D368" s="56"/>
    </row>
    <row r="369" spans="1:4" s="72" customFormat="1" x14ac:dyDescent="0.2">
      <c r="A369" s="49"/>
      <c r="B369" s="50"/>
      <c r="C369" s="41"/>
      <c r="D369" s="56"/>
    </row>
    <row r="370" spans="1:4" s="72" customFormat="1" x14ac:dyDescent="0.2">
      <c r="A370" s="49"/>
      <c r="B370" s="50"/>
      <c r="C370" s="41"/>
      <c r="D370" s="56"/>
    </row>
    <row r="371" spans="1:4" s="72" customFormat="1" x14ac:dyDescent="0.2">
      <c r="A371" s="49"/>
      <c r="B371" s="50"/>
      <c r="C371" s="41"/>
      <c r="D371" s="56"/>
    </row>
    <row r="372" spans="1:4" s="72" customFormat="1" x14ac:dyDescent="0.2">
      <c r="A372" s="49"/>
      <c r="B372" s="50"/>
      <c r="C372" s="41"/>
      <c r="D372" s="56"/>
    </row>
    <row r="373" spans="1:4" s="72" customFormat="1" x14ac:dyDescent="0.2">
      <c r="A373" s="49"/>
      <c r="B373" s="50"/>
      <c r="C373" s="41"/>
      <c r="D373" s="56"/>
    </row>
    <row r="374" spans="1:4" s="72" customFormat="1" x14ac:dyDescent="0.2">
      <c r="A374" s="49"/>
      <c r="B374" s="50"/>
      <c r="C374" s="41"/>
      <c r="D374" s="56"/>
    </row>
    <row r="375" spans="1:4" s="72" customFormat="1" x14ac:dyDescent="0.2">
      <c r="A375" s="49"/>
      <c r="B375" s="50"/>
      <c r="C375" s="41"/>
      <c r="D375" s="56"/>
    </row>
    <row r="376" spans="1:4" s="72" customFormat="1" x14ac:dyDescent="0.2">
      <c r="A376" s="49"/>
      <c r="B376" s="50"/>
      <c r="C376" s="41"/>
      <c r="D376" s="56"/>
    </row>
    <row r="377" spans="1:4" s="72" customFormat="1" x14ac:dyDescent="0.2">
      <c r="A377" s="49"/>
      <c r="B377" s="50"/>
      <c r="C377" s="41"/>
      <c r="D377" s="56"/>
    </row>
    <row r="378" spans="1:4" s="72" customFormat="1" x14ac:dyDescent="0.2">
      <c r="A378" s="49"/>
      <c r="B378" s="50"/>
      <c r="C378" s="41"/>
      <c r="D378" s="56"/>
    </row>
    <row r="379" spans="1:4" s="72" customFormat="1" x14ac:dyDescent="0.2">
      <c r="A379" s="49"/>
      <c r="B379" s="50"/>
      <c r="C379" s="41"/>
      <c r="D379" s="56"/>
    </row>
    <row r="380" spans="1:4" s="72" customFormat="1" x14ac:dyDescent="0.2">
      <c r="A380" s="49"/>
      <c r="B380" s="50"/>
      <c r="C380" s="41"/>
      <c r="D380" s="56"/>
    </row>
    <row r="381" spans="1:4" s="72" customFormat="1" x14ac:dyDescent="0.2">
      <c r="A381" s="49"/>
      <c r="B381" s="50"/>
      <c r="C381" s="41"/>
      <c r="D381" s="56"/>
    </row>
    <row r="382" spans="1:4" s="72" customFormat="1" x14ac:dyDescent="0.2">
      <c r="A382" s="49"/>
      <c r="B382" s="50"/>
      <c r="C382" s="41"/>
      <c r="D382" s="56"/>
    </row>
    <row r="383" spans="1:4" s="72" customFormat="1" x14ac:dyDescent="0.2">
      <c r="A383" s="49"/>
      <c r="B383" s="50"/>
      <c r="C383" s="41"/>
      <c r="D383" s="56"/>
    </row>
    <row r="384" spans="1:4" s="72" customFormat="1" x14ac:dyDescent="0.2">
      <c r="A384" s="49"/>
      <c r="B384" s="50"/>
      <c r="C384" s="41"/>
      <c r="D384" s="56"/>
    </row>
    <row r="385" spans="1:4" s="72" customFormat="1" x14ac:dyDescent="0.2">
      <c r="A385" s="49"/>
      <c r="B385" s="50"/>
      <c r="C385" s="41"/>
      <c r="D385" s="56"/>
    </row>
    <row r="386" spans="1:4" s="72" customFormat="1" x14ac:dyDescent="0.2">
      <c r="A386" s="49"/>
      <c r="B386" s="50"/>
      <c r="C386" s="41"/>
      <c r="D386" s="56"/>
    </row>
    <row r="387" spans="1:4" s="72" customFormat="1" x14ac:dyDescent="0.2">
      <c r="A387" s="49"/>
      <c r="B387" s="50"/>
      <c r="C387" s="41"/>
      <c r="D387" s="56"/>
    </row>
    <row r="388" spans="1:4" s="72" customFormat="1" x14ac:dyDescent="0.2">
      <c r="A388" s="49"/>
      <c r="B388" s="50"/>
      <c r="C388" s="41"/>
      <c r="D388" s="56"/>
    </row>
    <row r="389" spans="1:4" s="72" customFormat="1" x14ac:dyDescent="0.2">
      <c r="A389" s="49"/>
      <c r="B389" s="50"/>
      <c r="C389" s="41"/>
      <c r="D389" s="56"/>
    </row>
    <row r="390" spans="1:4" s="72" customFormat="1" x14ac:dyDescent="0.2">
      <c r="A390" s="49"/>
      <c r="B390" s="50"/>
      <c r="C390" s="41"/>
      <c r="D390" s="56"/>
    </row>
    <row r="391" spans="1:4" s="72" customFormat="1" x14ac:dyDescent="0.2">
      <c r="A391" s="49"/>
      <c r="B391" s="50"/>
      <c r="C391" s="41"/>
      <c r="D391" s="56"/>
    </row>
    <row r="392" spans="1:4" s="72" customFormat="1" x14ac:dyDescent="0.2">
      <c r="A392" s="49"/>
      <c r="B392" s="50"/>
      <c r="C392" s="41"/>
      <c r="D392" s="56"/>
    </row>
    <row r="393" spans="1:4" s="72" customFormat="1" x14ac:dyDescent="0.2">
      <c r="A393" s="49"/>
      <c r="B393" s="50"/>
      <c r="C393" s="41"/>
      <c r="D393" s="56"/>
    </row>
    <row r="394" spans="1:4" s="72" customFormat="1" x14ac:dyDescent="0.2">
      <c r="A394" s="49"/>
      <c r="B394" s="50"/>
      <c r="C394" s="41"/>
      <c r="D394" s="56"/>
    </row>
    <row r="395" spans="1:4" s="72" customFormat="1" x14ac:dyDescent="0.2">
      <c r="A395" s="49"/>
      <c r="B395" s="50"/>
      <c r="C395" s="41"/>
      <c r="D395" s="56"/>
    </row>
    <row r="396" spans="1:4" s="72" customFormat="1" x14ac:dyDescent="0.2">
      <c r="A396" s="49"/>
      <c r="B396" s="50"/>
      <c r="C396" s="41"/>
      <c r="D396" s="56"/>
    </row>
    <row r="397" spans="1:4" s="72" customFormat="1" x14ac:dyDescent="0.2">
      <c r="A397" s="49"/>
      <c r="B397" s="50"/>
      <c r="C397" s="41"/>
      <c r="D397" s="56"/>
    </row>
    <row r="398" spans="1:4" s="72" customFormat="1" x14ac:dyDescent="0.2">
      <c r="A398" s="49"/>
      <c r="B398" s="50"/>
      <c r="C398" s="41"/>
      <c r="D398" s="56"/>
    </row>
    <row r="399" spans="1:4" s="72" customFormat="1" x14ac:dyDescent="0.2">
      <c r="A399" s="49"/>
      <c r="B399" s="50"/>
      <c r="C399" s="41"/>
      <c r="D399" s="56"/>
    </row>
    <row r="400" spans="1:4" s="72" customFormat="1" x14ac:dyDescent="0.2">
      <c r="A400" s="49"/>
      <c r="B400" s="50"/>
      <c r="C400" s="41"/>
      <c r="D400" s="56"/>
    </row>
    <row r="401" spans="1:4" s="72" customFormat="1" x14ac:dyDescent="0.2">
      <c r="A401" s="49"/>
      <c r="B401" s="50"/>
      <c r="C401" s="41"/>
      <c r="D401" s="56"/>
    </row>
    <row r="402" spans="1:4" s="72" customFormat="1" x14ac:dyDescent="0.2">
      <c r="A402" s="49"/>
      <c r="B402" s="50"/>
      <c r="C402" s="41"/>
      <c r="D402" s="56"/>
    </row>
    <row r="403" spans="1:4" s="72" customFormat="1" x14ac:dyDescent="0.2">
      <c r="A403" s="49"/>
      <c r="B403" s="50"/>
      <c r="C403" s="41"/>
      <c r="D403" s="56"/>
    </row>
    <row r="404" spans="1:4" s="72" customFormat="1" x14ac:dyDescent="0.2">
      <c r="A404" s="49"/>
      <c r="B404" s="50"/>
      <c r="C404" s="41"/>
      <c r="D404" s="56"/>
    </row>
    <row r="405" spans="1:4" s="72" customFormat="1" x14ac:dyDescent="0.2">
      <c r="A405" s="49"/>
      <c r="B405" s="50"/>
      <c r="C405" s="41"/>
      <c r="D405" s="56"/>
    </row>
    <row r="406" spans="1:4" s="72" customFormat="1" x14ac:dyDescent="0.2">
      <c r="A406" s="49"/>
      <c r="B406" s="50"/>
      <c r="C406" s="41"/>
      <c r="D406" s="56"/>
    </row>
    <row r="407" spans="1:4" s="72" customFormat="1" x14ac:dyDescent="0.2">
      <c r="A407" s="49"/>
      <c r="B407" s="50"/>
      <c r="C407" s="41"/>
      <c r="D407" s="56"/>
    </row>
    <row r="408" spans="1:4" s="72" customFormat="1" x14ac:dyDescent="0.2">
      <c r="A408" s="49"/>
      <c r="B408" s="50"/>
      <c r="C408" s="41"/>
      <c r="D408" s="56"/>
    </row>
    <row r="409" spans="1:4" s="72" customFormat="1" x14ac:dyDescent="0.2">
      <c r="A409" s="49"/>
      <c r="B409" s="50"/>
      <c r="C409" s="41"/>
      <c r="D409" s="56"/>
    </row>
    <row r="410" spans="1:4" s="72" customFormat="1" x14ac:dyDescent="0.2">
      <c r="A410" s="49"/>
      <c r="B410" s="50"/>
      <c r="C410" s="41"/>
      <c r="D410" s="56"/>
    </row>
    <row r="411" spans="1:4" s="72" customFormat="1" x14ac:dyDescent="0.2">
      <c r="A411" s="49"/>
      <c r="B411" s="50"/>
      <c r="C411" s="41"/>
      <c r="D411" s="56"/>
    </row>
    <row r="412" spans="1:4" s="72" customFormat="1" x14ac:dyDescent="0.2">
      <c r="A412" s="49"/>
      <c r="B412" s="50"/>
      <c r="C412" s="41"/>
      <c r="D412" s="56"/>
    </row>
    <row r="413" spans="1:4" s="72" customFormat="1" x14ac:dyDescent="0.2">
      <c r="A413" s="49"/>
      <c r="B413" s="50"/>
      <c r="C413" s="41"/>
      <c r="D413" s="56"/>
    </row>
    <row r="414" spans="1:4" s="72" customFormat="1" x14ac:dyDescent="0.2">
      <c r="A414" s="49"/>
      <c r="B414" s="50"/>
      <c r="C414" s="41"/>
      <c r="D414" s="56"/>
    </row>
    <row r="415" spans="1:4" s="72" customFormat="1" x14ac:dyDescent="0.2">
      <c r="A415" s="49"/>
      <c r="B415" s="50"/>
      <c r="C415" s="41"/>
      <c r="D415" s="56"/>
    </row>
    <row r="416" spans="1:4" s="72" customFormat="1" x14ac:dyDescent="0.2">
      <c r="A416" s="49"/>
      <c r="B416" s="50"/>
      <c r="C416" s="41"/>
      <c r="D416" s="56"/>
    </row>
    <row r="417" spans="1:4" s="72" customFormat="1" x14ac:dyDescent="0.2">
      <c r="A417" s="49"/>
      <c r="B417" s="50"/>
      <c r="C417" s="41"/>
      <c r="D417" s="56"/>
    </row>
    <row r="418" spans="1:4" s="72" customFormat="1" x14ac:dyDescent="0.2">
      <c r="A418" s="49"/>
      <c r="B418" s="50"/>
      <c r="C418" s="41"/>
      <c r="D418" s="56"/>
    </row>
    <row r="419" spans="1:4" s="72" customFormat="1" x14ac:dyDescent="0.2">
      <c r="A419" s="49"/>
      <c r="B419" s="50"/>
      <c r="C419" s="41"/>
      <c r="D419" s="56"/>
    </row>
    <row r="420" spans="1:4" s="72" customFormat="1" x14ac:dyDescent="0.2">
      <c r="A420" s="49"/>
      <c r="B420" s="50"/>
      <c r="C420" s="41"/>
      <c r="D420" s="56"/>
    </row>
    <row r="421" spans="1:4" s="72" customFormat="1" x14ac:dyDescent="0.2">
      <c r="A421" s="49"/>
      <c r="B421" s="50"/>
      <c r="C421" s="41"/>
      <c r="D421" s="56"/>
    </row>
    <row r="422" spans="1:4" s="72" customFormat="1" x14ac:dyDescent="0.2">
      <c r="A422" s="49"/>
      <c r="B422" s="50"/>
      <c r="C422" s="41"/>
      <c r="D422" s="56"/>
    </row>
    <row r="423" spans="1:4" s="72" customFormat="1" x14ac:dyDescent="0.2">
      <c r="A423" s="49"/>
      <c r="B423" s="50"/>
      <c r="C423" s="41"/>
      <c r="D423" s="56"/>
    </row>
    <row r="424" spans="1:4" s="72" customFormat="1" x14ac:dyDescent="0.2">
      <c r="A424" s="49"/>
      <c r="B424" s="50"/>
      <c r="C424" s="41"/>
      <c r="D424" s="56"/>
    </row>
    <row r="425" spans="1:4" s="72" customFormat="1" x14ac:dyDescent="0.2">
      <c r="A425" s="49"/>
      <c r="B425" s="50"/>
      <c r="C425" s="41"/>
      <c r="D425" s="56"/>
    </row>
    <row r="426" spans="1:4" s="72" customFormat="1" x14ac:dyDescent="0.2">
      <c r="A426" s="49"/>
      <c r="B426" s="50"/>
      <c r="C426" s="41"/>
      <c r="D426" s="56"/>
    </row>
    <row r="427" spans="1:4" s="72" customFormat="1" x14ac:dyDescent="0.2">
      <c r="A427" s="49"/>
      <c r="B427" s="50"/>
      <c r="C427" s="41"/>
      <c r="D427" s="56"/>
    </row>
    <row r="428" spans="1:4" s="72" customFormat="1" x14ac:dyDescent="0.2">
      <c r="A428" s="49"/>
      <c r="B428" s="50"/>
      <c r="C428" s="41"/>
      <c r="D428" s="56"/>
    </row>
    <row r="429" spans="1:4" s="72" customFormat="1" x14ac:dyDescent="0.2">
      <c r="A429" s="49"/>
      <c r="B429" s="50"/>
      <c r="C429" s="41"/>
      <c r="D429" s="56"/>
    </row>
    <row r="430" spans="1:4" s="72" customFormat="1" x14ac:dyDescent="0.2">
      <c r="A430" s="49"/>
      <c r="B430" s="50"/>
      <c r="C430" s="41"/>
      <c r="D430" s="56"/>
    </row>
    <row r="431" spans="1:4" s="72"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2022-02-16T07:05:53Z</dcterms:modified>
</cp:coreProperties>
</file>